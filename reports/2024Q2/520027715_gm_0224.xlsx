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\שנת 2024\רבעון 2\רשימה חדשה\PUBLIC\"/>
    </mc:Choice>
  </mc:AlternateContent>
  <xr:revisionPtr revIDLastSave="0" documentId="13_ncr:1_{D1531483-A4DE-47B8-A3DE-D21A242A19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בחירה'!$B$2:$F$1041</definedName>
    <definedName name="_xlnm._FilterDatabase" localSheetId="23" hidden="1">הלוואות!$A$2:$BC$638</definedName>
    <definedName name="_xlnm._FilterDatabase" localSheetId="11" hidden="1">'חוזים עתידיים'!$H$2:$H$21</definedName>
    <definedName name="_xlnm._FilterDatabase" localSheetId="32" hidden="1">'מיפוי סעיפים'!$C$5:$F$799</definedName>
    <definedName name="Additional_Factor">'אפשרויות בחירה'!$D$702:$D$851</definedName>
    <definedName name="Amoritization">'אפשרויות בחירה'!$D$547:$D$551</definedName>
    <definedName name="Capsule">'אפשרויות בחירה'!$D$927:$D$929</definedName>
    <definedName name="Company_Name">'File Name Info'!$A$34:$A$120</definedName>
    <definedName name="Company_Name_ID">'File Name Info'!$A$34:$B$120</definedName>
    <definedName name="Consortium">'אפשרויות בחירה'!$D$515:$D$516</definedName>
    <definedName name="Country_list">'אפשרויות בחירה'!$D$5:$D$86</definedName>
    <definedName name="Country_list_funds">'אפשרויות בחירה'!$D$5:$D$104</definedName>
    <definedName name="CSA">'אפשרויות בחירה'!$D$689:$D$690</definedName>
    <definedName name="Delivery">'אפשרויות בחירה'!$D$667:$D$668</definedName>
    <definedName name="Dependence_Independence">'אפשרויות בחירה'!$D$655:$D$656</definedName>
    <definedName name="Duration_Underlying_Interest_Rate">'אפשרויות בחירה'!$D$681:$D$688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בחירה'!$D$598:$D$622</definedName>
    <definedName name="Fund_type">'אפשרויות בחירה'!$D$329:$D$499</definedName>
    <definedName name="Holding_interest">'אפשרויות בחירה'!$D$147:$D$148</definedName>
    <definedName name="In_the_books">'אפשרויות בחירה'!$D$657:$D$658</definedName>
    <definedName name="Industry_Sector">'אפשרויות בחירה'!$D$1130:$D$1246</definedName>
    <definedName name="Industry_sector_all">'אפשרויות בחירה'!$D$203:$D$328</definedName>
    <definedName name="Industry_sectors">'אפשרויות בחירה'!$D$203:$D$328</definedName>
    <definedName name="israel_abroad">'אפשרויות בחירה'!$D$3:$D$4</definedName>
    <definedName name="Issuer_Number_Banks">'אפשרויות בחירה'!$D$112:$D$114</definedName>
    <definedName name="Issuer_Number_Fund">'אפשרויות בחירה'!$D$115:$D$118</definedName>
    <definedName name="issuer_number_loan">'אפשרויות בחירה'!$D$119:$D$127</definedName>
    <definedName name="Issuer_Number_Type">'אפשרויות בחירה'!$D$105:$D$111</definedName>
    <definedName name="Issuer_Number_Type_2">'אפשרויות בחירה'!$D$1077:$D$1080</definedName>
    <definedName name="Issuer_Number_Type_3">'אפשרויות בחירה'!$D$1082:$D$1086</definedName>
    <definedName name="Issuer_Number_Type_V2" localSheetId="31">'אפשרויות בחירה'!$D$105:$D$111</definedName>
    <definedName name="Issuer_Type_TFunds">'אפשרויות בחירה'!$D$1088:$D$1090</definedName>
    <definedName name="Leading_factor">'אפשרויות בחירה'!$D$693:$D$701</definedName>
    <definedName name="Linked_Type">'אפשרויות בחירה'!$D$517:$D$520</definedName>
    <definedName name="other_investments">'אפשרויות בחירה'!$D$1001:$D$1034</definedName>
    <definedName name="Penalty">'אפשרויות בחירה'!$D$852:$D$853</definedName>
    <definedName name="QTR">'File Name Info'!$A$15:$A$19</definedName>
    <definedName name="Rating_Agency">'אפשרויות בחירה'!$D$189:$D$202</definedName>
    <definedName name="real_estate_lifestage">'אפשרויות בחירה'!$D$635:$D$643</definedName>
    <definedName name="real_estate_loans">'אפשרויות בחירה'!$D$554:$D$592</definedName>
    <definedName name="Real_Estate_Main_Use">'אפשרויות בחירה'!$D$623:$D$634</definedName>
    <definedName name="Recourse_Nonrecourse">'אפשרויות בחירה'!$D$545:$D$546</definedName>
    <definedName name="Repayment_Rights">'אפשרויות בחירה'!$D$552:$D$553</definedName>
    <definedName name="Reset_frequency">'אפשרויות בחירה'!$D$659:$D$666</definedName>
    <definedName name="Security_ID_Number_Type">'אפשרויות בחירה'!$D$1114:$D$1117</definedName>
    <definedName name="Security_Number_Loans" localSheetId="31">'אפשרויות בחירה'!$D$132</definedName>
    <definedName name="Stock_Exchange">'אפשרויות בחירה'!$D$1284:$D$1316</definedName>
    <definedName name="Stock_Exchange_Gov_Bonds">'אפשרויות בחירה'!$D$149:$D$182</definedName>
    <definedName name="Subordination_Risk">'אפשרויות בחירה'!$D$187:$D$188</definedName>
    <definedName name="Tradeable_Status">'אפשרויות בחירה'!$D$1273:$D$1282</definedName>
    <definedName name="Tradeable_Status_All">'אפשרויות בחירה'!$D$136:$D$146</definedName>
    <definedName name="tradeable_status_bonds">'אפשרויות בחירה'!$D$1249:$D$1254</definedName>
    <definedName name="tradeable_status_funds">'אפשרויות בחירה'!$D$1119:$D$1120</definedName>
    <definedName name="tradeable_status_stock">'אפשרויות בחירה'!$D$1256:$D$1260</definedName>
    <definedName name="Tradeable_Status_v2">'אפשרויות בחירה'!$D$1122:$D$1127</definedName>
    <definedName name="tradeable_status_warrants">'אפשרויות בחירה'!$D$1262:$D$1266</definedName>
    <definedName name="tradeable_status_warrants_v2">'אפשרויות בחירה'!$D$1268:$D$1270</definedName>
    <definedName name="Transaction" localSheetId="31">'אפשרויות בחירה'!$D$644:$D$647</definedName>
    <definedName name="Type">'File Name Info'!$A$2:$A$8</definedName>
    <definedName name="Type_of_Interest_Rate">'אפשרויות בחירה'!$D$593:$D$595</definedName>
    <definedName name="Type_of_Security">'אפשרויות בחירה'!$D$521:$D$544</definedName>
    <definedName name="Type_of_Security_ID">'אפשרויות בחירה'!$D$128:$D$132</definedName>
    <definedName name="Type_of_Security_ID_Fund">'אפשרויות בחירה'!$D$133:$D$135</definedName>
    <definedName name="Type_of_Security_ID_V2" localSheetId="31">'אפשרויות בחירה'!$D$128:$D$132</definedName>
    <definedName name="Underlying_Asset">'אפשרויות בחירה'!$D$500:$D$514</definedName>
    <definedName name="Underlying_Asset_Structured">'אפשרויות בחירה'!$D$1095:$D$1106</definedName>
    <definedName name="Underlying_Interest_Rates">'אפשרויות בחירה'!$D$669:$D$680</definedName>
    <definedName name="Underlying_Interest_Rates_Der" localSheetId="31">'אפשרויות בחירה'!$D$671:$D$680</definedName>
    <definedName name="Valuation">'אפשרויות בחירה'!$D$650:$D$654</definedName>
    <definedName name="Valuation_Loans">'אפשרויות בחירה'!$D$1092:$D$1093</definedName>
    <definedName name="Valuation_Method">'אפשרויות בחירה'!$D$644:$D$649</definedName>
    <definedName name="Valuation_Realestate">'אפשרויות בחירה'!$D$1109:$D$1112</definedName>
    <definedName name="What_is_rated">'אפשרויות בחירה'!$D$183:$D$186</definedName>
    <definedName name="what_is_rated_loans">'אפשרויות בחירה'!$D$184:$D$186</definedName>
    <definedName name="YEAR">'File Name Info'!$A$21:$A$31</definedName>
    <definedName name="Yes_No_Bad_Debt">'אפשרויות בחירה'!$D$596:$D$597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E1041" i="32" l="1"/>
  <c r="E1040" i="32"/>
  <c r="D31" i="2"/>
  <c r="E31" i="2" l="1"/>
  <c r="C31" i="2"/>
  <c r="F31" i="2" l="1"/>
</calcChain>
</file>

<file path=xl/sharedStrings.xml><?xml version="1.0" encoding="utf-8"?>
<sst xmlns="http://schemas.openxmlformats.org/spreadsheetml/2006/main" count="55198" uniqueCount="3788">
  <si>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</si>
  <si>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</si>
  <si>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</si>
  <si>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</si>
  <si>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</si>
  <si>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</si>
  <si>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</si>
  <si>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</si>
  <si>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</si>
  <si>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</si>
  <si>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</si>
  <si>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</si>
  <si>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</si>
  <si>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</si>
  <si>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</si>
  <si>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</si>
  <si>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</si>
  <si>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</si>
  <si>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</si>
  <si>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</si>
  <si>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</si>
  <si>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</si>
  <si>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</si>
  <si>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</si>
  <si>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</si>
  <si>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</si>
  <si>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</si>
  <si>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</si>
  <si>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</si>
  <si>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</si>
  <si>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</si>
  <si>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</si>
  <si>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</si>
  <si>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</si>
  <si>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</si>
  <si>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</si>
  <si>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</si>
  <si>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</si>
  <si>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</si>
  <si>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</si>
  <si>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</si>
  <si>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</si>
  <si>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</si>
  <si>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</si>
  <si>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</si>
  <si>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</si>
  <si>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</si>
  <si>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</si>
  <si>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</si>
  <si>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</si>
  <si>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</si>
  <si>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</si>
  <si>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</si>
  <si>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</si>
  <si>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</si>
  <si>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</si>
  <si>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</si>
  <si>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</si>
  <si>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</si>
  <si>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</si>
  <si>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</si>
  <si>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</si>
  <si>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</si>
  <si>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</si>
  <si>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</si>
  <si>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</si>
  <si>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</si>
  <si>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</si>
  <si>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</si>
  <si>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</si>
  <si>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</si>
  <si>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</si>
  <si>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</si>
  <si>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</si>
  <si>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</si>
  <si>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</si>
  <si>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</si>
  <si>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</si>
  <si>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</si>
  <si>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</si>
  <si>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</si>
  <si>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</si>
  <si>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</si>
  <si>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</si>
  <si>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</si>
  <si>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</si>
  <si>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</si>
  <si>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</si>
  <si>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</si>
  <si>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</si>
  <si>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</si>
  <si>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</si>
  <si>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</si>
  <si>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</si>
  <si>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</si>
  <si>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</si>
  <si>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</si>
  <si>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</si>
  <si>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</si>
  <si>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</si>
  <si>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</si>
  <si>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</si>
  <si>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</si>
  <si>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</si>
  <si>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</si>
  <si>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</si>
  <si>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</si>
  <si>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</si>
  <si>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</si>
  <si>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</si>
  <si>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</si>
  <si>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</si>
  <si>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</si>
  <si>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</si>
  <si>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</si>
  <si>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</si>
  <si>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</si>
  <si>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</si>
  <si>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</si>
  <si>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</si>
  <si>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</si>
  <si>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</si>
  <si>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</si>
  <si>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</si>
  <si>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</si>
  <si>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</si>
  <si>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</si>
  <si>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</si>
  <si>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</si>
  <si>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</si>
  <si>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</si>
  <si>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</si>
  <si>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</si>
  <si>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</si>
  <si>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</si>
  <si>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</si>
  <si>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</si>
  <si>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</si>
  <si>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</si>
  <si>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</si>
  <si>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</si>
  <si>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</si>
  <si>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</si>
  <si>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</si>
  <si>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</si>
  <si>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</si>
  <si>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</si>
  <si>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</si>
  <si>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</si>
  <si>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</si>
  <si>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</si>
  <si>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</si>
  <si>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</si>
  <si>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</si>
  <si>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</si>
  <si>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</si>
  <si>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</si>
  <si>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</si>
  <si>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</si>
  <si>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</si>
  <si>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</si>
  <si>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</si>
  <si>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</si>
  <si>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</si>
  <si>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</si>
  <si>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</si>
  <si>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</si>
  <si>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</si>
  <si>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</si>
  <si>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</si>
  <si>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</si>
  <si>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</si>
  <si>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</si>
  <si>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</si>
  <si>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</si>
  <si>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</si>
  <si>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</si>
  <si>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</si>
  <si>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</si>
  <si>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</si>
  <si>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</si>
  <si>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</si>
  <si>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</si>
  <si>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</si>
  <si>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</si>
  <si>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</si>
  <si>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</si>
  <si>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</si>
  <si>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</si>
  <si>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</si>
  <si>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</si>
  <si>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</si>
  <si>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</si>
  <si>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</si>
  <si>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</si>
  <si>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</si>
  <si>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</si>
  <si>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</si>
  <si>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</si>
  <si>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</si>
  <si>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</si>
  <si>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</si>
  <si>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</si>
  <si>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</si>
  <si>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</si>
  <si>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</si>
  <si>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</si>
  <si>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</si>
  <si>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</si>
  <si>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</si>
  <si>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</si>
  <si>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</si>
  <si>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</si>
  <si>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</si>
  <si>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</si>
  <si>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</si>
  <si>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</si>
  <si>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</si>
  <si>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</si>
  <si>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</si>
  <si>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</si>
  <si>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</si>
  <si>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</si>
  <si>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</si>
  <si>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</si>
  <si>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</si>
  <si>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</si>
  <si>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</si>
  <si>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</si>
  <si>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</si>
  <si>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</si>
  <si>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</si>
  <si>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</si>
  <si>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</si>
  <si>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</si>
  <si>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</si>
  <si>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</si>
  <si>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</si>
  <si>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</si>
  <si>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</si>
  <si>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</si>
  <si>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</si>
  <si>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</si>
  <si>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</si>
  <si>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</si>
  <si>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</si>
  <si>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</si>
  <si>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</si>
  <si>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</si>
  <si>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</si>
  <si>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</si>
  <si>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</si>
  <si>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</si>
  <si>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</si>
  <si>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</si>
  <si>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</si>
  <si>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</si>
  <si>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</si>
  <si>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</si>
  <si>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</si>
  <si>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</si>
  <si>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</si>
  <si>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</si>
  <si>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</si>
  <si>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</si>
  <si>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</si>
  <si>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</si>
  <si>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</si>
  <si>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</si>
  <si>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</si>
  <si>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</si>
  <si>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</si>
  <si>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</si>
  <si>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</si>
  <si>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</si>
  <si>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</si>
  <si>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</si>
  <si>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</si>
  <si>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</si>
  <si>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</si>
  <si>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</si>
  <si>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</si>
  <si>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</si>
  <si>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</si>
  <si>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</si>
  <si>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</si>
  <si>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</si>
  <si>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</si>
  <si>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</si>
  <si>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</si>
  <si>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</si>
  <si>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</si>
  <si>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</si>
  <si>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</si>
  <si>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</si>
  <si>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</si>
  <si>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</si>
  <si>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</si>
  <si>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</si>
  <si>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</si>
  <si>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</si>
  <si>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</si>
  <si>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</si>
  <si>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</si>
  <si>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</si>
  <si>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</si>
  <si>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</si>
  <si>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</si>
  <si>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</si>
  <si>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</si>
  <si>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</si>
  <si>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</si>
  <si>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</si>
  <si>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</si>
  <si>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</si>
  <si>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</si>
  <si>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</si>
  <si>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</si>
  <si>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</si>
  <si>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</si>
  <si>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</si>
  <si>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</si>
  <si>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</si>
  <si>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</si>
  <si>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</si>
  <si>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</si>
  <si>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</si>
  <si>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</si>
  <si>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</si>
  <si>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</si>
  <si>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</si>
  <si>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</si>
  <si>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</si>
  <si>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</si>
  <si>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</si>
  <si>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</si>
  <si>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</si>
  <si>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</si>
  <si>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</si>
  <si>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</si>
  <si>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</si>
  <si>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</si>
  <si>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</si>
  <si>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</si>
  <si>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</si>
  <si>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</si>
  <si>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</si>
  <si>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</si>
  <si>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</si>
  <si>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</si>
  <si>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</si>
  <si>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</si>
  <si>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</si>
  <si>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</si>
  <si>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</si>
  <si>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</si>
  <si>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</si>
  <si>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</si>
  <si>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</si>
  <si>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</si>
  <si>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</si>
  <si>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</si>
  <si>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</si>
  <si>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</si>
  <si>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</si>
  <si>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</si>
  <si>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</si>
  <si>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</si>
  <si>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</si>
  <si>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</si>
  <si>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</si>
  <si>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</si>
  <si>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</si>
  <si>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</si>
  <si>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</si>
  <si>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</si>
  <si>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</si>
  <si>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</si>
  <si>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</si>
  <si>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</si>
  <si>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</si>
  <si>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</si>
  <si>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</si>
  <si>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</si>
  <si>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</si>
  <si>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</si>
  <si>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</si>
  <si>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</si>
  <si>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</si>
  <si>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</si>
  <si>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</si>
  <si>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</si>
  <si>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</si>
  <si>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</si>
  <si>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</si>
  <si>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</si>
  <si>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</si>
  <si>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</si>
  <si>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</si>
  <si>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</si>
  <si>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</si>
  <si>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</si>
  <si>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</si>
  <si>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</si>
  <si>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</si>
  <si>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</si>
  <si>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</si>
  <si>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</si>
  <si>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</si>
  <si>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</si>
  <si>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</si>
  <si>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</si>
  <si>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</si>
  <si>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</si>
  <si>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</si>
  <si>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</si>
  <si>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</si>
  <si>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</si>
  <si>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</si>
  <si>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</si>
  <si>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</si>
  <si>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</si>
  <si>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</si>
  <si>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</si>
  <si>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</si>
  <si>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</si>
  <si>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</si>
  <si>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</si>
  <si>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</si>
  <si>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</si>
  <si>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</si>
  <si>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</si>
  <si>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</si>
  <si>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</si>
  <si>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</si>
  <si>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</si>
  <si>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</si>
  <si>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</si>
  <si>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</si>
  <si>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</si>
  <si>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</si>
  <si>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</si>
  <si>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</si>
  <si>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</si>
  <si>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</si>
  <si>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</si>
  <si>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</si>
  <si>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</si>
  <si>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</si>
  <si>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</si>
  <si>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</si>
  <si>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</si>
  <si>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</si>
  <si>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</si>
  <si>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</si>
  <si>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</si>
  <si>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</si>
  <si>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</si>
  <si>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</si>
  <si>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</si>
  <si>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</si>
  <si>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</si>
  <si>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</si>
  <si>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</si>
  <si>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</si>
  <si>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</si>
  <si>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</si>
  <si>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</si>
  <si>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</si>
  <si>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</si>
  <si>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</si>
  <si>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</si>
  <si>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</si>
  <si>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</si>
  <si>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</si>
  <si>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</si>
  <si>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</si>
  <si>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</si>
  <si>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</si>
  <si>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</si>
  <si>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</si>
  <si>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</si>
  <si>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</si>
  <si>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</si>
  <si>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</si>
  <si>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</si>
  <si>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</si>
  <si>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</si>
  <si>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</si>
  <si>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</si>
  <si>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</si>
  <si>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</si>
  <si>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</si>
  <si>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</si>
  <si>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</si>
  <si>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</si>
  <si>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</si>
  <si>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</si>
  <si>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</si>
  <si>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</si>
  <si>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</si>
  <si>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</si>
  <si>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</si>
  <si>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</si>
  <si>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</si>
  <si>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</si>
  <si>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</si>
  <si>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</si>
  <si>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</si>
  <si>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</si>
  <si>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</si>
  <si>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</si>
  <si>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</si>
  <si>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</si>
  <si>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</si>
  <si>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</si>
  <si>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</si>
  <si>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</si>
  <si>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</si>
  <si>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</si>
  <si>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</si>
  <si>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</si>
  <si>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</si>
  <si>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</si>
  <si>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</si>
  <si>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</si>
  <si>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</si>
  <si>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</si>
  <si>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</si>
  <si>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</si>
  <si>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</si>
  <si>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</si>
  <si>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</si>
  <si>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</si>
  <si>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</si>
  <si>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</si>
  <si>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</si>
  <si>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</si>
  <si>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</si>
  <si>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</si>
  <si>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</si>
  <si>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</si>
  <si>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</si>
  <si>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</si>
  <si>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</si>
  <si>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</si>
  <si>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</si>
  <si>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</si>
  <si>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</si>
  <si>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</si>
  <si>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</si>
  <si>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</si>
  <si>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</si>
  <si>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</si>
  <si>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</si>
  <si>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</si>
  <si>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</si>
  <si>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</si>
  <si>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</si>
  <si>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</si>
  <si>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</si>
  <si>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</si>
  <si>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</si>
  <si>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</si>
  <si>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</si>
  <si>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</si>
  <si>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</si>
  <si>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</si>
  <si>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</si>
  <si>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</si>
  <si>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</si>
  <si>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</si>
  <si>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</si>
  <si>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</si>
  <si>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</si>
  <si>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</si>
  <si>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</si>
  <si>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</si>
  <si>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</si>
  <si>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</si>
  <si>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</si>
  <si>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</si>
  <si>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</si>
  <si>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</si>
  <si>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</si>
  <si>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</si>
  <si>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</si>
  <si>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</si>
  <si>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</si>
  <si>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</si>
  <si>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</si>
  <si>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</si>
  <si>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</si>
  <si>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</si>
  <si>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</si>
  <si>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</si>
  <si>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</si>
  <si>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</si>
  <si>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</si>
  <si>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</si>
  <si>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</si>
  <si>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</si>
  <si>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</si>
  <si>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</si>
  <si>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</si>
  <si>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</si>
  <si>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</si>
  <si>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</si>
  <si>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</si>
  <si>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</si>
  <si>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</si>
  <si>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</si>
  <si>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</si>
  <si>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</si>
  <si>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</si>
  <si>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</si>
  <si>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</si>
  <si>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</si>
  <si>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</si>
  <si>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</si>
  <si>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</si>
  <si>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</si>
  <si>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</si>
  <si>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</si>
  <si>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</si>
  <si>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</si>
  <si>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</si>
  <si>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</si>
  <si>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</si>
  <si>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</si>
  <si>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</si>
  <si>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</si>
  <si>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</si>
  <si>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</si>
  <si>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</si>
  <si>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</si>
  <si>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</si>
  <si>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</si>
  <si>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</si>
  <si>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</si>
  <si>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</si>
  <si>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</si>
  <si>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</si>
  <si>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</si>
  <si>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</si>
  <si>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</si>
  <si>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</si>
  <si>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</si>
  <si>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</si>
  <si>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</si>
  <si>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</si>
  <si>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</si>
  <si>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</si>
  <si>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</si>
  <si>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</si>
  <si>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</si>
  <si>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</si>
  <si>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</si>
  <si>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</si>
  <si>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</si>
  <si>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</si>
  <si>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</si>
  <si>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</si>
  <si>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</si>
  <si>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</si>
  <si>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</si>
  <si>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</si>
  <si>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</si>
  <si>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</si>
  <si>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</si>
  <si>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</si>
  <si>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</si>
  <si>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</si>
  <si>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</si>
  <si>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</si>
  <si>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</si>
  <si>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</si>
  <si>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</si>
  <si>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</si>
  <si>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</si>
  <si>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</si>
  <si>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</si>
  <si>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</si>
  <si>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</si>
  <si>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</si>
  <si>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</si>
  <si>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</si>
  <si>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</si>
  <si>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</si>
  <si>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</si>
  <si>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</si>
  <si>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</si>
  <si>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</si>
  <si>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</si>
  <si>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</si>
  <si>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</si>
  <si>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</si>
  <si>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</si>
  <si>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</si>
  <si>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</si>
  <si>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</si>
  <si>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</si>
  <si>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</si>
  <si>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</si>
  <si>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</si>
  <si>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</si>
  <si>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</si>
  <si>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</si>
  <si>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</si>
  <si>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</si>
  <si>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</si>
  <si>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</si>
  <si>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</si>
  <si>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</si>
  <si>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</si>
  <si>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</si>
  <si>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</si>
  <si>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</si>
  <si>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</si>
  <si>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</si>
  <si>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</si>
  <si>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</si>
  <si>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</si>
  <si>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</si>
  <si>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</si>
  <si>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</si>
  <si>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</si>
  <si>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</si>
  <si>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</si>
  <si>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</si>
  <si>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</si>
  <si>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</si>
  <si>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</si>
  <si>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</si>
  <si>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</si>
  <si>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</si>
  <si>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</si>
  <si>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</si>
  <si>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</si>
  <si>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</si>
  <si>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</si>
  <si>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</si>
  <si>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</si>
  <si>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</si>
  <si>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</si>
  <si>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</si>
  <si>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</si>
  <si>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</si>
  <si>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</si>
  <si>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</si>
  <si>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</si>
  <si>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</si>
  <si>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</si>
  <si>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</si>
  <si>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</si>
  <si>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</si>
  <si>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</si>
  <si>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</si>
  <si>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</si>
  <si>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</si>
  <si>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</si>
  <si>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</si>
  <si>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</si>
  <si>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</si>
  <si>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</si>
  <si>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</si>
  <si>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</si>
  <si>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</si>
  <si>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</si>
  <si>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</si>
  <si>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</si>
  <si>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</si>
  <si>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</si>
  <si>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</si>
  <si>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</si>
  <si>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</si>
  <si>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</si>
  <si>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</si>
  <si>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</si>
  <si>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</si>
  <si>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</si>
  <si>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</si>
  <si>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</si>
  <si>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</si>
  <si>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</si>
  <si>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</si>
  <si>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</si>
  <si>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</si>
  <si>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</si>
  <si>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</si>
  <si>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</si>
  <si>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</si>
  <si>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</si>
  <si>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</si>
  <si>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</si>
  <si>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</si>
  <si>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</si>
  <si>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</si>
  <si>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</si>
  <si>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</si>
  <si>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</si>
  <si>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</si>
  <si>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</si>
  <si>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</si>
  <si>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</si>
  <si>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</si>
  <si>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</si>
  <si>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</si>
  <si>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</si>
  <si>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</si>
  <si>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</si>
  <si>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</si>
  <si>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</si>
  <si>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</si>
  <si>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</si>
  <si>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</si>
  <si>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</si>
  <si>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</si>
  <si>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</si>
  <si>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</si>
  <si>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</si>
  <si>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</si>
  <si>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</si>
  <si>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</si>
  <si>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</si>
  <si>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</si>
  <si>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</si>
  <si>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</si>
  <si>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</si>
  <si>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</si>
  <si>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</si>
  <si>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</si>
  <si>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</si>
  <si>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</si>
  <si>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</si>
  <si>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</si>
  <si>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</si>
  <si>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</si>
  <si>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</si>
  <si>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</si>
  <si>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</si>
  <si>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</si>
  <si>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</si>
  <si>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</si>
  <si>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</si>
  <si>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</si>
  <si>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</si>
  <si>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</si>
  <si>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</si>
  <si>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</si>
  <si>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</si>
  <si>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</si>
  <si>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</si>
  <si>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</si>
  <si>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</si>
  <si>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</si>
  <si>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</si>
  <si>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</si>
  <si>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</si>
  <si>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</si>
  <si>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</si>
  <si>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</si>
  <si>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</si>
  <si>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</si>
  <si>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</si>
  <si>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</si>
  <si>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</si>
  <si>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</si>
  <si>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</si>
  <si>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</si>
  <si>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</si>
  <si>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</si>
  <si>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</si>
  <si>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</si>
  <si>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</si>
  <si>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</si>
  <si>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</si>
  <si>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</si>
  <si>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</si>
  <si>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</si>
  <si>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</si>
  <si>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</si>
  <si>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</si>
  <si>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</si>
  <si>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</si>
  <si>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</si>
  <si>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</si>
  <si>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</si>
  <si>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</si>
  <si>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</si>
  <si>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</si>
  <si>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</si>
  <si>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</si>
  <si>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</si>
  <si>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</si>
  <si>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</si>
  <si>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</si>
  <si>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</si>
  <si>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</si>
  <si>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</si>
  <si>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</si>
  <si>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</si>
  <si>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</si>
  <si>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</si>
  <si>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</si>
  <si>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</si>
  <si>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</si>
  <si>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</si>
  <si>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</si>
  <si>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</si>
  <si>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</si>
  <si>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</si>
  <si>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</si>
  <si>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</si>
  <si>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</si>
  <si>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</si>
  <si>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</si>
  <si>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</si>
  <si>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</si>
  <si>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</si>
  <si>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</si>
  <si>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</si>
  <si>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</si>
  <si>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</si>
  <si>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</si>
  <si>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</si>
  <si>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</si>
  <si>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</si>
  <si>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</si>
  <si>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</si>
  <si>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</si>
  <si>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</si>
  <si>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</si>
  <si>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</si>
  <si>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</si>
  <si>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</si>
  <si>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</si>
  <si>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</si>
  <si>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</si>
  <si>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</si>
  <si>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</si>
  <si>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</si>
  <si>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</si>
  <si>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</si>
  <si>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</si>
  <si>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</si>
  <si>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</si>
  <si>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</si>
  <si>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</si>
  <si>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</si>
  <si>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</si>
  <si>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</si>
  <si>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</si>
  <si>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</si>
  <si>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</si>
  <si>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</si>
  <si>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</si>
  <si>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</si>
  <si>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</si>
  <si>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</si>
  <si>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</si>
  <si>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</si>
  <si>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</si>
  <si>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</si>
  <si>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</si>
  <si>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</si>
  <si>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</si>
  <si>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</si>
  <si>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</si>
  <si>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</si>
  <si>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</si>
  <si>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</si>
  <si>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</si>
  <si>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</si>
  <si>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</si>
  <si>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</si>
  <si>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</si>
  <si>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</si>
  <si>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</si>
  <si>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</si>
  <si>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</si>
  <si>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</si>
  <si>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</si>
  <si>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</si>
  <si>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</si>
  <si>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</si>
  <si>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</si>
  <si>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</si>
  <si>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</si>
  <si>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</si>
  <si>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</si>
  <si>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</si>
  <si>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</si>
  <si>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</si>
  <si>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</si>
  <si>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</si>
  <si>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</si>
  <si>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</si>
  <si>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</si>
  <si>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</si>
  <si>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</si>
  <si>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</si>
  <si>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</si>
  <si>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</si>
  <si>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</si>
  <si>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</si>
  <si>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</si>
  <si>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</si>
  <si>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</si>
  <si>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</si>
  <si>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</si>
  <si>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</si>
  <si>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</si>
  <si>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</si>
  <si>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</si>
  <si>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</si>
  <si>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</si>
  <si>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</si>
  <si>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</si>
  <si>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</si>
  <si>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</si>
  <si>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</si>
  <si>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</si>
  <si>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</si>
  <si>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</si>
  <si>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</si>
  <si>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</si>
  <si>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</si>
  <si>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</si>
  <si>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</si>
  <si>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</si>
  <si>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</si>
  <si>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</si>
  <si>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</si>
  <si>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</si>
  <si>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</si>
  <si>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</si>
  <si>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</si>
  <si>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</si>
  <si>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</si>
  <si>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</si>
  <si>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</si>
  <si>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</si>
  <si>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</si>
  <si>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</si>
  <si>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</si>
  <si>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</si>
  <si>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</si>
  <si>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</si>
  <si>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</si>
  <si>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</si>
  <si>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</si>
  <si>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</si>
  <si>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</si>
  <si>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</si>
  <si>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</si>
  <si>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</si>
  <si>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</si>
  <si>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</si>
  <si>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</si>
  <si>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</si>
  <si>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</si>
  <si>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</si>
  <si>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</si>
  <si>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</si>
  <si>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</si>
  <si>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</si>
  <si>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</si>
  <si>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</si>
  <si>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</si>
  <si>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</si>
  <si>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</si>
  <si>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</si>
  <si>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</si>
  <si>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</si>
  <si>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</si>
  <si>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ü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</si>
  <si>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</si>
  <si>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</si>
  <si>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</si>
  <si>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</si>
  <si>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</si>
  <si>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</si>
  <si>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</si>
  <si>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</si>
  <si>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</si>
  <si>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</si>
  <si>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</si>
  <si>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</si>
  <si>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</si>
  <si>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</si>
  <si>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</si>
  <si>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</si>
  <si>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</si>
  <si>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</si>
  <si>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</si>
  <si>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</si>
  <si>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</si>
  <si>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</si>
  <si>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</si>
  <si>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</si>
  <si>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</si>
  <si>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</si>
  <si>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</si>
  <si>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</si>
  <si>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</si>
  <si>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</si>
  <si>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</si>
  <si>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</si>
  <si>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</si>
  <si>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</si>
  <si>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</si>
  <si>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</si>
  <si>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</si>
  <si>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</si>
  <si>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</si>
  <si>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</si>
  <si>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</si>
  <si>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</si>
  <si>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</si>
  <si>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</si>
  <si>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</si>
  <si>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</si>
  <si>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</si>
  <si>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</si>
  <si>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</si>
  <si>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</si>
  <si>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</si>
  <si>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</si>
  <si>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</si>
  <si>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</si>
  <si>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</si>
  <si>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</si>
  <si>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</si>
  <si>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</si>
  <si>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</si>
  <si>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</si>
  <si>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</si>
  <si>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</si>
  <si>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</si>
  <si>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</si>
  <si>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</si>
  <si>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</si>
  <si>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</si>
  <si>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</si>
  <si>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</si>
  <si>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</si>
  <si>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</si>
  <si>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</si>
  <si>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</si>
  <si>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</si>
  <si>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</si>
  <si>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</si>
  <si>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</si>
  <si>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</si>
  <si>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</si>
  <si>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</si>
  <si>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</si>
  <si>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</si>
  <si>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</si>
  <si>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</si>
  <si>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</si>
  <si>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</si>
  <si>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</si>
  <si>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</si>
  <si>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</si>
  <si>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</si>
  <si>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</si>
  <si>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</si>
  <si>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</si>
  <si>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</si>
  <si>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</si>
  <si>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</si>
  <si>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</si>
  <si>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</si>
  <si>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</si>
  <si>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</si>
  <si>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</si>
  <si>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</si>
  <si>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</si>
  <si>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</si>
  <si>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</si>
  <si>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</si>
  <si>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</si>
  <si>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</si>
  <si>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</si>
  <si>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</si>
  <si>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</si>
  <si>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</si>
  <si>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</si>
  <si>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</si>
  <si>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</si>
  <si>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</si>
  <si>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</si>
  <si>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נכסי מבוטחים - קופות גמל</t>
  </si>
  <si>
    <t>מנורה מבטחים והסתדרות המהנדסים ניהול קופות גמל בעמ</t>
  </si>
  <si>
    <t>520027715_gm_p_0224.xlsx</t>
  </si>
  <si>
    <t>בנק לאומי לישראל בע"מ</t>
  </si>
  <si>
    <t>10-800</t>
  </si>
  <si>
    <t>ilAAA</t>
  </si>
  <si>
    <t>ILS</t>
  </si>
  <si>
    <t>USD</t>
  </si>
  <si>
    <t>EUR</t>
  </si>
  <si>
    <t>בנק הפועלים בע''מ</t>
  </si>
  <si>
    <t>12-600</t>
  </si>
  <si>
    <t>GBP</t>
  </si>
  <si>
    <t>הבנק הבינלאומי הראשון לישראל בע"מ</t>
  </si>
  <si>
    <t>31-46</t>
  </si>
  <si>
    <t>A+</t>
  </si>
  <si>
    <t>בנק מזרחי טפחות בע"מ</t>
  </si>
  <si>
    <t>20-61</t>
  </si>
  <si>
    <t>Aaa.il</t>
  </si>
  <si>
    <t>בנק דיסקונט לישראל בע"מ</t>
  </si>
  <si>
    <t>11-10</t>
  </si>
  <si>
    <t>20-21</t>
  </si>
  <si>
    <t>CAD</t>
  </si>
  <si>
    <t>CHF</t>
  </si>
  <si>
    <t>JPY</t>
  </si>
  <si>
    <t>AUD</t>
  </si>
  <si>
    <t>DKK</t>
  </si>
  <si>
    <t>HKD</t>
  </si>
  <si>
    <t>MXN</t>
  </si>
  <si>
    <t>מדינת ישראל</t>
  </si>
  <si>
    <t>ממשל שקלית 0335</t>
  </si>
  <si>
    <t>IL0012023326</t>
  </si>
  <si>
    <t>RF</t>
  </si>
  <si>
    <t>ממשל שקלית 928</t>
  </si>
  <si>
    <t>IL0011508798</t>
  </si>
  <si>
    <t>ממשל צמודה 0726</t>
  </si>
  <si>
    <t>IL0011695645</t>
  </si>
  <si>
    <t>ממשלתי צמוד 1131</t>
  </si>
  <si>
    <t>IL0011722209</t>
  </si>
  <si>
    <t>ממשל צמודה  536</t>
  </si>
  <si>
    <t>IL0010977085</t>
  </si>
  <si>
    <t>ממשל שקלית 0432</t>
  </si>
  <si>
    <t>IL0011806606</t>
  </si>
  <si>
    <t>ממשל שקלית 1026</t>
  </si>
  <si>
    <t>IL0010994569</t>
  </si>
  <si>
    <t>ממשל שקלית 0537</t>
  </si>
  <si>
    <t>IL0011661803</t>
  </si>
  <si>
    <t>ממשל צמודה 0529</t>
  </si>
  <si>
    <t>IL0011570236</t>
  </si>
  <si>
    <t>ממשל שקלית 0226</t>
  </si>
  <si>
    <t>IL0011746976</t>
  </si>
  <si>
    <t>ממשל משתנה 0526</t>
  </si>
  <si>
    <t>IL0011417958</t>
  </si>
  <si>
    <t>ממשל משתנה 1130</t>
  </si>
  <si>
    <t>IL0011665523</t>
  </si>
  <si>
    <t>ממשל צמודה 0527</t>
  </si>
  <si>
    <t>IL0011408478</t>
  </si>
  <si>
    <t>ממשל שקלית 1152</t>
  </si>
  <si>
    <t>IL0011840761</t>
  </si>
  <si>
    <t>מ.ק.מ. 714</t>
  </si>
  <si>
    <t>IL0082407151</t>
  </si>
  <si>
    <t>ממשל שקלית 327</t>
  </si>
  <si>
    <t>IL0011393449</t>
  </si>
  <si>
    <t>מ.ק.מ.  1114</t>
  </si>
  <si>
    <t>IL0082411195</t>
  </si>
  <si>
    <t>ממשל צמודה 1033</t>
  </si>
  <si>
    <t>IL0012043795</t>
  </si>
  <si>
    <t>ממשל שקלית 0330</t>
  </si>
  <si>
    <t>IL0011609851</t>
  </si>
  <si>
    <t>ממשל צמודה 1028</t>
  </si>
  <si>
    <t>IL0011973265</t>
  </si>
  <si>
    <t>ממשל שקלית 0347</t>
  </si>
  <si>
    <t>IL0011401937</t>
  </si>
  <si>
    <t>ממשל שקלית 0142</t>
  </si>
  <si>
    <t>IL0011254005</t>
  </si>
  <si>
    <t>ממשל שקלית 0229</t>
  </si>
  <si>
    <t>IL0011948028</t>
  </si>
  <si>
    <t>מ.ק.מ. 615</t>
  </si>
  <si>
    <t>IL0082506150</t>
  </si>
  <si>
    <t>ממשל צמודה 545</t>
  </si>
  <si>
    <t>IL0011348658</t>
  </si>
  <si>
    <t>ממשל שקלית 0927</t>
  </si>
  <si>
    <t>IL0012035791</t>
  </si>
  <si>
    <t>ממשל צמודה 841</t>
  </si>
  <si>
    <t>IL0011205833</t>
  </si>
  <si>
    <t>US TREASURY N/B</t>
  </si>
  <si>
    <t>T 3 7/8 08/15/33</t>
  </si>
  <si>
    <t>US91282CHT18</t>
  </si>
  <si>
    <t>AA+</t>
  </si>
  <si>
    <t>T 5 31/10/2025</t>
  </si>
  <si>
    <t>US91282CJE21</t>
  </si>
  <si>
    <t>T 4 7/8 31/10/2028</t>
  </si>
  <si>
    <t>US91282CJF95</t>
  </si>
  <si>
    <t>ISRAEL 5 1/2 12/03/2034</t>
  </si>
  <si>
    <t>US46514BRL35</t>
  </si>
  <si>
    <t>A2</t>
  </si>
  <si>
    <t>T 1 1/2 30/09/24</t>
  </si>
  <si>
    <t>US912828YH74</t>
  </si>
  <si>
    <t>Treasury Bill</t>
  </si>
  <si>
    <t>B 0 11/07/24</t>
  </si>
  <si>
    <t>US912797GB79</t>
  </si>
  <si>
    <t>ISRAEL 2 3/4 07/03/30</t>
  </si>
  <si>
    <t>US46513JB346</t>
  </si>
  <si>
    <t>T 1 3/4 31/07/2024</t>
  </si>
  <si>
    <t>US912828Y875</t>
  </si>
  <si>
    <t>קבוצת עזריאלי בע"מ</t>
  </si>
  <si>
    <t>עזריאלי קבוצה אג"ח ד</t>
  </si>
  <si>
    <t>IL0011386500</t>
  </si>
  <si>
    <t>Aa1.il</t>
  </si>
  <si>
    <t>ביג מרכזי קניות בע"מ</t>
  </si>
  <si>
    <t>ביג אג"ח יח</t>
  </si>
  <si>
    <t>IL0011742264</t>
  </si>
  <si>
    <t>Aa3.il</t>
  </si>
  <si>
    <t>קבוצת דלק בע"מ</t>
  </si>
  <si>
    <t>דלק קבוצה אג"ח לח</t>
  </si>
  <si>
    <t>IL0011995045</t>
  </si>
  <si>
    <t>A3.il</t>
  </si>
  <si>
    <t>הפניקס אחזקות בע"מ</t>
  </si>
  <si>
    <t>הפניקס אג"ח 5</t>
  </si>
  <si>
    <t>IL0076702849</t>
  </si>
  <si>
    <t>ilAA</t>
  </si>
  <si>
    <t>כללביט מימון בע"מ</t>
  </si>
  <si>
    <t>כלל מימון אג"ח יג</t>
  </si>
  <si>
    <t>IL0011979205</t>
  </si>
  <si>
    <t>אלקטרה בע"מ</t>
  </si>
  <si>
    <t>אלקטרה אגח ה</t>
  </si>
  <si>
    <t>IL0073902228</t>
  </si>
  <si>
    <t>ilA+</t>
  </si>
  <si>
    <t>נאוויטס פטרוליום שותפות מוגבלת</t>
  </si>
  <si>
    <t>נאוויטס פטרוליום אג"ח ו</t>
  </si>
  <si>
    <t>IL0012048257</t>
  </si>
  <si>
    <t>ilA-</t>
  </si>
  <si>
    <t>קרסו נדל"ן בע"מ</t>
  </si>
  <si>
    <t>קרסו נדלן אג"ח א</t>
  </si>
  <si>
    <t>IL0011900086</t>
  </si>
  <si>
    <t>ilA</t>
  </si>
  <si>
    <t>ירושלים מימון והנפקות (2005) בע"מ</t>
  </si>
  <si>
    <t>ירושלים הנפקות אג"ח יט</t>
  </si>
  <si>
    <t>IL0012014333</t>
  </si>
  <si>
    <t>ilAA-</t>
  </si>
  <si>
    <t>מבנה נדל"ן (כ.ד) בע"מ</t>
  </si>
  <si>
    <t>מבני תעשיה אג"ח טז</t>
  </si>
  <si>
    <t>IL0022604388</t>
  </si>
  <si>
    <t>Aa2.il</t>
  </si>
  <si>
    <t>החברה לישראל בע"מ</t>
  </si>
  <si>
    <t>חברה לישראל 13</t>
  </si>
  <si>
    <t>IL0057602695</t>
  </si>
  <si>
    <t>בתי זקוק לנפט בע"מ</t>
  </si>
  <si>
    <t>בזן אג"ח יב</t>
  </si>
  <si>
    <t>IL0025905782</t>
  </si>
  <si>
    <t>הפניקס גיוסי הון (2009) בע"מ</t>
  </si>
  <si>
    <t>פניקס הון אג"ח טו</t>
  </si>
  <si>
    <t>IL0012019530</t>
  </si>
  <si>
    <t>אלקו בע"מ</t>
  </si>
  <si>
    <t>אלקו אגח יג חסום 11092023</t>
  </si>
  <si>
    <t>IL0069402332</t>
  </si>
  <si>
    <t>לאומי אג"ח 185</t>
  </si>
  <si>
    <t>IL0012018219</t>
  </si>
  <si>
    <t>הראל השקעות בביטוח ושרותים פיננסים בע"מ</t>
  </si>
  <si>
    <t>הראל השקעות אג"ח א</t>
  </si>
  <si>
    <t>IL0058501102</t>
  </si>
  <si>
    <t>מימון ישיר מקבוצת ישיר (2006) בע"מ</t>
  </si>
  <si>
    <t>מימון ישיר אג"ח ג</t>
  </si>
  <si>
    <t>IL0011712143</t>
  </si>
  <si>
    <t>A1.il</t>
  </si>
  <si>
    <t>שופרסל בע"מ</t>
  </si>
  <si>
    <t>שופרסל אג"ח ה</t>
  </si>
  <si>
    <t>IL0077702095</t>
  </si>
  <si>
    <t>מניף-שירותים פיננסיים בע"מ</t>
  </si>
  <si>
    <t>מניף פיננסים אג"ח א</t>
  </si>
  <si>
    <t>IL0011858839</t>
  </si>
  <si>
    <t>ריט 1 בע"מ</t>
  </si>
  <si>
    <t>ריט 1 אג"ח ו</t>
  </si>
  <si>
    <t>IL0011385445</t>
  </si>
  <si>
    <t>הבינלאומי הראשון הנפקות בע"מ</t>
  </si>
  <si>
    <t>בינלאומי הנפקות כו COCO</t>
  </si>
  <si>
    <t>IL0011855371</t>
  </si>
  <si>
    <t>דה זראסאי גרופ לטד</t>
  </si>
  <si>
    <t>דה זראסאי אג"ח ג</t>
  </si>
  <si>
    <t>IL0011379752</t>
  </si>
  <si>
    <t>פלאזה סנטרס אן.וי</t>
  </si>
  <si>
    <t>פלאזה סנטר אג"ח ב</t>
  </si>
  <si>
    <t>IL0011095036</t>
  </si>
  <si>
    <t>חברה לנכסים ולבנין בע"מ</t>
  </si>
  <si>
    <t>נכסים ובניין אג"ח ד'</t>
  </si>
  <si>
    <t>IL0069901549</t>
  </si>
  <si>
    <t>אלדן תחבורה בע"מ</t>
  </si>
  <si>
    <t>אלדן תחבו אגח ח</t>
  </si>
  <si>
    <t>IL0011924425</t>
  </si>
  <si>
    <t>פורמולה מערכות (1985)בע"מ</t>
  </si>
  <si>
    <t>פורמולה אג"ח ג</t>
  </si>
  <si>
    <t>IL0025602090</t>
  </si>
  <si>
    <t>ישרס חברה להשקעות בע"מ</t>
  </si>
  <si>
    <t>ישרס אג"ח טז</t>
  </si>
  <si>
    <t>IL0061302233</t>
  </si>
  <si>
    <t>ריט 1 אג"ח ה</t>
  </si>
  <si>
    <t>IL0011367534</t>
  </si>
  <si>
    <t>אלדן תחבו אגח ז חסום 19102022</t>
  </si>
  <si>
    <t>IL0011847790</t>
  </si>
  <si>
    <t>דליה אנרגיות כח בע"מ</t>
  </si>
  <si>
    <t>דליה אגח ב חסום 21082023</t>
  </si>
  <si>
    <t>IL0011935983</t>
  </si>
  <si>
    <t>מימון ישיר אג"ח ה חסום 16012023</t>
  </si>
  <si>
    <t>IL0011828311</t>
  </si>
  <si>
    <t>פועלים אג"ח י COCO</t>
  </si>
  <si>
    <t>IL0011998924</t>
  </si>
  <si>
    <t>מזרחי טפחות חברה להנפקות בע"מ</t>
  </si>
  <si>
    <t>מזרחי הנפקות 50 COCO</t>
  </si>
  <si>
    <t>IL0023102903</t>
  </si>
  <si>
    <t>מבני תעשיה אג"ח יט</t>
  </si>
  <si>
    <t>IL0022604875</t>
  </si>
  <si>
    <t>ביג אג"ח יד</t>
  </si>
  <si>
    <t>IL0011615122</t>
  </si>
  <si>
    <t>צור שמיר אחזקות בע"מ</t>
  </si>
  <si>
    <t>צור אג"ח י</t>
  </si>
  <si>
    <t>IL0073001716</t>
  </si>
  <si>
    <t>נכסים ובנין אג"ח י</t>
  </si>
  <si>
    <t>IL0011936304</t>
  </si>
  <si>
    <t>אלבר שירותי מימונית בע"מ</t>
  </si>
  <si>
    <t>אלבר אג"ח יח</t>
  </si>
  <si>
    <t>IL0011587404</t>
  </si>
  <si>
    <t>מליסרון בע"מ</t>
  </si>
  <si>
    <t>מליסרון אג"ח יז</t>
  </si>
  <si>
    <t>IL0032302734</t>
  </si>
  <si>
    <t>מגדל ביטוח גיוס הון בע"מ</t>
  </si>
  <si>
    <t>מגדל הון אג"ח יב</t>
  </si>
  <si>
    <t>IL0011975732</t>
  </si>
  <si>
    <t>אלקו אגח יג חסום 20122022</t>
  </si>
  <si>
    <t>אמות השקעות בע"מ</t>
  </si>
  <si>
    <t>אמות אג"ח ח</t>
  </si>
  <si>
    <t>IL0011727828</t>
  </si>
  <si>
    <t>בית זיקוק אשדוד בע"מ</t>
  </si>
  <si>
    <t>בית זיקוק אשדוד אג"ח 2</t>
  </si>
  <si>
    <t>IL0011994881</t>
  </si>
  <si>
    <t>בזק החברה הישראלית לתקשורת בע"מ</t>
  </si>
  <si>
    <t>בזק אג"ח 12</t>
  </si>
  <si>
    <t>IL0023002426</t>
  </si>
  <si>
    <t>ישרס אג"ח יד</t>
  </si>
  <si>
    <t>IL0061301995</t>
  </si>
  <si>
    <t>מניבים קרן הריט החדשה בע"מ</t>
  </si>
  <si>
    <t>מניבים ריט אג"ח ב</t>
  </si>
  <si>
    <t>IL0011559288</t>
  </si>
  <si>
    <t>מז טפ הנ אגח 64</t>
  </si>
  <si>
    <t>IL0023105559</t>
  </si>
  <si>
    <t>עזריאלי אג"ח ב</t>
  </si>
  <si>
    <t>IL0011344368</t>
  </si>
  <si>
    <t>ilAA+</t>
  </si>
  <si>
    <t>סלע קפיטל נדל"ן בע"מ</t>
  </si>
  <si>
    <t>סלע נדלן אג"ח ה</t>
  </si>
  <si>
    <t>IL0012050873</t>
  </si>
  <si>
    <t>פלאזה סנטר אגח א</t>
  </si>
  <si>
    <t>IL0011094955</t>
  </si>
  <si>
    <t>קבוצת אשטרום בע"מ</t>
  </si>
  <si>
    <t>אשטרום קבוצה אג"ח ה</t>
  </si>
  <si>
    <t>IL0011995797</t>
  </si>
  <si>
    <t>הפניקס אג"ח 6</t>
  </si>
  <si>
    <t>IL0076703342</t>
  </si>
  <si>
    <t>מזרחי הנפקות 46</t>
  </si>
  <si>
    <t>IL0023102259</t>
  </si>
  <si>
    <t>קרסו מוטורס בע"מ</t>
  </si>
  <si>
    <t>קרסו אג"ח ד</t>
  </si>
  <si>
    <t>IL0011735664</t>
  </si>
  <si>
    <t>מליסרון אג"ח יט</t>
  </si>
  <si>
    <t>IL0032303989</t>
  </si>
  <si>
    <t>בזק אג"ח 9</t>
  </si>
  <si>
    <t>IL0023001766</t>
  </si>
  <si>
    <t>משולם לוינשטין הנדסה וקבלנות בע"מ</t>
  </si>
  <si>
    <t>לוינשטין הנדסה אג"ח ה</t>
  </si>
  <si>
    <t>IL0011905861</t>
  </si>
  <si>
    <t>חברת החשמל לישראל בע"מ</t>
  </si>
  <si>
    <t>חשמל אג"ח 33</t>
  </si>
  <si>
    <t>IL0060003923</t>
  </si>
  <si>
    <t>מגדל ביטוח הון אג"ח ח</t>
  </si>
  <si>
    <t>IL0011829558</t>
  </si>
  <si>
    <t>תמר פטרוליום בע"מ</t>
  </si>
  <si>
    <t>תמר פטרוליום אג"ח ב</t>
  </si>
  <si>
    <t>IL0011435935</t>
  </si>
  <si>
    <t>פועלים אג"ח 201</t>
  </si>
  <si>
    <t>IL0011913451</t>
  </si>
  <si>
    <t>לוינשטין הנדסה אג"ח ד</t>
  </si>
  <si>
    <t>IL0057300985</t>
  </si>
  <si>
    <t>סילברסטין נכסים לימיטד</t>
  </si>
  <si>
    <t>סילברסטין נכסים אג"ח א</t>
  </si>
  <si>
    <t>IL0011455982</t>
  </si>
  <si>
    <t>דיסקונט מנפיקים בע"מ</t>
  </si>
  <si>
    <t>דיסקונט מנפיקים אג"ח יד</t>
  </si>
  <si>
    <t>IL0074801635</t>
  </si>
  <si>
    <t>מליסרון אג"ח י</t>
  </si>
  <si>
    <t>IL0032301900</t>
  </si>
  <si>
    <t>חשמל אג"ח 35</t>
  </si>
  <si>
    <t>IL0011967994</t>
  </si>
  <si>
    <t>אשטרום נכסים בע"מ</t>
  </si>
  <si>
    <t>אשטרום נכסים אג"ח 12</t>
  </si>
  <si>
    <t>IL0025102794</t>
  </si>
  <si>
    <t>לאומי אג"ח 405 COCO</t>
  </si>
  <si>
    <t>IL0060406209</t>
  </si>
  <si>
    <t>בינלאומי הנפקות אג"ח כד COCO</t>
  </si>
  <si>
    <t>IL0011510000</t>
  </si>
  <si>
    <t>שיכון ובינוי בע"מ</t>
  </si>
  <si>
    <t>שכון ובינוי אג"ח 10</t>
  </si>
  <si>
    <t>IL0011751323</t>
  </si>
  <si>
    <t>כללביט אג"ח יא</t>
  </si>
  <si>
    <t>IL0011606477</t>
  </si>
  <si>
    <t>פז חברת הנפט בע"מ</t>
  </si>
  <si>
    <t>פז נפט אג"ח ז</t>
  </si>
  <si>
    <t>IL0011425951</t>
  </si>
  <si>
    <t>איי.סי.אל גרופ בע"מ</t>
  </si>
  <si>
    <t>כיל אג"ח ז</t>
  </si>
  <si>
    <t>IL0028103724</t>
  </si>
  <si>
    <t>אשטרום נכסים אג"ח 12 חסום 06072022</t>
  </si>
  <si>
    <t>כללביט   אגח יב</t>
  </si>
  <si>
    <t>IL0011799280</t>
  </si>
  <si>
    <t>מקורות חברת מים בע"מ</t>
  </si>
  <si>
    <t>מקורות אג"ח 11</t>
  </si>
  <si>
    <t>IL0011584765</t>
  </si>
  <si>
    <t>לוינשטין נכסים בע"מ</t>
  </si>
  <si>
    <t>לוינשטין נכסים אגח ג חסום 23042023</t>
  </si>
  <si>
    <t>IL0011827990</t>
  </si>
  <si>
    <t>רבוע כחול נדל"ן בע"מ</t>
  </si>
  <si>
    <t>רבוע נדלן אג"ח ז</t>
  </si>
  <si>
    <t>IL0011406159</t>
  </si>
  <si>
    <t>אלביט מערכות בע"מ</t>
  </si>
  <si>
    <t>אלביט מערכות אג"ח ד</t>
  </si>
  <si>
    <t>IL0011782682</t>
  </si>
  <si>
    <t>אפי נכסים בע"מ</t>
  </si>
  <si>
    <t>אפי נכסים אג"ח יב</t>
  </si>
  <si>
    <t>IL0011737645</t>
  </si>
  <si>
    <t>A2.il</t>
  </si>
  <si>
    <t>מגדל ביטוח הון אג"ח יג</t>
  </si>
  <si>
    <t>IL0012075136</t>
  </si>
  <si>
    <t>מימון ישיר אג"ח ה חסום 21082022</t>
  </si>
  <si>
    <t>מגה אור החזקות בע"מ</t>
  </si>
  <si>
    <t>מגה אור אג"ח יא</t>
  </si>
  <si>
    <t>IL0011783755</t>
  </si>
  <si>
    <t>חשמל אג"ח 31</t>
  </si>
  <si>
    <t>IL0060002859</t>
  </si>
  <si>
    <t>שטראוס גרופ בע"מ</t>
  </si>
  <si>
    <t>שטראוס אג"ח ו</t>
  </si>
  <si>
    <t>IL0074604211</t>
  </si>
  <si>
    <t>אפי נכסים אג"ח יד</t>
  </si>
  <si>
    <t>IL0011845307</t>
  </si>
  <si>
    <t>אפי נכסים אג"ח יא</t>
  </si>
  <si>
    <t>IL0011716284</t>
  </si>
  <si>
    <t>מזרחי הנפקות 53 COCO</t>
  </si>
  <si>
    <t>IL0023103992</t>
  </si>
  <si>
    <t>קרסו מוטורס אג"ח ג</t>
  </si>
  <si>
    <t>IL0011418295</t>
  </si>
  <si>
    <t>מבני תעשיה אג"ח 17</t>
  </si>
  <si>
    <t>IL0022604461</t>
  </si>
  <si>
    <t>שטראוס אג"ח ה</t>
  </si>
  <si>
    <t>IL0074603890</t>
  </si>
  <si>
    <t>אשטרום קבוצה אג"ח ג</t>
  </si>
  <si>
    <t>IL0011401028</t>
  </si>
  <si>
    <t>סלקום ישראל בע"מ</t>
  </si>
  <si>
    <t>סלקום אג"ח ח</t>
  </si>
  <si>
    <t>IL0011328288</t>
  </si>
  <si>
    <t>לאומי אג"ח 179</t>
  </si>
  <si>
    <t>IL0060403727</t>
  </si>
  <si>
    <t>איירפורט סיטי בע"מ</t>
  </si>
  <si>
    <t>איירפורט סיטי אג"ח ט</t>
  </si>
  <si>
    <t>IL0011609448</t>
  </si>
  <si>
    <t>פז נפט אג"ח ט</t>
  </si>
  <si>
    <t>IL0012059478</t>
  </si>
  <si>
    <t>אלבר אג"ח יז</t>
  </si>
  <si>
    <t>IL0011587321</t>
  </si>
  <si>
    <t>שיכון ובינוי אנרגיה בע"מ</t>
  </si>
  <si>
    <t>שוב אנרגיה אג"ח א</t>
  </si>
  <si>
    <t>IL0011985715</t>
  </si>
  <si>
    <t>אלבר אג"ח יט</t>
  </si>
  <si>
    <t>IL0011918245</t>
  </si>
  <si>
    <t>לאומי אג"ח 183</t>
  </si>
  <si>
    <t>IL0060405474</t>
  </si>
  <si>
    <t>ג'י סיטי בע"מ</t>
  </si>
  <si>
    <t>ג'י סיטי אגח יד</t>
  </si>
  <si>
    <t>IL0012607367</t>
  </si>
  <si>
    <t>מימון ישיר אג"ח ד</t>
  </si>
  <si>
    <t>IL0011756603</t>
  </si>
  <si>
    <t>מגדלי הים התיכון בע"מ</t>
  </si>
  <si>
    <t>מגדלי תיכון אגח ו</t>
  </si>
  <si>
    <t>IL0011991242</t>
  </si>
  <si>
    <t>ריט 1 אג"ח ד</t>
  </si>
  <si>
    <t>IL0011298994</t>
  </si>
  <si>
    <t>פז נפט אג"ח ח</t>
  </si>
  <si>
    <t>IL0011628174</t>
  </si>
  <si>
    <t>ביג אג"ח כא</t>
  </si>
  <si>
    <t>IL0012022179</t>
  </si>
  <si>
    <t>עזריאלי אג"ח ח</t>
  </si>
  <si>
    <t>IL0011786808</t>
  </si>
  <si>
    <t>אלדן תחבורה אג"ח ו</t>
  </si>
  <si>
    <t>IL0011616781</t>
  </si>
  <si>
    <t>ביג אג"ח יט</t>
  </si>
  <si>
    <t>IL0011810079</t>
  </si>
  <si>
    <t>אדגר השקעות ופיתוח בע"מ</t>
  </si>
  <si>
    <t>אדגר השקעות אג"ח יב</t>
  </si>
  <si>
    <t>IL0018203310</t>
  </si>
  <si>
    <t>מליסרון אג"ח כא</t>
  </si>
  <si>
    <t>IL0011946386</t>
  </si>
  <si>
    <t>קרדן אן.וי.</t>
  </si>
  <si>
    <t>קרדן אן וי אגח 2</t>
  </si>
  <si>
    <t>IL0011130346</t>
  </si>
  <si>
    <t>חברה לישראל אג"ח 12</t>
  </si>
  <si>
    <t>IL0057602513</t>
  </si>
  <si>
    <t>מזרחי הנפקות אג"ח 63</t>
  </si>
  <si>
    <t>IL0023105484</t>
  </si>
  <si>
    <t>חברת הכשרת הישוב בישראל בע"מ</t>
  </si>
  <si>
    <t>הכשרת הישוב אג"ח 25</t>
  </si>
  <si>
    <t>IL0011915274</t>
  </si>
  <si>
    <t>מיטב בית השקעות בע"מ</t>
  </si>
  <si>
    <t>מיטב דש אג"ח ד</t>
  </si>
  <si>
    <t>IL0011613713</t>
  </si>
  <si>
    <t>דור אלון אנרגיה בישראל (1988) בע"מ</t>
  </si>
  <si>
    <t>דור אלון אגח ז</t>
  </si>
  <si>
    <t>IL0011577009</t>
  </si>
  <si>
    <t>מליסרון אג"ח טז</t>
  </si>
  <si>
    <t>IL0032302650</t>
  </si>
  <si>
    <t>אשדר חברה לבניה בע"מ</t>
  </si>
  <si>
    <t>אשדר אג"ח ה</t>
  </si>
  <si>
    <t>IL0011577835</t>
  </si>
  <si>
    <t>חברת גב ים לקרקעות בע"מ</t>
  </si>
  <si>
    <t>גב ים אג"ח ח</t>
  </si>
  <si>
    <t>IL0075901517</t>
  </si>
  <si>
    <t>שופרסל אג"ח ז</t>
  </si>
  <si>
    <t>IL0077702582</t>
  </si>
  <si>
    <t>ביג אג"ח יג</t>
  </si>
  <si>
    <t>IL0011595167</t>
  </si>
  <si>
    <t>ג'י סיטי אג"ח 15</t>
  </si>
  <si>
    <t>IL0012607698</t>
  </si>
  <si>
    <t>מזרחי טפחות הנפקות אג"ח 67</t>
  </si>
  <si>
    <t>IL0011968075</t>
  </si>
  <si>
    <t>ישרס אג"ח טו</t>
  </si>
  <si>
    <t>IL0061302076</t>
  </si>
  <si>
    <t>לאומי אג"ח 184</t>
  </si>
  <si>
    <t>IL0060406043</t>
  </si>
  <si>
    <t>בזן אג"ח ט</t>
  </si>
  <si>
    <t>IL0025904611</t>
  </si>
  <si>
    <t>מגדל ביטוח הון אג"ח י</t>
  </si>
  <si>
    <t>IL0011920795</t>
  </si>
  <si>
    <t>איירפורט אג"ח ה</t>
  </si>
  <si>
    <t>IL0011334872</t>
  </si>
  <si>
    <t>להב אל.אר רילאסטייט בע"מ</t>
  </si>
  <si>
    <t>להב אג"ח ג חסום 15022023</t>
  </si>
  <si>
    <t>IL0011933418</t>
  </si>
  <si>
    <t>ריט אג"ח ז</t>
  </si>
  <si>
    <t>IL0011712713</t>
  </si>
  <si>
    <t>אפי נכסים אג"ח טו</t>
  </si>
  <si>
    <t>IL0011996035</t>
  </si>
  <si>
    <t>תמר פטרוליום אג"ח א</t>
  </si>
  <si>
    <t>IL0011413320</t>
  </si>
  <si>
    <t>חשמל סדרה 27</t>
  </si>
  <si>
    <t>IL0060002107</t>
  </si>
  <si>
    <t>הכשרת הישוב אג"ח 23 חסום 08022023</t>
  </si>
  <si>
    <t>IL0061203233</t>
  </si>
  <si>
    <t>לייטסטון אנטרפרייזס לימיטד</t>
  </si>
  <si>
    <t>לייטסטון אג"ח ב</t>
  </si>
  <si>
    <t>IL0011607467</t>
  </si>
  <si>
    <t>ג'נריישן קפיטל בע"מ</t>
  </si>
  <si>
    <t>ג'נריישן קפיטל אג"ח ג</t>
  </si>
  <si>
    <t>IL0011845554</t>
  </si>
  <si>
    <t>הכשרת הישוב אג"ח 21</t>
  </si>
  <si>
    <t>IL0061202243</t>
  </si>
  <si>
    <t>ספנסר אקוויטי גרופ לימיטד</t>
  </si>
  <si>
    <t>ספנסר אג"ח ג</t>
  </si>
  <si>
    <t>IL0011474959</t>
  </si>
  <si>
    <t>לייטסטון אג"ח ד</t>
  </si>
  <si>
    <t>IL0012042961</t>
  </si>
  <si>
    <t>אלוני-חץ נכסים והשקעות בע"מ</t>
  </si>
  <si>
    <t>אלוני חץ אג"ח י</t>
  </si>
  <si>
    <t>IL0039003624</t>
  </si>
  <si>
    <t>אמות אג"ח ד</t>
  </si>
  <si>
    <t>IL0011331498</t>
  </si>
  <si>
    <t>פועלים אג"ח 202</t>
  </si>
  <si>
    <t>IL0011998502</t>
  </si>
  <si>
    <t>מניבים ריט אג"ח ג חסום 22062022</t>
  </si>
  <si>
    <t>IL0011776585</t>
  </si>
  <si>
    <t>מגה אור אג"ח ח</t>
  </si>
  <si>
    <t>IL0011476020</t>
  </si>
  <si>
    <t>מ.יוחננוף ובניו (1988) בע"מ</t>
  </si>
  <si>
    <t>יוחננוף אג"ח א</t>
  </si>
  <si>
    <t>IL0011874182</t>
  </si>
  <si>
    <t>סאפיינס אינטרנשיונל קורפוריישן N.V</t>
  </si>
  <si>
    <t>סאפיינס אג"ח ב</t>
  </si>
  <si>
    <t>IL0011419368</t>
  </si>
  <si>
    <t>סאמיט אחזקות נדל"ן בע"מ</t>
  </si>
  <si>
    <t>סאמיט אג"ח יב</t>
  </si>
  <si>
    <t>IL0011839201</t>
  </si>
  <si>
    <t>פועלים הנפקות ו COCO</t>
  </si>
  <si>
    <t>IL0066205530</t>
  </si>
  <si>
    <t>מבנה אג"ח כה</t>
  </si>
  <si>
    <t>IL0022606367</t>
  </si>
  <si>
    <t>כללביט אג"ח ט</t>
  </si>
  <si>
    <t>IL0011360505</t>
  </si>
  <si>
    <t>בזן אג"ח יג</t>
  </si>
  <si>
    <t>IL0011953465</t>
  </si>
  <si>
    <t>רבוע נדלן אג"ח ח</t>
  </si>
  <si>
    <t>IL0011575698</t>
  </si>
  <si>
    <t>ג'י סיטי אגח יג</t>
  </si>
  <si>
    <t>IL0012606526</t>
  </si>
  <si>
    <t>ריבוע נדלן אגח ח חסום 26122023</t>
  </si>
  <si>
    <t>ישראכרט בע"מ</t>
  </si>
  <si>
    <t>ישראכרט אג"ח ב</t>
  </si>
  <si>
    <t>IL0012051293</t>
  </si>
  <si>
    <t>ג'י סיטי אג"ח יז</t>
  </si>
  <si>
    <t>IL0011981425</t>
  </si>
  <si>
    <t>LUMIIT 7.129 18/07/2033</t>
  </si>
  <si>
    <t>IL0060406795</t>
  </si>
  <si>
    <t>BBB-</t>
  </si>
  <si>
    <t>יוניברסל מוטורס ישראל בע"מ</t>
  </si>
  <si>
    <t>יוניברסל מוטורס אג"ח ו</t>
  </si>
  <si>
    <t>IL0011926164</t>
  </si>
  <si>
    <t>לייטסטון אג"ח ג</t>
  </si>
  <si>
    <t>IL0011900995</t>
  </si>
  <si>
    <t>הראל ביטוח מימון והנפקות בע"מ</t>
  </si>
  <si>
    <t>הראל הנפקות אג"ח טו</t>
  </si>
  <si>
    <t>IL0011431306</t>
  </si>
  <si>
    <t>ויתניה בע"מ</t>
  </si>
  <si>
    <t>ויתניה אג"ח ה</t>
  </si>
  <si>
    <t>IL0011509036</t>
  </si>
  <si>
    <t>ש.שלמה החזקות בע"מ</t>
  </si>
  <si>
    <t>שלמה החזקות  אג"ח יט</t>
  </si>
  <si>
    <t>IL0011927311</t>
  </si>
  <si>
    <t>מבני תעשיה אג"ח כ</t>
  </si>
  <si>
    <t>IL0022604958</t>
  </si>
  <si>
    <t>מניף פיננסים אג"ח א חסום 30112022</t>
  </si>
  <si>
    <t>ישרס אג"ח יט</t>
  </si>
  <si>
    <t>IL0061303488</t>
  </si>
  <si>
    <t>קבוצת אקרו בע"מ</t>
  </si>
  <si>
    <t>אקרו אג"ח א</t>
  </si>
  <si>
    <t>IL0011885725</t>
  </si>
  <si>
    <t>לאומי אג"ח 182</t>
  </si>
  <si>
    <t>IL0060405391</t>
  </si>
  <si>
    <t>סילברסטין אג"ח ב</t>
  </si>
  <si>
    <t>IL0011605974</t>
  </si>
  <si>
    <t>נמקו ריאלטי לטד</t>
  </si>
  <si>
    <t>נמקו אג"ח ב</t>
  </si>
  <si>
    <t>IL0011602583</t>
  </si>
  <si>
    <t>מגדל הון אגח ז</t>
  </si>
  <si>
    <t>IL0011560419</t>
  </si>
  <si>
    <t>בזק אג"ח 14</t>
  </si>
  <si>
    <t>IL0023003176</t>
  </si>
  <si>
    <t>דלק קבוצת אג"ח  חסום 08012024</t>
  </si>
  <si>
    <t>דיסקונט מנפיקים אג"ח ט COCO</t>
  </si>
  <si>
    <t>IL0011912461</t>
  </si>
  <si>
    <t>ישראמקו נגב 2 שותפות מוגבלת</t>
  </si>
  <si>
    <t>ישראמקו אג"ח ג</t>
  </si>
  <si>
    <t>IL0023202323</t>
  </si>
  <si>
    <t>הכשרת הישוב אג"ח 26</t>
  </si>
  <si>
    <t>IL0012056409</t>
  </si>
  <si>
    <t>אלון רבוע כחול ישראל בע"מ</t>
  </si>
  <si>
    <t>אלון רבוע כחול אג"ח ו</t>
  </si>
  <si>
    <t>IL0011691271</t>
  </si>
  <si>
    <t>מגדל ביטוח הון אג"ח ו</t>
  </si>
  <si>
    <t>IL0011427858</t>
  </si>
  <si>
    <t>יוניברסל מוטורס אג"ח ה</t>
  </si>
  <si>
    <t>IL0011926081</t>
  </si>
  <si>
    <t>בי קומיוניקיישנס בע"מ</t>
  </si>
  <si>
    <t>בי קומיונקיישנס אג"ח ו</t>
  </si>
  <si>
    <t>IL0011781510</t>
  </si>
  <si>
    <t>מניבים ריט אג"ח ג</t>
  </si>
  <si>
    <t>אלוני חץ אג"ח יב חסום 28112022</t>
  </si>
  <si>
    <t>IL0039004952</t>
  </si>
  <si>
    <t>מליסרון אג"ח יח</t>
  </si>
  <si>
    <t>IL0032303724</t>
  </si>
  <si>
    <t>דיסקונט מנפיקים אג"ח ו COCO</t>
  </si>
  <si>
    <t>IL0074801973</t>
  </si>
  <si>
    <t>אנלייט אנרגיה מתחדשת בע"מ</t>
  </si>
  <si>
    <t>אנלייט אג"ח ג</t>
  </si>
  <si>
    <t>IL0072002491</t>
  </si>
  <si>
    <t>אלרוב נדל"ן ומלונאות בע"מ</t>
  </si>
  <si>
    <t>אלרוב נדלן אג"ח ו</t>
  </si>
  <si>
    <t>IL0038701855</t>
  </si>
  <si>
    <t>אלוני חץ אג"ח יג</t>
  </si>
  <si>
    <t>IL0011894065</t>
  </si>
  <si>
    <t>חברה לישראל אג"ח 14</t>
  </si>
  <si>
    <t>IL0057603016</t>
  </si>
  <si>
    <t>אלרוב נדלן אג"ח ה</t>
  </si>
  <si>
    <t>IL0038701699</t>
  </si>
  <si>
    <t>מגדל הון אגח ט</t>
  </si>
  <si>
    <t>IL0011856288</t>
  </si>
  <si>
    <t>קבוצת דוראל משאבי אנרגיה מתחדשת בע"מ</t>
  </si>
  <si>
    <t>דוראל אג"ח א חסום 19042023</t>
  </si>
  <si>
    <t>IL0011791345</t>
  </si>
  <si>
    <t>אלקטרה מוצרי צריכה (1970) בע"מ</t>
  </si>
  <si>
    <t>אלקטרה צריכה אג"ח א</t>
  </si>
  <si>
    <t>IL0050103352</t>
  </si>
  <si>
    <t>אשטרום נכס 13</t>
  </si>
  <si>
    <t>IL0025103032</t>
  </si>
  <si>
    <t>אלבר אג"ח כ</t>
  </si>
  <si>
    <t>IL0011918328</t>
  </si>
  <si>
    <t>ביג אג"ח ח</t>
  </si>
  <si>
    <t>IL0011389249</t>
  </si>
  <si>
    <t>אלקטרה אג"ח ד</t>
  </si>
  <si>
    <t>IL0073901493</t>
  </si>
  <si>
    <t>מימון ישיר אג"ח ו חסום 12092023</t>
  </si>
  <si>
    <t>IL0011916595</t>
  </si>
  <si>
    <t>גב ים אג"ח ו</t>
  </si>
  <si>
    <t>IL0075901285</t>
  </si>
  <si>
    <t>פועלים אג"ח 100</t>
  </si>
  <si>
    <t>IL0066204889</t>
  </si>
  <si>
    <t>אלוני חץ אג"ח יב</t>
  </si>
  <si>
    <t>מגדל הון אג"ח יא</t>
  </si>
  <si>
    <t>IL0011975658</t>
  </si>
  <si>
    <t>גירון פיתוח ובניה בע"מ</t>
  </si>
  <si>
    <t>גירון אג"ח ו</t>
  </si>
  <si>
    <t>IL0011398497</t>
  </si>
  <si>
    <t>פתאל החזקות (1998) בע"מ</t>
  </si>
  <si>
    <t>פתאל החזקות אג"ח ג</t>
  </si>
  <si>
    <t>IL0011617854</t>
  </si>
  <si>
    <t>תומר תמלוגי אנרגיה (2012) בע"מ</t>
  </si>
  <si>
    <t>תומר אנרגיה אג"ח א</t>
  </si>
  <si>
    <t>IL0011474793</t>
  </si>
  <si>
    <t>נאוויטס פטרוליום אג"ח ה</t>
  </si>
  <si>
    <t>IL0011979122</t>
  </si>
  <si>
    <t>ישראמקו אג"ח א</t>
  </si>
  <si>
    <t>IL0023201747</t>
  </si>
  <si>
    <t>שלמה החזקות אג"ח יח</t>
  </si>
  <si>
    <t>IL0014103076</t>
  </si>
  <si>
    <t>מימון ישיר אג"ח ו</t>
  </si>
  <si>
    <t>אשטרום נכסים אג"ח 11</t>
  </si>
  <si>
    <t>IL0025102380</t>
  </si>
  <si>
    <t>יוניברסל מוטורס אג"ח ג</t>
  </si>
  <si>
    <t>IL0011606709</t>
  </si>
  <si>
    <t>ע.י. נופר אנרג'י בע"מ</t>
  </si>
  <si>
    <t>נופר אנרג'י אג"ח א</t>
  </si>
  <si>
    <t>IL0011793408</t>
  </si>
  <si>
    <t>רבוע כחול נדל"ן אג"ח ט</t>
  </si>
  <si>
    <t>IL0011745564</t>
  </si>
  <si>
    <t>אמות אג"ח ז</t>
  </si>
  <si>
    <t>IL0011628661</t>
  </si>
  <si>
    <t>פתאל החזקות  אג"ח ה</t>
  </si>
  <si>
    <t>IL0012039421</t>
  </si>
  <si>
    <t>אלרוב נדלן אג"ח ז</t>
  </si>
  <si>
    <t>IL0012074717</t>
  </si>
  <si>
    <t>ג'י סיטי אגח 15 חסום 01112023</t>
  </si>
  <si>
    <t>טמפו משקאות בע"מ</t>
  </si>
  <si>
    <t>טמפו משקאות אג"ח ג</t>
  </si>
  <si>
    <t>IL0011625444</t>
  </si>
  <si>
    <t>שיכון בנוי אג"ח 8</t>
  </si>
  <si>
    <t>IL0011358889</t>
  </si>
  <si>
    <t>בזק אג"ח 13</t>
  </si>
  <si>
    <t>IL0023003093</t>
  </si>
  <si>
    <t>עזריאלי אג"ח ה</t>
  </si>
  <si>
    <t>IL0011566036</t>
  </si>
  <si>
    <t>פניקס הון אג"ח יא</t>
  </si>
  <si>
    <t>IL0011593592</t>
  </si>
  <si>
    <t>שמוס אינטרנשיונל לימיטד</t>
  </si>
  <si>
    <t>שמוס אג"ח א</t>
  </si>
  <si>
    <t>IL0011559510</t>
  </si>
  <si>
    <t>מליסרון אג"ח כ</t>
  </si>
  <si>
    <t>IL0032304227</t>
  </si>
  <si>
    <t>פורמולה אג"ח ג חסום 21082022</t>
  </si>
  <si>
    <t>נופר אנרג'י אג"ח א חסום 07052023</t>
  </si>
  <si>
    <t>פניקס הון ה שה</t>
  </si>
  <si>
    <t>IL0011354177</t>
  </si>
  <si>
    <t>ווסטדייל אמריקה לימיטד</t>
  </si>
  <si>
    <t>ווסטדייל אמריקה אג"ח א</t>
  </si>
  <si>
    <t>IL0011575771</t>
  </si>
  <si>
    <t>הפניקס הון אגח ח</t>
  </si>
  <si>
    <t>IL0011398158</t>
  </si>
  <si>
    <t>דיסק מנ אגח  טז</t>
  </si>
  <si>
    <t>IL0012031576</t>
  </si>
  <si>
    <t>ג'נריישן קפיטל אג"ח ג חסום 25072023</t>
  </si>
  <si>
    <t>אלדן תחבו אגח ז</t>
  </si>
  <si>
    <t>כלל ביטוח אג"ח א' חסום 11062023</t>
  </si>
  <si>
    <t>IL0011934812</t>
  </si>
  <si>
    <t>ג'י סיטי אגח יא</t>
  </si>
  <si>
    <t>IL0012605460</t>
  </si>
  <si>
    <t>מבנה אג"ח כד</t>
  </si>
  <si>
    <t>IL0022605526</t>
  </si>
  <si>
    <t>מליסרון אג"ח כ חסום 02112022</t>
  </si>
  <si>
    <t>כלל החזקות עסקי ביטוח בע"מ</t>
  </si>
  <si>
    <t>כלל ביטוח אג"ח ב</t>
  </si>
  <si>
    <t>IL0011934994</t>
  </si>
  <si>
    <t>אלקטרה אג"ח ו</t>
  </si>
  <si>
    <t>IL0073902632</t>
  </si>
  <si>
    <t>ישראמקו אג"ח ב</t>
  </si>
  <si>
    <t>IL0023202240</t>
  </si>
  <si>
    <t>חברת נמלי ישראל-פיתוח נכסים בע"מ</t>
  </si>
  <si>
    <t>נמלי ישראל אג"ח ב</t>
  </si>
  <si>
    <t>IL0011455727</t>
  </si>
  <si>
    <t>לאומי אג"ח 403 COCO</t>
  </si>
  <si>
    <t>IL0060404303</t>
  </si>
  <si>
    <t>אמות אג"ח ה</t>
  </si>
  <si>
    <t>IL0011381147</t>
  </si>
  <si>
    <t>שלמה החזקות אג"ח  כ</t>
  </si>
  <si>
    <t>IL0011927493</t>
  </si>
  <si>
    <t>מזרחי הנפקות 40</t>
  </si>
  <si>
    <t>IL0023101673</t>
  </si>
  <si>
    <t>חברה לישראל אג"ח 15</t>
  </si>
  <si>
    <t>IL0057603271</t>
  </si>
  <si>
    <t>הפניקס הון אג"ח יד</t>
  </si>
  <si>
    <t>IL0012019464</t>
  </si>
  <si>
    <t>מימון ישיר אג"ח ה</t>
  </si>
  <si>
    <t>סלע נדלן אג"ח ג</t>
  </si>
  <si>
    <t>IL0011389736</t>
  </si>
  <si>
    <t>שופרסל אג"ח ו</t>
  </si>
  <si>
    <t>IL0077702178</t>
  </si>
  <si>
    <t>כלל ביטוח אג"ח א</t>
  </si>
  <si>
    <t>אפריקה נכסים אג"ח ח</t>
  </si>
  <si>
    <t>IL0011422313</t>
  </si>
  <si>
    <t>אשטרום קבוצה אג"ח ד</t>
  </si>
  <si>
    <t>IL0011829897</t>
  </si>
  <si>
    <t>עזריאלי אג"ח ו</t>
  </si>
  <si>
    <t>IL0011566119</t>
  </si>
  <si>
    <t>מזרחי טפחות הנפקות 68</t>
  </si>
  <si>
    <t>IL0012021429</t>
  </si>
  <si>
    <t>אחים דוניץ בע"מ</t>
  </si>
  <si>
    <t>דוניץ אג"ח ב</t>
  </si>
  <si>
    <t>IL0011987042</t>
  </si>
  <si>
    <t>וויי-בוקס נדל"ן בע"מ</t>
  </si>
  <si>
    <t>וויי בוקס אג"ח ד</t>
  </si>
  <si>
    <t>IL0048601939</t>
  </si>
  <si>
    <t>ויתניה אג"ח ו</t>
  </si>
  <si>
    <t>IL0011931438</t>
  </si>
  <si>
    <t>מזרחי הנפקות 45</t>
  </si>
  <si>
    <t>IL0023102176</t>
  </si>
  <si>
    <t>לאומי אג"ח 186</t>
  </si>
  <si>
    <t>IL0012018391</t>
  </si>
  <si>
    <t>רבוע נדלן אג"ח ו</t>
  </si>
  <si>
    <t>IL0011406076</t>
  </si>
  <si>
    <t>להב אג"ח ג</t>
  </si>
  <si>
    <t>ריט אזורים - ה.פ ליווינג בע"מ</t>
  </si>
  <si>
    <t>ריט אזורים אג"ח ב</t>
  </si>
  <si>
    <t>IL0011835811</t>
  </si>
  <si>
    <t>ג'י סיטי אג"ח יט</t>
  </si>
  <si>
    <t>IL0012057159</t>
  </si>
  <si>
    <t>בינלאומי הנפקות כז COCO</t>
  </si>
  <si>
    <t>IL0011894974</t>
  </si>
  <si>
    <t>דיסקונט אג"ח ז COCO</t>
  </si>
  <si>
    <t>IL0074802476</t>
  </si>
  <si>
    <t>מגה אור אג"ח ט</t>
  </si>
  <si>
    <t>IL0011651416</t>
  </si>
  <si>
    <t>גירון  פיתוח אג"ח ח</t>
  </si>
  <si>
    <t>IL0011831513</t>
  </si>
  <si>
    <t>אקויטל בע"מ</t>
  </si>
  <si>
    <t>אקויטל אג"ח 4</t>
  </si>
  <si>
    <t>IL0011976078</t>
  </si>
  <si>
    <t>חברת פרטנר תקשורת בע"מ</t>
  </si>
  <si>
    <t>פרטנר אג"ח ח</t>
  </si>
  <si>
    <t>IL0011829483</t>
  </si>
  <si>
    <t>חשמל אג"ח  34</t>
  </si>
  <si>
    <t>IL0011967812</t>
  </si>
  <si>
    <t>דלתא-גליל תעשיות בע"מ</t>
  </si>
  <si>
    <t>דלתא אג"ח ו</t>
  </si>
  <si>
    <t>IL0062701938</t>
  </si>
  <si>
    <t>איירפורט אג"ח י</t>
  </si>
  <si>
    <t>IL0011959819</t>
  </si>
  <si>
    <t>דלק קבוצה אג"ח לז</t>
  </si>
  <si>
    <t>IL0011928897</t>
  </si>
  <si>
    <t>ממן-מסופי מטען וניטול בע"מ</t>
  </si>
  <si>
    <t>ממן אגח ב</t>
  </si>
  <si>
    <t>IL0023800464</t>
  </si>
  <si>
    <t>שיכון בנוי 6</t>
  </si>
  <si>
    <t>IL0011297335</t>
  </si>
  <si>
    <t>פועלים אג"ח 203</t>
  </si>
  <si>
    <t>IL0011998684</t>
  </si>
  <si>
    <t>דליה חברות אנרגיה בע"מ</t>
  </si>
  <si>
    <t>דליה אג"ח ב</t>
  </si>
  <si>
    <t>אדמה פתרונות לחקלאות בע"מ</t>
  </si>
  <si>
    <t>אדמה אג"ח ב</t>
  </si>
  <si>
    <t>IL0011109159</t>
  </si>
  <si>
    <t>ביג אג"ח יז</t>
  </si>
  <si>
    <t>IL0011684599</t>
  </si>
  <si>
    <t>משק אנרגיה-אנרגיות מתחדשות בע"מ</t>
  </si>
  <si>
    <t>משק אנרגיה אג"ח א</t>
  </si>
  <si>
    <t>IL0011695314</t>
  </si>
  <si>
    <t>דיסקונט מנפיקים אג"ח ח COCO</t>
  </si>
  <si>
    <t>IL0074803128</t>
  </si>
  <si>
    <t>מזרחי טפחות הנפקות אג"ח 66</t>
  </si>
  <si>
    <t>IL0011916678</t>
  </si>
  <si>
    <t>הכשרת הישוב אג"ח 22</t>
  </si>
  <si>
    <t>IL0061202409</t>
  </si>
  <si>
    <t>קרסו מוט' אגח ה</t>
  </si>
  <si>
    <t>IL0012027798</t>
  </si>
  <si>
    <t>ביג אג"ח טז</t>
  </si>
  <si>
    <t>IL0011684425</t>
  </si>
  <si>
    <t>סלע קפיטל נדל"ן אג"ח ד</t>
  </si>
  <si>
    <t>IL0011671471</t>
  </si>
  <si>
    <t>פרטנר אגח ז</t>
  </si>
  <si>
    <t>IL0011563975</t>
  </si>
  <si>
    <t>אלדן תחבורה אג"ח ט</t>
  </si>
  <si>
    <t>IL0011924599</t>
  </si>
  <si>
    <t>לאומי אג"ח 404 COCO</t>
  </si>
  <si>
    <t>IL0060404717</t>
  </si>
  <si>
    <t>HAPOAL 3.255 21/01/2032</t>
  </si>
  <si>
    <t>IL0066204707</t>
  </si>
  <si>
    <t>ג'י סיטי אגח טז</t>
  </si>
  <si>
    <t>IL0012607854</t>
  </si>
  <si>
    <t>שופרסל אג"ח ד</t>
  </si>
  <si>
    <t>IL0077701915</t>
  </si>
  <si>
    <t>תדיראן גרופ בע"מ</t>
  </si>
  <si>
    <t>תדיראן הולדינגס אג"ח 3</t>
  </si>
  <si>
    <t>IL0025801320</t>
  </si>
  <si>
    <t>אפי נכסים אג"ח יג</t>
  </si>
  <si>
    <t>IL0011782922</t>
  </si>
  <si>
    <t>דלק ישראל נכסים (ד.פ.)בע"מ</t>
  </si>
  <si>
    <t>דלק נכסים אג"ח א</t>
  </si>
  <si>
    <t>IL0011961799</t>
  </si>
  <si>
    <t>עזריאלי אג"ח ז</t>
  </si>
  <si>
    <t>IL0011786725</t>
  </si>
  <si>
    <t>מגדל ביטוח הון אג"ח יד</t>
  </si>
  <si>
    <t>IL0012075219</t>
  </si>
  <si>
    <t>בזן י</t>
  </si>
  <si>
    <t>IL0025905113</t>
  </si>
  <si>
    <t>הראל הנפקות אג"ח כ</t>
  </si>
  <si>
    <t>IL0012079849</t>
  </si>
  <si>
    <t>סולגרין בע"מ</t>
  </si>
  <si>
    <t>סולגרין אג"ח ב</t>
  </si>
  <si>
    <t>IL0011862468</t>
  </si>
  <si>
    <t>סלקום אג"ח יב</t>
  </si>
  <si>
    <t>IL0011430803</t>
  </si>
  <si>
    <t>חלל-תקשורת בע"מ</t>
  </si>
  <si>
    <t>חלל תקשורת אג"ח טז</t>
  </si>
  <si>
    <t>IL0011399222</t>
  </si>
  <si>
    <t>ג'י סיטי אג"ח יז חסום 04122023</t>
  </si>
  <si>
    <t>אמות אג"ח ו</t>
  </si>
  <si>
    <t>IL0011586091</t>
  </si>
  <si>
    <t>צור אג"ח יב</t>
  </si>
  <si>
    <t>IL0012057985</t>
  </si>
  <si>
    <t>שפיר הנדסה ותעשיה בע"מ</t>
  </si>
  <si>
    <t>שפיר הנדסה אג"ח ג</t>
  </si>
  <si>
    <t>IL0011784175</t>
  </si>
  <si>
    <t>לוינשטין הנדסה אג"ח ה חסום 04052023</t>
  </si>
  <si>
    <t>פועלים אג"ח ט COCO</t>
  </si>
  <si>
    <t>IL0011998841</t>
  </si>
  <si>
    <t>חשמל 29</t>
  </si>
  <si>
    <t>IL0060002362</t>
  </si>
  <si>
    <t>הראל הנפקות אג"ח יח</t>
  </si>
  <si>
    <t>IL0011826661</t>
  </si>
  <si>
    <t>ג'נריישן קפיטל אג"ח ב</t>
  </si>
  <si>
    <t>IL0011775264</t>
  </si>
  <si>
    <t>אשדר אג"ח ד</t>
  </si>
  <si>
    <t>IL0011356073</t>
  </si>
  <si>
    <t>דליה אנרגיה אג"ח א</t>
  </si>
  <si>
    <t>IL0011849515</t>
  </si>
  <si>
    <t>אקונרג'י אנרגיה מתחדשת בע"מ</t>
  </si>
  <si>
    <t>אקונרגי אג"ח א חסום 18012023</t>
  </si>
  <si>
    <t>IL0011825184</t>
  </si>
  <si>
    <t>מימון ישיר אג"ח ו חסום 16012023</t>
  </si>
  <si>
    <t>הראל הנפקות אג"ח יד</t>
  </si>
  <si>
    <t>IL0011431223</t>
  </si>
  <si>
    <t>איירפורט אג"ח יא</t>
  </si>
  <si>
    <t>IL0011959991</t>
  </si>
  <si>
    <t>דיסקונט מנפיקים אג"ח טו</t>
  </si>
  <si>
    <t>IL0074803045</t>
  </si>
  <si>
    <t>סלקום אג"ח יא</t>
  </si>
  <si>
    <t>IL0011392524</t>
  </si>
  <si>
    <t>אשטרום נכס 13 חסום 29012023</t>
  </si>
  <si>
    <t>דוראל אג"ח א חסום 13092023</t>
  </si>
  <si>
    <t>בינלאומי הנפקות כה COCO</t>
  </si>
  <si>
    <t>IL0011670309</t>
  </si>
  <si>
    <t>אקרו אגח א חסום 02012023</t>
  </si>
  <si>
    <t>פועלים אג"ח ז COCO</t>
  </si>
  <si>
    <t>IL0011913295</t>
  </si>
  <si>
    <t>בזק אג"ח 11</t>
  </si>
  <si>
    <t>IL0023002343</t>
  </si>
  <si>
    <t>דוראל אג"ח א</t>
  </si>
  <si>
    <t>אלוני חץ אג"ח טו</t>
  </si>
  <si>
    <t>IL0011894149</t>
  </si>
  <si>
    <t>נתיבי הגז הטבעי לישראל בע"מ</t>
  </si>
  <si>
    <t>נתיבי גז  אג"ח ד</t>
  </si>
  <si>
    <t>IL0011475030</t>
  </si>
  <si>
    <t>לאומי אג"ח 180</t>
  </si>
  <si>
    <t>IL0060404220</t>
  </si>
  <si>
    <t>ביג אג"ח יא</t>
  </si>
  <si>
    <t>IL0011511172</t>
  </si>
  <si>
    <t>סילברסטין אג"ח ב חסום 28062023</t>
  </si>
  <si>
    <t>מליסרון אג"ח יד</t>
  </si>
  <si>
    <t>IL0032302320</t>
  </si>
  <si>
    <t>אשטרום נכסים אג"ח 9</t>
  </si>
  <si>
    <t>IL0025101705</t>
  </si>
  <si>
    <t>גב ים אג"ח ט</t>
  </si>
  <si>
    <t>IL0075902192</t>
  </si>
  <si>
    <t>וילאר אינטרנשיונל בע"מ</t>
  </si>
  <si>
    <t>וילאר אג"ח י</t>
  </si>
  <si>
    <t>IL0011939522</t>
  </si>
  <si>
    <t>ישרס אג"ח יח</t>
  </si>
  <si>
    <t>IL0061302803</t>
  </si>
  <si>
    <t>J.P. MORGAN Securities PLC</t>
  </si>
  <si>
    <t>8I5DZWZKVSZI1NUHU748</t>
  </si>
  <si>
    <t>JPM 2.956 13/05/31</t>
  </si>
  <si>
    <t>US46647PBP09</t>
  </si>
  <si>
    <t>BBB+</t>
  </si>
  <si>
    <t>SUZANO AUSTRIA GMBH</t>
  </si>
  <si>
    <t>254900287ZNSGVP1R341</t>
  </si>
  <si>
    <t>SUZANO 6 01/15/29</t>
  </si>
  <si>
    <t>US86964WAF95</t>
  </si>
  <si>
    <t>LUMIIT 3.275 29/01/31</t>
  </si>
  <si>
    <t>IL0060404899</t>
  </si>
  <si>
    <t>AVIVA PLC</t>
  </si>
  <si>
    <t>YF0Y5B0IB8SM0ZFG9G81</t>
  </si>
  <si>
    <t>AVLN 6.875% PERP</t>
  </si>
  <si>
    <t>XS2485268150</t>
  </si>
  <si>
    <t>Baa2</t>
  </si>
  <si>
    <t>NATIONWIDE BLDG SOCIETY</t>
  </si>
  <si>
    <t>549300XFX12G42QIKN82</t>
  </si>
  <si>
    <t>NWIDE 5 3/4 PERP</t>
  </si>
  <si>
    <t>XS2113658202</t>
  </si>
  <si>
    <t>BB+</t>
  </si>
  <si>
    <t>Credit Agricole SA</t>
  </si>
  <si>
    <t>969500TJ5KRTCJQWXH05</t>
  </si>
  <si>
    <t>ACAFP 5 1/2 28/08/33</t>
  </si>
  <si>
    <t>FR001400KDS4</t>
  </si>
  <si>
    <t>Baa1</t>
  </si>
  <si>
    <t>ACAFP 6 1/2 PERP</t>
  </si>
  <si>
    <t>FR001400N2U2</t>
  </si>
  <si>
    <t>ELECTRICITE DE FRANCE SA</t>
  </si>
  <si>
    <t>549300X3UK4GG3FNMO06</t>
  </si>
  <si>
    <t>EDF 5.7 23/05/28</t>
  </si>
  <si>
    <t>USF29416AB40</t>
  </si>
  <si>
    <t>BBB</t>
  </si>
  <si>
    <t>PETROLEOS MEXICANOS</t>
  </si>
  <si>
    <t>549300CAZKPF4HKMPX17</t>
  </si>
  <si>
    <t>PEMEX 5.95 01/28/31</t>
  </si>
  <si>
    <t>US71654QDE98</t>
  </si>
  <si>
    <t>B3</t>
  </si>
  <si>
    <t>UNITED RENTALS NORTH AM</t>
  </si>
  <si>
    <t>NGIZXNT70J2LYT3FBI09</t>
  </si>
  <si>
    <t>URI 6 12/15/29</t>
  </si>
  <si>
    <t>US911365BQ63</t>
  </si>
  <si>
    <t>Baa3</t>
  </si>
  <si>
    <t>Centene Corp</t>
  </si>
  <si>
    <t>549300Z7JJ4TQSQGT333</t>
  </si>
  <si>
    <t>CNC 2 5/8 01/08/31</t>
  </si>
  <si>
    <t>US15135BAZ40</t>
  </si>
  <si>
    <t>Ba1</t>
  </si>
  <si>
    <t>BP CAPITAL MARKETS PLC</t>
  </si>
  <si>
    <t>549300CRVT18MXX0AG93</t>
  </si>
  <si>
    <t>BPLN 3 1/4 PERP</t>
  </si>
  <si>
    <t>XS2193661324</t>
  </si>
  <si>
    <t>ASHTEAD CAPITAL INC</t>
  </si>
  <si>
    <t>213800J1134IW58IC398</t>
  </si>
  <si>
    <t>AHTLN 4 05/01/28</t>
  </si>
  <si>
    <t>US045054AJ25</t>
  </si>
  <si>
    <t>HCA INC</t>
  </si>
  <si>
    <t>L3CJ6J7LJ2DX62FTXD46</t>
  </si>
  <si>
    <t>HCA 5 3/8 02/01/25</t>
  </si>
  <si>
    <t>US404119BR91</t>
  </si>
  <si>
    <t>UBS GROUP AG</t>
  </si>
  <si>
    <t>549300SZJ9VS8SGXAN81</t>
  </si>
  <si>
    <t>UBS 4 7/8 PERP</t>
  </si>
  <si>
    <t>USH42097CS44</t>
  </si>
  <si>
    <t>BB</t>
  </si>
  <si>
    <t>PEMEX 6.7 16/02/32</t>
  </si>
  <si>
    <t>US71643VAB18</t>
  </si>
  <si>
    <t>AHTLN 4 3/8 08/15/27</t>
  </si>
  <si>
    <t>US045054AF03</t>
  </si>
  <si>
    <t>CEMEX SAB DE CV</t>
  </si>
  <si>
    <t>549300RIG2CXWN6IV731</t>
  </si>
  <si>
    <t>CEMEX 5.45 11/19/29</t>
  </si>
  <si>
    <t>USP2253TJN02</t>
  </si>
  <si>
    <t>ACAFP 7 1/4 PERP</t>
  </si>
  <si>
    <t>FR001400F067</t>
  </si>
  <si>
    <t>BARCLAYS PLC</t>
  </si>
  <si>
    <t>213800LBQA1Y9L22JB70</t>
  </si>
  <si>
    <t>BACR 8 7/8 PERP</t>
  </si>
  <si>
    <t>XS2492482828</t>
  </si>
  <si>
    <t>BB-</t>
  </si>
  <si>
    <t>CITIGROUP INC</t>
  </si>
  <si>
    <t>6SHGI4ZSSLCXXQSBB395</t>
  </si>
  <si>
    <t>C 3.106 04/08/26</t>
  </si>
  <si>
    <t>US172967MQ12</t>
  </si>
  <si>
    <t>assicurazioni generali</t>
  </si>
  <si>
    <t>549300X5UKJVE386ZB61</t>
  </si>
  <si>
    <t>ASSGEN 4.596 PERP</t>
  </si>
  <si>
    <t>XS1140860534</t>
  </si>
  <si>
    <t>Lloyds Banking Group PLC</t>
  </si>
  <si>
    <t>549300PPXHEU2JF0AM85</t>
  </si>
  <si>
    <t>LLOYDS 5 1/8 PERP</t>
  </si>
  <si>
    <t>XS2080995405</t>
  </si>
  <si>
    <t>MOTOROLA SOLUTIONS INC</t>
  </si>
  <si>
    <t>6S552MUG6KGJVEBSEC55</t>
  </si>
  <si>
    <t>MSI 2.3 11/15/30</t>
  </si>
  <si>
    <t>US620076BT59</t>
  </si>
  <si>
    <t>SUZANO 5 01/15/30</t>
  </si>
  <si>
    <t>US86964WAH51</t>
  </si>
  <si>
    <t>DEUTSCHE BANK AG</t>
  </si>
  <si>
    <t>7LTWFZYICNSX8D621K86</t>
  </si>
  <si>
    <t>DB 7 1/2 PERP</t>
  </si>
  <si>
    <t>US251525AN16</t>
  </si>
  <si>
    <t>Ba2</t>
  </si>
  <si>
    <t>ATRIUM EUROPEAN REAL EST</t>
  </si>
  <si>
    <t>213800OJ67K27RCO2J56</t>
  </si>
  <si>
    <t>ATRSAV 3 5/8 PERP</t>
  </si>
  <si>
    <t>XS2338530467</t>
  </si>
  <si>
    <t>Caa1</t>
  </si>
  <si>
    <t>INTESA SANPAOLO SPA</t>
  </si>
  <si>
    <t>2W8N8UU78PMDQKZENC08</t>
  </si>
  <si>
    <t>ISPIM 5 7/8 PERP</t>
  </si>
  <si>
    <t>XS2223761813</t>
  </si>
  <si>
    <t>COOPERATIEVE RABOBANK UA</t>
  </si>
  <si>
    <t>DG3RU1DBUFHT4ZF9WN62</t>
  </si>
  <si>
    <t>RABOBK 4 5/8 PERP</t>
  </si>
  <si>
    <t>XS1877860533</t>
  </si>
  <si>
    <t>BANCO SANTANDER SA</t>
  </si>
  <si>
    <t>5493006QMFDDMYWIAM13</t>
  </si>
  <si>
    <t>SANTAN 4 1/8 PERP</t>
  </si>
  <si>
    <t>XS2342620924</t>
  </si>
  <si>
    <t>AT&amp;T INC</t>
  </si>
  <si>
    <t>549300Z40J86GGSTL398</t>
  </si>
  <si>
    <t>T 5.4 15/02/34</t>
  </si>
  <si>
    <t>US00206RMT67</t>
  </si>
  <si>
    <t>MercadoLibre Inc</t>
  </si>
  <si>
    <t>549300DKPDN9M5S8GB14</t>
  </si>
  <si>
    <t>MELI 3 1/8 01/14/31</t>
  </si>
  <si>
    <t>US58733RAF91</t>
  </si>
  <si>
    <t>CNC 3 3/8 02/15/30</t>
  </si>
  <si>
    <t>US15135BAV36</t>
  </si>
  <si>
    <t>ROYALTY PHARMA PLC</t>
  </si>
  <si>
    <t>549300FGFN7VOK8BZR03</t>
  </si>
  <si>
    <t>RPRX 2.2 09/02/30</t>
  </si>
  <si>
    <t>US78081BAK98</t>
  </si>
  <si>
    <t>ARGENTUM (SWISS RE LTD)</t>
  </si>
  <si>
    <t>724500RPEZI5VVQQWE89</t>
  </si>
  <si>
    <t>SRENVX 5 3/4 08/15/50</t>
  </si>
  <si>
    <t>XS1261170515</t>
  </si>
  <si>
    <t>CEMEX 5.2 09/17/30</t>
  </si>
  <si>
    <t>USP2253TJQ33</t>
  </si>
  <si>
    <t>BACR 5.501 08/09/28</t>
  </si>
  <si>
    <t>US06738EBY05</t>
  </si>
  <si>
    <t>SRENVX 5 5/8 08/15/52</t>
  </si>
  <si>
    <t>XS1423777215</t>
  </si>
  <si>
    <t>DAVIDE CAMPARI-MILANO SP</t>
  </si>
  <si>
    <t>213800ED5AN2J56N6Z02</t>
  </si>
  <si>
    <t>CPRIM 1 1/4 10/06/27</t>
  </si>
  <si>
    <t>XS2239553048</t>
  </si>
  <si>
    <t>DB 4 1/2 PERP</t>
  </si>
  <si>
    <t>DE000DL19V55</t>
  </si>
  <si>
    <t>MSI 5.6 06/01/32</t>
  </si>
  <si>
    <t>US620076BW88</t>
  </si>
  <si>
    <t>BNP PARIBAS</t>
  </si>
  <si>
    <t>R0MUWSFPU8MPRO8K5P83</t>
  </si>
  <si>
    <t>BNP 7 3/8 PERP</t>
  </si>
  <si>
    <t>FR001400F2H9</t>
  </si>
  <si>
    <t>EDF 6 PERP</t>
  </si>
  <si>
    <t>FR0011401728</t>
  </si>
  <si>
    <t>B+</t>
  </si>
  <si>
    <t>CNC 4 5/8 12/15/29</t>
  </si>
  <si>
    <t>US15135BAT89</t>
  </si>
  <si>
    <t>PEMEX 10 07/02/2033</t>
  </si>
  <si>
    <t>US71654QDP46</t>
  </si>
  <si>
    <t>C 6.174 25/05/34</t>
  </si>
  <si>
    <t>US17327CAR43</t>
  </si>
  <si>
    <t>CEMEX 5 1/8 PERP</t>
  </si>
  <si>
    <t>USP2253TJS98</t>
  </si>
  <si>
    <t>DB 10 PERP</t>
  </si>
  <si>
    <t>DE000A30VT97</t>
  </si>
  <si>
    <t>MELI 2 3/8 14/01/26</t>
  </si>
  <si>
    <t>US58733RAE27</t>
  </si>
  <si>
    <t>IQVIA INC</t>
  </si>
  <si>
    <t>549300PLWY28YB00C717</t>
  </si>
  <si>
    <t>IQV 2 1/4 03/15/29</t>
  </si>
  <si>
    <t>XS2305744059</t>
  </si>
  <si>
    <t>BACR 4.973 05/31/36</t>
  </si>
  <si>
    <t>XS2831195644</t>
  </si>
  <si>
    <t>ilBBB-</t>
  </si>
  <si>
    <t>VODAFONE GROUP PLC</t>
  </si>
  <si>
    <t>213800TB53ELEUKM7Q61</t>
  </si>
  <si>
    <t>VOD 6 1/2 30/08/2084</t>
  </si>
  <si>
    <t>XS2630490717</t>
  </si>
  <si>
    <t>JBS USA/FOOD/FINANCE</t>
  </si>
  <si>
    <t>529900RM0MTMZL9O5050</t>
  </si>
  <si>
    <t>JBSSBZ 5 1/2 15/01/2030</t>
  </si>
  <si>
    <t>US46590XAL01</t>
  </si>
  <si>
    <t>JPM 2.963 25/01/33</t>
  </si>
  <si>
    <t>US46647PCU84</t>
  </si>
  <si>
    <t>A-</t>
  </si>
  <si>
    <t>TOTALENERGIES SE</t>
  </si>
  <si>
    <t>529900S21EQ1BO4ESM68</t>
  </si>
  <si>
    <t>TTEFP 2 PERP</t>
  </si>
  <si>
    <t>XS2224632971</t>
  </si>
  <si>
    <t>A3</t>
  </si>
  <si>
    <t>RWE AG</t>
  </si>
  <si>
    <t>529900GB7KCA94ACC940</t>
  </si>
  <si>
    <t>RWE 6 5/8 07/30/75</t>
  </si>
  <si>
    <t>XS1254119750</t>
  </si>
  <si>
    <t>ENI SPA</t>
  </si>
  <si>
    <t>BUCRF72VH5RBN7X3VL35</t>
  </si>
  <si>
    <t>ENIIM 3 3/8 PERP</t>
  </si>
  <si>
    <t>XS2242931603</t>
  </si>
  <si>
    <t>NWIDE 5 7/8 PERP</t>
  </si>
  <si>
    <t>XS2048709427</t>
  </si>
  <si>
    <t>B3 SA-BRASIL BOLSA BALCA</t>
  </si>
  <si>
    <t>4GTK5S46E6H318LMDS44</t>
  </si>
  <si>
    <t>BTHREE 4 1/8 20/09/31</t>
  </si>
  <si>
    <t>USP19118AA91</t>
  </si>
  <si>
    <t>JBSSBZ 3 5/8 01/15/32</t>
  </si>
  <si>
    <t>US46590XAU00</t>
  </si>
  <si>
    <t>ACAPF 5.335 01/10/30</t>
  </si>
  <si>
    <t>US22535WAK36</t>
  </si>
  <si>
    <t>SUZANO INTL FINANCE BV</t>
  </si>
  <si>
    <t>5493000KMIB6J1KMKL84</t>
  </si>
  <si>
    <t>SUZANO 5 1/2 17/01/2027</t>
  </si>
  <si>
    <t>USN8438JAB46</t>
  </si>
  <si>
    <t>ATRIUM FINANCE ISSUER BV</t>
  </si>
  <si>
    <t>254900S97VONWYW91C97</t>
  </si>
  <si>
    <t>ATRSAV 2 5/8 09/05/27</t>
  </si>
  <si>
    <t>XS2294495838</t>
  </si>
  <si>
    <t>B2</t>
  </si>
  <si>
    <t>BNP 7 3/8 PERP COCO</t>
  </si>
  <si>
    <t>USF1R15XK367</t>
  </si>
  <si>
    <t>URI 3 7/8 15/11/27</t>
  </si>
  <si>
    <t>US911365BM59</t>
  </si>
  <si>
    <t>MSCI INC</t>
  </si>
  <si>
    <t>549300HTIN2PD78UB763</t>
  </si>
  <si>
    <t>MSCI 3 5/8 01/09/30</t>
  </si>
  <si>
    <t>US55354GAK67</t>
  </si>
  <si>
    <t>MZRHIT 3.077 07/04/2031</t>
  </si>
  <si>
    <t>IL0069508369</t>
  </si>
  <si>
    <t>BACR 6 3/8 PERP</t>
  </si>
  <si>
    <t>XS2049810356</t>
  </si>
  <si>
    <t>BNP 4 1/2 PERP</t>
  </si>
  <si>
    <t>USF1R15XL274</t>
  </si>
  <si>
    <t>URI 3 3/4 15/01/32</t>
  </si>
  <si>
    <t>US911365BP80</t>
  </si>
  <si>
    <t>CITYCON OYJ</t>
  </si>
  <si>
    <t>549300P8N0P6KDGTJ206</t>
  </si>
  <si>
    <t>CITCON 3 5/8 PERP</t>
  </si>
  <si>
    <t>XS2347397437</t>
  </si>
  <si>
    <t>Ba3</t>
  </si>
  <si>
    <t>JBSSBZ 3 3/4 01/12/2031</t>
  </si>
  <si>
    <t>US46590XAM83</t>
  </si>
  <si>
    <t>HCA 3 1/2 09/01/30</t>
  </si>
  <si>
    <t>US404119CA57</t>
  </si>
  <si>
    <t>LLOYDS 5.679 01/05/35</t>
  </si>
  <si>
    <t>US53944YAX13</t>
  </si>
  <si>
    <t>BACR 7 1/8 PERP</t>
  </si>
  <si>
    <t>XS1998799792</t>
  </si>
  <si>
    <t>UniCredit SpA</t>
  </si>
  <si>
    <t>549300TRUWO2CD2G5692</t>
  </si>
  <si>
    <t>UCGIM 2.2 07/22/27</t>
  </si>
  <si>
    <t>XS2207976783</t>
  </si>
  <si>
    <t>UCGIM 7 1/2 PERP</t>
  </si>
  <si>
    <t>XS1963834251</t>
  </si>
  <si>
    <t>SCENTRE GROUP TRUST 2</t>
  </si>
  <si>
    <t>549300VRF0U0JH8TBJ74</t>
  </si>
  <si>
    <t>SCGAU 5 1/8 09/24/80</t>
  </si>
  <si>
    <t>USQ8053LAB01</t>
  </si>
  <si>
    <t>EDF 5 7/8 PERP</t>
  </si>
  <si>
    <t>FR0011700293</t>
  </si>
  <si>
    <t>UCGIM 4.45 PERP</t>
  </si>
  <si>
    <t>XS2356217039</t>
  </si>
  <si>
    <t>CEMEX 9 1/8 PERP</t>
  </si>
  <si>
    <t>USP2253TJT71</t>
  </si>
  <si>
    <t>LLOYDS 8 1/2 PERP</t>
  </si>
  <si>
    <t>XS2529511722</t>
  </si>
  <si>
    <t>ICL GROUP LIMITED</t>
  </si>
  <si>
    <t>ICLIT 6 3/8 05/31/38</t>
  </si>
  <si>
    <t>IL0028103310</t>
  </si>
  <si>
    <t>AHTLN 5 1/2 08/11/32</t>
  </si>
  <si>
    <t>US04505AAA79</t>
  </si>
  <si>
    <t>T 2 1/4 02/01/32</t>
  </si>
  <si>
    <t>US00206RKH48</t>
  </si>
  <si>
    <t>ASSGEN 6.269  PERP</t>
  </si>
  <si>
    <t>XS0257010206</t>
  </si>
  <si>
    <t>HSBC HOLDINGS PLC</t>
  </si>
  <si>
    <t>MLU0ZO3ML4LN2LL2TL39</t>
  </si>
  <si>
    <t>HSBC 8.113 11/03/33</t>
  </si>
  <si>
    <t>US404280DS59</t>
  </si>
  <si>
    <t>HSBC 3.973 05/22/30</t>
  </si>
  <si>
    <t>US404280CC17</t>
  </si>
  <si>
    <t>MEITUAN</t>
  </si>
  <si>
    <t>21380033K525E5JLIA77</t>
  </si>
  <si>
    <t>MEITUA 2 1/8 10/28/25</t>
  </si>
  <si>
    <t>USG59669AB07</t>
  </si>
  <si>
    <t>HSBC 2.848 06/04/31</t>
  </si>
  <si>
    <t>US404280CH04</t>
  </si>
  <si>
    <t>BACR 7.119 27/06/2034</t>
  </si>
  <si>
    <t>US06738ECH62</t>
  </si>
  <si>
    <t>SANTAN 4 3/8 PERP</t>
  </si>
  <si>
    <t>XS2102912966</t>
  </si>
  <si>
    <t>URI 3 7/8 15/02/31</t>
  </si>
  <si>
    <t>US911363AM11</t>
  </si>
  <si>
    <t>IQV 2.25 01/15/2028</t>
  </si>
  <si>
    <t>XS2036798150</t>
  </si>
  <si>
    <t>BNP  4 3/8 01/03/33</t>
  </si>
  <si>
    <t>US09659T2A84</t>
  </si>
  <si>
    <t>27/08/2080 VOD 3</t>
  </si>
  <si>
    <t>XS2225204010</t>
  </si>
  <si>
    <t>AXA SA</t>
  </si>
  <si>
    <t>F5WCUMTUM4RKZ1MAIE39</t>
  </si>
  <si>
    <t>AXASA 4 1/4 10/03/2032</t>
  </si>
  <si>
    <t>XS2487052487</t>
  </si>
  <si>
    <t>ATRSAV 4.25 09/11/25 REGS Corp</t>
  </si>
  <si>
    <t>XS1829325239</t>
  </si>
  <si>
    <t>RABOBK 4.375 PE</t>
  </si>
  <si>
    <t>XS2202900424</t>
  </si>
  <si>
    <t>C 4.412 03/31/31</t>
  </si>
  <si>
    <t>US172967MP39</t>
  </si>
  <si>
    <t>VOD  6 1/4 10/03/78</t>
  </si>
  <si>
    <t>XS1888180640</t>
  </si>
  <si>
    <t>ISPIM 5 1/2 PERP</t>
  </si>
  <si>
    <t>XS2223762381</t>
  </si>
  <si>
    <t>MSCI 3 5/8 11/01/31</t>
  </si>
  <si>
    <t>US55354GAM24</t>
  </si>
  <si>
    <t>AHTLN 4 1/4 11/01/29</t>
  </si>
  <si>
    <t>US045054AL70</t>
  </si>
  <si>
    <t>BPLN 3 5/8 PERP</t>
  </si>
  <si>
    <t>XS2193662728</t>
  </si>
  <si>
    <t>TEVA PHARMACEUTICAL INDU</t>
  </si>
  <si>
    <t>549300HSQCIKJAOYIT23</t>
  </si>
  <si>
    <t>TEVA 4.375 09/05/2030</t>
  </si>
  <si>
    <t>XS2406607171</t>
  </si>
  <si>
    <t>REPSOL INTL FINANCE</t>
  </si>
  <si>
    <t>5493002YCY6HTK0OUR29</t>
  </si>
  <si>
    <t>REPSM 4.5 03/25/75 PERP</t>
  </si>
  <si>
    <t>XS1207058733</t>
  </si>
  <si>
    <t>סולאיר אנרגיות מתחדשות בע"מ</t>
  </si>
  <si>
    <t>סולאיר חסום 26122023</t>
  </si>
  <si>
    <t>IL0011722878</t>
  </si>
  <si>
    <t>אפריקה ישראל מגורים בע"מ</t>
  </si>
  <si>
    <t>IL0010979487</t>
  </si>
  <si>
    <t>פועלים</t>
  </si>
  <si>
    <t>IL0006625771</t>
  </si>
  <si>
    <t>שופרסל</t>
  </si>
  <si>
    <t>IL0007770378</t>
  </si>
  <si>
    <t>אייסיאל גרופ (כיל)</t>
  </si>
  <si>
    <t>IL0002810146</t>
  </si>
  <si>
    <t>אקופיה סיינטיפיק בע"מ</t>
  </si>
  <si>
    <t>אקופיה</t>
  </si>
  <si>
    <t>IL0011698953</t>
  </si>
  <si>
    <t>ח.מר תעשיות בע"מ</t>
  </si>
  <si>
    <t>מר</t>
  </si>
  <si>
    <t>IL0003380123</t>
  </si>
  <si>
    <t>לאומי</t>
  </si>
  <si>
    <t>IL0006046119</t>
  </si>
  <si>
    <t>או.פי.סי אנרגיה בע"מ</t>
  </si>
  <si>
    <t>או פי סי אנרגיה</t>
  </si>
  <si>
    <t>IL0011415713</t>
  </si>
  <si>
    <t>דלתא גליל</t>
  </si>
  <si>
    <t>IL0006270347</t>
  </si>
  <si>
    <t>אספן גרופ בע"מ</t>
  </si>
  <si>
    <t>אספן גרופ</t>
  </si>
  <si>
    <t>IL0003130155</t>
  </si>
  <si>
    <t>לוינשטיין נכסים</t>
  </si>
  <si>
    <t>IL0011190803</t>
  </si>
  <si>
    <t>וילי פוד השקעות בע"מ</t>
  </si>
  <si>
    <t>וויליפוד</t>
  </si>
  <si>
    <t>IL0003710139</t>
  </si>
  <si>
    <t>טאואר סמיקונדקטור בע"מ</t>
  </si>
  <si>
    <t>טאואר</t>
  </si>
  <si>
    <t>IL0010823792</t>
  </si>
  <si>
    <t>עזריאלי</t>
  </si>
  <si>
    <t>IL0011194789</t>
  </si>
  <si>
    <t>אלקטרה נדל"ן בע"מ</t>
  </si>
  <si>
    <t>אלקטרה נדל"ן</t>
  </si>
  <si>
    <t>IL0010940448</t>
  </si>
  <si>
    <t>שיכון ובינוי</t>
  </si>
  <si>
    <t>IL0010819428</t>
  </si>
  <si>
    <t>ריטיילורס בע"מ</t>
  </si>
  <si>
    <t>ריטיילורס</t>
  </si>
  <si>
    <t>IL0011754889</t>
  </si>
  <si>
    <t>אי.בי.אי. בית השקעות בע"מ</t>
  </si>
  <si>
    <t>איביאי בית השקעות</t>
  </si>
  <si>
    <t>IL0001750186</t>
  </si>
  <si>
    <t>לוינשטין הנדסה</t>
  </si>
  <si>
    <t>IL0005730143</t>
  </si>
  <si>
    <t>ישרס אחזקות בע"מ</t>
  </si>
  <si>
    <t>ישרס אחזקות</t>
  </si>
  <si>
    <t>IL0012029778</t>
  </si>
  <si>
    <t>אפקון החזקות בע"מ</t>
  </si>
  <si>
    <t>אפקון החזקות</t>
  </si>
  <si>
    <t>IL0005780130</t>
  </si>
  <si>
    <t>אלקטרה צריכה</t>
  </si>
  <si>
    <t>IL0050101299</t>
  </si>
  <si>
    <t>פולירם תעשיות פלסטיק בע"מ</t>
  </si>
  <si>
    <t>פולירם</t>
  </si>
  <si>
    <t>IL0011702169</t>
  </si>
  <si>
    <t>נאוויטס מ"ר יהש</t>
  </si>
  <si>
    <t>IL0011419699</t>
  </si>
  <si>
    <t>נופר אנרג'י</t>
  </si>
  <si>
    <t>IL0011708778</t>
  </si>
  <si>
    <t>אינטרקיור בע"מ</t>
  </si>
  <si>
    <t>אינטרקיור</t>
  </si>
  <si>
    <t>IL0011063760</t>
  </si>
  <si>
    <t>אלקטרה</t>
  </si>
  <si>
    <t>IL0007390375</t>
  </si>
  <si>
    <t>גב ים</t>
  </si>
  <si>
    <t>IL0007590198</t>
  </si>
  <si>
    <t>תדיראן הולדינגס</t>
  </si>
  <si>
    <t>IL0002580129</t>
  </si>
  <si>
    <t>כלל ביטוח</t>
  </si>
  <si>
    <t>IL0002240146</t>
  </si>
  <si>
    <t>תיא חברה להשקעות בע"מ</t>
  </si>
  <si>
    <t>תיא השקעות</t>
  </si>
  <si>
    <t>IL0007960110</t>
  </si>
  <si>
    <t>אלביט מערכות</t>
  </si>
  <si>
    <t>IL0010811243</t>
  </si>
  <si>
    <t>חלל</t>
  </si>
  <si>
    <t>IL0010923451</t>
  </si>
  <si>
    <t>אלרוב נדלן ומלונאות</t>
  </si>
  <si>
    <t>IL0003870198</t>
  </si>
  <si>
    <t>דוניץ</t>
  </si>
  <si>
    <t>IL0004000100</t>
  </si>
  <si>
    <t>איי.אי.אס החזקות בע"מ</t>
  </si>
  <si>
    <t>איי.אי.אס</t>
  </si>
  <si>
    <t>IL0004310152</t>
  </si>
  <si>
    <t>אלקטרה פאוור (2019) בע"מ</t>
  </si>
  <si>
    <t>אלקטרה פאוור</t>
  </si>
  <si>
    <t>IL0011669178</t>
  </si>
  <si>
    <t>סלקום</t>
  </si>
  <si>
    <t>IL0011015349</t>
  </si>
  <si>
    <t>רשת חנויות רמי לוי שיווק השיקמה 2006 בע"מ</t>
  </si>
  <si>
    <t>רמי לוי</t>
  </si>
  <si>
    <t>IL0011042491</t>
  </si>
  <si>
    <t>משק אנרגיה</t>
  </si>
  <si>
    <t>IL0011669749</t>
  </si>
  <si>
    <t>דיסקונט</t>
  </si>
  <si>
    <t>IL0006912120</t>
  </si>
  <si>
    <t>ורידיס אינווירונמנט בע"מ</t>
  </si>
  <si>
    <t>ורידיס</t>
  </si>
  <si>
    <t>IL0011763872</t>
  </si>
  <si>
    <t>אלקטרה נדל"ן חסום 24012024</t>
  </si>
  <si>
    <t>רבל אי.סי.אס. בע"מ</t>
  </si>
  <si>
    <t>רבל</t>
  </si>
  <si>
    <t>IL0011038788</t>
  </si>
  <si>
    <t>נטו מלינדה סחר בע"מ</t>
  </si>
  <si>
    <t>נטו מלינדה</t>
  </si>
  <si>
    <t>IL0011050973</t>
  </si>
  <si>
    <t>חברת ישרס</t>
  </si>
  <si>
    <t>IL0006130343</t>
  </si>
  <si>
    <t>פרטנר</t>
  </si>
  <si>
    <t>IL0010834849</t>
  </si>
  <si>
    <t>אורמת טכנולוגיות אינק</t>
  </si>
  <si>
    <t>אורמת טכנו</t>
  </si>
  <si>
    <t>US6866881021</t>
  </si>
  <si>
    <t>מבנה</t>
  </si>
  <si>
    <t>IL0002260193</t>
  </si>
  <si>
    <t>תעשיות מספנות ישראל בע"מ</t>
  </si>
  <si>
    <t>מספנות ישראל</t>
  </si>
  <si>
    <t>IL0011685331</t>
  </si>
  <si>
    <t>אקויטל</t>
  </si>
  <si>
    <t>IL0007550176</t>
  </si>
  <si>
    <t>מגוריט ישראל בע"מ</t>
  </si>
  <si>
    <t>מגוריט</t>
  </si>
  <si>
    <t>IL0011391955</t>
  </si>
  <si>
    <t>פז בית זיקוק</t>
  </si>
  <si>
    <t>IL0011989105</t>
  </si>
  <si>
    <t>אל על נתיבי אויר לישראל בע"מ</t>
  </si>
  <si>
    <t>אל על</t>
  </si>
  <si>
    <t>IL0010878242</t>
  </si>
  <si>
    <t>מימון ישיר</t>
  </si>
  <si>
    <t>IL0011681868</t>
  </si>
  <si>
    <t>סלע נדל"ן</t>
  </si>
  <si>
    <t>IL0011096448</t>
  </si>
  <si>
    <t>דוראל אנרגיה</t>
  </si>
  <si>
    <t>IL0011667685</t>
  </si>
  <si>
    <t>מלם-תים בע"מ</t>
  </si>
  <si>
    <t>מלם תים</t>
  </si>
  <si>
    <t>IL0001560189</t>
  </si>
  <si>
    <t>פז נפט</t>
  </si>
  <si>
    <t>IL0011000077</t>
  </si>
  <si>
    <t>צור</t>
  </si>
  <si>
    <t>IL0007300101</t>
  </si>
  <si>
    <t>ערד השקעות ופתוח תעשיה בע"מ</t>
  </si>
  <si>
    <t>ערד</t>
  </si>
  <si>
    <t>IL0007310183</t>
  </si>
  <si>
    <t>טבע תעשיות פרמצבטיות בע"מ</t>
  </si>
  <si>
    <t>טבע</t>
  </si>
  <si>
    <t>IL0006290147</t>
  </si>
  <si>
    <t>יוחננוף</t>
  </si>
  <si>
    <t>IL0011612640</t>
  </si>
  <si>
    <t>עמרם אברהם חברה לבנין בע"מ</t>
  </si>
  <si>
    <t>עמרם</t>
  </si>
  <si>
    <t>IL0011882003</t>
  </si>
  <si>
    <t>קרסו נדלן</t>
  </si>
  <si>
    <t>IL0011879629</t>
  </si>
  <si>
    <t>ישראל קנדה (ט.ר) בע"מ</t>
  </si>
  <si>
    <t>ישראל קנדה חסום 13092022</t>
  </si>
  <si>
    <t>IL0004340191</t>
  </si>
  <si>
    <t>מיטרוניקס בע"מ</t>
  </si>
  <si>
    <t>מיטרוניקס</t>
  </si>
  <si>
    <t>IL0010910656</t>
  </si>
  <si>
    <t>אירפורט סיטי</t>
  </si>
  <si>
    <t>IL0010958358</t>
  </si>
  <si>
    <t>הכשרת הישוב</t>
  </si>
  <si>
    <t>IL0006120104</t>
  </si>
  <si>
    <t>אמות</t>
  </si>
  <si>
    <t>IL0010972789</t>
  </si>
  <si>
    <t>ישראל קנדה</t>
  </si>
  <si>
    <t>בי קומיוניקיישנס</t>
  </si>
  <si>
    <t>IL0011076630</t>
  </si>
  <si>
    <t>יצוא-חברה להשקעות בע"מ</t>
  </si>
  <si>
    <t>יצוא</t>
  </si>
  <si>
    <t>IL0007040152</t>
  </si>
  <si>
    <t>ישרוטל בע"מ</t>
  </si>
  <si>
    <t>ישרוטל</t>
  </si>
  <si>
    <t>IL0010809858</t>
  </si>
  <si>
    <t>פתאל החזקות</t>
  </si>
  <si>
    <t>IL0011434292</t>
  </si>
  <si>
    <t>מטריקס אי.טי בע"מ</t>
  </si>
  <si>
    <t>מטריקס</t>
  </si>
  <si>
    <t>IL0004450156</t>
  </si>
  <si>
    <t>אשטרום קבוצה</t>
  </si>
  <si>
    <t>IL0011323156</t>
  </si>
  <si>
    <t>נורסטאר החזקות אינק</t>
  </si>
  <si>
    <t>נורסטאר החזקות</t>
  </si>
  <si>
    <t>PAL0605071A3</t>
  </si>
  <si>
    <t>אקרו</t>
  </si>
  <si>
    <t>IL0011849028</t>
  </si>
  <si>
    <t>ישראכרט</t>
  </si>
  <si>
    <t>IL0011574030</t>
  </si>
  <si>
    <t>ג'י סיטי</t>
  </si>
  <si>
    <t>IL0001260111</t>
  </si>
  <si>
    <t>אאורה השקעות בע"מ</t>
  </si>
  <si>
    <t>אאורה</t>
  </si>
  <si>
    <t>IL0003730194</t>
  </si>
  <si>
    <t>קבוצת אקרשטיין בע"מ</t>
  </si>
  <si>
    <t>קבוצת אקרשטיין</t>
  </si>
  <si>
    <t>IL0011762056</t>
  </si>
  <si>
    <t>ג'י סיטי חסום 07022023</t>
  </si>
  <si>
    <t>נייס בע"מ</t>
  </si>
  <si>
    <t>נייס</t>
  </si>
  <si>
    <t>IL0002730112</t>
  </si>
  <si>
    <t>תמר פטרוליום</t>
  </si>
  <si>
    <t>IL0011413577</t>
  </si>
  <si>
    <t>הבורסה לניירות ערך בתל-אביב בע"מ</t>
  </si>
  <si>
    <t>הבורסה לניע בתא</t>
  </si>
  <si>
    <t>IL0011590291</t>
  </si>
  <si>
    <t>חילן בע"מ</t>
  </si>
  <si>
    <t>חילן טק</t>
  </si>
  <si>
    <t>IL0010846983</t>
  </si>
  <si>
    <t>קנון הולדינגס</t>
  </si>
  <si>
    <t>קנון</t>
  </si>
  <si>
    <t>SG9999012629</t>
  </si>
  <si>
    <t>מניבים ריט</t>
  </si>
  <si>
    <t>IL0011405730</t>
  </si>
  <si>
    <t>דלק מערכות רכב בע"מ</t>
  </si>
  <si>
    <t>דלק רכב</t>
  </si>
  <si>
    <t>IL0008290103</t>
  </si>
  <si>
    <t>פלאזה סנטר</t>
  </si>
  <si>
    <t>NL0011882741</t>
  </si>
  <si>
    <t>נפטא חברה ישראלית לנפט בע"מ</t>
  </si>
  <si>
    <t>נפטא</t>
  </si>
  <si>
    <t>IL0006430156</t>
  </si>
  <si>
    <t>דוראל אנרגיה חסום 07092022</t>
  </si>
  <si>
    <t>טכנולוגיות גילוי אש וגזים</t>
  </si>
  <si>
    <t>טכני גילוי אש גז חסום 26122023</t>
  </si>
  <si>
    <t>IL0011653073</t>
  </si>
  <si>
    <t>פרשקובסקי השקעות ובניין בע"מ</t>
  </si>
  <si>
    <t>פרשקובסקי</t>
  </si>
  <si>
    <t>IL0011021289</t>
  </si>
  <si>
    <t>הפניקס 1</t>
  </si>
  <si>
    <t>IL0007670123</t>
  </si>
  <si>
    <t>אייקון גרופ בע"מ</t>
  </si>
  <si>
    <t>אייקון גרופ</t>
  </si>
  <si>
    <t>IL0011824849</t>
  </si>
  <si>
    <t>אזורים-חברה להשקעות בפתוח ובבנין בע"מ</t>
  </si>
  <si>
    <t>אזורים</t>
  </si>
  <si>
    <t>IL0007150118</t>
  </si>
  <si>
    <t>ניו-מד אנרג'י- שותפות מוגבלת</t>
  </si>
  <si>
    <t>ניו-מד אנרג יהש</t>
  </si>
  <si>
    <t>IL0004750209</t>
  </si>
  <si>
    <t>בזק</t>
  </si>
  <si>
    <t>IL0002300114</t>
  </si>
  <si>
    <t>חברה לישראל</t>
  </si>
  <si>
    <t>IL0005760173</t>
  </si>
  <si>
    <t>נובה בע"מ</t>
  </si>
  <si>
    <t>נובה</t>
  </si>
  <si>
    <t>IL0010845571</t>
  </si>
  <si>
    <t>מצלאוי חברה לבנין בע"מ</t>
  </si>
  <si>
    <t>מצלאוי</t>
  </si>
  <si>
    <t>IL0011067498</t>
  </si>
  <si>
    <t>תורפז תעשיות בע"מ</t>
  </si>
  <si>
    <t>תורפז</t>
  </si>
  <si>
    <t>IL0011756116</t>
  </si>
  <si>
    <t>בזן</t>
  </si>
  <si>
    <t>IL0025902482</t>
  </si>
  <si>
    <t>ארגו פרופרטיז אן.וי.</t>
  </si>
  <si>
    <t>ארגו פרופרטיז</t>
  </si>
  <si>
    <t>NL0015000D84</t>
  </si>
  <si>
    <t>מזרחי</t>
  </si>
  <si>
    <t>IL0006954379</t>
  </si>
  <si>
    <t>פורמולה</t>
  </si>
  <si>
    <t>IL0002560162</t>
  </si>
  <si>
    <t>ישראמקו יהש</t>
  </si>
  <si>
    <t>IL0002320179</t>
  </si>
  <si>
    <t>נופר אנרג'י חסום 07052023</t>
  </si>
  <si>
    <t>הראל</t>
  </si>
  <si>
    <t>IL0005850180</t>
  </si>
  <si>
    <t>מגדלי תיכון</t>
  </si>
  <si>
    <t>IL0011315236</t>
  </si>
  <si>
    <t>נקסט ויז'ן מערכות מיוצבות בע"מ</t>
  </si>
  <si>
    <t>נקסט ויז'ן</t>
  </si>
  <si>
    <t>IL0011765935</t>
  </si>
  <si>
    <t>מליסרון</t>
  </si>
  <si>
    <t>IL0003230146</t>
  </si>
  <si>
    <t>אלוני חץ</t>
  </si>
  <si>
    <t>IL0003900136</t>
  </si>
  <si>
    <t>ריט1</t>
  </si>
  <si>
    <t>IL0010989205</t>
  </si>
  <si>
    <t>סאפיינס</t>
  </si>
  <si>
    <t>KYG7T16G1039</t>
  </si>
  <si>
    <t>מגדל אחזקות ביטוח ופיננסים בע"מ</t>
  </si>
  <si>
    <t>מגדל ביטוח</t>
  </si>
  <si>
    <t>IL0010811656</t>
  </si>
  <si>
    <t>ג'י וואן פתרונות אבטחה בע"מ</t>
  </si>
  <si>
    <t>ג'י וואן</t>
  </si>
  <si>
    <t>IL0011562803</t>
  </si>
  <si>
    <t>אנלייט אנרגיה</t>
  </si>
  <si>
    <t>IL0007200111</t>
  </si>
  <si>
    <t>קיסטון אינפרא בע"מ</t>
  </si>
  <si>
    <t>קיסטון ריט</t>
  </si>
  <si>
    <t>IL0011759342</t>
  </si>
  <si>
    <t>שטראוס עלית</t>
  </si>
  <si>
    <t>IL0007460160</t>
  </si>
  <si>
    <t>מניבים ריט חסום 09042024</t>
  </si>
  <si>
    <t>החשרת הישוב חסום 08042024</t>
  </si>
  <si>
    <t>איסתא בע"מ</t>
  </si>
  <si>
    <t>איסתא</t>
  </si>
  <si>
    <t>IL0010810740</t>
  </si>
  <si>
    <t>נאייקס בע"מ</t>
  </si>
  <si>
    <t>נאייקס</t>
  </si>
  <si>
    <t>IL0011751166</t>
  </si>
  <si>
    <t>מנועי בית שמש אחזקות (1997) בע"מ</t>
  </si>
  <si>
    <t>מנועי בית שמש אחזקות (1997)</t>
  </si>
  <si>
    <t>IL0010815616</t>
  </si>
  <si>
    <t>שפיר הנדסה</t>
  </si>
  <si>
    <t>IL0011338758</t>
  </si>
  <si>
    <t>ביג</t>
  </si>
  <si>
    <t>IL0010972607</t>
  </si>
  <si>
    <t>ישראל קנדה חסום 12112023</t>
  </si>
  <si>
    <t>י.ח.דמרי בניה ופיתוח בע"מ</t>
  </si>
  <si>
    <t>דמרי</t>
  </si>
  <si>
    <t>IL0010903156</t>
  </si>
  <si>
    <t>פוקס-ויזל בע"מ</t>
  </si>
  <si>
    <t>פוקס</t>
  </si>
  <si>
    <t>IL0010870223</t>
  </si>
  <si>
    <t>דנאל (אדיר יהושע) בע"מ</t>
  </si>
  <si>
    <t>דנאל כא</t>
  </si>
  <si>
    <t>IL0003140139</t>
  </si>
  <si>
    <t>מג'יק תעשיות תכנה בע"מ</t>
  </si>
  <si>
    <t>מג'יק</t>
  </si>
  <si>
    <t>IL0010823123</t>
  </si>
  <si>
    <t>אפולו</t>
  </si>
  <si>
    <t>אינוונטק מ"ר 1 חסום 06092022</t>
  </si>
  <si>
    <t>IL0010821143</t>
  </si>
  <si>
    <t>נכסים בנין</t>
  </si>
  <si>
    <t>IL0006990175</t>
  </si>
  <si>
    <t>אנרג'יאן פי אל סי</t>
  </si>
  <si>
    <t>549300RVMKU0CYUZBB05</t>
  </si>
  <si>
    <t>אנרג'יאן</t>
  </si>
  <si>
    <t>GB00BG12Y042</t>
  </si>
  <si>
    <t>בינלאומי</t>
  </si>
  <si>
    <t>IL0005930388</t>
  </si>
  <si>
    <t>אינרום תעשיות בנייה בע"מ</t>
  </si>
  <si>
    <t>אינרום</t>
  </si>
  <si>
    <t>IL0011323560</t>
  </si>
  <si>
    <t>רציו אנרגיות-שותפות מוגבלת</t>
  </si>
  <si>
    <t>רציו יהש</t>
  </si>
  <si>
    <t>IL0003940157</t>
  </si>
  <si>
    <t>רבוע נדלן</t>
  </si>
  <si>
    <t>IL0010985658</t>
  </si>
  <si>
    <t>אלקטרה צריכה חסום 05122023</t>
  </si>
  <si>
    <t>גנרשיין קפיטל</t>
  </si>
  <si>
    <t>IL0011569261</t>
  </si>
  <si>
    <t>רימון שירותי ייעוץ וניהול בע"מ</t>
  </si>
  <si>
    <t>רימון יעוץ</t>
  </si>
  <si>
    <t>IL0011787228</t>
  </si>
  <si>
    <t>אנרג'יקס-אנרגיות מתחדשות בע"מ</t>
  </si>
  <si>
    <t>אינרג'יקס</t>
  </si>
  <si>
    <t>IL0011233553</t>
  </si>
  <si>
    <t>סאמיט</t>
  </si>
  <si>
    <t>IL0010816861</t>
  </si>
  <si>
    <t>קבוצת סקופ מתכות בע"מ</t>
  </si>
  <si>
    <t>סקופ</t>
  </si>
  <si>
    <t>IL0002880198</t>
  </si>
  <si>
    <t>קרסו</t>
  </si>
  <si>
    <t>IL0011238503</t>
  </si>
  <si>
    <t>דנאל כא חסום 21092022</t>
  </si>
  <si>
    <t>כלל תעשיות ביוטכנולוגיה בע"מ</t>
  </si>
  <si>
    <t>כלל ביוטכנולוגיה</t>
  </si>
  <si>
    <t>IL0011042806</t>
  </si>
  <si>
    <t>שוב אנרגיה</t>
  </si>
  <si>
    <t>IL0011882425</t>
  </si>
  <si>
    <t>פ.י.ב.י. אחזקות בע"מ</t>
  </si>
  <si>
    <t>פיבי</t>
  </si>
  <si>
    <t>IL0007630119</t>
  </si>
  <si>
    <t>משק אנרגיה חסום 25012023</t>
  </si>
  <si>
    <t>Texas Instruments Inc</t>
  </si>
  <si>
    <t>WDJNR2L6D8RWOEB8T652</t>
  </si>
  <si>
    <t>TXN US Texas Instruments Inc</t>
  </si>
  <si>
    <t>US8825081040</t>
  </si>
  <si>
    <t>ENOG LN Energean Oil &amp; Gas PLC</t>
  </si>
  <si>
    <t>NUTRIEN LTD</t>
  </si>
  <si>
    <t>NTR US NUTRIEN LTD</t>
  </si>
  <si>
    <t>CA67077M1086</t>
  </si>
  <si>
    <t>Amazon.com Inc</t>
  </si>
  <si>
    <t>ZXTILKJKG63JELOEG630</t>
  </si>
  <si>
    <t>AMZN US Amazon.com Inc</t>
  </si>
  <si>
    <t>US0231351067</t>
  </si>
  <si>
    <t>NextEra Energy Inc</t>
  </si>
  <si>
    <t>254900RHL9MEUS5NKX63</t>
  </si>
  <si>
    <t>NEE US NextEra Energy Inc</t>
  </si>
  <si>
    <t>US65339F1012</t>
  </si>
  <si>
    <t>Marathon Petroleum Corp</t>
  </si>
  <si>
    <t>MPC US Marathon Petroleum Corp</t>
  </si>
  <si>
    <t>US56585A1025</t>
  </si>
  <si>
    <t>פריון נטוורק בע"מ</t>
  </si>
  <si>
    <t>PERI US Perion Network Ltd</t>
  </si>
  <si>
    <t>IL0010958192</t>
  </si>
  <si>
    <t>SimilarWeb Ltd</t>
  </si>
  <si>
    <t>SMWB US SimilarWeb Ltd</t>
  </si>
  <si>
    <t>IL0011751653</t>
  </si>
  <si>
    <t>Taboola.com Ltd</t>
  </si>
  <si>
    <t>TBLA US Taboola.com Ltd</t>
  </si>
  <si>
    <t>IL0011754137</t>
  </si>
  <si>
    <t>Alphabet Inc</t>
  </si>
  <si>
    <t>5493006MHB84DD0ZWV18</t>
  </si>
  <si>
    <t>GOOGL US Alphabet Inc</t>
  </si>
  <si>
    <t>US02079K3059</t>
  </si>
  <si>
    <t>Otis Worldwide Corp</t>
  </si>
  <si>
    <t>549300ZLBKR8VSU25153</t>
  </si>
  <si>
    <t>OTIS US Otis Worldwide Corp</t>
  </si>
  <si>
    <t>US68902V1070</t>
  </si>
  <si>
    <t>LVMH Moet Hennessy Louis Vuitt</t>
  </si>
  <si>
    <t>IOG4E947OATN0KJYSD45</t>
  </si>
  <si>
    <t>MC FP LVMH Moet Hennessy Louis Vuitt</t>
  </si>
  <si>
    <t>FR0000121014</t>
  </si>
  <si>
    <t>HESS CORP</t>
  </si>
  <si>
    <t>UASVRYNXNK17ULIGK870</t>
  </si>
  <si>
    <t>HES US Hess Corp</t>
  </si>
  <si>
    <t>US42809H1077</t>
  </si>
  <si>
    <t>MICROSOFT CORP</t>
  </si>
  <si>
    <t>INR2EJN1ERAN0W5ZP974</t>
  </si>
  <si>
    <t>MSFT  US- Microsoft</t>
  </si>
  <si>
    <t>US5949181045</t>
  </si>
  <si>
    <t>ABBVIE INC</t>
  </si>
  <si>
    <t>FR5LCKFTG8054YNNRU85</t>
  </si>
  <si>
    <t>ABBV US AbbVie Inc</t>
  </si>
  <si>
    <t>US00287Y1091</t>
  </si>
  <si>
    <t>DSV A/S</t>
  </si>
  <si>
    <t>529900X41C0BSLK67H70</t>
  </si>
  <si>
    <t>DSV DC DSV A/S</t>
  </si>
  <si>
    <t>DK0060079531</t>
  </si>
  <si>
    <t>Palo Alto Networks Inc</t>
  </si>
  <si>
    <t>549300QXR2YVZV231H43</t>
  </si>
  <si>
    <t>PANW US Palo Alto Networks</t>
  </si>
  <si>
    <t>US6974351057</t>
  </si>
  <si>
    <t>APPLE INC</t>
  </si>
  <si>
    <t>HWUPKR0MPOU8FGXBT394</t>
  </si>
  <si>
    <t>AAPL US- Apple Inc</t>
  </si>
  <si>
    <t>US0378331005</t>
  </si>
  <si>
    <t>Amdocs Ltd</t>
  </si>
  <si>
    <t>549300HQV672RJ7RQV66</t>
  </si>
  <si>
    <t>DOX US Amdocs Ltd</t>
  </si>
  <si>
    <t>GB0022569080</t>
  </si>
  <si>
    <t>MONDELEZ INTERNATIONAL INC</t>
  </si>
  <si>
    <t>549300DV9GIB88LZ5P30</t>
  </si>
  <si>
    <t>MDLZ US Mondelez International Inc</t>
  </si>
  <si>
    <t>US6092071058</t>
  </si>
  <si>
    <t>Aroundtown SA</t>
  </si>
  <si>
    <t>529900H4DWG3KWMBMQ39</t>
  </si>
  <si>
    <t>AT1 GY Aroundtown Property Holdings p</t>
  </si>
  <si>
    <t>LU1673108939</t>
  </si>
  <si>
    <t>Autoliv Inc</t>
  </si>
  <si>
    <t>A23RUXWKASG834LTMK28</t>
  </si>
  <si>
    <t>ALV US Autoliv Inc</t>
  </si>
  <si>
    <t>US0528001094</t>
  </si>
  <si>
    <t>SolarEdge Technologies Inc</t>
  </si>
  <si>
    <t>5493000K6Y58XXPDF853</t>
  </si>
  <si>
    <t>SEDG US SolarEdge Technologies Inc</t>
  </si>
  <si>
    <t>US83417M1045</t>
  </si>
  <si>
    <t>NICE US-NICE sys</t>
  </si>
  <si>
    <t>US6536561086</t>
  </si>
  <si>
    <t>CF  Industries Holdings Inc</t>
  </si>
  <si>
    <t>529900CG8YAQFZ2JMV97</t>
  </si>
  <si>
    <t>CF US CF  Industries Holdings Inc</t>
  </si>
  <si>
    <t>US1252691001</t>
  </si>
  <si>
    <t>ENLT US Enlight Renewable Energy Ltd</t>
  </si>
  <si>
    <t>BOEING Co/The</t>
  </si>
  <si>
    <t>BA US Boeing Co/The</t>
  </si>
  <si>
    <t>US0970231058</t>
  </si>
  <si>
    <t>DIAGEO CAPITAL PLC</t>
  </si>
  <si>
    <t>213800ZVIELEA55JMJ32</t>
  </si>
  <si>
    <t>DGE LN Diageo PLC</t>
  </si>
  <si>
    <t>GB0002374006</t>
  </si>
  <si>
    <t>M&amp;T Bank Corp</t>
  </si>
  <si>
    <t>549300WYXDDBYRASEG81</t>
  </si>
  <si>
    <t>MTB US M&amp;T Bank Corp</t>
  </si>
  <si>
    <t>US55261F1049</t>
  </si>
  <si>
    <t>MICRON TECHNOLOGY INC</t>
  </si>
  <si>
    <t>B3DXGBC8GAIYWI2Z0172</t>
  </si>
  <si>
    <t>MU US Micron Tech Inc</t>
  </si>
  <si>
    <t>US5951121038</t>
  </si>
  <si>
    <t>Inmode Ltd</t>
  </si>
  <si>
    <t>INMD US Inmode LtdINMODE LTD</t>
  </si>
  <si>
    <t>IL0011595993</t>
  </si>
  <si>
    <t>NVIDIA Corp</t>
  </si>
  <si>
    <t>549300S4KLFTLO7GSQ80</t>
  </si>
  <si>
    <t>NVDA US NVIDIA Corp</t>
  </si>
  <si>
    <t>US67066G1040</t>
  </si>
  <si>
    <t>קמטק בע"מ</t>
  </si>
  <si>
    <t>CAMT US Camtek Ltd/Israel</t>
  </si>
  <si>
    <t>IL0010952641</t>
  </si>
  <si>
    <t>Mastercard Inc</t>
  </si>
  <si>
    <t>AR5L2ODV9HN37376R084</t>
  </si>
  <si>
    <t>MA US Mastercard Inc</t>
  </si>
  <si>
    <t>US57636Q1040</t>
  </si>
  <si>
    <t>Rollins Inc</t>
  </si>
  <si>
    <t>549300F2A0BXT4SGWD84</t>
  </si>
  <si>
    <t>ROL US Rollins Inc</t>
  </si>
  <si>
    <t>US7757111049</t>
  </si>
  <si>
    <t>Powerfleet Inc</t>
  </si>
  <si>
    <t>2549007NKEFPYEH4MF81</t>
  </si>
  <si>
    <t>AIOT US Powerfleet Inc</t>
  </si>
  <si>
    <t>US73931J1097</t>
  </si>
  <si>
    <t>APPLIED MATERIALS INC</t>
  </si>
  <si>
    <t>41BNNE1AFPNAZELZ6K07</t>
  </si>
  <si>
    <t>AMAT US Applied Materials Inc</t>
  </si>
  <si>
    <t>US0382221051</t>
  </si>
  <si>
    <t>Freeport-McMoRan Inc</t>
  </si>
  <si>
    <t>549300IRDTHJQ1PVET45</t>
  </si>
  <si>
    <t>FCX US Freeport-McMoRan Inc</t>
  </si>
  <si>
    <t>US35671D8570</t>
  </si>
  <si>
    <t>TSEM US-Tower Semiconductor</t>
  </si>
  <si>
    <t>Abbott Laboratories</t>
  </si>
  <si>
    <t>HQD377W2YR662HK5JX27</t>
  </si>
  <si>
    <t>ABT US Abbott Laboratories</t>
  </si>
  <si>
    <t>US0028241000</t>
  </si>
  <si>
    <t>ICL US Israel Chemicals Ltd</t>
  </si>
  <si>
    <t>BNP PARIBAS SA</t>
  </si>
  <si>
    <t>BNP FP BNP Paribas</t>
  </si>
  <si>
    <t>FR0000131104</t>
  </si>
  <si>
    <t>Walmart Inc</t>
  </si>
  <si>
    <t>Y87794H0US1R65VBXU25</t>
  </si>
  <si>
    <t>WMT US Wal-Mart Stores Inc</t>
  </si>
  <si>
    <t>US9311421039</t>
  </si>
  <si>
    <t>SPNS US Sapiens Inter Corp NV</t>
  </si>
  <si>
    <t>Teva US-Teva Pharmacutical</t>
  </si>
  <si>
    <t>US8816242098</t>
  </si>
  <si>
    <t>ESLT US Elbit Systems Ltd</t>
  </si>
  <si>
    <t>NVMI US Nova Measur Inst Ltd</t>
  </si>
  <si>
    <t>Tesla Inc</t>
  </si>
  <si>
    <t>54930043XZGB27CTOV49</t>
  </si>
  <si>
    <t>TSLA US Tesla Inc</t>
  </si>
  <si>
    <t>US88160R1014</t>
  </si>
  <si>
    <t>MOBILEYE Global Inc</t>
  </si>
  <si>
    <t>MBLY US Mobileye Global Inc</t>
  </si>
  <si>
    <t>US60741F1049</t>
  </si>
  <si>
    <t>UROGEN PHARMA LTD</t>
  </si>
  <si>
    <t>URGN US Urogen Pharma Ltd</t>
  </si>
  <si>
    <t>IL0011407140</t>
  </si>
  <si>
    <t>NIKE INC</t>
  </si>
  <si>
    <t>787RXPR0UX0O0XUXPZ81</t>
  </si>
  <si>
    <t>NKE US NIKE INC</t>
  </si>
  <si>
    <t>US6541061031</t>
  </si>
  <si>
    <t>S&amp;P Global Inc</t>
  </si>
  <si>
    <t>Y6X4K52KMJMZE7I7MY94</t>
  </si>
  <si>
    <t>SPGI US S&amp;P Global Inc</t>
  </si>
  <si>
    <t>US78409V1044</t>
  </si>
  <si>
    <t>Glencore PLC</t>
  </si>
  <si>
    <t>2138002658CPO9NBH955</t>
  </si>
  <si>
    <t>GLEN LN Glencore PLC</t>
  </si>
  <si>
    <t>JE00B4T3BW64</t>
  </si>
  <si>
    <t>JPM-JPMorgan Chase &amp; Co</t>
  </si>
  <si>
    <t>US46625H1005</t>
  </si>
  <si>
    <t>Globalworth Real Estate Invest</t>
  </si>
  <si>
    <t>213800R3E823B1UBIA81</t>
  </si>
  <si>
    <t>GWI LN Globalworth Real Estate Invest</t>
  </si>
  <si>
    <t>GG00B979FD04</t>
  </si>
  <si>
    <t>Eloxx Pharmaceuticals Inc</t>
  </si>
  <si>
    <t>549300UB28QGWJMFFA11</t>
  </si>
  <si>
    <t>ELOX US Eloxx Pharmaceuticals Inc</t>
  </si>
  <si>
    <t>US29014R2022</t>
  </si>
  <si>
    <t>Teck Resources Ltd</t>
  </si>
  <si>
    <t>T8KI5SQ2JRWHL7XY0E11</t>
  </si>
  <si>
    <t>TECK US Teck Resources</t>
  </si>
  <si>
    <t>CA8787422044</t>
  </si>
  <si>
    <t>Meta Platforms Inc</t>
  </si>
  <si>
    <t>BQ4BKCS1HXDV9HN80Z93</t>
  </si>
  <si>
    <t>META US Meta Platforms Inc (FACEBOOK)</t>
  </si>
  <si>
    <t>US30303M1027</t>
  </si>
  <si>
    <t>Prologis Inc</t>
  </si>
  <si>
    <t>529900DFH19P073LZ636</t>
  </si>
  <si>
    <t>PLD US Prologis Inc</t>
  </si>
  <si>
    <t>US74340W1036</t>
  </si>
  <si>
    <t>ZIM Integrated Shipping Servic</t>
  </si>
  <si>
    <t>ZIM US ZIM Integrated Shipping Servic</t>
  </si>
  <si>
    <t>IL0065100930</t>
  </si>
  <si>
    <t>Adobe Inc</t>
  </si>
  <si>
    <t>FU4LY2G4933NH2E1CP29</t>
  </si>
  <si>
    <t>ADBE US Adobe Inc</t>
  </si>
  <si>
    <t>US00724F1012</t>
  </si>
  <si>
    <t>Berkshire Hathaway Inc</t>
  </si>
  <si>
    <t>5493000C01ZX7D35SD85</t>
  </si>
  <si>
    <t>BRK/B US-Berkshire Hathaway</t>
  </si>
  <si>
    <t>US0846707026</t>
  </si>
  <si>
    <t>Home Depot Inc/The</t>
  </si>
  <si>
    <t>QEKMOTMBBKA8I816DO57</t>
  </si>
  <si>
    <t>HD US- Home Depot</t>
  </si>
  <si>
    <t>US4370761029</t>
  </si>
  <si>
    <t>CBRE Group Inc</t>
  </si>
  <si>
    <t>52990016II9MJ2OSWA10</t>
  </si>
  <si>
    <t>CBRE US CBRE Group Inc</t>
  </si>
  <si>
    <t>US12504L1098</t>
  </si>
  <si>
    <t>Uber Technologies Inc</t>
  </si>
  <si>
    <t>UBER US Uber Technologies Inc</t>
  </si>
  <si>
    <t>US90353T1007</t>
  </si>
  <si>
    <t>Adyen NV</t>
  </si>
  <si>
    <t>724500973ODKK3IFQ447</t>
  </si>
  <si>
    <t>ADYEN NA  Adyen NV</t>
  </si>
  <si>
    <t>NL0012969182</t>
  </si>
  <si>
    <t>PPHE Hotel Group Ltd</t>
  </si>
  <si>
    <t>2138003H1BZGR6KM5823</t>
  </si>
  <si>
    <t>PPH LN PPHE Hotel Group Ltd</t>
  </si>
  <si>
    <t>GG00B1Z5FH87</t>
  </si>
  <si>
    <t>Apollo Global Management Inc</t>
  </si>
  <si>
    <t>54930054P2G7ZJB0KM79</t>
  </si>
  <si>
    <t>APO US Apollo Global Management Inc</t>
  </si>
  <si>
    <t>US03769M1062</t>
  </si>
  <si>
    <t>NYAX US Nayax Ltd</t>
  </si>
  <si>
    <t>TSMC</t>
  </si>
  <si>
    <t>549300KB6NK5SBD14S87</t>
  </si>
  <si>
    <t>TSM US TSMC</t>
  </si>
  <si>
    <t>US8740391003</t>
  </si>
  <si>
    <t>Thermo Fisher Scientific Inc</t>
  </si>
  <si>
    <t>HCHV7422L5HDJZCRFL38</t>
  </si>
  <si>
    <t>TMO US Thermo Fisher Scientific Inc</t>
  </si>
  <si>
    <t>US8835561023</t>
  </si>
  <si>
    <t>Pan American Silver Corp</t>
  </si>
  <si>
    <t>PAAS US Pan American Silver Corp</t>
  </si>
  <si>
    <t>CA6979001089</t>
  </si>
  <si>
    <t>UNITEDHEALTH GROUP INC</t>
  </si>
  <si>
    <t>549300GHBMY8T5GXDE41</t>
  </si>
  <si>
    <t>UNH US UnitedHealth Group Inc</t>
  </si>
  <si>
    <t>US91324P1021</t>
  </si>
  <si>
    <t>אי.בי.אי. ניהול קרנות נאמנות (1978) בע"מ</t>
  </si>
  <si>
    <t>איביאי סל Nasdaq 100 ממ</t>
  </si>
  <si>
    <t>IL0012004433</t>
  </si>
  <si>
    <t>פסגות קרנות נאמנות בע"מ</t>
  </si>
  <si>
    <t>איביאיסל אינד צמיחה עולמי</t>
  </si>
  <si>
    <t>IL0011903627</t>
  </si>
  <si>
    <t>מור ניהול קרנות נאמנות (2013) בע"מ</t>
  </si>
  <si>
    <t>מור סל NASDAQ 100 ממ</t>
  </si>
  <si>
    <t>IL0011658445</t>
  </si>
  <si>
    <t>מיטב קרנות נאמנות בע"מ</t>
  </si>
  <si>
    <t>תכלית סל צמיחה עולמי</t>
  </si>
  <si>
    <t>IL0011896045</t>
  </si>
  <si>
    <t>מגדל קרנות נאמנות בע"מ</t>
  </si>
  <si>
    <t>MTF סל Nasdaq 100 ממ</t>
  </si>
  <si>
    <t>IL0011814451</t>
  </si>
  <si>
    <t>קסם קרנות נאמנות בע"מ</t>
  </si>
  <si>
    <t>קסם NDX100 ETF ממ</t>
  </si>
  <si>
    <t>IL0011466120</t>
  </si>
  <si>
    <t>MTF סל אנד צמיחה עולמי</t>
  </si>
  <si>
    <t>IL0011898108</t>
  </si>
  <si>
    <t>קסם ETF אינדקס צמי עולמי</t>
  </si>
  <si>
    <t>IL0011893729</t>
  </si>
  <si>
    <t>הראל סל בע"מ</t>
  </si>
  <si>
    <t>הראל סל (4A) ‏NASDAQ 100 מנוטרלת מט"ח</t>
  </si>
  <si>
    <t>IL0011491037</t>
  </si>
  <si>
    <t>Schwab U.S. Large-Cap Growth</t>
  </si>
  <si>
    <t>SCHG US Schwab U.S. Large-Cap Growth ETF</t>
  </si>
  <si>
    <t>US8085243009</t>
  </si>
  <si>
    <t>הראל קרנות נאמנות בע"מ</t>
  </si>
  <si>
    <t>הראל סל תלבונד 60</t>
  </si>
  <si>
    <t>IL0011504730</t>
  </si>
  <si>
    <t>איביאי סל תלבונד 60</t>
  </si>
  <si>
    <t>IL0011480063</t>
  </si>
  <si>
    <t>קסם Bullet ETF צמוד 2025</t>
  </si>
  <si>
    <t>IL0011582868</t>
  </si>
  <si>
    <t>קסם ETF תלבונד שקלי</t>
  </si>
  <si>
    <t>IL0011464141</t>
  </si>
  <si>
    <t>MTF סל (00) תל בונד 20</t>
  </si>
  <si>
    <t>IL0011499881</t>
  </si>
  <si>
    <t>תכלית סל תלבונד שקלי</t>
  </si>
  <si>
    <t>IL0011451841</t>
  </si>
  <si>
    <t>הראל סל תלבונד שקלי</t>
  </si>
  <si>
    <t>IL0011505232</t>
  </si>
  <si>
    <t>תכלית סל תלבונד 20</t>
  </si>
  <si>
    <t>IL0011437915</t>
  </si>
  <si>
    <t>קסם ETF תלבונד ש 3-5</t>
  </si>
  <si>
    <t>IL0011473969</t>
  </si>
  <si>
    <t>תכלית סל תלבונד 60</t>
  </si>
  <si>
    <t>IL0011451015</t>
  </si>
  <si>
    <t>הראל סל תלבונד 20</t>
  </si>
  <si>
    <t>IL0011504409</t>
  </si>
  <si>
    <t>קסם ETF תלבונד 40</t>
  </si>
  <si>
    <t>IL0011462160</t>
  </si>
  <si>
    <t>קסם ETF תלבונד 20</t>
  </si>
  <si>
    <t>IL0011459604</t>
  </si>
  <si>
    <t>MTF סל תלבונד שקלי</t>
  </si>
  <si>
    <t>IL0011500027</t>
  </si>
  <si>
    <t>MTF סל תלבונד 60‎</t>
  </si>
  <si>
    <t>IL0011499964</t>
  </si>
  <si>
    <t>הראל סל תלבונד ש 50</t>
  </si>
  <si>
    <t>IL0011507139</t>
  </si>
  <si>
    <t>תכלית סל תלבונד שקלי 50</t>
  </si>
  <si>
    <t>IL0011693335</t>
  </si>
  <si>
    <t>הראל סל תלבונד צמוד</t>
  </si>
  <si>
    <t>IL0011506065</t>
  </si>
  <si>
    <t>קסם ETF תלבונד 60</t>
  </si>
  <si>
    <t>IL0011462327</t>
  </si>
  <si>
    <t>קסם ETF תלבונד ש 50</t>
  </si>
  <si>
    <t>IL0011507626</t>
  </si>
  <si>
    <t>MTF סל‏ תלבונד שקל 50</t>
  </si>
  <si>
    <t>IL0011501686</t>
  </si>
  <si>
    <t>iShares EUR High Yield Corp Bo</t>
  </si>
  <si>
    <t>549300H5C1MUD4I96848</t>
  </si>
  <si>
    <t>IHYG LN- iShares EUR High Yield Corp Bo</t>
  </si>
  <si>
    <t>IE00B66F4759</t>
  </si>
  <si>
    <t>iShares USD Corp Bond UCITS ET</t>
  </si>
  <si>
    <t>549300QQR5SNTQVNFC45</t>
  </si>
  <si>
    <t>LQDE LN iShares $ corp Bond</t>
  </si>
  <si>
    <t>IE0032895942</t>
  </si>
  <si>
    <t>מור סל תא 125</t>
  </si>
  <si>
    <t>IL0011961534</t>
  </si>
  <si>
    <t>MTF סל תא 125</t>
  </si>
  <si>
    <t>IL0011502833</t>
  </si>
  <si>
    <t>איביאי סל תא 125</t>
  </si>
  <si>
    <t>IL0011488082</t>
  </si>
  <si>
    <t>תכלית סל תא-ביטוח</t>
  </si>
  <si>
    <t>IL0011976987</t>
  </si>
  <si>
    <t>איביאי טכ עילית</t>
  </si>
  <si>
    <t>IL0011425381</t>
  </si>
  <si>
    <t>מור סל אי.בנקים מש</t>
  </si>
  <si>
    <t>IL0011877649</t>
  </si>
  <si>
    <t>הראל סל תא 35</t>
  </si>
  <si>
    <t>IL0011489072</t>
  </si>
  <si>
    <t>איביאי סל אינדקס בנקים יש</t>
  </si>
  <si>
    <t>IL0011487746</t>
  </si>
  <si>
    <t>תכלית סל תא 35</t>
  </si>
  <si>
    <t>IL0011437006</t>
  </si>
  <si>
    <t>ילין לפידות-ניהול קרנות נאמנות בע"מ</t>
  </si>
  <si>
    <t>י.ל סל ת"א בנקים</t>
  </si>
  <si>
    <t>IL0012065491</t>
  </si>
  <si>
    <t>MTF סל‏ תא 90</t>
  </si>
  <si>
    <t>IL0011502593</t>
  </si>
  <si>
    <t>קסם ETF תא 35</t>
  </si>
  <si>
    <t>IL0011465700</t>
  </si>
  <si>
    <t>קסם ETF תא 125</t>
  </si>
  <si>
    <t>IL0011463564</t>
  </si>
  <si>
    <t>הראל סל תא 125</t>
  </si>
  <si>
    <t>IL0011488991</t>
  </si>
  <si>
    <t>תכלית סל תא 125</t>
  </si>
  <si>
    <t>IL0011437188</t>
  </si>
  <si>
    <t>Pershing Square Holdings Ltd/F</t>
  </si>
  <si>
    <t>U7LC4KOKCTZ0YWGI2G56</t>
  </si>
  <si>
    <t>PSH NA Pershing Square Holdings Ltd/F</t>
  </si>
  <si>
    <t>GG00BPFJTF46</t>
  </si>
  <si>
    <t>iShares MSCI Brazil ETF</t>
  </si>
  <si>
    <t>549300FJMHPYN6U09212</t>
  </si>
  <si>
    <t>4BRZ GY iShares MSCI Brazil UCITS</t>
  </si>
  <si>
    <t>DE000A0Q4R85</t>
  </si>
  <si>
    <t>iShares Core TOPIX ETF</t>
  </si>
  <si>
    <t>549300SP7D90SMMY7N82</t>
  </si>
  <si>
    <t>1475 JP iShares Core TOPIX ETF</t>
  </si>
  <si>
    <t>JP3048120004</t>
  </si>
  <si>
    <t>Consumer Staples Select Sector</t>
  </si>
  <si>
    <t>549300Z52QUV3UXHLA68</t>
  </si>
  <si>
    <t>XLP-SPDR Consumer Stapels</t>
  </si>
  <si>
    <t>US81369Y3080</t>
  </si>
  <si>
    <t>Franklin FTSE China ETF</t>
  </si>
  <si>
    <t>5493007BO6696OMBQG08</t>
  </si>
  <si>
    <t>FLXC LN Franklin FTSE China UCITS ETF</t>
  </si>
  <si>
    <t>IE00BHZRR147</t>
  </si>
  <si>
    <t>Industrial Select Sector SPDR</t>
  </si>
  <si>
    <t>549300HQI51T8KP6U325</t>
  </si>
  <si>
    <t>XLI-SPDR Industrial</t>
  </si>
  <si>
    <t>US81369Y7040</t>
  </si>
  <si>
    <t>Invesco S&amp;P SmallCap Energy ET</t>
  </si>
  <si>
    <t>5493008GV13MOHGPN118</t>
  </si>
  <si>
    <t>PSCE US Invesco S&amp;P SmallCap Energy ET</t>
  </si>
  <si>
    <t>US46138G4745</t>
  </si>
  <si>
    <t>iShares Core MSCI EM IMI UCITS</t>
  </si>
  <si>
    <t>549300HAPVPBRLCT6I96</t>
  </si>
  <si>
    <t>EIMI LN iShares Core MSCI EM IMI UCITS</t>
  </si>
  <si>
    <t>IE00BKM4GZ66</t>
  </si>
  <si>
    <t>GLOBAL HORIZON FUND</t>
  </si>
  <si>
    <t>549300UV6MMK38353F61</t>
  </si>
  <si>
    <t>HXT CN EQUITY</t>
  </si>
  <si>
    <t>CA44056G1054</t>
  </si>
  <si>
    <t>SPDR S&amp;P OIL &amp; GAS EXPLORATION</t>
  </si>
  <si>
    <t>5493001H1FSSB667C124</t>
  </si>
  <si>
    <t>XOP US SPDR S&amp;P Oil &amp; Gas Expl</t>
  </si>
  <si>
    <t>US78468R5569</t>
  </si>
  <si>
    <t>Global X Defense Tech ETF</t>
  </si>
  <si>
    <t>SHLD US Global X Defense Tech ETF</t>
  </si>
  <si>
    <t>US37960A5294</t>
  </si>
  <si>
    <t>iShares MSCI Emerging Markets</t>
  </si>
  <si>
    <t>549300OO3LEZN53XCB15</t>
  </si>
  <si>
    <t>EMXC US EQUITY</t>
  </si>
  <si>
    <t>US46434G7640</t>
  </si>
  <si>
    <t>Invesco S&amp;P 500 UCITS ETF</t>
  </si>
  <si>
    <t>635400KZRKKKNVCJXD85</t>
  </si>
  <si>
    <t>SPXS LN SOURCE S&amp;P 500 UCITS ETF</t>
  </si>
  <si>
    <t>IE00B3YCGJ38</t>
  </si>
  <si>
    <t>TOPIX Banks Exchange Traded</t>
  </si>
  <si>
    <t>353800A9AYNTIQFRDM29</t>
  </si>
  <si>
    <t>1615 JP TOPIX Banks Exchange Traded</t>
  </si>
  <si>
    <t>JP3040170007</t>
  </si>
  <si>
    <t>Health Care Select Sector SPDR</t>
  </si>
  <si>
    <t>549300EJNY3KKJHPOY44</t>
  </si>
  <si>
    <t>XLV-SPDR Health Care</t>
  </si>
  <si>
    <t>US81369Y2090</t>
  </si>
  <si>
    <t>Lyxor STOXX Europe 600 Healthc</t>
  </si>
  <si>
    <t>549300PIEKDU0YN6UJ34</t>
  </si>
  <si>
    <t>HLT FP Lyxor STOXX Europe 600 Healthc</t>
  </si>
  <si>
    <t>LU1834986900</t>
  </si>
  <si>
    <t>Utilities Select Sector SPDR F</t>
  </si>
  <si>
    <t>549300ERQDM80PRYUH21</t>
  </si>
  <si>
    <t>XLU-SPDR Utilities</t>
  </si>
  <si>
    <t>US81369Y8865</t>
  </si>
  <si>
    <t>Franklin FTSE South Korea ETF</t>
  </si>
  <si>
    <t>549300CQX72NL1HVMO40</t>
  </si>
  <si>
    <t>FLKR US Franklin FTSE South Korea ETF</t>
  </si>
  <si>
    <t>US35473P7107</t>
  </si>
  <si>
    <t>Invesco EURO STOXX 50 UCITS ETF</t>
  </si>
  <si>
    <t>635400HBSITNQELEBE97</t>
  </si>
  <si>
    <t>SDJE50 GY Invesco EURO STOXX 50</t>
  </si>
  <si>
    <t>IE00B60SWX25</t>
  </si>
  <si>
    <t>VanEck Vectors Oil Services ET</t>
  </si>
  <si>
    <t>549300WSDUDKDJCJOV22</t>
  </si>
  <si>
    <t>OIH US Market Vectors Oil Serv</t>
  </si>
  <si>
    <t>US92189H6071</t>
  </si>
  <si>
    <t>Franklin FTSE India ETF</t>
  </si>
  <si>
    <t>549300NU5VJOW0B4VV12</t>
  </si>
  <si>
    <t>FLIN US Franklin FTSE India ETF</t>
  </si>
  <si>
    <t>US35473P7693</t>
  </si>
  <si>
    <t>מור מחקה (4D) אינדקס יצרני ציוד לשבבים גלובלי</t>
  </si>
  <si>
    <t>IL0051341191</t>
  </si>
  <si>
    <t>AXA World Funds - US High Yiel</t>
  </si>
  <si>
    <t>213800MRE1HGV6R96K78</t>
  </si>
  <si>
    <t>AXUHYIU LX AXA World Funds - US High Yiel</t>
  </si>
  <si>
    <t>LU0276015889</t>
  </si>
  <si>
    <t>Credit Suisse Nova Lux Global</t>
  </si>
  <si>
    <t>54930077MN2BBHNFZQ03</t>
  </si>
  <si>
    <t>CSNGSMU LX CS Nova Lux</t>
  </si>
  <si>
    <t>LU0635707705</t>
  </si>
  <si>
    <t>UBAM - Global High Yield Solut</t>
  </si>
  <si>
    <t>RARWUTN1HKEHIBESC931</t>
  </si>
  <si>
    <t>UBGHYVC LX UBAM - Global High Yield Solut</t>
  </si>
  <si>
    <t>LU1315126273</t>
  </si>
  <si>
    <t>Fidelity Funds - US High Yield</t>
  </si>
  <si>
    <t>5493009BXYOCIRTXRS63</t>
  </si>
  <si>
    <t>FFUSIAC LX FF US HY</t>
  </si>
  <si>
    <t>LU0891474172</t>
  </si>
  <si>
    <t>Invesco Zodiac Funds - Invesco</t>
  </si>
  <si>
    <t>549300HQ8IBAX0TXDL49</t>
  </si>
  <si>
    <t>IUSSENG LX Invesco Zodiac Fu</t>
  </si>
  <si>
    <t>LU0564079282</t>
  </si>
  <si>
    <t>PIMCO GIS US High Yield Bond F</t>
  </si>
  <si>
    <t>H77EL1W1M92QDZ004K92</t>
  </si>
  <si>
    <t>PIMHYBA ID PIMCO GIS US High Yield Bond F</t>
  </si>
  <si>
    <t>IE0002460974</t>
  </si>
  <si>
    <t>PGIM Broad Market US High Yiel</t>
  </si>
  <si>
    <t>549300RZ4TE1T5F3DY45</t>
  </si>
  <si>
    <t>PGUHBIU ID PGIM Broad Market US High Yiel</t>
  </si>
  <si>
    <t>IE00BD1DGZ57</t>
  </si>
  <si>
    <t>Moneda - Moneda Latin American</t>
  </si>
  <si>
    <t>549300Q46JVJZTGJRL07</t>
  </si>
  <si>
    <t>MOLACDD KY Moneda - Moneda Latin Americ</t>
  </si>
  <si>
    <t>KYG620101306</t>
  </si>
  <si>
    <t>CIFC Senior Secured Corporate</t>
  </si>
  <si>
    <t>549300NEMRCSGL23FU27</t>
  </si>
  <si>
    <t>CIFCLF5 KY CIFC Senior secured Corporate</t>
  </si>
  <si>
    <t>KYG2139S1194</t>
  </si>
  <si>
    <t>BARINGS GLOBAL LOAN FUND</t>
  </si>
  <si>
    <t>549300DYLW3FDIN88243</t>
  </si>
  <si>
    <t>BCGLBUA ID Barings Global Loan</t>
  </si>
  <si>
    <t>IE00B3M6PL25</t>
  </si>
  <si>
    <t>DWS Invest Asian Bonds</t>
  </si>
  <si>
    <t>549300GOIVMDKMRG5X45</t>
  </si>
  <si>
    <t>DWSAFC5 LX DWS Invest Asian Bonds</t>
  </si>
  <si>
    <t>LU1949850538</t>
  </si>
  <si>
    <t>AXA World Funds - US Dynamic H</t>
  </si>
  <si>
    <t>2138002UQFJ8OOQX7851</t>
  </si>
  <si>
    <t>AUDHYBI LX AXA World Funds - US Dynamic H</t>
  </si>
  <si>
    <t>LU0998992639</t>
  </si>
  <si>
    <t>Robeco Capital Growth Funds -</t>
  </si>
  <si>
    <t>21380033AH4QAGYE2R38</t>
  </si>
  <si>
    <t>RGCEHBI LX Robeco Capital Growth Funds</t>
  </si>
  <si>
    <t>LU0226955762</t>
  </si>
  <si>
    <t>Muzinich Funds - Europeyield F</t>
  </si>
  <si>
    <t>549300JBHQVWT2N8U421</t>
  </si>
  <si>
    <t>MUEHEAS ID Muzinich EUR HY</t>
  </si>
  <si>
    <t>IE00B8FT9W20</t>
  </si>
  <si>
    <t>M&amp;G Lux Investment Funds 1 - M</t>
  </si>
  <si>
    <t>549300OR1ZG2XAP7AU07</t>
  </si>
  <si>
    <t>MGJEULI LX M&amp;G Lux Investment F</t>
  </si>
  <si>
    <t>LU2486835627</t>
  </si>
  <si>
    <t>Artemis Funds Lux - US Smaller</t>
  </si>
  <si>
    <t>5493005ZAZWM54373247</t>
  </si>
  <si>
    <t>ARUSIAU LX Artemis Funds Lux - US Smaller</t>
  </si>
  <si>
    <t>LU1805264717</t>
  </si>
  <si>
    <t>SPARX JAPAN FUND</t>
  </si>
  <si>
    <t>635400BTSWMY84SXPB33</t>
  </si>
  <si>
    <t>SPAJJID ID SPARX Japan Fund</t>
  </si>
  <si>
    <t>IE00BD6HM324</t>
  </si>
  <si>
    <t>Hereford Funds - Bin Yuan Greater China Fund</t>
  </si>
  <si>
    <t>2221002FAU8OH6SPVZ53</t>
  </si>
  <si>
    <t>HFBYCIU LX Hereford Funds - Bin Yuan Gr</t>
  </si>
  <si>
    <t>LU1778254844</t>
  </si>
  <si>
    <t>ES Baker Steel Global Investor</t>
  </si>
  <si>
    <t>2138003FAIFFWUN5UB32</t>
  </si>
  <si>
    <t>ESBSESG LN ES Baker Steel Global I</t>
  </si>
  <si>
    <t>GB00BPJGV115</t>
  </si>
  <si>
    <t>Premier Miton European Opportu</t>
  </si>
  <si>
    <t>213800KUMSHG3XCYWV09</t>
  </si>
  <si>
    <t>CFMEOBA LN- LF Miton European Opportunitie</t>
  </si>
  <si>
    <t>GB00BZ2K2M84</t>
  </si>
  <si>
    <t>Schroder ISF Greater China</t>
  </si>
  <si>
    <t>E6UHSPOBKJBKA5PR6370</t>
  </si>
  <si>
    <t>SCGRCIZ LX Schroder ISF Greater China</t>
  </si>
  <si>
    <t>LU1953148969</t>
  </si>
  <si>
    <t>GAM Star Disruptive Growth Fun</t>
  </si>
  <si>
    <t>549300I3EICUYP4RZ214</t>
  </si>
  <si>
    <t>GASDGNU ID GAM Star Disruptive Growth Fun</t>
  </si>
  <si>
    <t>IE00BN4RFJ17</t>
  </si>
  <si>
    <t>Alma Capital Investment Funds</t>
  </si>
  <si>
    <t>549300GFHQIH765PQO98</t>
  </si>
  <si>
    <t>AEJPIJA LX Alma Capital Investment Funds</t>
  </si>
  <si>
    <t>LU1013116519</t>
  </si>
  <si>
    <t>Morant Wright Sakura Fund</t>
  </si>
  <si>
    <t>635400DFJSORXMHOSP64</t>
  </si>
  <si>
    <t>MWSKYBA ID Morant Wright Sakura Fund</t>
  </si>
  <si>
    <t>IE00BF1FZN69</t>
  </si>
  <si>
    <t>Trium Sustainable Innovators N</t>
  </si>
  <si>
    <t>213800VJ5TWZ7NFNYZ54</t>
  </si>
  <si>
    <t>CQNAFUU ID Trium Sustainable Innovators N</t>
  </si>
  <si>
    <t>IE00BK6SBM68</t>
  </si>
  <si>
    <t>Brook European Focus Fund</t>
  </si>
  <si>
    <t>5493000W2DK9FVPW3M87</t>
  </si>
  <si>
    <t>ODEFCEI ID Brook European Focus Fund</t>
  </si>
  <si>
    <t>IE000YMX2574</t>
  </si>
  <si>
    <t>Comgest Growth PLC - Europe Op</t>
  </si>
  <si>
    <t>635400JYB1RHBTRDH390</t>
  </si>
  <si>
    <t>COMEEIA ID Comgest Gr PLC - EUR</t>
  </si>
  <si>
    <t>IE00B5WN3467</t>
  </si>
  <si>
    <t>Aubrey Capital Management Acce</t>
  </si>
  <si>
    <t>549300D0IRLAX781OQ71</t>
  </si>
  <si>
    <t>AUEMOIU LX Aubrey Capital Management Acc</t>
  </si>
  <si>
    <t>LU1350656507</t>
  </si>
  <si>
    <t>Invesco Greater China Equity</t>
  </si>
  <si>
    <t>54930002LY1J35GNQS37</t>
  </si>
  <si>
    <t>IGCESAU LX Invesco Greater China Equity</t>
  </si>
  <si>
    <t>LU1549405709</t>
  </si>
  <si>
    <t>India Acorn ICAV - Ashoka Indi</t>
  </si>
  <si>
    <t>213800M3HXZ3RG189568</t>
  </si>
  <si>
    <t>AIOFDUS ID India Acorn ICAV - Ashoka Indi</t>
  </si>
  <si>
    <t>IE00BH3N4915</t>
  </si>
  <si>
    <t>MI Chelverton Equity Fund - MI C</t>
  </si>
  <si>
    <t>5493005BE7RXCNO0T160</t>
  </si>
  <si>
    <t>MICHEBA LN MI Chelverton Equity Fund - MI C</t>
  </si>
  <si>
    <t>GB00BFNL2P39</t>
  </si>
  <si>
    <t>Matthews Asia Funds - China Sm</t>
  </si>
  <si>
    <t>549300BIBGH0BX9O1I95</t>
  </si>
  <si>
    <t>MACSCSU LX Matthews Asia Funds - China Sm</t>
  </si>
  <si>
    <t>LU1845113809</t>
  </si>
  <si>
    <t>Trium Sustainable Innovators G</t>
  </si>
  <si>
    <t>213800U3BPPHAS2BVM83</t>
  </si>
  <si>
    <t>CQGEFUH ID CQS New City Global Equity Fun</t>
  </si>
  <si>
    <t>IE00BJ320L65</t>
  </si>
  <si>
    <t>Gemway Assets GemEquity</t>
  </si>
  <si>
    <t>969500N1B6C986BLVK65</t>
  </si>
  <si>
    <t>GWAGSUS FP Gemway As GemEq</t>
  </si>
  <si>
    <t>FR0013246444</t>
  </si>
  <si>
    <t>דמרי אופ' 3</t>
  </si>
  <si>
    <t>IL0012028374</t>
  </si>
  <si>
    <t>קיסטון אינ אופ'</t>
  </si>
  <si>
    <t>IL0012039918</t>
  </si>
  <si>
    <t>אל על אופ' 3</t>
  </si>
  <si>
    <t>IL0012054677</t>
  </si>
  <si>
    <t>TBLAW US TABOOLA.COM LTD</t>
  </si>
  <si>
    <t>IL0011754210</t>
  </si>
  <si>
    <t>LEUMI C3000 JULY2024</t>
  </si>
  <si>
    <t>IL0849574483</t>
  </si>
  <si>
    <t>LEUMI P3000 JULY2024</t>
  </si>
  <si>
    <t>IL0849576538</t>
  </si>
  <si>
    <t>New York stock exchange</t>
  </si>
  <si>
    <t>5493000F4ZO33MV32P112</t>
  </si>
  <si>
    <t>CTV/WS US INNOVID CORP</t>
  </si>
  <si>
    <t>US4576791168</t>
  </si>
  <si>
    <t>NICE C260 16/08/24</t>
  </si>
  <si>
    <t>NICE US 08/16/24 C260</t>
  </si>
  <si>
    <t>CBOE GLOBAL MARKETS INC</t>
  </si>
  <si>
    <t>529900RLNSGA90UPEH54</t>
  </si>
  <si>
    <t>SPXW P5200 30/09/24</t>
  </si>
  <si>
    <t>SPXW P4300 31/07/24</t>
  </si>
  <si>
    <t>NASDAQ, INC.</t>
  </si>
  <si>
    <t>549300L8X1Q78ERXFD06</t>
  </si>
  <si>
    <t>CAMT C85 16/08/24</t>
  </si>
  <si>
    <t>CAMT US 08/16/24 C80</t>
  </si>
  <si>
    <t>Irish Stock Exchange PLC</t>
  </si>
  <si>
    <t>635400DZBUIMTBCXGA12</t>
  </si>
  <si>
    <t>TSEM Call 40 OPT 18/10/2024</t>
  </si>
  <si>
    <t>TSEM US 10/18/24 C45</t>
  </si>
  <si>
    <t>NVMI C270 16/08/24</t>
  </si>
  <si>
    <t>NVMI US 08/16/24 C270 EQUITY</t>
  </si>
  <si>
    <t>CAMT C125 15/11/24</t>
  </si>
  <si>
    <t>CAMT US 11/15/24 C125</t>
  </si>
  <si>
    <t>FCX US C70 15/11/2024</t>
  </si>
  <si>
    <t>FCX US 11/15/24 C70 EQUITY</t>
  </si>
  <si>
    <t>NVMI C280 16/08/24</t>
  </si>
  <si>
    <t>NVMI US 08/16/24 C280 EQUITY</t>
  </si>
  <si>
    <t>NVMI P210 16/08/24</t>
  </si>
  <si>
    <t>NVMI US 08/16/24 P210 EQUITY</t>
  </si>
  <si>
    <t>FCX US C55 15/11/2024</t>
  </si>
  <si>
    <t>FCX US 11/15/24 C55 EQUITY</t>
  </si>
  <si>
    <t>ORA C75 20/12/24</t>
  </si>
  <si>
    <t>ORA US 12/20/24 C75 EQUITY</t>
  </si>
  <si>
    <t>CAMT C115 16/08/24</t>
  </si>
  <si>
    <t>CAMT US 08/16/24 C115</t>
  </si>
  <si>
    <t>CAMT P70 16/08/24</t>
  </si>
  <si>
    <t>CAMT US 08/16/24 P70</t>
  </si>
  <si>
    <t>ORA C65 20/09/24</t>
  </si>
  <si>
    <t>ORA US 09/20/24 C65 EQUITY</t>
  </si>
  <si>
    <t>TSEM Put 25 OPT 19/07/2024</t>
  </si>
  <si>
    <t>TSEM US 07/19/24 P25</t>
  </si>
  <si>
    <t>TEVA C14 20/09/24</t>
  </si>
  <si>
    <t>TSEM Call 33 OPT 19/07/2024</t>
  </si>
  <si>
    <t>TSEM US 07/19/24 C33</t>
  </si>
  <si>
    <t>TSEM Call 40 OPT 19/07/2024</t>
  </si>
  <si>
    <t>TSEM US 07/19/24 C40</t>
  </si>
  <si>
    <t>SPXW P4800 31/07/24</t>
  </si>
  <si>
    <t>TSEM Call 45 OPT 18/10/2024</t>
  </si>
  <si>
    <t>SPXW P4700 30/09/24</t>
  </si>
  <si>
    <t>NICE US P130 15/11/2024</t>
  </si>
  <si>
    <t>NICE US 11/15/24 C210</t>
  </si>
  <si>
    <t>NICE US C210 15/11/2024</t>
  </si>
  <si>
    <t>CAMT C135 16/08/24</t>
  </si>
  <si>
    <t>ORA C85 20/12/24</t>
  </si>
  <si>
    <t>ORA US 12/20/24 C85 EQUITY</t>
  </si>
  <si>
    <t>CAMT C110 15/11/24</t>
  </si>
  <si>
    <t>CAMT US 11/15/24 C110</t>
  </si>
  <si>
    <t>CAMT P60 16/08/24</t>
  </si>
  <si>
    <t>CAMT US 08/16/24 P60</t>
  </si>
  <si>
    <t>CAMT P80 15/11/24</t>
  </si>
  <si>
    <t>CAMT US 11/15/24 P80</t>
  </si>
  <si>
    <t>TEVA C16 20/09/24</t>
  </si>
  <si>
    <t>NICE C230 16/08/24</t>
  </si>
  <si>
    <t>NICE US 08/16/24 C230</t>
  </si>
  <si>
    <t>ORA C75 20/09/24</t>
  </si>
  <si>
    <t>ORA US 09/20/24 C75 EQUITY</t>
  </si>
  <si>
    <t>TSEM Put 32 OPT 18/10/2024</t>
  </si>
  <si>
    <t>TSEM US 10/18/24 P32</t>
  </si>
  <si>
    <t>NICE C290 16/08/24</t>
  </si>
  <si>
    <t>NICE US 08/16/24 C290</t>
  </si>
  <si>
    <t>EUREX FRANKFURT AG</t>
  </si>
  <si>
    <t>529900UT4DG0LG5R9O07</t>
  </si>
  <si>
    <t>SMU4 SEP 24 SMI משתנה</t>
  </si>
  <si>
    <t>SMU4 INDEX</t>
  </si>
  <si>
    <t>ICE FUTURES US INC</t>
  </si>
  <si>
    <t>5493004R83R1LVX2IL36</t>
  </si>
  <si>
    <t>Z U4 SEP 24 FTSE משתנה</t>
  </si>
  <si>
    <t>Montreal Exchange Inc</t>
  </si>
  <si>
    <t>549300DKBYNOI0B1NP44</t>
  </si>
  <si>
    <t>PTU4 TSX SEP 24 משתנה</t>
  </si>
  <si>
    <t>Z U4 INDEX</t>
  </si>
  <si>
    <t>RBEU4 SEP 24 MSCIEM משתנה</t>
  </si>
  <si>
    <t>Osaka Exchange Inc</t>
  </si>
  <si>
    <t>3538001249AILNPRUX57</t>
  </si>
  <si>
    <t>TPU4 SEP 24 TOPIX משתנה</t>
  </si>
  <si>
    <t>CHICAGO MERCANTILE EXCHANGE INC</t>
  </si>
  <si>
    <t>SNZ2OJLFK8MNNCLQOF39</t>
  </si>
  <si>
    <t>ESU4 SEP 24 S&amp;P 500 משתנה</t>
  </si>
  <si>
    <t>ESU4 INDEX</t>
  </si>
  <si>
    <t>ASX Ltd</t>
  </si>
  <si>
    <t>549300VSBVYUCBIQKT71</t>
  </si>
  <si>
    <t>XPU4 SEP 24 ASX משתנה</t>
  </si>
  <si>
    <t>VGU4 SEP 24 EUROSTOXX משתנה</t>
  </si>
  <si>
    <t>PTU4 INDEX</t>
  </si>
  <si>
    <t>XPU4 INDEX</t>
  </si>
  <si>
    <t>VGU4 INDEX</t>
  </si>
  <si>
    <t>RBEU4 INDEX</t>
  </si>
  <si>
    <t>TPU4 INDEX</t>
  </si>
  <si>
    <t>לאומי אג"ח 1</t>
  </si>
  <si>
    <t>IL0011986390</t>
  </si>
  <si>
    <t>כלל תעשיות בע"מ</t>
  </si>
  <si>
    <t>כלל תעשאג טז-רמ</t>
  </si>
  <si>
    <t>IL0060802381</t>
  </si>
  <si>
    <t>חברת החשמל 2029 צמוד רצף</t>
  </si>
  <si>
    <t>IL0060001869</t>
  </si>
  <si>
    <t>אגד חברה לתחבורה בע"מ</t>
  </si>
  <si>
    <t>אגד אגח 1-רמ</t>
  </si>
  <si>
    <t>IL0011987877</t>
  </si>
  <si>
    <t>מימון ישיר הנפקות</t>
  </si>
  <si>
    <t>ישיר הנפקות אג"ח 16</t>
  </si>
  <si>
    <t>IL0011983405</t>
  </si>
  <si>
    <t>י.ח.ק להשקעות</t>
  </si>
  <si>
    <t>י.ח.ק להשקעות אג"ח ב</t>
  </si>
  <si>
    <t>IL0011817835</t>
  </si>
  <si>
    <t>תשתיות אנרגיה בע"מ</t>
  </si>
  <si>
    <t>תשתיות אנרגיה אג"ח א רצף</t>
  </si>
  <si>
    <t>IL0011680878</t>
  </si>
  <si>
    <t>אורמת אג"ח ד רצף</t>
  </si>
  <si>
    <t>IL0011672123</t>
  </si>
  <si>
    <t>גב-ים נגב בע"מ</t>
  </si>
  <si>
    <t>גב ים נגב אגח א - רמ</t>
  </si>
  <si>
    <t>IL0011511412</t>
  </si>
  <si>
    <t>אליהו הנפקות בע"מ</t>
  </si>
  <si>
    <t>אליהו הנפקות א רצף</t>
  </si>
  <si>
    <t>IL0011420093</t>
  </si>
  <si>
    <t>גדות מסופים לכימקלים (1985) בע"מ</t>
  </si>
  <si>
    <t>גדות מסף אגא-רמ</t>
  </si>
  <si>
    <t>IL0011623209</t>
  </si>
  <si>
    <t>רפאל מערכות לחימה מתקדמות בע"מ</t>
  </si>
  <si>
    <t>רפאל   אגח ד רצף</t>
  </si>
  <si>
    <t>IL0011402844</t>
  </si>
  <si>
    <t>וי.איי.די. חברה להתפלה בע"מ</t>
  </si>
  <si>
    <t>וי.אי.די התפלת מי אשקלון 0103 נשר</t>
  </si>
  <si>
    <t>IL0010876832</t>
  </si>
  <si>
    <t>דרך ארץ (בי.וי. סראנטה) בע"מ</t>
  </si>
  <si>
    <t>נתיבים אג"ח קונצרן (נסחר $ ) רצף</t>
  </si>
  <si>
    <t>IL0010902810</t>
  </si>
  <si>
    <t>רפאל אגח ה רצף</t>
  </si>
  <si>
    <t>IL0011402927</t>
  </si>
  <si>
    <t>מקורות אג"ח 6 רצף</t>
  </si>
  <si>
    <t>IL0011009086</t>
  </si>
  <si>
    <t>וי.אי.די התפלת מי אשקלון 0706 נשר</t>
  </si>
  <si>
    <t>IL0010979974</t>
  </si>
  <si>
    <t>מקורות אג"ח 8 רצף</t>
  </si>
  <si>
    <t>IL0011243461</t>
  </si>
  <si>
    <t>נתיבי גז אג"ח ג רצף</t>
  </si>
  <si>
    <t>IL0011255093</t>
  </si>
  <si>
    <t>ביטוח ישיר - השקעות פיננסיות בע"מ</t>
  </si>
  <si>
    <t>ביטוח ישיר סדרה י"א רצף</t>
  </si>
  <si>
    <t>IL0011388258</t>
  </si>
  <si>
    <t>נתיבי גז אג"ח א' רצף</t>
  </si>
  <si>
    <t>IL0011030843</t>
  </si>
  <si>
    <t>אלון" חברת הדלק לישראל בע"מ</t>
  </si>
  <si>
    <t>אלון אג"ח א רצף</t>
  </si>
  <si>
    <t>IL0011015679</t>
  </si>
  <si>
    <t>אפריקה ישראל תעשיות בע"מ</t>
  </si>
  <si>
    <t>אפריקה תעשיות</t>
  </si>
  <si>
    <t>IL0008000114</t>
  </si>
  <si>
    <t>ש.ב פורטפוליו תשתיות 1, שותפות מוגבלת</t>
  </si>
  <si>
    <t>ש.ב פרוטפוליו תשתיות - כבישים</t>
  </si>
  <si>
    <t>ביוויז טכנולוגיות בע"מ</t>
  </si>
  <si>
    <t>BeeWise Technologies</t>
  </si>
  <si>
    <t>רם מוגרבי ארדיטי בע"מ</t>
  </si>
  <si>
    <t>עסקת רם-מוגרבי-ארדיטי</t>
  </si>
  <si>
    <t>ישראל קנדה מלונאות בע"מ</t>
  </si>
  <si>
    <t>ישראל קנדה מלונאות</t>
  </si>
  <si>
    <t>איסכור תעשיות בע"מ</t>
  </si>
  <si>
    <t>איסכור</t>
  </si>
  <si>
    <t>Tally Holdings</t>
  </si>
  <si>
    <t>Tally Technologies</t>
  </si>
  <si>
    <t>FIMI Five 2012 Ltd.</t>
  </si>
  <si>
    <t>פימי 5</t>
  </si>
  <si>
    <t>COGITO CAPITAL GENERAL PARTNER LTD</t>
  </si>
  <si>
    <t>קוגיטו קפיטל אס.אם.אי. (עסקים בינוניים)</t>
  </si>
  <si>
    <t>נוי אי. איי תשתיות ואנרגיה ג'י.פי, ש.מ</t>
  </si>
  <si>
    <t>נוי מגלים</t>
  </si>
  <si>
    <t>S.H. SKY 3 Investment Management L.P.</t>
  </si>
  <si>
    <t>SKY III</t>
  </si>
  <si>
    <t>נוי 1 להשקעה בתשתיות ואנרגיה - מהנדסים חדש</t>
  </si>
  <si>
    <t>PONTIFAX MANAGEMENT III L.P</t>
  </si>
  <si>
    <t>Pontifax III</t>
  </si>
  <si>
    <t>COGITO CAPITAL FUND II GENERAL PARTNER LTD</t>
  </si>
  <si>
    <t>קוגיטו קפיטל 2</t>
  </si>
  <si>
    <t>Vintage Investments 5 L.P.</t>
  </si>
  <si>
    <t>Vintage Growth I - Vintage Co-Invest I (Vintage V)</t>
  </si>
  <si>
    <t>Vintage Investments 10 Limited Partnership</t>
  </si>
  <si>
    <t>Vintage Secondary Fund IV (Vintage X)</t>
  </si>
  <si>
    <t>Fortissimo Capital Fund III (GP), L.P</t>
  </si>
  <si>
    <t>פורטיסימו 3</t>
  </si>
  <si>
    <t>Stage One Capital (GP) III, L.P</t>
  </si>
  <si>
    <t>Stage One Venture Capital Fund III</t>
  </si>
  <si>
    <t>LOOL 2 Ventures GP LTD</t>
  </si>
  <si>
    <t>lool Ventures 2</t>
  </si>
  <si>
    <t>LOOL Technologies Ventures GP LTD</t>
  </si>
  <si>
    <t>Lool Opportunity Ventures</t>
  </si>
  <si>
    <t>Pereg Ventures GP, L.P.</t>
  </si>
  <si>
    <t>Pereg Venture Fund I</t>
  </si>
  <si>
    <t>COGITO CAPITAL LME GENERAL PARTNER, LIMITED PARTNERSHIP</t>
  </si>
  <si>
    <t>קוגיטו קפיטל בי.אמ.אי (משלימה)</t>
  </si>
  <si>
    <t>ARBEL FUND 2 GP LIMITED PARTNERSHIP</t>
  </si>
  <si>
    <t>ארבל 2</t>
  </si>
  <si>
    <t>נוי 2 להשקעה בתשתיות ואנרגיה</t>
  </si>
  <si>
    <t>טנא הון צמיחה 4 (ג'יפי) שותפות מוגבלת</t>
  </si>
  <si>
    <t>טנא 4</t>
  </si>
  <si>
    <t>נוי כבישים ג'י.פי, שותפות מוגבלת</t>
  </si>
  <si>
    <t>נוי חוצה ישראל - חדש</t>
  </si>
  <si>
    <t>SHAKED INVESTMENTS (G.P) LIMITED PARTNERSHIP</t>
  </si>
  <si>
    <t>Shaked Partners Fund</t>
  </si>
  <si>
    <t>נוי כוכב</t>
  </si>
  <si>
    <t>lool Ventures  L.P</t>
  </si>
  <si>
    <t>GSO Capital Solutions Associates III LP</t>
  </si>
  <si>
    <t>GSO Capital Solutions Fund III</t>
  </si>
  <si>
    <t>Ion Asset Management Ltd.</t>
  </si>
  <si>
    <t>ION ISRAEL FEEDER FUND 2013 LTD</t>
  </si>
  <si>
    <t>GL Partners VI, LLC</t>
  </si>
  <si>
    <t>AVENUE SPECIAL SITUATIONS FUND VI</t>
  </si>
  <si>
    <t>Blackstone Tactical Opportunities Management Associates (Cayman) - NQ L.P.</t>
  </si>
  <si>
    <t>VIVA CO INVESTMENT</t>
  </si>
  <si>
    <t>Viola Credit (BHF) GP, Limited Partnership</t>
  </si>
  <si>
    <t>Viola Credit (BHF) SPV</t>
  </si>
  <si>
    <t>Mideal Asset Management Ltd</t>
  </si>
  <si>
    <t>Mideal</t>
  </si>
  <si>
    <t>נוי פסולת לאנרגיה  NOY WASTE TO ENERGY</t>
  </si>
  <si>
    <t>NFX Capital Fund I GP, LLC</t>
  </si>
  <si>
    <t>NFX Capital Fund I</t>
  </si>
  <si>
    <t>Global Healthcare Management, LP</t>
  </si>
  <si>
    <t>Sphera Global Healthcare - J - Pocket</t>
  </si>
  <si>
    <t>Sphera Global Healthcare - (J) - F</t>
  </si>
  <si>
    <t>VIVA  III CO INVESTMENT</t>
  </si>
  <si>
    <t>Hamilton Lane Advisors, LLC</t>
  </si>
  <si>
    <t>Hamilton Lane Strategic Opportun 2016</t>
  </si>
  <si>
    <t>FATTAL EUROPEAN PARTNERSHIP 2 GP LTD</t>
  </si>
  <si>
    <t>פתאל שותפות אירופאית II</t>
  </si>
  <si>
    <t>OEP VI General Partner, L.P.</t>
  </si>
  <si>
    <t>One Equity Partners VI</t>
  </si>
  <si>
    <t>GSO Capital Opportunities Associates III LLC</t>
  </si>
  <si>
    <t>GSO Capital Opportunities Fund III</t>
  </si>
  <si>
    <t>GSO Diamond Portfolio Associates LLC</t>
  </si>
  <si>
    <t>GSO Diamond Portfolio</t>
  </si>
  <si>
    <t>Hamilton Lane Strategic Opportun 2017</t>
  </si>
  <si>
    <t>ICG Strategic Equity Associates II LLC</t>
  </si>
  <si>
    <t>ICG Strategic Secondaries Fund II</t>
  </si>
  <si>
    <t>SILVER LAKE TECHNOLOGY ASSOCIATES V, L.P.</t>
  </si>
  <si>
    <t>SILVER LAKE PARTNERS V</t>
  </si>
  <si>
    <t>Permira VI G.P. Limited</t>
  </si>
  <si>
    <t>PERMIRA VI</t>
  </si>
  <si>
    <t>Forma Fund General Partner Ltd</t>
  </si>
  <si>
    <t>Forma Fund I</t>
  </si>
  <si>
    <t>ICG Asia Pacific Fund III GP LP</t>
  </si>
  <si>
    <t>ICG Asia Pacific Fund III</t>
  </si>
  <si>
    <t>GSO CSF III Co-Investment Associates LP</t>
  </si>
  <si>
    <t>GSO CSF III Co-investment Fund</t>
  </si>
  <si>
    <t>Financial Credit Investment Advisors III, L.P.</t>
  </si>
  <si>
    <t>Financial Credit Investment III</t>
  </si>
  <si>
    <t>Blackstone Tactical Opportunities Management Associates (Cayman) L.P.</t>
  </si>
  <si>
    <t>Lombard Co Investment</t>
  </si>
  <si>
    <t>Apollo Advisors IX, L.P.</t>
  </si>
  <si>
    <t>Apollo Investment Fund IX</t>
  </si>
  <si>
    <t>נוי פסולת לאנרגיה NOY WASTE TO ENERGY 2</t>
  </si>
  <si>
    <t>Kennedy Wilson Real Estate Fund VI Feeder, LP</t>
  </si>
  <si>
    <t>Kennedy Wilson Fund VI</t>
  </si>
  <si>
    <t>CVC Capital Partners VII Limited</t>
  </si>
  <si>
    <t>CVC Capital Partners VII</t>
  </si>
  <si>
    <t>Lexington Partners GP Holdings V LLC</t>
  </si>
  <si>
    <t>LMMI IV</t>
  </si>
  <si>
    <t>נופר אנרג'י אופציה</t>
  </si>
  <si>
    <t>CEL IT C001 25.06.2025</t>
  </si>
  <si>
    <t>CEL IT 001</t>
  </si>
  <si>
    <t>USDILS</t>
  </si>
  <si>
    <t>MIZBILIT</t>
  </si>
  <si>
    <t>86123386</t>
  </si>
  <si>
    <t>JPMSGB2L</t>
  </si>
  <si>
    <t>86123216</t>
  </si>
  <si>
    <t>POALILIT</t>
  </si>
  <si>
    <t>86123136</t>
  </si>
  <si>
    <t>86123140</t>
  </si>
  <si>
    <t>86123192</t>
  </si>
  <si>
    <t>86123130</t>
  </si>
  <si>
    <t>86123150</t>
  </si>
  <si>
    <t>86123188</t>
  </si>
  <si>
    <t>LUMIILIT</t>
  </si>
  <si>
    <t>86123158</t>
  </si>
  <si>
    <t>86123184</t>
  </si>
  <si>
    <t>86123164</t>
  </si>
  <si>
    <t>86123190</t>
  </si>
  <si>
    <t>86123162</t>
  </si>
  <si>
    <t>86123160</t>
  </si>
  <si>
    <t>86123303</t>
  </si>
  <si>
    <t>86123294</t>
  </si>
  <si>
    <t>86123298</t>
  </si>
  <si>
    <t>GBPUSD</t>
  </si>
  <si>
    <t>86123301</t>
  </si>
  <si>
    <t>86123312</t>
  </si>
  <si>
    <t>EURUSD</t>
  </si>
  <si>
    <t>86123304</t>
  </si>
  <si>
    <t>2330 TT</t>
  </si>
  <si>
    <t>CSIN0905</t>
  </si>
  <si>
    <t>BCMENFI3</t>
  </si>
  <si>
    <t>POLI IT</t>
  </si>
  <si>
    <t>TA-BANKS5</t>
  </si>
  <si>
    <t>BCMETESS</t>
  </si>
  <si>
    <t>86123332</t>
  </si>
  <si>
    <t>BEZQIT</t>
  </si>
  <si>
    <t>86123230</t>
  </si>
  <si>
    <t>GSCBHTH2</t>
  </si>
  <si>
    <t>86123270</t>
  </si>
  <si>
    <t>EURILS</t>
  </si>
  <si>
    <t>JPMENHOS</t>
  </si>
  <si>
    <t>JPHYDBEN</t>
  </si>
  <si>
    <t>JPMENINF</t>
  </si>
  <si>
    <t>JPMENNRG</t>
  </si>
  <si>
    <t>JPHCMEN</t>
  </si>
  <si>
    <t>DABJFNNL</t>
  </si>
  <si>
    <t>GSCBGM01</t>
  </si>
  <si>
    <t>SX7GR</t>
  </si>
  <si>
    <t>HZ4J3200.0</t>
  </si>
  <si>
    <t>86123262</t>
  </si>
  <si>
    <t>קבועה</t>
  </si>
  <si>
    <t>AA-</t>
  </si>
  <si>
    <t>נדל"ן מניב - אחר/לא מסווג</t>
  </si>
  <si>
    <t>A</t>
  </si>
  <si>
    <t>אשראי אחר בענף הנדל"ן (לרבות אשראי לכל מטרה) - אשראי לפעילות הונית</t>
  </si>
  <si>
    <t>ilBBB</t>
  </si>
  <si>
    <t>נדל"ן מניב - מסחר</t>
  </si>
  <si>
    <t>AA</t>
  </si>
  <si>
    <t>Baa2.il</t>
  </si>
  <si>
    <t>נדל"ן מניב - מגורים (כולל דיור מוגן)</t>
  </si>
  <si>
    <t>נדל"ן מניב - תעשייה</t>
  </si>
  <si>
    <t>B1</t>
  </si>
  <si>
    <t>AAA</t>
  </si>
  <si>
    <t>Octagon Investment Partners 38</t>
  </si>
  <si>
    <t>5493008X1UBLOD3JDQ57</t>
  </si>
  <si>
    <t>OCT68 2023-1A B</t>
  </si>
  <si>
    <t>US675949AG62</t>
  </si>
  <si>
    <t>Jubilee CDO BV</t>
  </si>
  <si>
    <t>635400VSK1SGNFTGEP54</t>
  </si>
  <si>
    <t>JUBIL 2024-28X B2</t>
  </si>
  <si>
    <t>XS2798878596</t>
  </si>
  <si>
    <t>JUBIL 2022-26X B1R</t>
  </si>
  <si>
    <t>XS2762951015</t>
  </si>
  <si>
    <t>Madison Park Funding Ltd</t>
  </si>
  <si>
    <t>MDPK 2018-31A B</t>
  </si>
  <si>
    <t>US55819DBA37</t>
  </si>
  <si>
    <t>Madison Park Funding-credit swiss</t>
  </si>
  <si>
    <t>635400QAKMFE9UMDPB44</t>
  </si>
  <si>
    <t>MDPKE 15X BR MTGE CLO</t>
  </si>
  <si>
    <t>XS2472844435</t>
  </si>
  <si>
    <t>JUBIL 2024-28X B1</t>
  </si>
  <si>
    <t>XS2798878240</t>
  </si>
  <si>
    <t>OHA Loan Funding Ltd</t>
  </si>
  <si>
    <t>25490072LQI0R2J4XC93</t>
  </si>
  <si>
    <t>OHALF 2015-1X BR3 CLO</t>
  </si>
  <si>
    <t>USG67234BQ99</t>
  </si>
  <si>
    <t>MDPK 2016-21X A2RR CLO</t>
  </si>
  <si>
    <t>USG5750VAR62</t>
  </si>
  <si>
    <t>MDPKE 19X B1MDPKE 19X B1</t>
  </si>
  <si>
    <t>XS2600712033</t>
  </si>
  <si>
    <t>CIFC Funding Ltd</t>
  </si>
  <si>
    <t>254900SVOWCOSOG16T40</t>
  </si>
  <si>
    <t>CIFC 2019-3X A2R CLO</t>
  </si>
  <si>
    <t>USG21654AH40</t>
  </si>
  <si>
    <t>Aa2</t>
  </si>
  <si>
    <t>JUBIL 2016-17X B1RR CLO</t>
  </si>
  <si>
    <t>XS2307739123</t>
  </si>
  <si>
    <t>Carlyle Global Markit Strategi</t>
  </si>
  <si>
    <t>549300R4G5ROMXQ5CG20</t>
  </si>
  <si>
    <t>CGMS 2012-4X BR3 CLO</t>
  </si>
  <si>
    <t>USG1913WAX41</t>
  </si>
  <si>
    <t>OCT64 2022-1X B1</t>
  </si>
  <si>
    <t>USG8574AAD12</t>
  </si>
  <si>
    <t>GoldenTree Loan Management US</t>
  </si>
  <si>
    <t>549300TS068SCJRDSP12</t>
  </si>
  <si>
    <t>GLM 2023-17X B</t>
  </si>
  <si>
    <t>USG3963XAC32</t>
  </si>
  <si>
    <t>ICG US CLO LTD</t>
  </si>
  <si>
    <t>63540028G9FPZW4LFZ33</t>
  </si>
  <si>
    <t>ICG 2018-1X A2 CLO</t>
  </si>
  <si>
    <t>USG47086AB23</t>
  </si>
  <si>
    <t>Aa1</t>
  </si>
  <si>
    <t>Symphony CLO Ltd</t>
  </si>
  <si>
    <t>254900R36BJSADLUH162</t>
  </si>
  <si>
    <t>SYMP 2022-35X BR</t>
  </si>
  <si>
    <t>USG8651WAJ65</t>
  </si>
  <si>
    <t>DRYDEN SENIOR LOAN FUND</t>
  </si>
  <si>
    <t>549300S32UW0TE4JM250</t>
  </si>
  <si>
    <t>DRSLF 2018-70X B CLO</t>
  </si>
  <si>
    <t>USG28503AC76</t>
  </si>
  <si>
    <t>CVC</t>
  </si>
  <si>
    <t>54930002S39B168UJK53</t>
  </si>
  <si>
    <t>CORDA 29X B</t>
  </si>
  <si>
    <t>XS2699901711</t>
  </si>
  <si>
    <t>OCT38 2018-1X A3A CLO</t>
  </si>
  <si>
    <t>USG67143AC47</t>
  </si>
  <si>
    <t>חייבים בגין תקבולים</t>
  </si>
  <si>
    <t>אמ.וו.אל אג"ח א</t>
  </si>
  <si>
    <t>IL0011435448</t>
  </si>
  <si>
    <t>RFLB 7 08/16/23</t>
  </si>
  <si>
    <t>RU000A0JU4L3</t>
  </si>
  <si>
    <t>RUB</t>
  </si>
  <si>
    <t>אמפל אג"ח ב' חש 01/12</t>
  </si>
  <si>
    <t>IL0011103780</t>
  </si>
  <si>
    <t>חו"ז עסקים קטנים ובינוניים</t>
  </si>
  <si>
    <t>סוף מידע</t>
  </si>
  <si>
    <t>תחילת מידע טבלה צד ימין</t>
  </si>
  <si>
    <t>תחילת מידע</t>
  </si>
  <si>
    <t>סוף מידע טבלה צד שמאל</t>
  </si>
  <si>
    <t>סוף מידע טבלה</t>
  </si>
  <si>
    <t>NA</t>
  </si>
  <si>
    <t>45-2832195</t>
  </si>
  <si>
    <t>98-1444970</t>
  </si>
  <si>
    <t>98-1582217</t>
  </si>
  <si>
    <t>87-4028304</t>
  </si>
  <si>
    <t>81-3802756</t>
  </si>
  <si>
    <t>B245363</t>
  </si>
  <si>
    <t> 97590</t>
  </si>
  <si>
    <t>46-3920569</t>
  </si>
  <si>
    <t>88-3560643</t>
  </si>
  <si>
    <t>MC-114925</t>
  </si>
  <si>
    <t>86-2321341</t>
  </si>
  <si>
    <t>98-1030575</t>
  </si>
  <si>
    <t>CO-101523</t>
  </si>
  <si>
    <t>84-3294554</t>
  </si>
  <si>
    <t>84-3407929</t>
  </si>
  <si>
    <t>XXJ8O8RONB9FETFPCB63</t>
  </si>
  <si>
    <t>MC-83827</t>
  </si>
  <si>
    <t>84-4220980</t>
  </si>
  <si>
    <t>MC-93406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</si>
</sst>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_ * #,##0.00000_ ;_ * \-#,##0.00000_ ;_ * &quot;-&quot;??_ ;_ @_ "/>
    <numFmt numFmtId="169" formatCode="_ * #,##0.0_ ;_ * \-#,##0.0_ ;_ * &quot;-&quot;??_ ;_ @_ "/>
  </numFmts>
  <fonts count="25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  <font>
      <sz val="12"/>
      <color theme="0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rgb="FF9CC2E5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1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3" fillId="3" borderId="3" xfId="0" applyFont="1" applyFill="1" applyBorder="1" applyAlignment="1">
      <alignment horizontal="left" vertical="center" wrapText="1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5" fillId="6" borderId="2" xfId="0" applyFont="1" applyFill="1" applyBorder="1"/>
    <xf numFmtId="0" fontId="16" fillId="0" borderId="19" xfId="0" applyFont="1" applyBorder="1" applyAlignment="1">
      <alignment horizontal="right" vertical="center" wrapText="1" readingOrder="2"/>
    </xf>
    <xf numFmtId="0" fontId="17" fillId="0" borderId="19" xfId="0" applyFont="1" applyBorder="1" applyAlignment="1">
      <alignment horizontal="right" vertical="center" wrapText="1" readingOrder="2"/>
    </xf>
    <xf numFmtId="2" fontId="16" fillId="0" borderId="19" xfId="0" applyNumberFormat="1" applyFont="1" applyBorder="1" applyAlignment="1">
      <alignment horizontal="right" vertical="center" wrapText="1" readingOrder="2"/>
    </xf>
    <xf numFmtId="0" fontId="18" fillId="0" borderId="19" xfId="0" applyFont="1" applyBorder="1" applyAlignment="1">
      <alignment horizontal="center" vertical="center" wrapText="1" readingOrder="2"/>
    </xf>
    <xf numFmtId="0" fontId="15" fillId="0" borderId="19" xfId="0" applyFont="1" applyBorder="1" applyAlignment="1">
      <alignment horizontal="right" vertical="center" wrapText="1" readingOrder="2"/>
    </xf>
    <xf numFmtId="165" fontId="16" fillId="0" borderId="19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6" fontId="10" fillId="0" borderId="4" xfId="3" applyNumberFormat="1" applyFont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168" fontId="10" fillId="0" borderId="4" xfId="1" applyNumberFormat="1" applyFont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14" fontId="9" fillId="2" borderId="7" xfId="0" applyNumberFormat="1" applyFont="1" applyFill="1" applyBorder="1" applyAlignment="1">
      <alignment horizontal="center" vertical="center" wrapText="1"/>
    </xf>
    <xf numFmtId="169" fontId="0" fillId="0" borderId="0" xfId="1" applyNumberFormat="1" applyFont="1" applyAlignment="1">
      <alignment horizontal="right"/>
    </xf>
    <xf numFmtId="0" fontId="10" fillId="0" borderId="21" xfId="0" applyFont="1" applyBorder="1"/>
    <xf numFmtId="166" fontId="10" fillId="0" borderId="21" xfId="1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3" fillId="5" borderId="17" xfId="0" applyFont="1" applyFill="1" applyBorder="1" applyAlignment="1">
      <alignment horizontal="center"/>
    </xf>
    <xf numFmtId="0" fontId="23" fillId="5" borderId="2" xfId="0" applyFont="1" applyFill="1" applyBorder="1" applyAlignment="1">
      <alignment horizontal="center"/>
    </xf>
    <xf numFmtId="0" fontId="23" fillId="5" borderId="16" xfId="0" applyFont="1" applyFill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4" fillId="0" borderId="25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7" xfId="0" applyFont="1" applyBorder="1" applyAlignment="1">
      <alignment horizontal="center"/>
    </xf>
  </cellXfs>
  <cellStyles count="4">
    <cellStyle name="Comma" xfId="1" builtinId="3"/>
    <cellStyle name="Normal" xfId="0" builtinId="0"/>
    <cellStyle name="Normal 2" xfId="3" xr:uid="{85E8B709-D529-447F-A9EB-7D5782ABE2D9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I25"/>
  <sheetViews>
    <sheetView showGridLines="0" rightToLeft="1" tabSelected="1" workbookViewId="0">
      <selection sqref="A1:A25"/>
    </sheetView>
  </sheetViews>
  <sheetFormatPr defaultColWidth="12.625" defaultRowHeight="15" customHeight="1"/>
  <cols>
    <col min="1" max="1" width="3.125" customWidth="1"/>
    <col min="2" max="2" width="29.5" customWidth="1"/>
    <col min="3" max="3" width="11" customWidth="1"/>
    <col min="4" max="4" width="4.625" customWidth="1"/>
    <col min="5" max="5" width="67.5" customWidth="1"/>
    <col min="6" max="6" width="3.125" customWidth="1"/>
    <col min="7" max="27" width="8.625" customWidth="1"/>
  </cols>
  <sheetData>
    <row r="1" spans="1:9" ht="15" customHeight="1">
      <c r="A1" s="106" t="s">
        <v>3764</v>
      </c>
      <c r="B1" s="105" t="s">
        <v>3765</v>
      </c>
      <c r="C1" s="105"/>
      <c r="D1" s="105"/>
      <c r="E1" s="105"/>
      <c r="F1" s="106" t="s">
        <v>3766</v>
      </c>
    </row>
    <row r="2" spans="1:9" ht="14.25" customHeight="1">
      <c r="A2" s="106"/>
      <c r="B2" s="1" t="s">
        <v>0</v>
      </c>
      <c r="C2" s="2"/>
      <c r="D2" s="2"/>
      <c r="E2" s="2"/>
      <c r="F2" s="106"/>
    </row>
    <row r="3" spans="1:9" ht="14.25" customHeight="1">
      <c r="A3" s="106"/>
      <c r="F3" s="106"/>
    </row>
    <row r="4" spans="1:9" ht="14.25" customHeight="1">
      <c r="A4" s="106"/>
      <c r="B4" s="3" t="s">
        <v>1</v>
      </c>
      <c r="E4" s="4" t="s">
        <v>1194</v>
      </c>
      <c r="F4" s="106"/>
    </row>
    <row r="5" spans="1:9" ht="14.25" customHeight="1">
      <c r="A5" s="106"/>
      <c r="F5" s="106"/>
    </row>
    <row r="6" spans="1:9" ht="14.25" customHeight="1">
      <c r="A6" s="106"/>
      <c r="B6" s="3" t="s">
        <v>2</v>
      </c>
      <c r="E6" s="4" t="s">
        <v>1098</v>
      </c>
      <c r="F6" s="106"/>
    </row>
    <row r="7" spans="1:9" ht="14.25" customHeight="1">
      <c r="A7" s="106"/>
      <c r="F7" s="106"/>
    </row>
    <row r="8" spans="1:9" ht="14.25" customHeight="1">
      <c r="A8" s="106"/>
      <c r="B8" s="3" t="s">
        <v>3</v>
      </c>
      <c r="E8" s="4">
        <v>2</v>
      </c>
      <c r="F8" s="106"/>
    </row>
    <row r="9" spans="1:9" ht="14.25" customHeight="1">
      <c r="A9" s="106"/>
      <c r="E9" s="5"/>
      <c r="F9" s="106"/>
      <c r="G9" s="5"/>
      <c r="H9" s="5"/>
      <c r="I9" s="5"/>
    </row>
    <row r="10" spans="1:9" ht="14.25" customHeight="1">
      <c r="A10" s="106"/>
      <c r="B10" s="3" t="s">
        <v>4</v>
      </c>
      <c r="E10" s="4">
        <v>24</v>
      </c>
      <c r="F10" s="106"/>
    </row>
    <row r="11" spans="1:9" ht="14.25" customHeight="1">
      <c r="A11" s="106"/>
      <c r="F11" s="106"/>
    </row>
    <row r="12" spans="1:9" ht="14.25" customHeight="1">
      <c r="A12" s="106"/>
      <c r="B12" s="3" t="s">
        <v>5</v>
      </c>
      <c r="E12" s="4" t="s">
        <v>1195</v>
      </c>
      <c r="F12" s="106"/>
    </row>
    <row r="13" spans="1:9" ht="14.25" customHeight="1">
      <c r="A13" s="106"/>
      <c r="F13" s="106"/>
    </row>
    <row r="14" spans="1:9" ht="14.25" customHeight="1">
      <c r="A14" s="106"/>
      <c r="B14" s="3" t="s">
        <v>6</v>
      </c>
      <c r="E14" s="4">
        <v>520027715</v>
      </c>
      <c r="F14" s="106"/>
    </row>
    <row r="15" spans="1:9" ht="14.25" customHeight="1">
      <c r="A15" s="106"/>
      <c r="F15" s="106"/>
    </row>
    <row r="16" spans="1:9" ht="14.25" customHeight="1">
      <c r="A16" s="106"/>
      <c r="B16" s="6" t="s">
        <v>7</v>
      </c>
      <c r="E16" s="4" t="s">
        <v>1196</v>
      </c>
      <c r="F16" s="106"/>
    </row>
    <row r="17" spans="1:9" ht="14.25" customHeight="1">
      <c r="A17" s="106"/>
      <c r="B17" s="6"/>
      <c r="E17" s="5"/>
      <c r="F17" s="106"/>
      <c r="G17" s="5"/>
      <c r="H17" s="5"/>
      <c r="I17" s="5"/>
    </row>
    <row r="18" spans="1:9" ht="14.25" customHeight="1">
      <c r="A18" s="106"/>
      <c r="B18" s="6" t="s">
        <v>8</v>
      </c>
      <c r="C18" s="7" t="s">
        <v>9</v>
      </c>
      <c r="D18" s="7"/>
      <c r="E18" s="8">
        <v>0</v>
      </c>
      <c r="F18" s="106"/>
    </row>
    <row r="19" spans="1:9" ht="14.25" customHeight="1">
      <c r="A19" s="106"/>
      <c r="B19" s="9"/>
      <c r="C19" s="10"/>
      <c r="D19" s="10"/>
      <c r="E19" s="10"/>
      <c r="F19" s="106"/>
      <c r="G19" s="10"/>
      <c r="H19" s="10"/>
      <c r="I19" s="10"/>
    </row>
    <row r="20" spans="1:9" ht="14.25" customHeight="1">
      <c r="A20" s="106"/>
      <c r="B20" s="9"/>
      <c r="C20" s="7" t="s">
        <v>10</v>
      </c>
      <c r="D20" s="7"/>
      <c r="E20" s="8">
        <v>0</v>
      </c>
      <c r="F20" s="106"/>
    </row>
    <row r="21" spans="1:9" ht="14.25" customHeight="1">
      <c r="A21" s="106"/>
      <c r="B21" s="9"/>
      <c r="C21" s="10"/>
      <c r="D21" s="10"/>
      <c r="E21" s="10"/>
      <c r="F21" s="106"/>
      <c r="G21" s="10"/>
      <c r="H21" s="10"/>
      <c r="I21" s="10"/>
    </row>
    <row r="22" spans="1:9" ht="14.25" customHeight="1">
      <c r="A22" s="106"/>
      <c r="B22" s="9"/>
      <c r="C22" s="7" t="s">
        <v>11</v>
      </c>
      <c r="D22" s="7"/>
      <c r="E22" s="11">
        <v>0</v>
      </c>
      <c r="F22" s="106"/>
    </row>
    <row r="23" spans="1:9" ht="14.25" customHeight="1">
      <c r="A23" s="106"/>
      <c r="B23" s="9"/>
      <c r="C23" s="12"/>
      <c r="D23" s="12"/>
      <c r="F23" s="106"/>
    </row>
    <row r="24" spans="1:9" ht="14.25" customHeight="1">
      <c r="A24" s="106"/>
      <c r="B24" s="6" t="s">
        <v>12</v>
      </c>
      <c r="E24" s="10" t="s">
        <v>13</v>
      </c>
      <c r="F24" s="106"/>
      <c r="G24" s="10"/>
      <c r="H24" s="10"/>
      <c r="I24" s="10"/>
    </row>
    <row r="25" spans="1:9" ht="15" customHeight="1">
      <c r="A25" s="106"/>
      <c r="B25" s="105" t="s">
        <v>3763</v>
      </c>
      <c r="C25" s="105"/>
      <c r="D25" s="105"/>
      <c r="E25" s="105"/>
      <c r="F25" s="106"/>
    </row>
  </sheetData>
  <mergeCells count="4">
    <mergeCell ref="B25:E25"/>
    <mergeCell ref="A1:A25"/>
    <mergeCell ref="B1:E1"/>
    <mergeCell ref="F1:F25"/>
  </mergeCells>
  <conditionalFormatting sqref="E4">
    <cfRule type="containsText" dxfId="7" priority="5" operator="containsText" text="Please fill in data">
      <formula>NOT(ISERROR(SEARCH(("Please fill in data"),(E4))))</formula>
    </cfRule>
  </conditionalFormatting>
  <conditionalFormatting sqref="E6">
    <cfRule type="containsText" dxfId="6" priority="8" operator="containsText" text="Please fill in data">
      <formula>NOT(ISERROR(SEARCH(("Please fill in data"),(E6))))</formula>
    </cfRule>
  </conditionalFormatting>
  <conditionalFormatting sqref="E8:E10">
    <cfRule type="containsText" dxfId="5" priority="6" operator="containsText" text="Please fill in data">
      <formula>NOT(ISERROR(SEARCH(("Please fill in data"),(E8))))</formula>
    </cfRule>
  </conditionalFormatting>
  <conditionalFormatting sqref="E12">
    <cfRule type="containsText" dxfId="4" priority="10" operator="containsText" text="Please fill in data">
      <formula>NOT(ISERROR(SEARCH(("Please fill in data"),(E12))))</formula>
    </cfRule>
  </conditionalFormatting>
  <conditionalFormatting sqref="E14">
    <cfRule type="containsText" dxfId="3" priority="11" operator="containsText" text="Please fill in data">
      <formula>NOT(ISERROR(SEARCH(("Please fill in data"),(E14))))</formula>
    </cfRule>
  </conditionalFormatting>
  <conditionalFormatting sqref="E16:E18">
    <cfRule type="containsText" dxfId="2" priority="2" operator="containsText" text="Please fill in data">
      <formula>NOT(ISERROR(SEARCH(("Please fill in data"),(E16))))</formula>
    </cfRule>
  </conditionalFormatting>
  <conditionalFormatting sqref="E20">
    <cfRule type="containsText" dxfId="1" priority="3" operator="containsText" text="Please fill in data">
      <formula>NOT(ISERROR(SEARCH(("Please fill in data"),(E20))))</formula>
    </cfRule>
  </conditionalFormatting>
  <conditionalFormatting sqref="E22">
    <cfRule type="containsText" dxfId="0" priority="1" operator="containsText" text="Please fill in data">
      <formula>NOT(ISERROR(SEARCH(("Please fill in data"),(E22))))</formula>
    </cfRule>
  </conditionalFormatting>
  <dataValidations count="5">
    <dataValidation type="list" allowBlank="1" showErrorMessage="1" sqref="E12" xr:uid="{00000000-0002-0000-0000-000000000000}">
      <formula1>Company_Name</formula1>
    </dataValidation>
    <dataValidation type="list" allowBlank="1" showErrorMessage="1" sqref="E4" xr:uid="{00000000-0002-0000-0000-000001000000}">
      <formula1>Type</formula1>
    </dataValidation>
    <dataValidation type="list" allowBlank="1" showErrorMessage="1" sqref="E10" xr:uid="{00000000-0002-0000-0000-000002000000}">
      <formula1>YEAR</formula1>
    </dataValidation>
    <dataValidation type="list" allowBlank="1" showErrorMessage="1" sqref="E6" xr:uid="{00000000-0002-0000-0000-000003000000}">
      <formula1>File_Type</formula1>
    </dataValidation>
    <dataValidation type="list" allowBlank="1" showErrorMessage="1" sqref="E8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AA34"/>
  <sheetViews>
    <sheetView showGridLines="0" rightToLeft="1" workbookViewId="0">
      <selection activeCell="C33" sqref="C33"/>
    </sheetView>
  </sheetViews>
  <sheetFormatPr defaultColWidth="12.625" defaultRowHeight="15" customHeight="1"/>
  <cols>
    <col min="1" max="1" width="3.125" customWidth="1"/>
    <col min="2" max="2" width="42.75" customWidth="1"/>
    <col min="3" max="6" width="13" customWidth="1"/>
    <col min="7" max="7" width="3.125" customWidth="1"/>
    <col min="8" max="11" width="9" customWidth="1"/>
    <col min="12" max="12" width="17.75" bestFit="1" customWidth="1"/>
    <col min="13" max="27" width="9" customWidth="1"/>
  </cols>
  <sheetData>
    <row r="1" spans="1:27" ht="15" customHeight="1">
      <c r="A1" s="106" t="s">
        <v>3764</v>
      </c>
      <c r="B1" s="108" t="s">
        <v>3765</v>
      </c>
      <c r="C1" s="108"/>
      <c r="D1" s="108"/>
      <c r="E1" s="108"/>
      <c r="F1" s="108"/>
      <c r="G1" s="106" t="s">
        <v>3766</v>
      </c>
    </row>
    <row r="2" spans="1:27" ht="18.75" customHeight="1">
      <c r="A2" s="106"/>
      <c r="B2" s="14"/>
      <c r="C2" s="15"/>
      <c r="D2" s="16" t="s">
        <v>14</v>
      </c>
      <c r="E2" s="17"/>
      <c r="F2" s="15"/>
      <c r="G2" s="106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39.75" customHeight="1">
      <c r="A3" s="106"/>
      <c r="B3" s="14"/>
      <c r="C3" s="15" t="s">
        <v>15</v>
      </c>
      <c r="D3" s="15" t="s">
        <v>16</v>
      </c>
      <c r="E3" s="15" t="s">
        <v>17</v>
      </c>
      <c r="F3" s="15" t="s">
        <v>18</v>
      </c>
      <c r="G3" s="106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12.75" customHeight="1">
      <c r="A4" s="106"/>
      <c r="B4" s="19" t="s">
        <v>19</v>
      </c>
      <c r="C4" s="88">
        <v>205547.95094900002</v>
      </c>
      <c r="D4" s="88">
        <v>0</v>
      </c>
      <c r="E4" s="90">
        <v>0</v>
      </c>
      <c r="F4" s="91">
        <v>0.10096338408908839</v>
      </c>
      <c r="G4" s="106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12.75" customHeight="1">
      <c r="A5" s="106"/>
      <c r="B5" s="19" t="s">
        <v>20</v>
      </c>
      <c r="C5" s="88">
        <v>363918.66224100004</v>
      </c>
      <c r="D5" s="88">
        <v>0</v>
      </c>
      <c r="E5" s="90">
        <v>0</v>
      </c>
      <c r="F5" s="91">
        <v>0.17875371417417704</v>
      </c>
      <c r="G5" s="106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12.75" customHeight="1">
      <c r="A6" s="106"/>
      <c r="B6" s="19" t="s">
        <v>21</v>
      </c>
      <c r="C6" s="88">
        <v>0</v>
      </c>
      <c r="D6" s="88">
        <v>0</v>
      </c>
      <c r="E6" s="90">
        <v>0</v>
      </c>
      <c r="F6" s="91">
        <v>0</v>
      </c>
      <c r="G6" s="10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ht="12.75" customHeight="1">
      <c r="A7" s="106"/>
      <c r="B7" s="19" t="s">
        <v>22</v>
      </c>
      <c r="C7" s="88">
        <v>285873.44596499985</v>
      </c>
      <c r="D7" s="88">
        <v>0</v>
      </c>
      <c r="E7" s="90">
        <v>0</v>
      </c>
      <c r="F7" s="91">
        <v>0.14041857577552247</v>
      </c>
      <c r="G7" s="10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ht="12.75" customHeight="1">
      <c r="A8" s="106"/>
      <c r="B8" s="19" t="s">
        <v>23</v>
      </c>
      <c r="C8" s="88">
        <v>599655.16779799969</v>
      </c>
      <c r="D8" s="88">
        <v>0</v>
      </c>
      <c r="E8" s="90">
        <v>0</v>
      </c>
      <c r="F8" s="91">
        <v>0.2945454564147808</v>
      </c>
      <c r="G8" s="106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2.75" customHeight="1">
      <c r="A9" s="106"/>
      <c r="B9" s="19" t="s">
        <v>24</v>
      </c>
      <c r="C9" s="88">
        <v>173219.50666999997</v>
      </c>
      <c r="D9" s="88">
        <v>0</v>
      </c>
      <c r="E9" s="90">
        <v>0</v>
      </c>
      <c r="F9" s="91">
        <v>8.5083930551975648E-2</v>
      </c>
      <c r="G9" s="10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ht="12.75" customHeight="1">
      <c r="A10" s="106"/>
      <c r="B10" s="19" t="s">
        <v>25</v>
      </c>
      <c r="C10" s="88">
        <v>92039.912638000023</v>
      </c>
      <c r="D10" s="88">
        <v>0</v>
      </c>
      <c r="E10" s="90">
        <v>0</v>
      </c>
      <c r="F10" s="91">
        <v>4.5209212781217194E-2</v>
      </c>
      <c r="G10" s="10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ht="12.75" customHeight="1">
      <c r="A11" s="106"/>
      <c r="B11" s="19" t="s">
        <v>26</v>
      </c>
      <c r="C11" s="88">
        <v>56.983190999999998</v>
      </c>
      <c r="D11" s="88">
        <v>0</v>
      </c>
      <c r="E11" s="90">
        <v>0</v>
      </c>
      <c r="F11" s="91">
        <v>2.798965289117553E-5</v>
      </c>
      <c r="G11" s="10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2.75" customHeight="1">
      <c r="A12" s="106"/>
      <c r="B12" s="19" t="s">
        <v>27</v>
      </c>
      <c r="C12" s="88">
        <v>779.27351800000008</v>
      </c>
      <c r="D12" s="88">
        <v>0</v>
      </c>
      <c r="E12" s="90">
        <v>0</v>
      </c>
      <c r="F12" s="91">
        <v>3.8277244382655279E-4</v>
      </c>
      <c r="G12" s="10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ht="12.75" customHeight="1">
      <c r="A13" s="106"/>
      <c r="B13" s="19" t="s">
        <v>28</v>
      </c>
      <c r="C13" s="88">
        <v>91.861008727300145</v>
      </c>
      <c r="D13" s="88">
        <v>0</v>
      </c>
      <c r="E13" s="90">
        <v>0</v>
      </c>
      <c r="F13" s="91">
        <v>4.5121336720338763E-5</v>
      </c>
      <c r="G13" s="10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2.75" customHeight="1">
      <c r="A14" s="106"/>
      <c r="B14" s="19" t="s">
        <v>29</v>
      </c>
      <c r="C14" s="88">
        <v>0</v>
      </c>
      <c r="D14" s="88">
        <v>0</v>
      </c>
      <c r="E14" s="90">
        <v>0</v>
      </c>
      <c r="F14" s="91">
        <v>0</v>
      </c>
      <c r="G14" s="10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12.75" customHeight="1">
      <c r="A15" s="106"/>
      <c r="B15" s="19" t="s">
        <v>30</v>
      </c>
      <c r="C15" s="88">
        <v>0</v>
      </c>
      <c r="D15" s="88">
        <v>0</v>
      </c>
      <c r="E15" s="90">
        <v>0</v>
      </c>
      <c r="F15" s="91">
        <v>0</v>
      </c>
      <c r="G15" s="10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2.75" customHeight="1">
      <c r="A16" s="106"/>
      <c r="B16" s="19" t="s">
        <v>31</v>
      </c>
      <c r="C16" s="88">
        <v>0</v>
      </c>
      <c r="D16" s="88">
        <v>0</v>
      </c>
      <c r="E16" s="90">
        <v>0</v>
      </c>
      <c r="F16" s="91">
        <v>0</v>
      </c>
      <c r="G16" s="10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2.75" customHeight="1">
      <c r="A17" s="106"/>
      <c r="B17" s="19" t="s">
        <v>32</v>
      </c>
      <c r="C17" s="88">
        <v>0</v>
      </c>
      <c r="D17" s="88">
        <v>0</v>
      </c>
      <c r="E17" s="90">
        <v>0</v>
      </c>
      <c r="F17" s="91">
        <v>0</v>
      </c>
      <c r="G17" s="10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2.75" customHeight="1">
      <c r="A18" s="106"/>
      <c r="B18" s="19" t="s">
        <v>33</v>
      </c>
      <c r="C18" s="88">
        <v>0</v>
      </c>
      <c r="D18" s="88">
        <v>0</v>
      </c>
      <c r="E18" s="90">
        <v>0</v>
      </c>
      <c r="F18" s="91">
        <v>0</v>
      </c>
      <c r="G18" s="10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2.75" customHeight="1">
      <c r="A19" s="106"/>
      <c r="B19" s="19" t="s">
        <v>34</v>
      </c>
      <c r="C19" s="88">
        <v>4589.0157449999997</v>
      </c>
      <c r="D19" s="88">
        <v>0</v>
      </c>
      <c r="E19" s="90">
        <v>0</v>
      </c>
      <c r="F19" s="91">
        <v>2.254085030350253E-3</v>
      </c>
      <c r="G19" s="106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2.75" customHeight="1">
      <c r="A20" s="106"/>
      <c r="B20" s="19" t="s">
        <v>35</v>
      </c>
      <c r="C20" s="88">
        <v>3169.695776</v>
      </c>
      <c r="D20" s="88">
        <v>0</v>
      </c>
      <c r="E20" s="90">
        <v>0</v>
      </c>
      <c r="F20" s="91">
        <v>1.5569272795001121E-3</v>
      </c>
      <c r="G20" s="106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2.75" customHeight="1">
      <c r="A21" s="106"/>
      <c r="B21" s="19" t="s">
        <v>36</v>
      </c>
      <c r="C21" s="88">
        <v>149232.29851999995</v>
      </c>
      <c r="D21" s="88">
        <v>0</v>
      </c>
      <c r="E21" s="90">
        <v>0</v>
      </c>
      <c r="F21" s="91">
        <v>7.3301620397620185E-2</v>
      </c>
      <c r="G21" s="106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2.75" customHeight="1">
      <c r="A22" s="106"/>
      <c r="B22" s="19" t="s">
        <v>37</v>
      </c>
      <c r="C22" s="88">
        <v>3.689235</v>
      </c>
      <c r="D22" s="88">
        <v>0</v>
      </c>
      <c r="E22" s="90">
        <v>0</v>
      </c>
      <c r="F22" s="91">
        <v>1.8121204739828621E-6</v>
      </c>
      <c r="G22" s="106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2.75" customHeight="1">
      <c r="A23" s="106"/>
      <c r="B23" s="19" t="s">
        <v>38</v>
      </c>
      <c r="C23" s="88">
        <v>67.831811999999999</v>
      </c>
      <c r="D23" s="88">
        <v>0</v>
      </c>
      <c r="E23" s="90">
        <v>0</v>
      </c>
      <c r="F23" s="91">
        <v>3.331840213826346E-5</v>
      </c>
      <c r="G23" s="106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2.75" customHeight="1">
      <c r="A24" s="106"/>
      <c r="B24" s="19" t="s">
        <v>39</v>
      </c>
      <c r="C24" s="88">
        <v>-18851.27176399999</v>
      </c>
      <c r="D24" s="88">
        <v>0</v>
      </c>
      <c r="E24" s="90">
        <v>0</v>
      </c>
      <c r="F24" s="91">
        <v>-9.2595824131993243E-3</v>
      </c>
      <c r="G24" s="106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2.75" customHeight="1">
      <c r="A25" s="106"/>
      <c r="B25" s="19" t="s">
        <v>40</v>
      </c>
      <c r="C25" s="89">
        <v>154828.97078700006</v>
      </c>
      <c r="D25" s="88">
        <v>0</v>
      </c>
      <c r="E25" s="90">
        <v>0</v>
      </c>
      <c r="F25" s="91">
        <v>7.6050657637373939E-2</v>
      </c>
      <c r="G25" s="106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2.75" customHeight="1">
      <c r="A26" s="106"/>
      <c r="B26" s="19" t="s">
        <v>41</v>
      </c>
      <c r="C26" s="88">
        <v>20328.691362000001</v>
      </c>
      <c r="D26" s="88">
        <v>0</v>
      </c>
      <c r="E26" s="90">
        <v>0</v>
      </c>
      <c r="F26" s="91">
        <v>9.9852782016756209E-3</v>
      </c>
      <c r="G26" s="106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12.75" customHeight="1">
      <c r="A27" s="106"/>
      <c r="B27" s="19" t="s">
        <v>42</v>
      </c>
      <c r="C27" s="88">
        <v>0</v>
      </c>
      <c r="D27" s="88">
        <v>0</v>
      </c>
      <c r="E27" s="90">
        <v>0</v>
      </c>
      <c r="F27" s="91">
        <v>0</v>
      </c>
      <c r="G27" s="10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2.75" customHeight="1">
      <c r="A28" s="106"/>
      <c r="B28" s="19" t="s">
        <v>43</v>
      </c>
      <c r="C28" s="88">
        <v>0</v>
      </c>
      <c r="D28" s="88">
        <v>0</v>
      </c>
      <c r="E28" s="90">
        <v>0</v>
      </c>
      <c r="F28" s="91">
        <v>0</v>
      </c>
      <c r="G28" s="106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2.75" customHeight="1">
      <c r="A29" s="106"/>
      <c r="B29" s="19" t="s">
        <v>44</v>
      </c>
      <c r="C29" s="88">
        <v>0</v>
      </c>
      <c r="D29" s="88">
        <v>0</v>
      </c>
      <c r="E29" s="90">
        <v>0</v>
      </c>
      <c r="F29" s="91">
        <v>0</v>
      </c>
      <c r="G29" s="106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2.75" customHeight="1">
      <c r="A30" s="106"/>
      <c r="B30" s="19" t="s">
        <v>45</v>
      </c>
      <c r="C30" s="88">
        <v>1314.6120529999989</v>
      </c>
      <c r="D30" s="88">
        <v>0</v>
      </c>
      <c r="E30" s="90">
        <v>0</v>
      </c>
      <c r="F30" s="91">
        <v>6.4572612386739833E-4</v>
      </c>
      <c r="G30" s="106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12.75" customHeight="1">
      <c r="A31" s="106"/>
      <c r="B31" s="20" t="s">
        <v>46</v>
      </c>
      <c r="C31" s="93">
        <f t="shared" ref="C31:F31" si="0">SUM(C4:C30)</f>
        <v>2035866.2975047268</v>
      </c>
      <c r="D31" s="93">
        <f t="shared" si="0"/>
        <v>0</v>
      </c>
      <c r="E31" s="93">
        <f t="shared" si="0"/>
        <v>0</v>
      </c>
      <c r="F31" s="92">
        <f t="shared" si="0"/>
        <v>1</v>
      </c>
      <c r="G31" s="106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2.75" customHeight="1">
      <c r="A32" s="106"/>
      <c r="B32" s="19" t="s">
        <v>47</v>
      </c>
      <c r="C32" s="94">
        <v>20114.347538175192</v>
      </c>
      <c r="D32" s="88"/>
      <c r="E32" s="88"/>
      <c r="F32" s="88"/>
      <c r="G32" s="106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2.75" customHeight="1">
      <c r="A33" s="106"/>
      <c r="B33" s="103" t="s">
        <v>48</v>
      </c>
      <c r="C33" s="104">
        <v>38756.820383194005</v>
      </c>
      <c r="D33" s="104"/>
      <c r="E33" s="104"/>
      <c r="F33" s="104"/>
      <c r="G33" s="106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15" customHeight="1">
      <c r="A34" s="106"/>
      <c r="B34" s="107" t="s">
        <v>3767</v>
      </c>
      <c r="C34" s="107"/>
      <c r="D34" s="107"/>
      <c r="E34" s="107"/>
      <c r="F34" s="107"/>
      <c r="G34" s="106"/>
    </row>
  </sheetData>
  <mergeCells count="4">
    <mergeCell ref="B34:F34"/>
    <mergeCell ref="A1:A34"/>
    <mergeCell ref="B1:F1"/>
    <mergeCell ref="G1:G34"/>
  </mergeCells>
  <pageMargins left="0.7" right="0.7" top="0.75" bottom="0.75" header="0" footer="0"/>
  <pageSetup orientation="portrait"/>
  <ignoredErrors>
    <ignoredError sqref="F31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AA124"/>
  <sheetViews>
    <sheetView rightToLeft="1" workbookViewId="0">
      <selection activeCell="P2" sqref="P1:P1048576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28.25" bestFit="1" customWidth="1"/>
    <col min="5" max="5" width="9.375" bestFit="1" customWidth="1"/>
    <col min="6" max="6" width="8" bestFit="1" customWidth="1"/>
    <col min="7" max="7" width="27.5" bestFit="1" customWidth="1"/>
    <col min="8" max="8" width="8.75" bestFit="1" customWidth="1"/>
    <col min="9" max="9" width="9.625" bestFit="1" customWidth="1"/>
    <col min="10" max="10" width="8.375" bestFit="1" customWidth="1"/>
    <col min="11" max="11" width="12.25" bestFit="1" customWidth="1"/>
    <col min="12" max="12" width="9.875" bestFit="1" customWidth="1"/>
    <col min="13" max="13" width="10.875" bestFit="1" customWidth="1"/>
    <col min="14" max="14" width="8.625" bestFit="1" customWidth="1"/>
    <col min="15" max="15" width="9.25" bestFit="1" customWidth="1"/>
    <col min="16" max="16" width="10.875" bestFit="1" customWidth="1"/>
    <col min="17" max="17" width="11" bestFit="1" customWidth="1"/>
    <col min="18" max="18" width="10.375" bestFit="1" customWidth="1"/>
    <col min="19" max="19" width="3.125" customWidth="1"/>
    <col min="20" max="27" width="9" customWidth="1"/>
  </cols>
  <sheetData>
    <row r="1" spans="1:27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6" t="s">
        <v>3766</v>
      </c>
    </row>
    <row r="2" spans="1:27" ht="66.75" customHeight="1">
      <c r="A2" s="106"/>
      <c r="B2" s="21" t="s">
        <v>49</v>
      </c>
      <c r="C2" s="21" t="s">
        <v>50</v>
      </c>
      <c r="D2" s="21" t="s">
        <v>51</v>
      </c>
      <c r="E2" s="21" t="s">
        <v>52</v>
      </c>
      <c r="F2" s="21" t="s">
        <v>53</v>
      </c>
      <c r="G2" s="21" t="s">
        <v>54</v>
      </c>
      <c r="H2" s="21" t="s">
        <v>55</v>
      </c>
      <c r="I2" s="21" t="s">
        <v>56</v>
      </c>
      <c r="J2" s="21" t="s">
        <v>57</v>
      </c>
      <c r="K2" s="21" t="s">
        <v>58</v>
      </c>
      <c r="L2" s="21" t="s">
        <v>59</v>
      </c>
      <c r="M2" s="21" t="s">
        <v>60</v>
      </c>
      <c r="N2" s="21" t="s">
        <v>61</v>
      </c>
      <c r="O2" s="95" t="s">
        <v>62</v>
      </c>
      <c r="P2" s="21" t="s">
        <v>63</v>
      </c>
      <c r="Q2" s="21" t="s">
        <v>64</v>
      </c>
      <c r="R2" s="21" t="s">
        <v>65</v>
      </c>
      <c r="S2" s="106"/>
      <c r="T2" s="22"/>
      <c r="U2" s="22"/>
      <c r="V2" s="22"/>
      <c r="W2" s="22"/>
      <c r="X2" s="22"/>
      <c r="Y2" s="22"/>
      <c r="Z2" s="22"/>
      <c r="AA2" s="22"/>
    </row>
    <row r="3" spans="1:27" ht="15" customHeight="1">
      <c r="A3" s="106"/>
      <c r="B3" s="96">
        <v>286</v>
      </c>
      <c r="C3" s="96">
        <v>14418</v>
      </c>
      <c r="D3" s="96" t="s">
        <v>1197</v>
      </c>
      <c r="E3" s="96" t="s">
        <v>1198</v>
      </c>
      <c r="F3" s="96" t="s">
        <v>314</v>
      </c>
      <c r="G3" s="96" t="s">
        <v>935</v>
      </c>
      <c r="H3" s="96" t="s">
        <v>203</v>
      </c>
      <c r="I3" s="96" t="s">
        <v>338</v>
      </c>
      <c r="J3" s="96" t="s">
        <v>1199</v>
      </c>
      <c r="K3" s="96" t="s">
        <v>412</v>
      </c>
      <c r="L3" s="96" t="s">
        <v>1200</v>
      </c>
      <c r="M3" s="97">
        <v>489.69711000000001</v>
      </c>
      <c r="N3" s="97">
        <v>1</v>
      </c>
      <c r="O3" s="98"/>
      <c r="P3" s="97">
        <v>488.06736999999998</v>
      </c>
      <c r="Q3" s="98">
        <v>0.99613099999999999</v>
      </c>
      <c r="R3" s="98">
        <v>0.112869</v>
      </c>
      <c r="S3" s="106"/>
    </row>
    <row r="4" spans="1:27" ht="15" customHeight="1">
      <c r="A4" s="106"/>
      <c r="B4" s="96">
        <v>286</v>
      </c>
      <c r="C4" s="96">
        <v>14418</v>
      </c>
      <c r="D4" s="96" t="s">
        <v>1197</v>
      </c>
      <c r="E4" s="96" t="s">
        <v>1198</v>
      </c>
      <c r="F4" s="96" t="s">
        <v>314</v>
      </c>
      <c r="G4" s="96" t="s">
        <v>937</v>
      </c>
      <c r="H4" s="96" t="s">
        <v>203</v>
      </c>
      <c r="I4" s="96" t="s">
        <v>338</v>
      </c>
      <c r="J4" s="96" t="s">
        <v>1199</v>
      </c>
      <c r="K4" s="96" t="s">
        <v>412</v>
      </c>
      <c r="L4" s="96" t="s">
        <v>1201</v>
      </c>
      <c r="M4" s="97">
        <v>0.504</v>
      </c>
      <c r="N4" s="97">
        <v>3.7589999999999999</v>
      </c>
      <c r="O4" s="96"/>
      <c r="P4" s="97">
        <v>1.8945399999999999</v>
      </c>
      <c r="Q4" s="98">
        <v>3.8660000000000001E-3</v>
      </c>
      <c r="R4" s="98">
        <v>4.3800000000000002E-4</v>
      </c>
      <c r="S4" s="106"/>
    </row>
    <row r="5" spans="1:27" ht="15" customHeight="1">
      <c r="A5" s="106"/>
      <c r="B5" s="96">
        <v>286</v>
      </c>
      <c r="C5" s="96">
        <v>1445</v>
      </c>
      <c r="D5" s="96" t="s">
        <v>1197</v>
      </c>
      <c r="E5" s="96" t="s">
        <v>1198</v>
      </c>
      <c r="F5" s="96" t="s">
        <v>314</v>
      </c>
      <c r="G5" s="96" t="s">
        <v>937</v>
      </c>
      <c r="H5" s="96" t="s">
        <v>203</v>
      </c>
      <c r="I5" s="96" t="s">
        <v>338</v>
      </c>
      <c r="J5" s="96" t="s">
        <v>1199</v>
      </c>
      <c r="K5" s="96" t="s">
        <v>412</v>
      </c>
      <c r="L5" s="96" t="s">
        <v>1202</v>
      </c>
      <c r="M5" s="97">
        <v>2.1929409999999998</v>
      </c>
      <c r="N5" s="97">
        <v>4.0202</v>
      </c>
      <c r="O5" s="96"/>
      <c r="P5" s="97">
        <v>8.8160629999999998</v>
      </c>
      <c r="Q5" s="98">
        <v>6.1370000000000001E-3</v>
      </c>
      <c r="R5" s="98">
        <v>1.6699999999999999E-4</v>
      </c>
      <c r="S5" s="106"/>
    </row>
    <row r="6" spans="1:27" ht="15" customHeight="1">
      <c r="A6" s="106"/>
      <c r="B6" s="96">
        <v>286</v>
      </c>
      <c r="C6" s="96">
        <v>1445</v>
      </c>
      <c r="D6" s="96" t="s">
        <v>1203</v>
      </c>
      <c r="E6" s="96" t="s">
        <v>1204</v>
      </c>
      <c r="F6" s="96" t="s">
        <v>314</v>
      </c>
      <c r="G6" s="96" t="s">
        <v>937</v>
      </c>
      <c r="H6" s="96" t="s">
        <v>203</v>
      </c>
      <c r="I6" s="96" t="s">
        <v>338</v>
      </c>
      <c r="J6" s="96" t="s">
        <v>1199</v>
      </c>
      <c r="K6" s="96" t="s">
        <v>412</v>
      </c>
      <c r="L6" s="96" t="s">
        <v>1202</v>
      </c>
      <c r="M6" s="97">
        <v>0.37501000000000001</v>
      </c>
      <c r="N6" s="97">
        <v>4.0202</v>
      </c>
      <c r="O6" s="96"/>
      <c r="P6" s="97">
        <v>1.5076160000000001</v>
      </c>
      <c r="Q6" s="98">
        <v>1.049E-3</v>
      </c>
      <c r="R6" s="98">
        <v>2.9E-5</v>
      </c>
      <c r="S6" s="106"/>
    </row>
    <row r="7" spans="1:27" ht="15" customHeight="1">
      <c r="A7" s="106"/>
      <c r="B7" s="96">
        <v>286</v>
      </c>
      <c r="C7" s="96">
        <v>1445</v>
      </c>
      <c r="D7" s="96" t="s">
        <v>1197</v>
      </c>
      <c r="E7" s="96" t="s">
        <v>1198</v>
      </c>
      <c r="F7" s="96" t="s">
        <v>314</v>
      </c>
      <c r="G7" s="96" t="s">
        <v>937</v>
      </c>
      <c r="H7" s="96" t="s">
        <v>203</v>
      </c>
      <c r="I7" s="96" t="s">
        <v>338</v>
      </c>
      <c r="J7" s="96" t="s">
        <v>1199</v>
      </c>
      <c r="K7" s="96" t="s">
        <v>412</v>
      </c>
      <c r="L7" s="96" t="s">
        <v>1205</v>
      </c>
      <c r="M7" s="97">
        <v>4.2843499999999999</v>
      </c>
      <c r="N7" s="97">
        <v>4.7504999999999997</v>
      </c>
      <c r="O7" s="96"/>
      <c r="P7" s="97">
        <v>20.352810000000002</v>
      </c>
      <c r="Q7" s="98">
        <v>1.4168E-2</v>
      </c>
      <c r="R7" s="98">
        <v>3.86E-4</v>
      </c>
      <c r="S7" s="106"/>
    </row>
    <row r="8" spans="1:27" ht="15" customHeight="1">
      <c r="A8" s="106"/>
      <c r="B8" s="96">
        <v>286</v>
      </c>
      <c r="C8" s="96">
        <v>1445</v>
      </c>
      <c r="D8" s="96" t="s">
        <v>1206</v>
      </c>
      <c r="E8" s="96" t="s">
        <v>1207</v>
      </c>
      <c r="F8" s="96" t="s">
        <v>314</v>
      </c>
      <c r="G8" s="96" t="s">
        <v>937</v>
      </c>
      <c r="H8" s="96" t="s">
        <v>203</v>
      </c>
      <c r="I8" s="96" t="s">
        <v>338</v>
      </c>
      <c r="J8" s="96" t="s">
        <v>1199</v>
      </c>
      <c r="K8" s="96" t="s">
        <v>412</v>
      </c>
      <c r="L8" s="96" t="s">
        <v>1201</v>
      </c>
      <c r="M8" s="97">
        <v>3.4138039999999998</v>
      </c>
      <c r="N8" s="97">
        <v>3.7589999999999999</v>
      </c>
      <c r="O8" s="96"/>
      <c r="P8" s="97">
        <v>12.832488</v>
      </c>
      <c r="Q8" s="98">
        <v>8.933E-3</v>
      </c>
      <c r="R8" s="98">
        <v>2.43E-4</v>
      </c>
      <c r="S8" s="106"/>
    </row>
    <row r="9" spans="1:27" ht="15" customHeight="1">
      <c r="A9" s="106"/>
      <c r="B9" s="96">
        <v>286</v>
      </c>
      <c r="C9" s="96">
        <v>1445</v>
      </c>
      <c r="D9" s="96" t="s">
        <v>1206</v>
      </c>
      <c r="E9" s="96" t="s">
        <v>1207</v>
      </c>
      <c r="F9" s="96" t="s">
        <v>314</v>
      </c>
      <c r="G9" s="96" t="s">
        <v>937</v>
      </c>
      <c r="H9" s="96" t="s">
        <v>203</v>
      </c>
      <c r="I9" s="96" t="s">
        <v>338</v>
      </c>
      <c r="J9" s="96" t="s">
        <v>1199</v>
      </c>
      <c r="K9" s="96" t="s">
        <v>412</v>
      </c>
      <c r="L9" s="96" t="s">
        <v>1205</v>
      </c>
      <c r="M9" s="97">
        <v>9.4799999999999995E-4</v>
      </c>
      <c r="N9" s="97">
        <v>4.7504999999999997</v>
      </c>
      <c r="O9" s="96"/>
      <c r="P9" s="97">
        <v>4.5059999999999996E-3</v>
      </c>
      <c r="Q9" s="98">
        <v>3.0000000000000001E-6</v>
      </c>
      <c r="R9" s="98">
        <v>0</v>
      </c>
      <c r="S9" s="106"/>
    </row>
    <row r="10" spans="1:27" ht="15" customHeight="1">
      <c r="A10" s="106"/>
      <c r="B10" s="96">
        <v>286</v>
      </c>
      <c r="C10" s="96">
        <v>1445</v>
      </c>
      <c r="D10" s="96" t="s">
        <v>1206</v>
      </c>
      <c r="E10" s="96" t="s">
        <v>1207</v>
      </c>
      <c r="F10" s="96" t="s">
        <v>314</v>
      </c>
      <c r="G10" s="96" t="s">
        <v>938</v>
      </c>
      <c r="H10" s="96" t="s">
        <v>203</v>
      </c>
      <c r="I10" s="96" t="s">
        <v>338</v>
      </c>
      <c r="J10" s="96" t="s">
        <v>1199</v>
      </c>
      <c r="K10" s="96" t="s">
        <v>412</v>
      </c>
      <c r="L10" s="96" t="s">
        <v>1200</v>
      </c>
      <c r="M10" s="97">
        <v>0.339673</v>
      </c>
      <c r="N10" s="97">
        <v>1</v>
      </c>
      <c r="O10" s="96"/>
      <c r="P10" s="97">
        <v>0.339673</v>
      </c>
      <c r="Q10" s="98">
        <v>2.3599999999999999E-4</v>
      </c>
      <c r="R10" s="98">
        <v>6.0000000000000002E-6</v>
      </c>
      <c r="S10" s="106"/>
    </row>
    <row r="11" spans="1:27" ht="15" customHeight="1">
      <c r="A11" s="106"/>
      <c r="B11" s="96">
        <v>286</v>
      </c>
      <c r="C11" s="96">
        <v>1445</v>
      </c>
      <c r="D11" s="96" t="s">
        <v>1206</v>
      </c>
      <c r="E11" s="96" t="s">
        <v>1207</v>
      </c>
      <c r="F11" s="96" t="s">
        <v>314</v>
      </c>
      <c r="G11" s="96" t="s">
        <v>935</v>
      </c>
      <c r="H11" s="96" t="s">
        <v>203</v>
      </c>
      <c r="I11" s="96" t="s">
        <v>338</v>
      </c>
      <c r="J11" s="96" t="s">
        <v>1199</v>
      </c>
      <c r="K11" s="96" t="s">
        <v>412</v>
      </c>
      <c r="L11" s="96" t="s">
        <v>1200</v>
      </c>
      <c r="M11" s="97">
        <v>119.153504</v>
      </c>
      <c r="N11" s="97">
        <v>1</v>
      </c>
      <c r="O11" s="96"/>
      <c r="P11" s="97">
        <v>119.153504</v>
      </c>
      <c r="Q11" s="98">
        <v>8.2947999999999994E-2</v>
      </c>
      <c r="R11" s="98">
        <v>2.2680000000000001E-3</v>
      </c>
      <c r="S11" s="106"/>
    </row>
    <row r="12" spans="1:27" ht="15" customHeight="1">
      <c r="A12" s="106"/>
      <c r="B12" s="96">
        <v>286</v>
      </c>
      <c r="C12" s="96">
        <v>1445</v>
      </c>
      <c r="D12" s="96" t="s">
        <v>1203</v>
      </c>
      <c r="E12" s="96" t="s">
        <v>1204</v>
      </c>
      <c r="F12" s="96" t="s">
        <v>314</v>
      </c>
      <c r="G12" s="96" t="s">
        <v>937</v>
      </c>
      <c r="H12" s="96" t="s">
        <v>203</v>
      </c>
      <c r="I12" s="96" t="s">
        <v>338</v>
      </c>
      <c r="J12" s="96" t="s">
        <v>1199</v>
      </c>
      <c r="K12" s="96" t="s">
        <v>412</v>
      </c>
      <c r="L12" s="96" t="s">
        <v>1205</v>
      </c>
      <c r="M12" s="97">
        <v>0.37714799999999998</v>
      </c>
      <c r="N12" s="97">
        <v>4.7504999999999997</v>
      </c>
      <c r="O12" s="96"/>
      <c r="P12" s="97">
        <v>1.7916460000000001</v>
      </c>
      <c r="Q12" s="98">
        <v>1.2470000000000001E-3</v>
      </c>
      <c r="R12" s="98">
        <v>3.4E-5</v>
      </c>
      <c r="S12" s="106"/>
    </row>
    <row r="13" spans="1:27" ht="15" customHeight="1">
      <c r="A13" s="106"/>
      <c r="B13" s="96">
        <v>286</v>
      </c>
      <c r="C13" s="96">
        <v>1445</v>
      </c>
      <c r="D13" s="96" t="s">
        <v>1206</v>
      </c>
      <c r="E13" s="96" t="s">
        <v>1207</v>
      </c>
      <c r="F13" s="96" t="s">
        <v>314</v>
      </c>
      <c r="G13" s="96" t="s">
        <v>936</v>
      </c>
      <c r="H13" s="96" t="s">
        <v>203</v>
      </c>
      <c r="I13" s="96" t="s">
        <v>338</v>
      </c>
      <c r="J13" s="96" t="s">
        <v>1208</v>
      </c>
      <c r="K13" s="96" t="s">
        <v>432</v>
      </c>
      <c r="L13" s="96" t="s">
        <v>1201</v>
      </c>
      <c r="M13" s="97">
        <v>0.78185000000000004</v>
      </c>
      <c r="N13" s="97">
        <v>3.7589999999999999</v>
      </c>
      <c r="O13" s="96"/>
      <c r="P13" s="97">
        <v>2.9389759999999998</v>
      </c>
      <c r="Q13" s="98">
        <v>2.0449999999999999E-3</v>
      </c>
      <c r="R13" s="98">
        <v>5.5000000000000002E-5</v>
      </c>
      <c r="S13" s="106"/>
    </row>
    <row r="14" spans="1:27" ht="15" customHeight="1">
      <c r="A14" s="106"/>
      <c r="B14" s="96">
        <v>286</v>
      </c>
      <c r="C14" s="96">
        <v>1445</v>
      </c>
      <c r="D14" s="96" t="s">
        <v>1209</v>
      </c>
      <c r="E14" s="96" t="s">
        <v>1210</v>
      </c>
      <c r="F14" s="96" t="s">
        <v>314</v>
      </c>
      <c r="G14" s="96" t="s">
        <v>937</v>
      </c>
      <c r="H14" s="96" t="s">
        <v>203</v>
      </c>
      <c r="I14" s="96" t="s">
        <v>338</v>
      </c>
      <c r="J14" s="96" t="s">
        <v>1199</v>
      </c>
      <c r="K14" s="96" t="s">
        <v>412</v>
      </c>
      <c r="L14" s="96" t="s">
        <v>1201</v>
      </c>
      <c r="M14" s="97">
        <v>0.52199099999999998</v>
      </c>
      <c r="N14" s="97">
        <v>3.7589999999999999</v>
      </c>
      <c r="O14" s="96"/>
      <c r="P14" s="97">
        <v>1.9621649999999999</v>
      </c>
      <c r="Q14" s="98">
        <v>1.3649999999999999E-3</v>
      </c>
      <c r="R14" s="98">
        <v>3.6000000000000001E-5</v>
      </c>
      <c r="S14" s="106"/>
    </row>
    <row r="15" spans="1:27" ht="15" customHeight="1">
      <c r="A15" s="106"/>
      <c r="B15" s="96">
        <v>286</v>
      </c>
      <c r="C15" s="96">
        <v>1445</v>
      </c>
      <c r="D15" s="96" t="s">
        <v>1206</v>
      </c>
      <c r="E15" s="96" t="s">
        <v>1207</v>
      </c>
      <c r="F15" s="96" t="s">
        <v>314</v>
      </c>
      <c r="G15" s="96" t="s">
        <v>937</v>
      </c>
      <c r="H15" s="96" t="s">
        <v>203</v>
      </c>
      <c r="I15" s="96" t="s">
        <v>338</v>
      </c>
      <c r="J15" s="96" t="s">
        <v>1199</v>
      </c>
      <c r="K15" s="96" t="s">
        <v>412</v>
      </c>
      <c r="L15" s="96" t="s">
        <v>1202</v>
      </c>
      <c r="M15" s="97">
        <v>-1.8517399999999999</v>
      </c>
      <c r="N15" s="97">
        <v>4.0202</v>
      </c>
      <c r="O15" s="96"/>
      <c r="P15" s="97">
        <v>-7.4443650000000003</v>
      </c>
      <c r="Q15" s="98">
        <v>-5.182E-3</v>
      </c>
      <c r="R15" s="98">
        <v>-1.4100000000000001E-4</v>
      </c>
      <c r="S15" s="106"/>
    </row>
    <row r="16" spans="1:27" ht="15" customHeight="1">
      <c r="A16" s="106"/>
      <c r="B16" s="96">
        <v>286</v>
      </c>
      <c r="C16" s="96">
        <v>1445</v>
      </c>
      <c r="D16" s="96" t="s">
        <v>1209</v>
      </c>
      <c r="E16" s="96" t="s">
        <v>1210</v>
      </c>
      <c r="F16" s="96" t="s">
        <v>314</v>
      </c>
      <c r="G16" s="96" t="s">
        <v>935</v>
      </c>
      <c r="H16" s="96" t="s">
        <v>203</v>
      </c>
      <c r="I16" s="96" t="s">
        <v>338</v>
      </c>
      <c r="J16" s="96" t="s">
        <v>1199</v>
      </c>
      <c r="K16" s="96" t="s">
        <v>412</v>
      </c>
      <c r="L16" s="96" t="s">
        <v>1200</v>
      </c>
      <c r="M16" s="97">
        <v>864.25865599999997</v>
      </c>
      <c r="N16" s="97">
        <v>1</v>
      </c>
      <c r="O16" s="96"/>
      <c r="P16" s="97">
        <v>864.25865599999997</v>
      </c>
      <c r="Q16" s="98">
        <v>0.60165999999999997</v>
      </c>
      <c r="R16" s="98">
        <v>1.6456999999999999E-2</v>
      </c>
      <c r="S16" s="106"/>
    </row>
    <row r="17" spans="1:19" ht="15" customHeight="1">
      <c r="A17" s="106"/>
      <c r="B17" s="96">
        <v>286</v>
      </c>
      <c r="C17" s="96">
        <v>1445</v>
      </c>
      <c r="D17" s="96" t="s">
        <v>1209</v>
      </c>
      <c r="E17" s="96" t="s">
        <v>1210</v>
      </c>
      <c r="F17" s="96" t="s">
        <v>314</v>
      </c>
      <c r="G17" s="96" t="s">
        <v>936</v>
      </c>
      <c r="H17" s="96" t="s">
        <v>203</v>
      </c>
      <c r="I17" s="96" t="s">
        <v>338</v>
      </c>
      <c r="J17" s="96" t="s">
        <v>1211</v>
      </c>
      <c r="K17" s="96" t="s">
        <v>414</v>
      </c>
      <c r="L17" s="96" t="s">
        <v>1200</v>
      </c>
      <c r="M17" s="97">
        <v>4.9504080000000004</v>
      </c>
      <c r="N17" s="97">
        <v>1</v>
      </c>
      <c r="O17" s="96"/>
      <c r="P17" s="97">
        <v>4.9504080000000004</v>
      </c>
      <c r="Q17" s="98">
        <v>3.4459999999999998E-3</v>
      </c>
      <c r="R17" s="98">
        <v>9.3999999999999994E-5</v>
      </c>
      <c r="S17" s="106"/>
    </row>
    <row r="18" spans="1:19" ht="15" customHeight="1">
      <c r="A18" s="106"/>
      <c r="B18" s="96">
        <v>286</v>
      </c>
      <c r="C18" s="96">
        <v>1445</v>
      </c>
      <c r="D18" s="96" t="s">
        <v>1212</v>
      </c>
      <c r="E18" s="96" t="s">
        <v>1213</v>
      </c>
      <c r="F18" s="96" t="s">
        <v>314</v>
      </c>
      <c r="G18" s="96" t="s">
        <v>935</v>
      </c>
      <c r="H18" s="96" t="s">
        <v>203</v>
      </c>
      <c r="I18" s="96" t="s">
        <v>338</v>
      </c>
      <c r="J18" s="96" t="s">
        <v>1199</v>
      </c>
      <c r="K18" s="96" t="s">
        <v>412</v>
      </c>
      <c r="L18" s="96" t="s">
        <v>1200</v>
      </c>
      <c r="M18" s="97">
        <v>9.9999999999999995E-7</v>
      </c>
      <c r="N18" s="97">
        <v>1</v>
      </c>
      <c r="O18" s="96"/>
      <c r="P18" s="97">
        <v>9.9999999999999995E-7</v>
      </c>
      <c r="Q18" s="98">
        <v>0</v>
      </c>
      <c r="R18" s="98">
        <v>0</v>
      </c>
      <c r="S18" s="106"/>
    </row>
    <row r="19" spans="1:19" ht="15" customHeight="1">
      <c r="A19" s="106"/>
      <c r="B19" s="96">
        <v>286</v>
      </c>
      <c r="C19" s="96">
        <v>1445</v>
      </c>
      <c r="D19" s="96" t="s">
        <v>1197</v>
      </c>
      <c r="E19" s="96" t="s">
        <v>1198</v>
      </c>
      <c r="F19" s="96" t="s">
        <v>314</v>
      </c>
      <c r="G19" s="96" t="s">
        <v>935</v>
      </c>
      <c r="H19" s="96" t="s">
        <v>203</v>
      </c>
      <c r="I19" s="96" t="s">
        <v>338</v>
      </c>
      <c r="J19" s="96" t="s">
        <v>1199</v>
      </c>
      <c r="K19" s="96" t="s">
        <v>412</v>
      </c>
      <c r="L19" s="96" t="s">
        <v>1200</v>
      </c>
      <c r="M19" s="97">
        <v>383.00803400000001</v>
      </c>
      <c r="N19" s="97">
        <v>1</v>
      </c>
      <c r="O19" s="96"/>
      <c r="P19" s="97">
        <v>248.45118400000001</v>
      </c>
      <c r="Q19" s="98">
        <v>0.172959</v>
      </c>
      <c r="R19" s="98">
        <v>4.7289999999999997E-3</v>
      </c>
      <c r="S19" s="106"/>
    </row>
    <row r="20" spans="1:19" ht="15" customHeight="1">
      <c r="A20" s="106"/>
      <c r="B20" s="96">
        <v>286</v>
      </c>
      <c r="C20" s="96">
        <v>1445</v>
      </c>
      <c r="D20" s="96" t="s">
        <v>1203</v>
      </c>
      <c r="E20" s="96" t="s">
        <v>1204</v>
      </c>
      <c r="F20" s="96" t="s">
        <v>314</v>
      </c>
      <c r="G20" s="96" t="s">
        <v>936</v>
      </c>
      <c r="H20" s="96" t="s">
        <v>203</v>
      </c>
      <c r="I20" s="96" t="s">
        <v>338</v>
      </c>
      <c r="J20" s="96" t="s">
        <v>1211</v>
      </c>
      <c r="K20" s="96" t="s">
        <v>414</v>
      </c>
      <c r="L20" s="96" t="s">
        <v>1201</v>
      </c>
      <c r="M20" s="97">
        <v>6.6653500000000001</v>
      </c>
      <c r="N20" s="97">
        <v>3.7589999999999999</v>
      </c>
      <c r="O20" s="96"/>
      <c r="P20" s="97">
        <v>25.055052</v>
      </c>
      <c r="Q20" s="98">
        <v>1.7441999999999999E-2</v>
      </c>
      <c r="R20" s="98">
        <v>4.7600000000000002E-4</v>
      </c>
      <c r="S20" s="106"/>
    </row>
    <row r="21" spans="1:19" ht="15" customHeight="1">
      <c r="A21" s="106"/>
      <c r="B21" s="96">
        <v>286</v>
      </c>
      <c r="C21" s="96">
        <v>1445</v>
      </c>
      <c r="D21" s="96" t="s">
        <v>1197</v>
      </c>
      <c r="E21" s="96" t="s">
        <v>1198</v>
      </c>
      <c r="F21" s="96" t="s">
        <v>314</v>
      </c>
      <c r="G21" s="96" t="s">
        <v>937</v>
      </c>
      <c r="H21" s="96" t="s">
        <v>203</v>
      </c>
      <c r="I21" s="96" t="s">
        <v>338</v>
      </c>
      <c r="J21" s="96" t="s">
        <v>1199</v>
      </c>
      <c r="K21" s="96" t="s">
        <v>412</v>
      </c>
      <c r="L21" s="96" t="s">
        <v>1201</v>
      </c>
      <c r="M21" s="97">
        <v>16.098165000000002</v>
      </c>
      <c r="N21" s="97">
        <v>3.7589999999999999</v>
      </c>
      <c r="O21" s="96"/>
      <c r="P21" s="97">
        <v>60.512998000000003</v>
      </c>
      <c r="Q21" s="98">
        <v>4.2124000000000002E-2</v>
      </c>
      <c r="R21" s="98">
        <v>1.1509999999999999E-3</v>
      </c>
      <c r="S21" s="106"/>
    </row>
    <row r="22" spans="1:19" ht="15" customHeight="1">
      <c r="A22" s="106"/>
      <c r="B22" s="96">
        <v>286</v>
      </c>
      <c r="C22" s="96">
        <v>1445</v>
      </c>
      <c r="D22" s="96" t="s">
        <v>1203</v>
      </c>
      <c r="E22" s="96" t="s">
        <v>1204</v>
      </c>
      <c r="F22" s="96" t="s">
        <v>314</v>
      </c>
      <c r="G22" s="96" t="s">
        <v>937</v>
      </c>
      <c r="H22" s="96" t="s">
        <v>203</v>
      </c>
      <c r="I22" s="96" t="s">
        <v>338</v>
      </c>
      <c r="J22" s="96" t="s">
        <v>1199</v>
      </c>
      <c r="K22" s="96" t="s">
        <v>412</v>
      </c>
      <c r="L22" s="96" t="s">
        <v>1201</v>
      </c>
      <c r="M22" s="97">
        <v>4.6408569999999996</v>
      </c>
      <c r="N22" s="97">
        <v>3.7589999999999999</v>
      </c>
      <c r="O22" s="96"/>
      <c r="P22" s="97">
        <v>17.444986</v>
      </c>
      <c r="Q22" s="98">
        <v>1.2144E-2</v>
      </c>
      <c r="R22" s="98">
        <v>3.3100000000000002E-4</v>
      </c>
      <c r="S22" s="106"/>
    </row>
    <row r="23" spans="1:19" ht="15" customHeight="1">
      <c r="A23" s="106"/>
      <c r="B23" s="96">
        <v>286</v>
      </c>
      <c r="C23" s="96">
        <v>1445</v>
      </c>
      <c r="D23" s="96" t="s">
        <v>1203</v>
      </c>
      <c r="E23" s="96" t="s">
        <v>1204</v>
      </c>
      <c r="F23" s="96" t="s">
        <v>314</v>
      </c>
      <c r="G23" s="96" t="s">
        <v>935</v>
      </c>
      <c r="H23" s="96" t="s">
        <v>203</v>
      </c>
      <c r="I23" s="96" t="s">
        <v>338</v>
      </c>
      <c r="J23" s="96" t="s">
        <v>1199</v>
      </c>
      <c r="K23" s="96" t="s">
        <v>412</v>
      </c>
      <c r="L23" s="96" t="s">
        <v>1200</v>
      </c>
      <c r="M23" s="97">
        <v>13.457754</v>
      </c>
      <c r="N23" s="97">
        <v>1</v>
      </c>
      <c r="O23" s="96"/>
      <c r="P23" s="97">
        <v>13.457754</v>
      </c>
      <c r="Q23" s="98">
        <v>9.3679999999999996E-3</v>
      </c>
      <c r="R23" s="98">
        <v>2.5500000000000002E-4</v>
      </c>
      <c r="S23" s="106"/>
    </row>
    <row r="24" spans="1:19" ht="15" customHeight="1">
      <c r="A24" s="106"/>
      <c r="B24" s="96">
        <v>286</v>
      </c>
      <c r="C24" s="96">
        <v>1445</v>
      </c>
      <c r="D24" s="96" t="s">
        <v>1197</v>
      </c>
      <c r="E24" s="96" t="s">
        <v>1198</v>
      </c>
      <c r="F24" s="96" t="s">
        <v>314</v>
      </c>
      <c r="G24" s="96" t="s">
        <v>936</v>
      </c>
      <c r="H24" s="96" t="s">
        <v>203</v>
      </c>
      <c r="I24" s="96" t="s">
        <v>338</v>
      </c>
      <c r="J24" s="96" t="s">
        <v>1199</v>
      </c>
      <c r="K24" s="96" t="s">
        <v>412</v>
      </c>
      <c r="L24" s="96" t="s">
        <v>1201</v>
      </c>
      <c r="M24" s="97">
        <v>10.660000999999999</v>
      </c>
      <c r="N24" s="97">
        <v>3.7589999999999999</v>
      </c>
      <c r="O24" s="96"/>
      <c r="P24" s="97">
        <v>40.070943</v>
      </c>
      <c r="Q24" s="98">
        <v>2.7895E-2</v>
      </c>
      <c r="R24" s="98">
        <v>7.6300000000000001E-4</v>
      </c>
      <c r="S24" s="106"/>
    </row>
    <row r="25" spans="1:19" ht="15" customHeight="1">
      <c r="A25" s="106"/>
      <c r="B25" s="96">
        <v>286</v>
      </c>
      <c r="C25" s="96">
        <v>1446</v>
      </c>
      <c r="D25" s="96" t="s">
        <v>1209</v>
      </c>
      <c r="E25" s="96" t="s">
        <v>1214</v>
      </c>
      <c r="F25" s="96" t="s">
        <v>314</v>
      </c>
      <c r="G25" s="96" t="s">
        <v>937</v>
      </c>
      <c r="H25" s="96" t="s">
        <v>203</v>
      </c>
      <c r="I25" s="96" t="s">
        <v>338</v>
      </c>
      <c r="J25" s="96" t="s">
        <v>1199</v>
      </c>
      <c r="K25" s="96" t="s">
        <v>412</v>
      </c>
      <c r="L25" s="96" t="s">
        <v>1201</v>
      </c>
      <c r="M25" s="97">
        <v>0.23797299999999999</v>
      </c>
      <c r="N25" s="97">
        <v>3.7589999999999999</v>
      </c>
      <c r="O25" s="96"/>
      <c r="P25" s="97">
        <v>0.89454</v>
      </c>
      <c r="Q25" s="98">
        <v>6.4999999999999994E-5</v>
      </c>
      <c r="R25" s="98">
        <v>1.4E-5</v>
      </c>
      <c r="S25" s="106"/>
    </row>
    <row r="26" spans="1:19" ht="15" customHeight="1">
      <c r="A26" s="106"/>
      <c r="B26" s="96">
        <v>286</v>
      </c>
      <c r="C26" s="96">
        <v>1446</v>
      </c>
      <c r="D26" s="96" t="s">
        <v>1206</v>
      </c>
      <c r="E26" s="96" t="s">
        <v>1207</v>
      </c>
      <c r="F26" s="96" t="s">
        <v>314</v>
      </c>
      <c r="G26" s="96" t="s">
        <v>935</v>
      </c>
      <c r="H26" s="96" t="s">
        <v>203</v>
      </c>
      <c r="I26" s="96" t="s">
        <v>338</v>
      </c>
      <c r="J26" s="96" t="s">
        <v>1199</v>
      </c>
      <c r="K26" s="96" t="s">
        <v>412</v>
      </c>
      <c r="L26" s="96" t="s">
        <v>1200</v>
      </c>
      <c r="M26" s="97">
        <v>54.510413999999997</v>
      </c>
      <c r="N26" s="97">
        <v>1</v>
      </c>
      <c r="O26" s="96"/>
      <c r="P26" s="97">
        <v>54.510413999999997</v>
      </c>
      <c r="Q26" s="98">
        <v>3.9719999999999998E-3</v>
      </c>
      <c r="R26" s="98">
        <v>8.7600000000000004E-4</v>
      </c>
      <c r="S26" s="106"/>
    </row>
    <row r="27" spans="1:19" ht="15" customHeight="1">
      <c r="A27" s="106"/>
      <c r="B27" s="96">
        <v>286</v>
      </c>
      <c r="C27" s="96">
        <v>1446</v>
      </c>
      <c r="D27" s="96" t="s">
        <v>1206</v>
      </c>
      <c r="E27" s="96" t="s">
        <v>1207</v>
      </c>
      <c r="F27" s="96" t="s">
        <v>314</v>
      </c>
      <c r="G27" s="96" t="s">
        <v>937</v>
      </c>
      <c r="H27" s="96" t="s">
        <v>203</v>
      </c>
      <c r="I27" s="96" t="s">
        <v>338</v>
      </c>
      <c r="J27" s="96" t="s">
        <v>1199</v>
      </c>
      <c r="K27" s="96" t="s">
        <v>412</v>
      </c>
      <c r="L27" s="96" t="s">
        <v>1202</v>
      </c>
      <c r="M27" s="97">
        <v>35.957479999999997</v>
      </c>
      <c r="N27" s="97">
        <v>4.0202</v>
      </c>
      <c r="O27" s="96"/>
      <c r="P27" s="97">
        <v>144.55626599999999</v>
      </c>
      <c r="Q27" s="98">
        <v>1.0536999999999999E-2</v>
      </c>
      <c r="R27" s="98">
        <v>2.3240000000000001E-3</v>
      </c>
      <c r="S27" s="106"/>
    </row>
    <row r="28" spans="1:19" ht="15" customHeight="1">
      <c r="A28" s="106"/>
      <c r="B28" s="96">
        <v>286</v>
      </c>
      <c r="C28" s="96">
        <v>1446</v>
      </c>
      <c r="D28" s="96" t="s">
        <v>1206</v>
      </c>
      <c r="E28" s="96" t="s">
        <v>1207</v>
      </c>
      <c r="F28" s="96" t="s">
        <v>314</v>
      </c>
      <c r="G28" s="96" t="s">
        <v>939</v>
      </c>
      <c r="H28" s="96" t="s">
        <v>203</v>
      </c>
      <c r="I28" s="96" t="s">
        <v>338</v>
      </c>
      <c r="J28" s="96" t="s">
        <v>1199</v>
      </c>
      <c r="K28" s="96" t="s">
        <v>412</v>
      </c>
      <c r="L28" s="96" t="s">
        <v>1200</v>
      </c>
      <c r="M28" s="97">
        <v>657.70604600000001</v>
      </c>
      <c r="N28" s="97">
        <v>1</v>
      </c>
      <c r="O28" s="96"/>
      <c r="P28" s="97">
        <v>657.70604600000001</v>
      </c>
      <c r="Q28" s="98">
        <v>4.7941999999999999E-2</v>
      </c>
      <c r="R28" s="98">
        <v>1.0571000000000001E-2</v>
      </c>
      <c r="S28" s="106"/>
    </row>
    <row r="29" spans="1:19" ht="15" customHeight="1">
      <c r="A29" s="106"/>
      <c r="B29" s="96">
        <v>286</v>
      </c>
      <c r="C29" s="96">
        <v>1446</v>
      </c>
      <c r="D29" s="96" t="s">
        <v>1212</v>
      </c>
      <c r="E29" s="96" t="s">
        <v>1213</v>
      </c>
      <c r="F29" s="96" t="s">
        <v>314</v>
      </c>
      <c r="G29" s="96" t="s">
        <v>935</v>
      </c>
      <c r="H29" s="96" t="s">
        <v>203</v>
      </c>
      <c r="I29" s="96" t="s">
        <v>338</v>
      </c>
      <c r="J29" s="96" t="s">
        <v>1199</v>
      </c>
      <c r="K29" s="96" t="s">
        <v>412</v>
      </c>
      <c r="L29" s="96" t="s">
        <v>1200</v>
      </c>
      <c r="M29" s="97">
        <v>5.3676979999999999</v>
      </c>
      <c r="N29" s="97">
        <v>1</v>
      </c>
      <c r="O29" s="96"/>
      <c r="P29" s="97">
        <v>5.3676979999999999</v>
      </c>
      <c r="Q29" s="98">
        <v>3.9100000000000002E-4</v>
      </c>
      <c r="R29" s="98">
        <v>8.6000000000000003E-5</v>
      </c>
      <c r="S29" s="106"/>
    </row>
    <row r="30" spans="1:19" ht="15" customHeight="1">
      <c r="A30" s="106"/>
      <c r="B30" s="96">
        <v>286</v>
      </c>
      <c r="C30" s="96">
        <v>1446</v>
      </c>
      <c r="D30" s="96" t="s">
        <v>1197</v>
      </c>
      <c r="E30" s="96" t="s">
        <v>1198</v>
      </c>
      <c r="F30" s="96" t="s">
        <v>314</v>
      </c>
      <c r="G30" s="96" t="s">
        <v>935</v>
      </c>
      <c r="H30" s="96" t="s">
        <v>203</v>
      </c>
      <c r="I30" s="96" t="s">
        <v>338</v>
      </c>
      <c r="J30" s="96" t="s">
        <v>1199</v>
      </c>
      <c r="K30" s="96" t="s">
        <v>412</v>
      </c>
      <c r="L30" s="96" t="s">
        <v>1200</v>
      </c>
      <c r="M30" s="97">
        <v>8359.7349419999991</v>
      </c>
      <c r="N30" s="97">
        <v>1</v>
      </c>
      <c r="O30" s="96"/>
      <c r="P30" s="97">
        <v>8280.1810619999997</v>
      </c>
      <c r="Q30" s="98">
        <v>0.60360400000000003</v>
      </c>
      <c r="R30" s="98">
        <v>0.13314599999999999</v>
      </c>
      <c r="S30" s="106"/>
    </row>
    <row r="31" spans="1:19" ht="15" customHeight="1">
      <c r="A31" s="106"/>
      <c r="B31" s="96">
        <v>286</v>
      </c>
      <c r="C31" s="96">
        <v>1446</v>
      </c>
      <c r="D31" s="96" t="s">
        <v>1197</v>
      </c>
      <c r="E31" s="96" t="s">
        <v>1198</v>
      </c>
      <c r="F31" s="96" t="s">
        <v>314</v>
      </c>
      <c r="G31" s="96" t="s">
        <v>937</v>
      </c>
      <c r="H31" s="96" t="s">
        <v>203</v>
      </c>
      <c r="I31" s="96" t="s">
        <v>338</v>
      </c>
      <c r="J31" s="96" t="s">
        <v>1199</v>
      </c>
      <c r="K31" s="96" t="s">
        <v>412</v>
      </c>
      <c r="L31" s="96" t="s">
        <v>1205</v>
      </c>
      <c r="M31" s="97">
        <v>0.101767</v>
      </c>
      <c r="N31" s="97">
        <v>4.7504999999999997</v>
      </c>
      <c r="O31" s="96"/>
      <c r="P31" s="97">
        <v>0.48344700000000002</v>
      </c>
      <c r="Q31" s="98">
        <v>3.4999999999999997E-5</v>
      </c>
      <c r="R31" s="98">
        <v>6.9999999999999999E-6</v>
      </c>
      <c r="S31" s="106"/>
    </row>
    <row r="32" spans="1:19" ht="15" customHeight="1">
      <c r="A32" s="106"/>
      <c r="B32" s="96">
        <v>286</v>
      </c>
      <c r="C32" s="96">
        <v>1446</v>
      </c>
      <c r="D32" s="96" t="s">
        <v>1203</v>
      </c>
      <c r="E32" s="96" t="s">
        <v>1204</v>
      </c>
      <c r="F32" s="96" t="s">
        <v>314</v>
      </c>
      <c r="G32" s="96" t="s">
        <v>937</v>
      </c>
      <c r="H32" s="96" t="s">
        <v>203</v>
      </c>
      <c r="I32" s="96" t="s">
        <v>338</v>
      </c>
      <c r="J32" s="96" t="s">
        <v>1199</v>
      </c>
      <c r="K32" s="96" t="s">
        <v>412</v>
      </c>
      <c r="L32" s="96" t="s">
        <v>1201</v>
      </c>
      <c r="M32" s="97">
        <v>75.889277000000007</v>
      </c>
      <c r="N32" s="97">
        <v>3.7589999999999999</v>
      </c>
      <c r="O32" s="96"/>
      <c r="P32" s="97">
        <v>285.26779699999997</v>
      </c>
      <c r="Q32" s="98">
        <v>2.0794E-2</v>
      </c>
      <c r="R32" s="98">
        <v>4.5859999999999998E-3</v>
      </c>
      <c r="S32" s="106"/>
    </row>
    <row r="33" spans="1:19" ht="15" customHeight="1">
      <c r="A33" s="106"/>
      <c r="B33" s="96">
        <v>286</v>
      </c>
      <c r="C33" s="96">
        <v>1446</v>
      </c>
      <c r="D33" s="96" t="s">
        <v>1209</v>
      </c>
      <c r="E33" s="96" t="s">
        <v>1214</v>
      </c>
      <c r="F33" s="96" t="s">
        <v>314</v>
      </c>
      <c r="G33" s="96" t="s">
        <v>937</v>
      </c>
      <c r="H33" s="96" t="s">
        <v>203</v>
      </c>
      <c r="I33" s="96" t="s">
        <v>338</v>
      </c>
      <c r="J33" s="96" t="s">
        <v>1199</v>
      </c>
      <c r="K33" s="96" t="s">
        <v>412</v>
      </c>
      <c r="L33" s="96" t="s">
        <v>1202</v>
      </c>
      <c r="M33" s="97">
        <v>3.0000000000000001E-6</v>
      </c>
      <c r="N33" s="97">
        <v>4.0202</v>
      </c>
      <c r="O33" s="96"/>
      <c r="P33" s="97">
        <v>1.2E-5</v>
      </c>
      <c r="Q33" s="98">
        <v>0</v>
      </c>
      <c r="R33" s="98">
        <v>0</v>
      </c>
      <c r="S33" s="106"/>
    </row>
    <row r="34" spans="1:19" ht="15" customHeight="1">
      <c r="A34" s="106"/>
      <c r="B34" s="96">
        <v>286</v>
      </c>
      <c r="C34" s="96">
        <v>1446</v>
      </c>
      <c r="D34" s="96" t="s">
        <v>1209</v>
      </c>
      <c r="E34" s="96" t="s">
        <v>1214</v>
      </c>
      <c r="F34" s="96" t="s">
        <v>314</v>
      </c>
      <c r="G34" s="96" t="s">
        <v>935</v>
      </c>
      <c r="H34" s="96" t="s">
        <v>203</v>
      </c>
      <c r="I34" s="96" t="s">
        <v>338</v>
      </c>
      <c r="J34" s="96" t="s">
        <v>1199</v>
      </c>
      <c r="K34" s="96" t="s">
        <v>412</v>
      </c>
      <c r="L34" s="96" t="s">
        <v>1200</v>
      </c>
      <c r="M34" s="97">
        <v>3.281558</v>
      </c>
      <c r="N34" s="97">
        <v>1</v>
      </c>
      <c r="O34" s="96"/>
      <c r="P34" s="97">
        <v>3.281558</v>
      </c>
      <c r="Q34" s="98">
        <v>2.3900000000000001E-4</v>
      </c>
      <c r="R34" s="98">
        <v>5.1999999999999997E-5</v>
      </c>
      <c r="S34" s="106"/>
    </row>
    <row r="35" spans="1:19" ht="15" customHeight="1">
      <c r="A35" s="106"/>
      <c r="B35" s="96">
        <v>286</v>
      </c>
      <c r="C35" s="96">
        <v>1446</v>
      </c>
      <c r="D35" s="96" t="s">
        <v>1206</v>
      </c>
      <c r="E35" s="96" t="s">
        <v>1207</v>
      </c>
      <c r="F35" s="96" t="s">
        <v>314</v>
      </c>
      <c r="G35" s="96" t="s">
        <v>937</v>
      </c>
      <c r="H35" s="96" t="s">
        <v>203</v>
      </c>
      <c r="I35" s="96" t="s">
        <v>338</v>
      </c>
      <c r="J35" s="96" t="s">
        <v>1199</v>
      </c>
      <c r="K35" s="96" t="s">
        <v>412</v>
      </c>
      <c r="L35" s="96" t="s">
        <v>1205</v>
      </c>
      <c r="M35" s="97">
        <v>19.001200999999998</v>
      </c>
      <c r="N35" s="97">
        <v>4.7504999999999997</v>
      </c>
      <c r="O35" s="96"/>
      <c r="P35" s="97">
        <v>90.265213000000003</v>
      </c>
      <c r="Q35" s="98">
        <v>6.5789999999999998E-3</v>
      </c>
      <c r="R35" s="98">
        <v>1.451E-3</v>
      </c>
      <c r="S35" s="106"/>
    </row>
    <row r="36" spans="1:19" ht="15" customHeight="1">
      <c r="A36" s="106"/>
      <c r="B36" s="96">
        <v>286</v>
      </c>
      <c r="C36" s="96">
        <v>1446</v>
      </c>
      <c r="D36" s="96" t="s">
        <v>1206</v>
      </c>
      <c r="E36" s="96" t="s">
        <v>1207</v>
      </c>
      <c r="F36" s="96" t="s">
        <v>314</v>
      </c>
      <c r="G36" s="96" t="s">
        <v>937</v>
      </c>
      <c r="H36" s="96" t="s">
        <v>203</v>
      </c>
      <c r="I36" s="96" t="s">
        <v>338</v>
      </c>
      <c r="J36" s="96" t="s">
        <v>1199</v>
      </c>
      <c r="K36" s="96" t="s">
        <v>412</v>
      </c>
      <c r="L36" s="96" t="s">
        <v>1215</v>
      </c>
      <c r="M36" s="97">
        <v>11.170156</v>
      </c>
      <c r="N36" s="97">
        <v>2.7412999999999998</v>
      </c>
      <c r="O36" s="96"/>
      <c r="P36" s="97">
        <v>30.620750000000001</v>
      </c>
      <c r="Q36" s="98">
        <v>2.232E-3</v>
      </c>
      <c r="R36" s="98">
        <v>4.9200000000000003E-4</v>
      </c>
      <c r="S36" s="106"/>
    </row>
    <row r="37" spans="1:19" ht="15" customHeight="1">
      <c r="A37" s="106"/>
      <c r="B37" s="96">
        <v>286</v>
      </c>
      <c r="C37" s="96">
        <v>1446</v>
      </c>
      <c r="D37" s="96" t="s">
        <v>1203</v>
      </c>
      <c r="E37" s="96" t="s">
        <v>1204</v>
      </c>
      <c r="F37" s="96" t="s">
        <v>314</v>
      </c>
      <c r="G37" s="96" t="s">
        <v>936</v>
      </c>
      <c r="H37" s="96" t="s">
        <v>203</v>
      </c>
      <c r="I37" s="96" t="s">
        <v>338</v>
      </c>
      <c r="J37" s="96" t="s">
        <v>1211</v>
      </c>
      <c r="K37" s="96" t="s">
        <v>414</v>
      </c>
      <c r="L37" s="96" t="s">
        <v>1201</v>
      </c>
      <c r="M37" s="97">
        <v>-3.7775729999999998</v>
      </c>
      <c r="N37" s="97">
        <v>3.7589999999999999</v>
      </c>
      <c r="O37" s="96"/>
      <c r="P37" s="97">
        <v>-14.199899</v>
      </c>
      <c r="Q37" s="98">
        <v>-1.0349999999999999E-3</v>
      </c>
      <c r="R37" s="98">
        <v>-2.2800000000000001E-4</v>
      </c>
      <c r="S37" s="106"/>
    </row>
    <row r="38" spans="1:19" ht="15" customHeight="1">
      <c r="A38" s="106"/>
      <c r="B38" s="96">
        <v>286</v>
      </c>
      <c r="C38" s="96">
        <v>1446</v>
      </c>
      <c r="D38" s="96" t="s">
        <v>1206</v>
      </c>
      <c r="E38" s="96" t="s">
        <v>1207</v>
      </c>
      <c r="F38" s="96" t="s">
        <v>314</v>
      </c>
      <c r="G38" s="96" t="s">
        <v>937</v>
      </c>
      <c r="H38" s="96" t="s">
        <v>203</v>
      </c>
      <c r="I38" s="96" t="s">
        <v>338</v>
      </c>
      <c r="J38" s="96" t="s">
        <v>1199</v>
      </c>
      <c r="K38" s="96" t="s">
        <v>412</v>
      </c>
      <c r="L38" s="96" t="s">
        <v>1201</v>
      </c>
      <c r="M38" s="97">
        <v>63.506214</v>
      </c>
      <c r="N38" s="97">
        <v>3.7589999999999999</v>
      </c>
      <c r="O38" s="96"/>
      <c r="P38" s="97">
        <v>238.71986100000001</v>
      </c>
      <c r="Q38" s="98">
        <v>1.7401E-2</v>
      </c>
      <c r="R38" s="98">
        <v>3.8379999999999998E-3</v>
      </c>
      <c r="S38" s="106"/>
    </row>
    <row r="39" spans="1:19" ht="15" customHeight="1">
      <c r="A39" s="106"/>
      <c r="B39" s="96">
        <v>286</v>
      </c>
      <c r="C39" s="96">
        <v>1446</v>
      </c>
      <c r="D39" s="96" t="s">
        <v>1209</v>
      </c>
      <c r="E39" s="96" t="s">
        <v>1210</v>
      </c>
      <c r="F39" s="96" t="s">
        <v>314</v>
      </c>
      <c r="G39" s="96" t="s">
        <v>937</v>
      </c>
      <c r="H39" s="96" t="s">
        <v>203</v>
      </c>
      <c r="I39" s="96" t="s">
        <v>338</v>
      </c>
      <c r="J39" s="96" t="s">
        <v>1199</v>
      </c>
      <c r="K39" s="96" t="s">
        <v>412</v>
      </c>
      <c r="L39" s="96" t="s">
        <v>1202</v>
      </c>
      <c r="M39" s="97">
        <v>6.2171999999999998E-2</v>
      </c>
      <c r="N39" s="97">
        <v>4.0202</v>
      </c>
      <c r="O39" s="96"/>
      <c r="P39" s="97">
        <v>0.249944</v>
      </c>
      <c r="Q39" s="98">
        <v>1.8E-5</v>
      </c>
      <c r="R39" s="98">
        <v>3.9999999999999998E-6</v>
      </c>
      <c r="S39" s="106"/>
    </row>
    <row r="40" spans="1:19" ht="15" customHeight="1">
      <c r="A40" s="106"/>
      <c r="B40" s="96">
        <v>286</v>
      </c>
      <c r="C40" s="96">
        <v>1446</v>
      </c>
      <c r="D40" s="96" t="s">
        <v>1206</v>
      </c>
      <c r="E40" s="96" t="s">
        <v>1207</v>
      </c>
      <c r="F40" s="96" t="s">
        <v>314</v>
      </c>
      <c r="G40" s="96" t="s">
        <v>938</v>
      </c>
      <c r="H40" s="96" t="s">
        <v>203</v>
      </c>
      <c r="I40" s="96" t="s">
        <v>338</v>
      </c>
      <c r="J40" s="96" t="s">
        <v>1199</v>
      </c>
      <c r="K40" s="96" t="s">
        <v>412</v>
      </c>
      <c r="L40" s="96" t="s">
        <v>1200</v>
      </c>
      <c r="M40" s="97">
        <v>0.82621500000000003</v>
      </c>
      <c r="N40" s="97">
        <v>1</v>
      </c>
      <c r="O40" s="96"/>
      <c r="P40" s="97">
        <v>0.82621500000000003</v>
      </c>
      <c r="Q40" s="98">
        <v>6.0000000000000002E-5</v>
      </c>
      <c r="R40" s="98">
        <v>1.2999999999999999E-5</v>
      </c>
      <c r="S40" s="106"/>
    </row>
    <row r="41" spans="1:19" ht="15" customHeight="1">
      <c r="A41" s="106"/>
      <c r="B41" s="96">
        <v>286</v>
      </c>
      <c r="C41" s="96">
        <v>1446</v>
      </c>
      <c r="D41" s="96" t="s">
        <v>1209</v>
      </c>
      <c r="E41" s="96" t="s">
        <v>1210</v>
      </c>
      <c r="F41" s="96" t="s">
        <v>314</v>
      </c>
      <c r="G41" s="96" t="s">
        <v>937</v>
      </c>
      <c r="H41" s="96" t="s">
        <v>203</v>
      </c>
      <c r="I41" s="96" t="s">
        <v>338</v>
      </c>
      <c r="J41" s="96" t="s">
        <v>1199</v>
      </c>
      <c r="K41" s="96" t="s">
        <v>412</v>
      </c>
      <c r="L41" s="96" t="s">
        <v>1205</v>
      </c>
      <c r="M41" s="97">
        <v>0.12277100000000001</v>
      </c>
      <c r="N41" s="97">
        <v>4.7504999999999997</v>
      </c>
      <c r="O41" s="96"/>
      <c r="P41" s="97">
        <v>0.58322799999999997</v>
      </c>
      <c r="Q41" s="98">
        <v>4.1999999999999998E-5</v>
      </c>
      <c r="R41" s="98">
        <v>9.0000000000000002E-6</v>
      </c>
      <c r="S41" s="106"/>
    </row>
    <row r="42" spans="1:19" ht="15" customHeight="1">
      <c r="A42" s="106"/>
      <c r="B42" s="96">
        <v>286</v>
      </c>
      <c r="C42" s="96">
        <v>1446</v>
      </c>
      <c r="D42" s="96" t="s">
        <v>1212</v>
      </c>
      <c r="E42" s="96" t="s">
        <v>1213</v>
      </c>
      <c r="F42" s="96" t="s">
        <v>314</v>
      </c>
      <c r="G42" s="96" t="s">
        <v>937</v>
      </c>
      <c r="H42" s="96" t="s">
        <v>203</v>
      </c>
      <c r="I42" s="96" t="s">
        <v>338</v>
      </c>
      <c r="J42" s="96" t="s">
        <v>1199</v>
      </c>
      <c r="K42" s="96" t="s">
        <v>412</v>
      </c>
      <c r="L42" s="96" t="s">
        <v>1201</v>
      </c>
      <c r="M42" s="97">
        <v>0.53131300000000004</v>
      </c>
      <c r="N42" s="97">
        <v>3.7589999999999999</v>
      </c>
      <c r="O42" s="96"/>
      <c r="P42" s="97">
        <v>1.9972080000000001</v>
      </c>
      <c r="Q42" s="98">
        <v>1.45E-4</v>
      </c>
      <c r="R42" s="98">
        <v>3.1999999999999999E-5</v>
      </c>
      <c r="S42" s="106"/>
    </row>
    <row r="43" spans="1:19" ht="15" customHeight="1">
      <c r="A43" s="106"/>
      <c r="B43" s="96">
        <v>286</v>
      </c>
      <c r="C43" s="96">
        <v>1446</v>
      </c>
      <c r="D43" s="96" t="s">
        <v>1209</v>
      </c>
      <c r="E43" s="96" t="s">
        <v>1210</v>
      </c>
      <c r="F43" s="96" t="s">
        <v>314</v>
      </c>
      <c r="G43" s="96" t="s">
        <v>937</v>
      </c>
      <c r="H43" s="96" t="s">
        <v>203</v>
      </c>
      <c r="I43" s="96" t="s">
        <v>338</v>
      </c>
      <c r="J43" s="96" t="s">
        <v>1199</v>
      </c>
      <c r="K43" s="96" t="s">
        <v>412</v>
      </c>
      <c r="L43" s="96" t="s">
        <v>1201</v>
      </c>
      <c r="M43" s="97">
        <v>15.454193999999999</v>
      </c>
      <c r="N43" s="97">
        <v>3.7589999999999999</v>
      </c>
      <c r="O43" s="96"/>
      <c r="P43" s="97">
        <v>58.092314999999999</v>
      </c>
      <c r="Q43" s="98">
        <v>4.2339999999999999E-3</v>
      </c>
      <c r="R43" s="98">
        <v>9.3400000000000004E-4</v>
      </c>
      <c r="S43" s="106"/>
    </row>
    <row r="44" spans="1:19" ht="15" customHeight="1">
      <c r="A44" s="106"/>
      <c r="B44" s="96">
        <v>286</v>
      </c>
      <c r="C44" s="96">
        <v>1446</v>
      </c>
      <c r="D44" s="96" t="s">
        <v>1203</v>
      </c>
      <c r="E44" s="96" t="s">
        <v>1204</v>
      </c>
      <c r="F44" s="96" t="s">
        <v>314</v>
      </c>
      <c r="G44" s="96" t="s">
        <v>936</v>
      </c>
      <c r="H44" s="96" t="s">
        <v>203</v>
      </c>
      <c r="I44" s="96" t="s">
        <v>338</v>
      </c>
      <c r="J44" s="96" t="s">
        <v>1211</v>
      </c>
      <c r="K44" s="96" t="s">
        <v>414</v>
      </c>
      <c r="L44" s="96" t="s">
        <v>1200</v>
      </c>
      <c r="M44" s="97">
        <v>6.4405029999999996</v>
      </c>
      <c r="N44" s="97">
        <v>1</v>
      </c>
      <c r="O44" s="96"/>
      <c r="P44" s="97">
        <v>6.4405029999999996</v>
      </c>
      <c r="Q44" s="98">
        <v>4.6900000000000002E-4</v>
      </c>
      <c r="R44" s="98">
        <v>1.03E-4</v>
      </c>
      <c r="S44" s="106"/>
    </row>
    <row r="45" spans="1:19" ht="15" customHeight="1">
      <c r="A45" s="106"/>
      <c r="B45" s="96">
        <v>286</v>
      </c>
      <c r="C45" s="96">
        <v>1446</v>
      </c>
      <c r="D45" s="96" t="s">
        <v>1209</v>
      </c>
      <c r="E45" s="96" t="s">
        <v>1210</v>
      </c>
      <c r="F45" s="96" t="s">
        <v>314</v>
      </c>
      <c r="G45" s="96" t="s">
        <v>935</v>
      </c>
      <c r="H45" s="96" t="s">
        <v>203</v>
      </c>
      <c r="I45" s="96" t="s">
        <v>338</v>
      </c>
      <c r="J45" s="96" t="s">
        <v>1199</v>
      </c>
      <c r="K45" s="96" t="s">
        <v>412</v>
      </c>
      <c r="L45" s="96" t="s">
        <v>1200</v>
      </c>
      <c r="M45" s="97">
        <v>0.25253799999999998</v>
      </c>
      <c r="N45" s="97">
        <v>1</v>
      </c>
      <c r="O45" s="96"/>
      <c r="P45" s="97">
        <v>0.25253799999999998</v>
      </c>
      <c r="Q45" s="98">
        <v>1.8E-5</v>
      </c>
      <c r="R45" s="98">
        <v>3.9999999999999998E-6</v>
      </c>
      <c r="S45" s="106"/>
    </row>
    <row r="46" spans="1:19" ht="15" customHeight="1">
      <c r="A46" s="106"/>
      <c r="B46" s="96">
        <v>286</v>
      </c>
      <c r="C46" s="96">
        <v>1446</v>
      </c>
      <c r="D46" s="96" t="s">
        <v>1206</v>
      </c>
      <c r="E46" s="96" t="s">
        <v>1207</v>
      </c>
      <c r="F46" s="96" t="s">
        <v>314</v>
      </c>
      <c r="G46" s="96" t="s">
        <v>937</v>
      </c>
      <c r="H46" s="96" t="s">
        <v>203</v>
      </c>
      <c r="I46" s="96" t="s">
        <v>338</v>
      </c>
      <c r="J46" s="96" t="s">
        <v>1199</v>
      </c>
      <c r="K46" s="96" t="s">
        <v>412</v>
      </c>
      <c r="L46" s="96" t="s">
        <v>1216</v>
      </c>
      <c r="M46" s="97">
        <v>5.3176759999999996</v>
      </c>
      <c r="N46" s="97">
        <v>4.1790000000000003</v>
      </c>
      <c r="O46" s="96"/>
      <c r="P46" s="97">
        <v>22.222569</v>
      </c>
      <c r="Q46" s="98">
        <v>1.619E-3</v>
      </c>
      <c r="R46" s="98">
        <v>3.57E-4</v>
      </c>
      <c r="S46" s="106"/>
    </row>
    <row r="47" spans="1:19" ht="15" customHeight="1">
      <c r="A47" s="106"/>
      <c r="B47" s="96">
        <v>286</v>
      </c>
      <c r="C47" s="96">
        <v>1446</v>
      </c>
      <c r="D47" s="96" t="s">
        <v>1206</v>
      </c>
      <c r="E47" s="96" t="s">
        <v>1207</v>
      </c>
      <c r="F47" s="96" t="s">
        <v>314</v>
      </c>
      <c r="G47" s="96" t="s">
        <v>937</v>
      </c>
      <c r="H47" s="96" t="s">
        <v>203</v>
      </c>
      <c r="I47" s="96" t="s">
        <v>338</v>
      </c>
      <c r="J47" s="96" t="s">
        <v>1199</v>
      </c>
      <c r="K47" s="96" t="s">
        <v>412</v>
      </c>
      <c r="L47" s="96" t="s">
        <v>1217</v>
      </c>
      <c r="M47" s="97">
        <v>4448.1463809999996</v>
      </c>
      <c r="N47" s="97">
        <v>2.3359000000000001E-2</v>
      </c>
      <c r="O47" s="96"/>
      <c r="P47" s="97">
        <v>103.904251</v>
      </c>
      <c r="Q47" s="98">
        <v>7.574E-3</v>
      </c>
      <c r="R47" s="98">
        <v>1.67E-3</v>
      </c>
      <c r="S47" s="106"/>
    </row>
    <row r="48" spans="1:19" ht="15" customHeight="1">
      <c r="A48" s="106"/>
      <c r="B48" s="96">
        <v>286</v>
      </c>
      <c r="C48" s="96">
        <v>1446</v>
      </c>
      <c r="D48" s="96" t="s">
        <v>1197</v>
      </c>
      <c r="E48" s="96" t="s">
        <v>1198</v>
      </c>
      <c r="F48" s="96" t="s">
        <v>314</v>
      </c>
      <c r="G48" s="96" t="s">
        <v>936</v>
      </c>
      <c r="H48" s="96" t="s">
        <v>203</v>
      </c>
      <c r="I48" s="96" t="s">
        <v>338</v>
      </c>
      <c r="J48" s="96" t="s">
        <v>1199</v>
      </c>
      <c r="K48" s="96" t="s">
        <v>412</v>
      </c>
      <c r="L48" s="96" t="s">
        <v>1201</v>
      </c>
      <c r="M48" s="97">
        <v>151.86485200000001</v>
      </c>
      <c r="N48" s="97">
        <v>3.7589999999999999</v>
      </c>
      <c r="O48" s="96"/>
      <c r="P48" s="97">
        <v>570.85997399999997</v>
      </c>
      <c r="Q48" s="98">
        <v>4.1613999999999998E-2</v>
      </c>
      <c r="R48" s="98">
        <v>9.1789999999999997E-3</v>
      </c>
      <c r="S48" s="106"/>
    </row>
    <row r="49" spans="1:19" ht="15" customHeight="1">
      <c r="A49" s="106"/>
      <c r="B49" s="96">
        <v>286</v>
      </c>
      <c r="C49" s="96">
        <v>1446</v>
      </c>
      <c r="D49" s="96" t="s">
        <v>1197</v>
      </c>
      <c r="E49" s="96" t="s">
        <v>1198</v>
      </c>
      <c r="F49" s="96" t="s">
        <v>314</v>
      </c>
      <c r="G49" s="96" t="s">
        <v>937</v>
      </c>
      <c r="H49" s="96" t="s">
        <v>203</v>
      </c>
      <c r="I49" s="96" t="s">
        <v>338</v>
      </c>
      <c r="J49" s="96" t="s">
        <v>1199</v>
      </c>
      <c r="K49" s="96" t="s">
        <v>412</v>
      </c>
      <c r="L49" s="96" t="s">
        <v>1202</v>
      </c>
      <c r="M49" s="97">
        <v>1.3563829999999999</v>
      </c>
      <c r="N49" s="97">
        <v>4.0202</v>
      </c>
      <c r="O49" s="96"/>
      <c r="P49" s="97">
        <v>5.4529310000000004</v>
      </c>
      <c r="Q49" s="98">
        <v>3.97E-4</v>
      </c>
      <c r="R49" s="98">
        <v>8.7000000000000001E-5</v>
      </c>
      <c r="S49" s="106"/>
    </row>
    <row r="50" spans="1:19" ht="15" customHeight="1">
      <c r="A50" s="106"/>
      <c r="B50" s="96">
        <v>286</v>
      </c>
      <c r="C50" s="96">
        <v>1446</v>
      </c>
      <c r="D50" s="96" t="s">
        <v>1206</v>
      </c>
      <c r="E50" s="96" t="s">
        <v>1207</v>
      </c>
      <c r="F50" s="96" t="s">
        <v>314</v>
      </c>
      <c r="G50" s="96" t="s">
        <v>936</v>
      </c>
      <c r="H50" s="96" t="s">
        <v>203</v>
      </c>
      <c r="I50" s="96" t="s">
        <v>338</v>
      </c>
      <c r="J50" s="96" t="s">
        <v>1208</v>
      </c>
      <c r="K50" s="96" t="s">
        <v>432</v>
      </c>
      <c r="L50" s="96" t="s">
        <v>1201</v>
      </c>
      <c r="M50" s="97">
        <v>1.807183</v>
      </c>
      <c r="N50" s="97">
        <v>3.7589999999999999</v>
      </c>
      <c r="O50" s="96"/>
      <c r="P50" s="97">
        <v>6.7932030000000001</v>
      </c>
      <c r="Q50" s="98">
        <v>4.95E-4</v>
      </c>
      <c r="R50" s="98">
        <v>1.0900000000000001E-4</v>
      </c>
      <c r="S50" s="106"/>
    </row>
    <row r="51" spans="1:19" ht="15" customHeight="1">
      <c r="A51" s="106"/>
      <c r="B51" s="96">
        <v>286</v>
      </c>
      <c r="C51" s="96">
        <v>1446</v>
      </c>
      <c r="D51" s="96" t="s">
        <v>1203</v>
      </c>
      <c r="E51" s="96" t="s">
        <v>1204</v>
      </c>
      <c r="F51" s="96" t="s">
        <v>314</v>
      </c>
      <c r="G51" s="96" t="s">
        <v>935</v>
      </c>
      <c r="H51" s="96" t="s">
        <v>203</v>
      </c>
      <c r="I51" s="96" t="s">
        <v>338</v>
      </c>
      <c r="J51" s="96" t="s">
        <v>1199</v>
      </c>
      <c r="K51" s="96" t="s">
        <v>412</v>
      </c>
      <c r="L51" s="96" t="s">
        <v>1200</v>
      </c>
      <c r="M51" s="97">
        <v>83.683535000000006</v>
      </c>
      <c r="N51" s="97">
        <v>1</v>
      </c>
      <c r="O51" s="96"/>
      <c r="P51" s="97">
        <v>83.683535000000006</v>
      </c>
      <c r="Q51" s="98">
        <v>6.1000000000000004E-3</v>
      </c>
      <c r="R51" s="98">
        <v>1.3450000000000001E-3</v>
      </c>
      <c r="S51" s="106"/>
    </row>
    <row r="52" spans="1:19" ht="15" customHeight="1">
      <c r="A52" s="106"/>
      <c r="B52" s="96">
        <v>286</v>
      </c>
      <c r="C52" s="96">
        <v>1446</v>
      </c>
      <c r="D52" s="96" t="s">
        <v>1197</v>
      </c>
      <c r="E52" s="96" t="s">
        <v>1198</v>
      </c>
      <c r="F52" s="96" t="s">
        <v>314</v>
      </c>
      <c r="G52" s="96" t="s">
        <v>938</v>
      </c>
      <c r="H52" s="96" t="s">
        <v>203</v>
      </c>
      <c r="I52" s="96" t="s">
        <v>338</v>
      </c>
      <c r="J52" s="96" t="s">
        <v>1199</v>
      </c>
      <c r="K52" s="96" t="s">
        <v>412</v>
      </c>
      <c r="L52" s="96" t="s">
        <v>1200</v>
      </c>
      <c r="M52" s="97">
        <v>241.71691300000001</v>
      </c>
      <c r="N52" s="97">
        <v>1</v>
      </c>
      <c r="O52" s="96"/>
      <c r="P52" s="97">
        <v>241.71691300000001</v>
      </c>
      <c r="Q52" s="98">
        <v>1.762E-2</v>
      </c>
      <c r="R52" s="98">
        <v>3.8860000000000001E-3</v>
      </c>
      <c r="S52" s="106"/>
    </row>
    <row r="53" spans="1:19" ht="15" customHeight="1">
      <c r="A53" s="106"/>
      <c r="B53" s="96">
        <v>286</v>
      </c>
      <c r="C53" s="96">
        <v>1446</v>
      </c>
      <c r="D53" s="96" t="s">
        <v>1212</v>
      </c>
      <c r="E53" s="96" t="s">
        <v>1213</v>
      </c>
      <c r="F53" s="96" t="s">
        <v>314</v>
      </c>
      <c r="G53" s="96" t="s">
        <v>939</v>
      </c>
      <c r="H53" s="96" t="s">
        <v>203</v>
      </c>
      <c r="I53" s="96" t="s">
        <v>338</v>
      </c>
      <c r="J53" s="96" t="s">
        <v>1211</v>
      </c>
      <c r="K53" s="96" t="s">
        <v>414</v>
      </c>
      <c r="L53" s="96" t="s">
        <v>1200</v>
      </c>
      <c r="M53" s="97">
        <v>78.947798000000006</v>
      </c>
      <c r="N53" s="97">
        <v>1</v>
      </c>
      <c r="O53" s="96"/>
      <c r="P53" s="97">
        <v>78.947798000000006</v>
      </c>
      <c r="Q53" s="98">
        <v>5.7540000000000004E-3</v>
      </c>
      <c r="R53" s="98">
        <v>1.2689999999999999E-3</v>
      </c>
      <c r="S53" s="106"/>
    </row>
    <row r="54" spans="1:19" ht="15" customHeight="1">
      <c r="A54" s="106"/>
      <c r="B54" s="96">
        <v>286</v>
      </c>
      <c r="C54" s="96">
        <v>1446</v>
      </c>
      <c r="D54" s="96" t="s">
        <v>1203</v>
      </c>
      <c r="E54" s="96" t="s">
        <v>1204</v>
      </c>
      <c r="F54" s="96" t="s">
        <v>314</v>
      </c>
      <c r="G54" s="96" t="s">
        <v>938</v>
      </c>
      <c r="H54" s="96" t="s">
        <v>203</v>
      </c>
      <c r="I54" s="96" t="s">
        <v>338</v>
      </c>
      <c r="J54" s="96" t="s">
        <v>1199</v>
      </c>
      <c r="K54" s="96" t="s">
        <v>412</v>
      </c>
      <c r="L54" s="96" t="s">
        <v>1200</v>
      </c>
      <c r="M54" s="97">
        <v>10.022940999999999</v>
      </c>
      <c r="N54" s="97">
        <v>1</v>
      </c>
      <c r="O54" s="96"/>
      <c r="P54" s="97">
        <v>10.022940999999999</v>
      </c>
      <c r="Q54" s="98">
        <v>7.2999999999999996E-4</v>
      </c>
      <c r="R54" s="98">
        <v>1.6100000000000001E-4</v>
      </c>
      <c r="S54" s="106"/>
    </row>
    <row r="55" spans="1:19" ht="15" customHeight="1">
      <c r="A55" s="106"/>
      <c r="B55" s="96">
        <v>286</v>
      </c>
      <c r="C55" s="96">
        <v>1446</v>
      </c>
      <c r="D55" s="96" t="s">
        <v>1212</v>
      </c>
      <c r="E55" s="96" t="s">
        <v>1213</v>
      </c>
      <c r="F55" s="96" t="s">
        <v>314</v>
      </c>
      <c r="G55" s="96" t="s">
        <v>938</v>
      </c>
      <c r="H55" s="96" t="s">
        <v>203</v>
      </c>
      <c r="I55" s="96" t="s">
        <v>338</v>
      </c>
      <c r="J55" s="96" t="s">
        <v>1199</v>
      </c>
      <c r="K55" s="96" t="s">
        <v>412</v>
      </c>
      <c r="L55" s="96" t="s">
        <v>1200</v>
      </c>
      <c r="M55" s="97">
        <v>5.0900000000000001E-4</v>
      </c>
      <c r="N55" s="97">
        <v>1</v>
      </c>
      <c r="O55" s="96"/>
      <c r="P55" s="97">
        <v>5.0900000000000001E-4</v>
      </c>
      <c r="Q55" s="98">
        <v>0</v>
      </c>
      <c r="R55" s="98">
        <v>0</v>
      </c>
      <c r="S55" s="106"/>
    </row>
    <row r="56" spans="1:19" ht="15" customHeight="1">
      <c r="A56" s="106"/>
      <c r="B56" s="96">
        <v>286</v>
      </c>
      <c r="C56" s="96">
        <v>1446</v>
      </c>
      <c r="D56" s="96" t="s">
        <v>1197</v>
      </c>
      <c r="E56" s="96" t="s">
        <v>1198</v>
      </c>
      <c r="F56" s="96" t="s">
        <v>314</v>
      </c>
      <c r="G56" s="96" t="s">
        <v>937</v>
      </c>
      <c r="H56" s="96" t="s">
        <v>203</v>
      </c>
      <c r="I56" s="96" t="s">
        <v>338</v>
      </c>
      <c r="J56" s="96" t="s">
        <v>1199</v>
      </c>
      <c r="K56" s="96" t="s">
        <v>412</v>
      </c>
      <c r="L56" s="96" t="s">
        <v>1201</v>
      </c>
      <c r="M56" s="97">
        <v>587.72283700000003</v>
      </c>
      <c r="N56" s="97">
        <v>3.7589999999999999</v>
      </c>
      <c r="O56" s="96"/>
      <c r="P56" s="97">
        <v>2209.2501480000001</v>
      </c>
      <c r="Q56" s="98">
        <v>0.161048</v>
      </c>
      <c r="R56" s="98">
        <v>3.5522999999999999E-2</v>
      </c>
      <c r="S56" s="106"/>
    </row>
    <row r="57" spans="1:19" ht="15" customHeight="1">
      <c r="A57" s="106"/>
      <c r="B57" s="96">
        <v>286</v>
      </c>
      <c r="C57" s="96">
        <v>1446</v>
      </c>
      <c r="D57" s="96" t="s">
        <v>1203</v>
      </c>
      <c r="E57" s="96" t="s">
        <v>1204</v>
      </c>
      <c r="F57" s="96" t="s">
        <v>314</v>
      </c>
      <c r="G57" s="96" t="s">
        <v>937</v>
      </c>
      <c r="H57" s="96" t="s">
        <v>203</v>
      </c>
      <c r="I57" s="96" t="s">
        <v>338</v>
      </c>
      <c r="J57" s="96" t="s">
        <v>1199</v>
      </c>
      <c r="K57" s="96" t="s">
        <v>412</v>
      </c>
      <c r="L57" s="96" t="s">
        <v>1205</v>
      </c>
      <c r="M57" s="97">
        <v>0.28532600000000002</v>
      </c>
      <c r="N57" s="97">
        <v>4.7504999999999997</v>
      </c>
      <c r="O57" s="96"/>
      <c r="P57" s="97">
        <v>1.355445</v>
      </c>
      <c r="Q57" s="98">
        <v>9.7999999999999997E-5</v>
      </c>
      <c r="R57" s="98">
        <v>2.0999999999999999E-5</v>
      </c>
      <c r="S57" s="106"/>
    </row>
    <row r="58" spans="1:19" ht="15" customHeight="1">
      <c r="A58" s="106"/>
      <c r="B58" s="96">
        <v>286</v>
      </c>
      <c r="C58" s="96">
        <v>1446</v>
      </c>
      <c r="D58" s="96" t="s">
        <v>1206</v>
      </c>
      <c r="E58" s="96" t="s">
        <v>1207</v>
      </c>
      <c r="F58" s="96" t="s">
        <v>314</v>
      </c>
      <c r="G58" s="96" t="s">
        <v>937</v>
      </c>
      <c r="H58" s="96" t="s">
        <v>203</v>
      </c>
      <c r="I58" s="96" t="s">
        <v>338</v>
      </c>
      <c r="J58" s="96" t="s">
        <v>1199</v>
      </c>
      <c r="K58" s="96" t="s">
        <v>412</v>
      </c>
      <c r="L58" s="96" t="s">
        <v>1218</v>
      </c>
      <c r="M58" s="97">
        <v>10.673767</v>
      </c>
      <c r="N58" s="97">
        <v>2.4931000000000001</v>
      </c>
      <c r="O58" s="96"/>
      <c r="P58" s="97">
        <v>26.610769999999999</v>
      </c>
      <c r="Q58" s="98">
        <v>1.939E-3</v>
      </c>
      <c r="R58" s="98">
        <v>4.2700000000000002E-4</v>
      </c>
      <c r="S58" s="106"/>
    </row>
    <row r="59" spans="1:19" ht="15" customHeight="1">
      <c r="A59" s="106"/>
      <c r="B59" s="96">
        <v>286</v>
      </c>
      <c r="C59" s="96">
        <v>1446</v>
      </c>
      <c r="D59" s="96" t="s">
        <v>1197</v>
      </c>
      <c r="E59" s="96" t="s">
        <v>1198</v>
      </c>
      <c r="F59" s="96" t="s">
        <v>314</v>
      </c>
      <c r="G59" s="96" t="s">
        <v>939</v>
      </c>
      <c r="H59" s="96" t="s">
        <v>203</v>
      </c>
      <c r="I59" s="96" t="s">
        <v>338</v>
      </c>
      <c r="J59" s="96" t="s">
        <v>1199</v>
      </c>
      <c r="K59" s="96" t="s">
        <v>412</v>
      </c>
      <c r="L59" s="96" t="s">
        <v>1200</v>
      </c>
      <c r="M59" s="97">
        <v>508.90214400000002</v>
      </c>
      <c r="N59" s="97">
        <v>1</v>
      </c>
      <c r="O59" s="96"/>
      <c r="P59" s="97">
        <v>508.90214400000002</v>
      </c>
      <c r="Q59" s="98">
        <v>3.7095000000000003E-2</v>
      </c>
      <c r="R59" s="98">
        <v>8.1810000000000008E-3</v>
      </c>
      <c r="S59" s="106"/>
    </row>
    <row r="60" spans="1:19" ht="15" customHeight="1">
      <c r="A60" s="106"/>
      <c r="B60" s="96">
        <v>286</v>
      </c>
      <c r="C60" s="96">
        <v>1446</v>
      </c>
      <c r="D60" s="96" t="s">
        <v>1203</v>
      </c>
      <c r="E60" s="96" t="s">
        <v>1204</v>
      </c>
      <c r="F60" s="96" t="s">
        <v>314</v>
      </c>
      <c r="G60" s="96" t="s">
        <v>937</v>
      </c>
      <c r="H60" s="96" t="s">
        <v>203</v>
      </c>
      <c r="I60" s="96" t="s">
        <v>338</v>
      </c>
      <c r="J60" s="96" t="s">
        <v>1199</v>
      </c>
      <c r="K60" s="96" t="s">
        <v>412</v>
      </c>
      <c r="L60" s="96" t="s">
        <v>1202</v>
      </c>
      <c r="M60" s="97">
        <v>0.50758400000000004</v>
      </c>
      <c r="N60" s="97">
        <v>4.0202</v>
      </c>
      <c r="O60" s="96"/>
      <c r="P60" s="97">
        <v>2.0405899999999999</v>
      </c>
      <c r="Q60" s="98">
        <v>1.4799999999999999E-4</v>
      </c>
      <c r="R60" s="98">
        <v>3.1999999999999999E-5</v>
      </c>
      <c r="S60" s="106"/>
    </row>
    <row r="61" spans="1:19" ht="15" customHeight="1">
      <c r="A61" s="106"/>
      <c r="B61" s="96">
        <v>286</v>
      </c>
      <c r="C61" s="96">
        <v>286</v>
      </c>
      <c r="D61" s="96" t="s">
        <v>1197</v>
      </c>
      <c r="E61" s="96" t="s">
        <v>1198</v>
      </c>
      <c r="F61" s="96" t="s">
        <v>314</v>
      </c>
      <c r="G61" s="96" t="s">
        <v>935</v>
      </c>
      <c r="H61" s="96" t="s">
        <v>203</v>
      </c>
      <c r="I61" s="96" t="s">
        <v>338</v>
      </c>
      <c r="J61" s="96" t="s">
        <v>1199</v>
      </c>
      <c r="K61" s="96" t="s">
        <v>412</v>
      </c>
      <c r="L61" s="96" t="s">
        <v>1200</v>
      </c>
      <c r="M61" s="97">
        <v>82072.621637999997</v>
      </c>
      <c r="N61" s="97">
        <v>1</v>
      </c>
      <c r="O61" s="96"/>
      <c r="P61" s="97">
        <v>81107.707758000004</v>
      </c>
      <c r="Q61" s="98">
        <v>0.42920900000000001</v>
      </c>
      <c r="R61" s="98">
        <v>4.2234000000000001E-2</v>
      </c>
      <c r="S61" s="106"/>
    </row>
    <row r="62" spans="1:19" ht="15" customHeight="1">
      <c r="A62" s="106"/>
      <c r="B62" s="96">
        <v>286</v>
      </c>
      <c r="C62" s="96">
        <v>286</v>
      </c>
      <c r="D62" s="96" t="s">
        <v>1197</v>
      </c>
      <c r="E62" s="96" t="s">
        <v>1198</v>
      </c>
      <c r="F62" s="96" t="s">
        <v>314</v>
      </c>
      <c r="G62" s="96" t="s">
        <v>937</v>
      </c>
      <c r="H62" s="96" t="s">
        <v>203</v>
      </c>
      <c r="I62" s="96" t="s">
        <v>338</v>
      </c>
      <c r="J62" s="96" t="s">
        <v>1199</v>
      </c>
      <c r="K62" s="96" t="s">
        <v>412</v>
      </c>
      <c r="L62" s="96" t="s">
        <v>1201</v>
      </c>
      <c r="M62" s="97">
        <v>7205.530487</v>
      </c>
      <c r="N62" s="97">
        <v>3.7589999999999999</v>
      </c>
      <c r="O62" s="96"/>
      <c r="P62" s="97">
        <v>27085.589101000001</v>
      </c>
      <c r="Q62" s="98">
        <v>0.14333099999999999</v>
      </c>
      <c r="R62" s="98">
        <v>1.4102999999999999E-2</v>
      </c>
      <c r="S62" s="106"/>
    </row>
    <row r="63" spans="1:19" ht="15" customHeight="1">
      <c r="A63" s="106"/>
      <c r="B63" s="96">
        <v>286</v>
      </c>
      <c r="C63" s="96">
        <v>286</v>
      </c>
      <c r="D63" s="96" t="s">
        <v>1197</v>
      </c>
      <c r="E63" s="96" t="s">
        <v>1198</v>
      </c>
      <c r="F63" s="96" t="s">
        <v>314</v>
      </c>
      <c r="G63" s="96" t="s">
        <v>937</v>
      </c>
      <c r="H63" s="96" t="s">
        <v>203</v>
      </c>
      <c r="I63" s="96" t="s">
        <v>338</v>
      </c>
      <c r="J63" s="96" t="s">
        <v>1199</v>
      </c>
      <c r="K63" s="96" t="s">
        <v>412</v>
      </c>
      <c r="L63" s="96" t="s">
        <v>1218</v>
      </c>
      <c r="M63" s="97">
        <v>8.412E-2</v>
      </c>
      <c r="N63" s="97">
        <v>2.4931000000000001</v>
      </c>
      <c r="O63" s="96"/>
      <c r="P63" s="97">
        <v>0.20971999999999999</v>
      </c>
      <c r="Q63" s="98">
        <v>9.9999999999999995E-7</v>
      </c>
      <c r="R63" s="98">
        <v>0</v>
      </c>
      <c r="S63" s="106"/>
    </row>
    <row r="64" spans="1:19" ht="15" customHeight="1">
      <c r="A64" s="106"/>
      <c r="B64" s="96">
        <v>286</v>
      </c>
      <c r="C64" s="96">
        <v>286</v>
      </c>
      <c r="D64" s="96" t="s">
        <v>1212</v>
      </c>
      <c r="E64" s="96" t="s">
        <v>1213</v>
      </c>
      <c r="F64" s="96" t="s">
        <v>314</v>
      </c>
      <c r="G64" s="96" t="s">
        <v>938</v>
      </c>
      <c r="H64" s="96" t="s">
        <v>203</v>
      </c>
      <c r="I64" s="96" t="s">
        <v>338</v>
      </c>
      <c r="J64" s="96" t="s">
        <v>1199</v>
      </c>
      <c r="K64" s="96" t="s">
        <v>412</v>
      </c>
      <c r="L64" s="96" t="s">
        <v>1200</v>
      </c>
      <c r="M64" s="97">
        <v>6.2579999999999997E-3</v>
      </c>
      <c r="N64" s="97">
        <v>1</v>
      </c>
      <c r="O64" s="96"/>
      <c r="P64" s="97">
        <v>6.2579999999999997E-3</v>
      </c>
      <c r="Q64" s="98">
        <v>0</v>
      </c>
      <c r="R64" s="98">
        <v>0</v>
      </c>
      <c r="S64" s="106"/>
    </row>
    <row r="65" spans="1:19" ht="15" customHeight="1">
      <c r="A65" s="106"/>
      <c r="B65" s="96">
        <v>286</v>
      </c>
      <c r="C65" s="96">
        <v>286</v>
      </c>
      <c r="D65" s="96" t="s">
        <v>1209</v>
      </c>
      <c r="E65" s="96" t="s">
        <v>1210</v>
      </c>
      <c r="F65" s="96" t="s">
        <v>314</v>
      </c>
      <c r="G65" s="96" t="s">
        <v>936</v>
      </c>
      <c r="H65" s="96" t="s">
        <v>203</v>
      </c>
      <c r="I65" s="96" t="s">
        <v>338</v>
      </c>
      <c r="J65" s="96" t="s">
        <v>1211</v>
      </c>
      <c r="K65" s="96" t="s">
        <v>414</v>
      </c>
      <c r="L65" s="96" t="s">
        <v>1200</v>
      </c>
      <c r="M65" s="97">
        <v>48.708409000000003</v>
      </c>
      <c r="N65" s="97">
        <v>1</v>
      </c>
      <c r="O65" s="96"/>
      <c r="P65" s="97">
        <v>48.708409000000003</v>
      </c>
      <c r="Q65" s="98">
        <v>2.5700000000000001E-4</v>
      </c>
      <c r="R65" s="98">
        <v>2.5000000000000001E-5</v>
      </c>
      <c r="S65" s="106"/>
    </row>
    <row r="66" spans="1:19" ht="15" customHeight="1">
      <c r="A66" s="106"/>
      <c r="B66" s="96">
        <v>286</v>
      </c>
      <c r="C66" s="96">
        <v>286</v>
      </c>
      <c r="D66" s="96" t="s">
        <v>1197</v>
      </c>
      <c r="E66" s="96" t="s">
        <v>1198</v>
      </c>
      <c r="F66" s="96" t="s">
        <v>314</v>
      </c>
      <c r="G66" s="96" t="s">
        <v>939</v>
      </c>
      <c r="H66" s="96" t="s">
        <v>203</v>
      </c>
      <c r="I66" s="96" t="s">
        <v>338</v>
      </c>
      <c r="J66" s="96" t="s">
        <v>1199</v>
      </c>
      <c r="K66" s="96" t="s">
        <v>412</v>
      </c>
      <c r="L66" s="96" t="s">
        <v>1200</v>
      </c>
      <c r="M66" s="97">
        <v>7597.1109660000002</v>
      </c>
      <c r="N66" s="97">
        <v>1</v>
      </c>
      <c r="O66" s="96"/>
      <c r="P66" s="97">
        <v>7597.1109660000002</v>
      </c>
      <c r="Q66" s="98">
        <v>4.02E-2</v>
      </c>
      <c r="R66" s="98">
        <v>3.9529999999999999E-3</v>
      </c>
      <c r="S66" s="106"/>
    </row>
    <row r="67" spans="1:19" ht="15" customHeight="1">
      <c r="A67" s="106"/>
      <c r="B67" s="96">
        <v>286</v>
      </c>
      <c r="C67" s="96">
        <v>286</v>
      </c>
      <c r="D67" s="96" t="s">
        <v>1206</v>
      </c>
      <c r="E67" s="96" t="s">
        <v>1207</v>
      </c>
      <c r="F67" s="96" t="s">
        <v>314</v>
      </c>
      <c r="G67" s="96" t="s">
        <v>937</v>
      </c>
      <c r="H67" s="96" t="s">
        <v>203</v>
      </c>
      <c r="I67" s="96" t="s">
        <v>338</v>
      </c>
      <c r="J67" s="96" t="s">
        <v>1199</v>
      </c>
      <c r="K67" s="96" t="s">
        <v>412</v>
      </c>
      <c r="L67" s="96" t="s">
        <v>1218</v>
      </c>
      <c r="M67" s="97">
        <v>169.83723499999999</v>
      </c>
      <c r="N67" s="97">
        <v>2.4931000000000001</v>
      </c>
      <c r="O67" s="96"/>
      <c r="P67" s="97">
        <v>423.42121200000003</v>
      </c>
      <c r="Q67" s="98">
        <v>2.2399999999999998E-3</v>
      </c>
      <c r="R67" s="98">
        <v>2.2000000000000001E-4</v>
      </c>
      <c r="S67" s="106"/>
    </row>
    <row r="68" spans="1:19" ht="15" customHeight="1">
      <c r="A68" s="106"/>
      <c r="B68" s="96">
        <v>286</v>
      </c>
      <c r="C68" s="96">
        <v>286</v>
      </c>
      <c r="D68" s="96" t="s">
        <v>1209</v>
      </c>
      <c r="E68" s="96" t="s">
        <v>1210</v>
      </c>
      <c r="F68" s="96" t="s">
        <v>314</v>
      </c>
      <c r="G68" s="96" t="s">
        <v>937</v>
      </c>
      <c r="H68" s="96" t="s">
        <v>203</v>
      </c>
      <c r="I68" s="96" t="s">
        <v>338</v>
      </c>
      <c r="J68" s="96" t="s">
        <v>1199</v>
      </c>
      <c r="K68" s="96" t="s">
        <v>412</v>
      </c>
      <c r="L68" s="96" t="s">
        <v>1202</v>
      </c>
      <c r="M68" s="97">
        <v>0.76380700000000001</v>
      </c>
      <c r="N68" s="97">
        <v>4.0202</v>
      </c>
      <c r="O68" s="96"/>
      <c r="P68" s="97">
        <v>3.070659</v>
      </c>
      <c r="Q68" s="98">
        <v>1.5999999999999999E-5</v>
      </c>
      <c r="R68" s="98">
        <v>9.9999999999999995E-7</v>
      </c>
      <c r="S68" s="106"/>
    </row>
    <row r="69" spans="1:19" ht="15" customHeight="1">
      <c r="A69" s="106"/>
      <c r="B69" s="96">
        <v>286</v>
      </c>
      <c r="C69" s="96">
        <v>286</v>
      </c>
      <c r="D69" s="96" t="s">
        <v>1197</v>
      </c>
      <c r="E69" s="96" t="s">
        <v>1198</v>
      </c>
      <c r="F69" s="96" t="s">
        <v>314</v>
      </c>
      <c r="G69" s="96" t="s">
        <v>938</v>
      </c>
      <c r="H69" s="96" t="s">
        <v>203</v>
      </c>
      <c r="I69" s="96" t="s">
        <v>338</v>
      </c>
      <c r="J69" s="96" t="s">
        <v>1199</v>
      </c>
      <c r="K69" s="96" t="s">
        <v>412</v>
      </c>
      <c r="L69" s="96" t="s">
        <v>1200</v>
      </c>
      <c r="M69" s="97">
        <v>3846.1144989999998</v>
      </c>
      <c r="N69" s="97">
        <v>1</v>
      </c>
      <c r="O69" s="96"/>
      <c r="P69" s="97">
        <v>3846.1144989999998</v>
      </c>
      <c r="Q69" s="98">
        <v>2.0353E-2</v>
      </c>
      <c r="R69" s="98">
        <v>2.0019999999999999E-3</v>
      </c>
      <c r="S69" s="106"/>
    </row>
    <row r="70" spans="1:19" ht="15" customHeight="1">
      <c r="A70" s="106"/>
      <c r="B70" s="96">
        <v>286</v>
      </c>
      <c r="C70" s="96">
        <v>286</v>
      </c>
      <c r="D70" s="96" t="s">
        <v>1209</v>
      </c>
      <c r="E70" s="96" t="s">
        <v>1210</v>
      </c>
      <c r="F70" s="96" t="s">
        <v>314</v>
      </c>
      <c r="G70" s="96" t="s">
        <v>937</v>
      </c>
      <c r="H70" s="96" t="s">
        <v>203</v>
      </c>
      <c r="I70" s="96" t="s">
        <v>338</v>
      </c>
      <c r="J70" s="96" t="s">
        <v>1199</v>
      </c>
      <c r="K70" s="96" t="s">
        <v>412</v>
      </c>
      <c r="L70" s="96" t="s">
        <v>1201</v>
      </c>
      <c r="M70" s="97">
        <v>198.60934399999999</v>
      </c>
      <c r="N70" s="97">
        <v>3.7589999999999999</v>
      </c>
      <c r="O70" s="96"/>
      <c r="P70" s="97">
        <v>746.57253000000003</v>
      </c>
      <c r="Q70" s="98">
        <v>3.9490000000000003E-3</v>
      </c>
      <c r="R70" s="98">
        <v>3.8699999999999997E-4</v>
      </c>
      <c r="S70" s="106"/>
    </row>
    <row r="71" spans="1:19" ht="15" customHeight="1">
      <c r="A71" s="106"/>
      <c r="B71" s="96">
        <v>286</v>
      </c>
      <c r="C71" s="96">
        <v>286</v>
      </c>
      <c r="D71" s="96" t="s">
        <v>1197</v>
      </c>
      <c r="E71" s="96" t="s">
        <v>1198</v>
      </c>
      <c r="F71" s="96" t="s">
        <v>314</v>
      </c>
      <c r="G71" s="96" t="s">
        <v>937</v>
      </c>
      <c r="H71" s="96" t="s">
        <v>203</v>
      </c>
      <c r="I71" s="96" t="s">
        <v>338</v>
      </c>
      <c r="J71" s="96" t="s">
        <v>1199</v>
      </c>
      <c r="K71" s="96" t="s">
        <v>412</v>
      </c>
      <c r="L71" s="96" t="s">
        <v>1216</v>
      </c>
      <c r="M71" s="97">
        <v>4.9429800000000004</v>
      </c>
      <c r="N71" s="97">
        <v>4.1790000000000003</v>
      </c>
      <c r="O71" s="96"/>
      <c r="P71" s="97">
        <v>20.65671</v>
      </c>
      <c r="Q71" s="98">
        <v>1.0900000000000001E-4</v>
      </c>
      <c r="R71" s="98">
        <v>1.0000000000000001E-5</v>
      </c>
      <c r="S71" s="106"/>
    </row>
    <row r="72" spans="1:19" ht="15" customHeight="1">
      <c r="A72" s="106"/>
      <c r="B72" s="96">
        <v>286</v>
      </c>
      <c r="C72" s="96">
        <v>286</v>
      </c>
      <c r="D72" s="96" t="s">
        <v>1197</v>
      </c>
      <c r="E72" s="96" t="s">
        <v>1198</v>
      </c>
      <c r="F72" s="96" t="s">
        <v>314</v>
      </c>
      <c r="G72" s="96" t="s">
        <v>936</v>
      </c>
      <c r="H72" s="96" t="s">
        <v>203</v>
      </c>
      <c r="I72" s="96" t="s">
        <v>338</v>
      </c>
      <c r="J72" s="96" t="s">
        <v>1199</v>
      </c>
      <c r="K72" s="96" t="s">
        <v>412</v>
      </c>
      <c r="L72" s="96" t="s">
        <v>1201</v>
      </c>
      <c r="M72" s="97">
        <v>3947.2972880000002</v>
      </c>
      <c r="N72" s="97">
        <v>3.7589999999999999</v>
      </c>
      <c r="O72" s="96"/>
      <c r="P72" s="97">
        <v>14837.890506</v>
      </c>
      <c r="Q72" s="98">
        <v>7.8519000000000005E-2</v>
      </c>
      <c r="R72" s="98">
        <v>7.7260000000000002E-3</v>
      </c>
      <c r="S72" s="106"/>
    </row>
    <row r="73" spans="1:19" ht="15" customHeight="1">
      <c r="A73" s="106"/>
      <c r="B73" s="96">
        <v>286</v>
      </c>
      <c r="C73" s="96">
        <v>286</v>
      </c>
      <c r="D73" s="96" t="s">
        <v>1206</v>
      </c>
      <c r="E73" s="96" t="s">
        <v>1207</v>
      </c>
      <c r="F73" s="96" t="s">
        <v>314</v>
      </c>
      <c r="G73" s="96" t="s">
        <v>937</v>
      </c>
      <c r="H73" s="96" t="s">
        <v>203</v>
      </c>
      <c r="I73" s="96" t="s">
        <v>338</v>
      </c>
      <c r="J73" s="96" t="s">
        <v>1199</v>
      </c>
      <c r="K73" s="96" t="s">
        <v>412</v>
      </c>
      <c r="L73" s="96" t="s">
        <v>1216</v>
      </c>
      <c r="M73" s="97">
        <v>84.612994</v>
      </c>
      <c r="N73" s="97">
        <v>4.1790000000000003</v>
      </c>
      <c r="O73" s="96"/>
      <c r="P73" s="97">
        <v>353.59770099999997</v>
      </c>
      <c r="Q73" s="98">
        <v>1.8710000000000001E-3</v>
      </c>
      <c r="R73" s="98">
        <v>1.84E-4</v>
      </c>
      <c r="S73" s="106"/>
    </row>
    <row r="74" spans="1:19" ht="15" customHeight="1">
      <c r="A74" s="106"/>
      <c r="B74" s="96">
        <v>286</v>
      </c>
      <c r="C74" s="96">
        <v>286</v>
      </c>
      <c r="D74" s="96" t="s">
        <v>1209</v>
      </c>
      <c r="E74" s="96" t="s">
        <v>1214</v>
      </c>
      <c r="F74" s="96" t="s">
        <v>314</v>
      </c>
      <c r="G74" s="96" t="s">
        <v>937</v>
      </c>
      <c r="H74" s="96" t="s">
        <v>203</v>
      </c>
      <c r="I74" s="96" t="s">
        <v>338</v>
      </c>
      <c r="J74" s="96" t="s">
        <v>1199</v>
      </c>
      <c r="K74" s="96" t="s">
        <v>412</v>
      </c>
      <c r="L74" s="96" t="s">
        <v>1202</v>
      </c>
      <c r="M74" s="97">
        <v>5.0000000000000002E-5</v>
      </c>
      <c r="N74" s="97">
        <v>4.0202</v>
      </c>
      <c r="O74" s="96"/>
      <c r="P74" s="97">
        <v>2.0100000000000001E-4</v>
      </c>
      <c r="Q74" s="98">
        <v>0</v>
      </c>
      <c r="R74" s="98">
        <v>0</v>
      </c>
      <c r="S74" s="106"/>
    </row>
    <row r="75" spans="1:19" ht="15" customHeight="1">
      <c r="A75" s="106"/>
      <c r="B75" s="96">
        <v>286</v>
      </c>
      <c r="C75" s="96">
        <v>286</v>
      </c>
      <c r="D75" s="96" t="s">
        <v>1206</v>
      </c>
      <c r="E75" s="96" t="s">
        <v>1207</v>
      </c>
      <c r="F75" s="96" t="s">
        <v>314</v>
      </c>
      <c r="G75" s="96" t="s">
        <v>937</v>
      </c>
      <c r="H75" s="96" t="s">
        <v>203</v>
      </c>
      <c r="I75" s="96" t="s">
        <v>338</v>
      </c>
      <c r="J75" s="96" t="s">
        <v>1199</v>
      </c>
      <c r="K75" s="96" t="s">
        <v>412</v>
      </c>
      <c r="L75" s="96" t="s">
        <v>1205</v>
      </c>
      <c r="M75" s="97">
        <v>302.39178600000002</v>
      </c>
      <c r="N75" s="97">
        <v>4.7504999999999997</v>
      </c>
      <c r="O75" s="96"/>
      <c r="P75" s="97">
        <v>1436.512189</v>
      </c>
      <c r="Q75" s="98">
        <v>7.6E-3</v>
      </c>
      <c r="R75" s="98">
        <v>7.4700000000000005E-4</v>
      </c>
      <c r="S75" s="106"/>
    </row>
    <row r="76" spans="1:19" ht="15" customHeight="1">
      <c r="A76" s="106"/>
      <c r="B76" s="96">
        <v>286</v>
      </c>
      <c r="C76" s="96">
        <v>286</v>
      </c>
      <c r="D76" s="96" t="s">
        <v>1197</v>
      </c>
      <c r="E76" s="96" t="s">
        <v>1198</v>
      </c>
      <c r="F76" s="96" t="s">
        <v>314</v>
      </c>
      <c r="G76" s="96" t="s">
        <v>937</v>
      </c>
      <c r="H76" s="96" t="s">
        <v>203</v>
      </c>
      <c r="I76" s="96" t="s">
        <v>338</v>
      </c>
      <c r="J76" s="96" t="s">
        <v>1199</v>
      </c>
      <c r="K76" s="96" t="s">
        <v>412</v>
      </c>
      <c r="L76" s="96" t="s">
        <v>1215</v>
      </c>
      <c r="M76" s="97">
        <v>6.9999999999999999E-4</v>
      </c>
      <c r="N76" s="97">
        <v>2.7412999999999998</v>
      </c>
      <c r="O76" s="96"/>
      <c r="P76" s="97">
        <v>1.92E-3</v>
      </c>
      <c r="Q76" s="98">
        <v>0</v>
      </c>
      <c r="R76" s="98">
        <v>0</v>
      </c>
      <c r="S76" s="106"/>
    </row>
    <row r="77" spans="1:19" ht="15" customHeight="1">
      <c r="A77" s="106"/>
      <c r="B77" s="96">
        <v>286</v>
      </c>
      <c r="C77" s="96">
        <v>286</v>
      </c>
      <c r="D77" s="96" t="s">
        <v>1209</v>
      </c>
      <c r="E77" s="96" t="s">
        <v>1210</v>
      </c>
      <c r="F77" s="96" t="s">
        <v>314</v>
      </c>
      <c r="G77" s="96" t="s">
        <v>937</v>
      </c>
      <c r="H77" s="96" t="s">
        <v>203</v>
      </c>
      <c r="I77" s="96" t="s">
        <v>338</v>
      </c>
      <c r="J77" s="96" t="s">
        <v>1199</v>
      </c>
      <c r="K77" s="96" t="s">
        <v>412</v>
      </c>
      <c r="L77" s="96" t="s">
        <v>1205</v>
      </c>
      <c r="M77" s="97">
        <v>1.508297</v>
      </c>
      <c r="N77" s="97">
        <v>4.7504999999999997</v>
      </c>
      <c r="O77" s="96"/>
      <c r="P77" s="97">
        <v>7.1651660000000001</v>
      </c>
      <c r="Q77" s="98">
        <v>3.6999999999999998E-5</v>
      </c>
      <c r="R77" s="98">
        <v>3.0000000000000001E-6</v>
      </c>
      <c r="S77" s="106"/>
    </row>
    <row r="78" spans="1:19" ht="15" customHeight="1">
      <c r="A78" s="106"/>
      <c r="B78" s="96">
        <v>286</v>
      </c>
      <c r="C78" s="96">
        <v>286</v>
      </c>
      <c r="D78" s="96" t="s">
        <v>1203</v>
      </c>
      <c r="E78" s="96" t="s">
        <v>1204</v>
      </c>
      <c r="F78" s="96" t="s">
        <v>314</v>
      </c>
      <c r="G78" s="96" t="s">
        <v>936</v>
      </c>
      <c r="H78" s="96" t="s">
        <v>203</v>
      </c>
      <c r="I78" s="96" t="s">
        <v>338</v>
      </c>
      <c r="J78" s="96" t="s">
        <v>1211</v>
      </c>
      <c r="K78" s="96" t="s">
        <v>414</v>
      </c>
      <c r="L78" s="96" t="s">
        <v>1200</v>
      </c>
      <c r="M78" s="97">
        <v>79.123908999999998</v>
      </c>
      <c r="N78" s="97">
        <v>1</v>
      </c>
      <c r="O78" s="96"/>
      <c r="P78" s="97">
        <v>79.123908999999998</v>
      </c>
      <c r="Q78" s="98">
        <v>4.1800000000000002E-4</v>
      </c>
      <c r="R78" s="98">
        <v>4.1E-5</v>
      </c>
      <c r="S78" s="106"/>
    </row>
    <row r="79" spans="1:19" ht="15" customHeight="1">
      <c r="A79" s="106"/>
      <c r="B79" s="96">
        <v>286</v>
      </c>
      <c r="C79" s="96">
        <v>286</v>
      </c>
      <c r="D79" s="96" t="s">
        <v>1209</v>
      </c>
      <c r="E79" s="96" t="s">
        <v>1214</v>
      </c>
      <c r="F79" s="96" t="s">
        <v>314</v>
      </c>
      <c r="G79" s="96" t="s">
        <v>937</v>
      </c>
      <c r="H79" s="96" t="s">
        <v>203</v>
      </c>
      <c r="I79" s="96" t="s">
        <v>338</v>
      </c>
      <c r="J79" s="96" t="s">
        <v>1199</v>
      </c>
      <c r="K79" s="96" t="s">
        <v>412</v>
      </c>
      <c r="L79" s="96" t="s">
        <v>1201</v>
      </c>
      <c r="M79" s="97">
        <v>3.786543</v>
      </c>
      <c r="N79" s="97">
        <v>3.7589999999999999</v>
      </c>
      <c r="O79" s="96"/>
      <c r="P79" s="97">
        <v>14.233615</v>
      </c>
      <c r="Q79" s="98">
        <v>7.4999999999999993E-5</v>
      </c>
      <c r="R79" s="98">
        <v>6.9999999999999999E-6</v>
      </c>
      <c r="S79" s="106"/>
    </row>
    <row r="80" spans="1:19" ht="15" customHeight="1">
      <c r="A80" s="106"/>
      <c r="B80" s="96">
        <v>286</v>
      </c>
      <c r="C80" s="96">
        <v>286</v>
      </c>
      <c r="D80" s="96" t="s">
        <v>1206</v>
      </c>
      <c r="E80" s="96" t="s">
        <v>1207</v>
      </c>
      <c r="F80" s="96" t="s">
        <v>314</v>
      </c>
      <c r="G80" s="96" t="s">
        <v>938</v>
      </c>
      <c r="H80" s="96" t="s">
        <v>203</v>
      </c>
      <c r="I80" s="96" t="s">
        <v>338</v>
      </c>
      <c r="J80" s="96" t="s">
        <v>1199</v>
      </c>
      <c r="K80" s="96" t="s">
        <v>412</v>
      </c>
      <c r="L80" s="96" t="s">
        <v>1200</v>
      </c>
      <c r="M80" s="97">
        <v>31.526327999999999</v>
      </c>
      <c r="N80" s="97">
        <v>1</v>
      </c>
      <c r="O80" s="96"/>
      <c r="P80" s="97">
        <v>31.526327999999999</v>
      </c>
      <c r="Q80" s="98">
        <v>1.66E-4</v>
      </c>
      <c r="R80" s="98">
        <v>1.5E-5</v>
      </c>
      <c r="S80" s="106"/>
    </row>
    <row r="81" spans="1:19" ht="15" customHeight="1">
      <c r="A81" s="106"/>
      <c r="B81" s="96">
        <v>286</v>
      </c>
      <c r="C81" s="96">
        <v>286</v>
      </c>
      <c r="D81" s="96" t="s">
        <v>1212</v>
      </c>
      <c r="E81" s="96" t="s">
        <v>1213</v>
      </c>
      <c r="F81" s="96" t="s">
        <v>314</v>
      </c>
      <c r="G81" s="96" t="s">
        <v>935</v>
      </c>
      <c r="H81" s="96" t="s">
        <v>203</v>
      </c>
      <c r="I81" s="96" t="s">
        <v>338</v>
      </c>
      <c r="J81" s="96" t="s">
        <v>1199</v>
      </c>
      <c r="K81" s="96" t="s">
        <v>412</v>
      </c>
      <c r="L81" s="96" t="s">
        <v>1200</v>
      </c>
      <c r="M81" s="97">
        <v>65.944130999999999</v>
      </c>
      <c r="N81" s="97">
        <v>1</v>
      </c>
      <c r="O81" s="96"/>
      <c r="P81" s="97">
        <v>65.944130999999999</v>
      </c>
      <c r="Q81" s="98">
        <v>3.48E-4</v>
      </c>
      <c r="R81" s="98">
        <v>3.4E-5</v>
      </c>
      <c r="S81" s="106"/>
    </row>
    <row r="82" spans="1:19" ht="15" customHeight="1">
      <c r="A82" s="106"/>
      <c r="B82" s="96">
        <v>286</v>
      </c>
      <c r="C82" s="96">
        <v>286</v>
      </c>
      <c r="D82" s="96" t="s">
        <v>1209</v>
      </c>
      <c r="E82" s="96" t="s">
        <v>1210</v>
      </c>
      <c r="F82" s="96" t="s">
        <v>314</v>
      </c>
      <c r="G82" s="96" t="s">
        <v>935</v>
      </c>
      <c r="H82" s="96" t="s">
        <v>203</v>
      </c>
      <c r="I82" s="96" t="s">
        <v>338</v>
      </c>
      <c r="J82" s="96" t="s">
        <v>1199</v>
      </c>
      <c r="K82" s="96" t="s">
        <v>412</v>
      </c>
      <c r="L82" s="96" t="s">
        <v>1200</v>
      </c>
      <c r="M82" s="97">
        <v>13935.428005</v>
      </c>
      <c r="N82" s="97">
        <v>1</v>
      </c>
      <c r="O82" s="96"/>
      <c r="P82" s="97">
        <v>13935.428005</v>
      </c>
      <c r="Q82" s="98">
        <v>7.3743000000000003E-2</v>
      </c>
      <c r="R82" s="98">
        <v>7.2560000000000003E-3</v>
      </c>
      <c r="S82" s="106"/>
    </row>
    <row r="83" spans="1:19" ht="15" customHeight="1">
      <c r="A83" s="106"/>
      <c r="B83" s="96">
        <v>286</v>
      </c>
      <c r="C83" s="96">
        <v>286</v>
      </c>
      <c r="D83" s="96" t="s">
        <v>1206</v>
      </c>
      <c r="E83" s="96" t="s">
        <v>1207</v>
      </c>
      <c r="F83" s="96" t="s">
        <v>314</v>
      </c>
      <c r="G83" s="96" t="s">
        <v>937</v>
      </c>
      <c r="H83" s="96" t="s">
        <v>203</v>
      </c>
      <c r="I83" s="96" t="s">
        <v>338</v>
      </c>
      <c r="J83" s="96" t="s">
        <v>1199</v>
      </c>
      <c r="K83" s="96" t="s">
        <v>412</v>
      </c>
      <c r="L83" s="96" t="s">
        <v>1219</v>
      </c>
      <c r="M83" s="97">
        <v>-1.9999999999999999E-6</v>
      </c>
      <c r="N83" s="97">
        <v>0.53900000000000003</v>
      </c>
      <c r="O83" s="96"/>
      <c r="P83" s="97">
        <v>-9.9999999999999995E-7</v>
      </c>
      <c r="Q83" s="98">
        <v>0</v>
      </c>
      <c r="R83" s="98">
        <v>0</v>
      </c>
      <c r="S83" s="106"/>
    </row>
    <row r="84" spans="1:19" ht="15" customHeight="1">
      <c r="A84" s="106"/>
      <c r="B84" s="96">
        <v>286</v>
      </c>
      <c r="C84" s="96">
        <v>286</v>
      </c>
      <c r="D84" s="96" t="s">
        <v>1203</v>
      </c>
      <c r="E84" s="96" t="s">
        <v>1204</v>
      </c>
      <c r="F84" s="96" t="s">
        <v>314</v>
      </c>
      <c r="G84" s="96" t="s">
        <v>936</v>
      </c>
      <c r="H84" s="96" t="s">
        <v>203</v>
      </c>
      <c r="I84" s="96" t="s">
        <v>338</v>
      </c>
      <c r="J84" s="96" t="s">
        <v>1211</v>
      </c>
      <c r="K84" s="96" t="s">
        <v>414</v>
      </c>
      <c r="L84" s="96" t="s">
        <v>1201</v>
      </c>
      <c r="M84" s="97">
        <v>295.24161199999998</v>
      </c>
      <c r="N84" s="97">
        <v>3.7589999999999999</v>
      </c>
      <c r="O84" s="96"/>
      <c r="P84" s="97">
        <v>1109.813222</v>
      </c>
      <c r="Q84" s="98">
        <v>5.8729999999999997E-3</v>
      </c>
      <c r="R84" s="98">
        <v>5.7799999999999995E-4</v>
      </c>
      <c r="S84" s="106"/>
    </row>
    <row r="85" spans="1:19" ht="15" customHeight="1">
      <c r="A85" s="106"/>
      <c r="B85" s="96">
        <v>286</v>
      </c>
      <c r="C85" s="96">
        <v>286</v>
      </c>
      <c r="D85" s="96" t="s">
        <v>1206</v>
      </c>
      <c r="E85" s="96" t="s">
        <v>1207</v>
      </c>
      <c r="F85" s="96" t="s">
        <v>314</v>
      </c>
      <c r="G85" s="96" t="s">
        <v>937</v>
      </c>
      <c r="H85" s="96" t="s">
        <v>203</v>
      </c>
      <c r="I85" s="96" t="s">
        <v>338</v>
      </c>
      <c r="J85" s="96" t="s">
        <v>1199</v>
      </c>
      <c r="K85" s="96" t="s">
        <v>412</v>
      </c>
      <c r="L85" s="96" t="s">
        <v>1202</v>
      </c>
      <c r="M85" s="97">
        <v>471.94424299999997</v>
      </c>
      <c r="N85" s="97">
        <v>4.0202</v>
      </c>
      <c r="O85" s="96"/>
      <c r="P85" s="97">
        <v>1897.3102449999999</v>
      </c>
      <c r="Q85" s="98">
        <v>1.004E-2</v>
      </c>
      <c r="R85" s="98">
        <v>9.8799999999999995E-4</v>
      </c>
      <c r="S85" s="106"/>
    </row>
    <row r="86" spans="1:19" ht="15" customHeight="1">
      <c r="A86" s="106"/>
      <c r="B86" s="96">
        <v>286</v>
      </c>
      <c r="C86" s="96">
        <v>286</v>
      </c>
      <c r="D86" s="96" t="s">
        <v>1206</v>
      </c>
      <c r="E86" s="96" t="s">
        <v>1207</v>
      </c>
      <c r="F86" s="96" t="s">
        <v>314</v>
      </c>
      <c r="G86" s="96" t="s">
        <v>935</v>
      </c>
      <c r="H86" s="96" t="s">
        <v>203</v>
      </c>
      <c r="I86" s="96" t="s">
        <v>338</v>
      </c>
      <c r="J86" s="96" t="s">
        <v>1199</v>
      </c>
      <c r="K86" s="96" t="s">
        <v>412</v>
      </c>
      <c r="L86" s="96" t="s">
        <v>1200</v>
      </c>
      <c r="M86" s="97">
        <v>870.26582800000006</v>
      </c>
      <c r="N86" s="97">
        <v>1</v>
      </c>
      <c r="O86" s="96"/>
      <c r="P86" s="97">
        <v>870.26582800000006</v>
      </c>
      <c r="Q86" s="98">
        <v>4.6039999999999996E-3</v>
      </c>
      <c r="R86" s="98">
        <v>4.5199999999999998E-4</v>
      </c>
      <c r="S86" s="106"/>
    </row>
    <row r="87" spans="1:19" ht="15" customHeight="1">
      <c r="A87" s="106"/>
      <c r="B87" s="96">
        <v>286</v>
      </c>
      <c r="C87" s="96">
        <v>286</v>
      </c>
      <c r="D87" s="96" t="s">
        <v>1197</v>
      </c>
      <c r="E87" s="96" t="s">
        <v>1198</v>
      </c>
      <c r="F87" s="96" t="s">
        <v>314</v>
      </c>
      <c r="G87" s="96" t="s">
        <v>937</v>
      </c>
      <c r="H87" s="96" t="s">
        <v>203</v>
      </c>
      <c r="I87" s="96" t="s">
        <v>338</v>
      </c>
      <c r="J87" s="96" t="s">
        <v>1199</v>
      </c>
      <c r="K87" s="96" t="s">
        <v>412</v>
      </c>
      <c r="L87" s="96" t="s">
        <v>1205</v>
      </c>
      <c r="M87" s="97">
        <v>300.42440299999998</v>
      </c>
      <c r="N87" s="97">
        <v>4.7504999999999997</v>
      </c>
      <c r="O87" s="96"/>
      <c r="P87" s="97">
        <v>1427.1661340000001</v>
      </c>
      <c r="Q87" s="98">
        <v>7.5500000000000003E-3</v>
      </c>
      <c r="R87" s="98">
        <v>7.4200000000000004E-4</v>
      </c>
      <c r="S87" s="106"/>
    </row>
    <row r="88" spans="1:19" ht="15" customHeight="1">
      <c r="A88" s="106"/>
      <c r="B88" s="96">
        <v>286</v>
      </c>
      <c r="C88" s="96">
        <v>286</v>
      </c>
      <c r="D88" s="96" t="s">
        <v>1206</v>
      </c>
      <c r="E88" s="96" t="s">
        <v>1207</v>
      </c>
      <c r="F88" s="96" t="s">
        <v>314</v>
      </c>
      <c r="G88" s="96" t="s">
        <v>937</v>
      </c>
      <c r="H88" s="96" t="s">
        <v>203</v>
      </c>
      <c r="I88" s="96" t="s">
        <v>338</v>
      </c>
      <c r="J88" s="96" t="s">
        <v>1199</v>
      </c>
      <c r="K88" s="96" t="s">
        <v>412</v>
      </c>
      <c r="L88" s="96" t="s">
        <v>1217</v>
      </c>
      <c r="M88" s="97">
        <v>70777.340586999999</v>
      </c>
      <c r="N88" s="97">
        <v>2.3359000000000001E-2</v>
      </c>
      <c r="O88" s="96"/>
      <c r="P88" s="97">
        <v>1653.287898</v>
      </c>
      <c r="Q88" s="98">
        <v>8.7480000000000006E-3</v>
      </c>
      <c r="R88" s="98">
        <v>8.5999999999999998E-4</v>
      </c>
      <c r="S88" s="106"/>
    </row>
    <row r="89" spans="1:19" ht="15" customHeight="1">
      <c r="A89" s="106"/>
      <c r="B89" s="96">
        <v>286</v>
      </c>
      <c r="C89" s="96">
        <v>286</v>
      </c>
      <c r="D89" s="96" t="s">
        <v>1206</v>
      </c>
      <c r="E89" s="96" t="s">
        <v>1207</v>
      </c>
      <c r="F89" s="96" t="s">
        <v>314</v>
      </c>
      <c r="G89" s="96" t="s">
        <v>937</v>
      </c>
      <c r="H89" s="96" t="s">
        <v>203</v>
      </c>
      <c r="I89" s="96" t="s">
        <v>338</v>
      </c>
      <c r="J89" s="96" t="s">
        <v>1199</v>
      </c>
      <c r="K89" s="96" t="s">
        <v>412</v>
      </c>
      <c r="L89" s="96" t="s">
        <v>1201</v>
      </c>
      <c r="M89" s="97">
        <v>1193.365706</v>
      </c>
      <c r="N89" s="97">
        <v>3.7589999999999999</v>
      </c>
      <c r="O89" s="96"/>
      <c r="P89" s="97">
        <v>4485.8616940000002</v>
      </c>
      <c r="Q89" s="98">
        <v>2.3737000000000001E-2</v>
      </c>
      <c r="R89" s="98">
        <v>2.3340000000000001E-3</v>
      </c>
      <c r="S89" s="106"/>
    </row>
    <row r="90" spans="1:19" ht="15" customHeight="1">
      <c r="A90" s="106"/>
      <c r="B90" s="96">
        <v>286</v>
      </c>
      <c r="C90" s="96">
        <v>286</v>
      </c>
      <c r="D90" s="96" t="s">
        <v>1203</v>
      </c>
      <c r="E90" s="96" t="s">
        <v>1204</v>
      </c>
      <c r="F90" s="96" t="s">
        <v>314</v>
      </c>
      <c r="G90" s="96" t="s">
        <v>937</v>
      </c>
      <c r="H90" s="96" t="s">
        <v>203</v>
      </c>
      <c r="I90" s="96" t="s">
        <v>338</v>
      </c>
      <c r="J90" s="96" t="s">
        <v>1199</v>
      </c>
      <c r="K90" s="96" t="s">
        <v>412</v>
      </c>
      <c r="L90" s="96" t="s">
        <v>1202</v>
      </c>
      <c r="M90" s="97">
        <v>31.983733999999998</v>
      </c>
      <c r="N90" s="97">
        <v>4.0202</v>
      </c>
      <c r="O90" s="96"/>
      <c r="P90" s="97">
        <v>128.58101199999999</v>
      </c>
      <c r="Q90" s="98">
        <v>6.8000000000000005E-4</v>
      </c>
      <c r="R90" s="98">
        <v>6.6000000000000005E-5</v>
      </c>
      <c r="S90" s="106"/>
    </row>
    <row r="91" spans="1:19" ht="15" customHeight="1">
      <c r="A91" s="106"/>
      <c r="B91" s="96">
        <v>286</v>
      </c>
      <c r="C91" s="96">
        <v>286</v>
      </c>
      <c r="D91" s="96" t="s">
        <v>1203</v>
      </c>
      <c r="E91" s="96" t="s">
        <v>1204</v>
      </c>
      <c r="F91" s="96" t="s">
        <v>314</v>
      </c>
      <c r="G91" s="96" t="s">
        <v>937</v>
      </c>
      <c r="H91" s="96" t="s">
        <v>203</v>
      </c>
      <c r="I91" s="96" t="s">
        <v>338</v>
      </c>
      <c r="J91" s="96" t="s">
        <v>1199</v>
      </c>
      <c r="K91" s="96" t="s">
        <v>412</v>
      </c>
      <c r="L91" s="96" t="s">
        <v>1205</v>
      </c>
      <c r="M91" s="97">
        <v>24.94773</v>
      </c>
      <c r="N91" s="97">
        <v>4.7504999999999997</v>
      </c>
      <c r="O91" s="96"/>
      <c r="P91" s="97">
        <v>118.514196</v>
      </c>
      <c r="Q91" s="98">
        <v>6.2699999999999995E-4</v>
      </c>
      <c r="R91" s="98">
        <v>6.0999999999999999E-5</v>
      </c>
      <c r="S91" s="106"/>
    </row>
    <row r="92" spans="1:19" ht="15" customHeight="1">
      <c r="A92" s="106"/>
      <c r="B92" s="96">
        <v>286</v>
      </c>
      <c r="C92" s="96">
        <v>286</v>
      </c>
      <c r="D92" s="96" t="s">
        <v>1203</v>
      </c>
      <c r="E92" s="96" t="s">
        <v>1204</v>
      </c>
      <c r="F92" s="96" t="s">
        <v>314</v>
      </c>
      <c r="G92" s="96" t="s">
        <v>938</v>
      </c>
      <c r="H92" s="96" t="s">
        <v>203</v>
      </c>
      <c r="I92" s="96" t="s">
        <v>338</v>
      </c>
      <c r="J92" s="96" t="s">
        <v>1199</v>
      </c>
      <c r="K92" s="96" t="s">
        <v>412</v>
      </c>
      <c r="L92" s="96" t="s">
        <v>1200</v>
      </c>
      <c r="M92" s="97">
        <v>159.481516</v>
      </c>
      <c r="N92" s="97">
        <v>1</v>
      </c>
      <c r="O92" s="96"/>
      <c r="P92" s="97">
        <v>159.481516</v>
      </c>
      <c r="Q92" s="98">
        <v>8.43E-4</v>
      </c>
      <c r="R92" s="98">
        <v>8.2999999999999998E-5</v>
      </c>
      <c r="S92" s="106"/>
    </row>
    <row r="93" spans="1:19" ht="15" customHeight="1">
      <c r="A93" s="106"/>
      <c r="B93" s="96">
        <v>286</v>
      </c>
      <c r="C93" s="96">
        <v>286</v>
      </c>
      <c r="D93" s="96" t="s">
        <v>1212</v>
      </c>
      <c r="E93" s="96" t="s">
        <v>1213</v>
      </c>
      <c r="F93" s="96" t="s">
        <v>314</v>
      </c>
      <c r="G93" s="96" t="s">
        <v>939</v>
      </c>
      <c r="H93" s="96" t="s">
        <v>203</v>
      </c>
      <c r="I93" s="96" t="s">
        <v>338</v>
      </c>
      <c r="J93" s="96" t="s">
        <v>1211</v>
      </c>
      <c r="K93" s="96" t="s">
        <v>414</v>
      </c>
      <c r="L93" s="96" t="s">
        <v>1200</v>
      </c>
      <c r="M93" s="97">
        <v>969.902196</v>
      </c>
      <c r="N93" s="97">
        <v>1</v>
      </c>
      <c r="O93" s="96"/>
      <c r="P93" s="97">
        <v>969.902196</v>
      </c>
      <c r="Q93" s="98">
        <v>5.1320000000000003E-3</v>
      </c>
      <c r="R93" s="98">
        <v>5.0299999999999997E-4</v>
      </c>
      <c r="S93" s="106"/>
    </row>
    <row r="94" spans="1:19" ht="15" customHeight="1">
      <c r="A94" s="106"/>
      <c r="B94" s="96">
        <v>286</v>
      </c>
      <c r="C94" s="96">
        <v>286</v>
      </c>
      <c r="D94" s="96" t="s">
        <v>1212</v>
      </c>
      <c r="E94" s="96" t="s">
        <v>1213</v>
      </c>
      <c r="F94" s="96" t="s">
        <v>314</v>
      </c>
      <c r="G94" s="96" t="s">
        <v>937</v>
      </c>
      <c r="H94" s="96" t="s">
        <v>203</v>
      </c>
      <c r="I94" s="96" t="s">
        <v>338</v>
      </c>
      <c r="J94" s="96" t="s">
        <v>1199</v>
      </c>
      <c r="K94" s="96" t="s">
        <v>412</v>
      </c>
      <c r="L94" s="96" t="s">
        <v>1201</v>
      </c>
      <c r="M94" s="97">
        <v>6.52738</v>
      </c>
      <c r="N94" s="97">
        <v>3.7589999999999999</v>
      </c>
      <c r="O94" s="96"/>
      <c r="P94" s="97">
        <v>24.536422000000002</v>
      </c>
      <c r="Q94" s="98">
        <v>1.2899999999999999E-4</v>
      </c>
      <c r="R94" s="98">
        <v>1.2E-5</v>
      </c>
      <c r="S94" s="106"/>
    </row>
    <row r="95" spans="1:19" ht="15" customHeight="1">
      <c r="A95" s="106"/>
      <c r="B95" s="96">
        <v>286</v>
      </c>
      <c r="C95" s="96">
        <v>286</v>
      </c>
      <c r="D95" s="96" t="s">
        <v>1203</v>
      </c>
      <c r="E95" s="96" t="s">
        <v>1204</v>
      </c>
      <c r="F95" s="96" t="s">
        <v>314</v>
      </c>
      <c r="G95" s="96" t="s">
        <v>935</v>
      </c>
      <c r="H95" s="96" t="s">
        <v>203</v>
      </c>
      <c r="I95" s="96" t="s">
        <v>338</v>
      </c>
      <c r="J95" s="96" t="s">
        <v>1199</v>
      </c>
      <c r="K95" s="96" t="s">
        <v>412</v>
      </c>
      <c r="L95" s="96" t="s">
        <v>1200</v>
      </c>
      <c r="M95" s="97">
        <v>1716.2639650000001</v>
      </c>
      <c r="N95" s="97">
        <v>1</v>
      </c>
      <c r="O95" s="96"/>
      <c r="P95" s="97">
        <v>1716.2639650000001</v>
      </c>
      <c r="Q95" s="98">
        <v>9.0810000000000005E-3</v>
      </c>
      <c r="R95" s="98">
        <v>8.92E-4</v>
      </c>
      <c r="S95" s="106"/>
    </row>
    <row r="96" spans="1:19" ht="15" customHeight="1">
      <c r="A96" s="106"/>
      <c r="B96" s="96">
        <v>286</v>
      </c>
      <c r="C96" s="96">
        <v>286</v>
      </c>
      <c r="D96" s="96" t="s">
        <v>1206</v>
      </c>
      <c r="E96" s="96" t="s">
        <v>1207</v>
      </c>
      <c r="F96" s="96" t="s">
        <v>314</v>
      </c>
      <c r="G96" s="96" t="s">
        <v>937</v>
      </c>
      <c r="H96" s="96" t="s">
        <v>203</v>
      </c>
      <c r="I96" s="96" t="s">
        <v>338</v>
      </c>
      <c r="J96" s="96" t="s">
        <v>1199</v>
      </c>
      <c r="K96" s="96" t="s">
        <v>412</v>
      </c>
      <c r="L96" s="96" t="s">
        <v>1220</v>
      </c>
      <c r="M96" s="97">
        <v>3.0000000000000001E-6</v>
      </c>
      <c r="N96" s="97">
        <v>0.4834</v>
      </c>
      <c r="O96" s="96"/>
      <c r="P96" s="97">
        <v>9.9999999999999995E-7</v>
      </c>
      <c r="Q96" s="98">
        <v>0</v>
      </c>
      <c r="R96" s="98">
        <v>0</v>
      </c>
      <c r="S96" s="106"/>
    </row>
    <row r="97" spans="1:19" ht="15" customHeight="1">
      <c r="A97" s="106"/>
      <c r="B97" s="96">
        <v>286</v>
      </c>
      <c r="C97" s="96">
        <v>286</v>
      </c>
      <c r="D97" s="96" t="s">
        <v>1206</v>
      </c>
      <c r="E97" s="96" t="s">
        <v>1207</v>
      </c>
      <c r="F97" s="96" t="s">
        <v>314</v>
      </c>
      <c r="G97" s="96" t="s">
        <v>937</v>
      </c>
      <c r="H97" s="96" t="s">
        <v>203</v>
      </c>
      <c r="I97" s="96" t="s">
        <v>338</v>
      </c>
      <c r="J97" s="96" t="s">
        <v>1199</v>
      </c>
      <c r="K97" s="96" t="s">
        <v>412</v>
      </c>
      <c r="L97" s="96" t="s">
        <v>1215</v>
      </c>
      <c r="M97" s="97">
        <v>177.735604</v>
      </c>
      <c r="N97" s="97">
        <v>2.7412999999999998</v>
      </c>
      <c r="O97" s="96"/>
      <c r="P97" s="97">
        <v>487.22661099999999</v>
      </c>
      <c r="Q97" s="98">
        <v>2.578E-3</v>
      </c>
      <c r="R97" s="98">
        <v>2.5300000000000002E-4</v>
      </c>
      <c r="S97" s="106"/>
    </row>
    <row r="98" spans="1:19" ht="15" customHeight="1">
      <c r="A98" s="106"/>
      <c r="B98" s="96">
        <v>286</v>
      </c>
      <c r="C98" s="96">
        <v>286</v>
      </c>
      <c r="D98" s="96" t="s">
        <v>1209</v>
      </c>
      <c r="E98" s="96" t="s">
        <v>1214</v>
      </c>
      <c r="F98" s="96" t="s">
        <v>314</v>
      </c>
      <c r="G98" s="96" t="s">
        <v>935</v>
      </c>
      <c r="H98" s="96" t="s">
        <v>203</v>
      </c>
      <c r="I98" s="96" t="s">
        <v>338</v>
      </c>
      <c r="J98" s="96" t="s">
        <v>1199</v>
      </c>
      <c r="K98" s="96" t="s">
        <v>412</v>
      </c>
      <c r="L98" s="96" t="s">
        <v>1200</v>
      </c>
      <c r="M98" s="97">
        <v>52.215001999999998</v>
      </c>
      <c r="N98" s="97">
        <v>1</v>
      </c>
      <c r="O98" s="96"/>
      <c r="P98" s="97">
        <v>52.215001999999998</v>
      </c>
      <c r="Q98" s="98">
        <v>2.7599999999999999E-4</v>
      </c>
      <c r="R98" s="98">
        <v>2.6999999999999999E-5</v>
      </c>
      <c r="S98" s="106"/>
    </row>
    <row r="99" spans="1:19" ht="15" customHeight="1">
      <c r="A99" s="106"/>
      <c r="B99" s="96">
        <v>286</v>
      </c>
      <c r="C99" s="96">
        <v>286</v>
      </c>
      <c r="D99" s="96" t="s">
        <v>1203</v>
      </c>
      <c r="E99" s="96" t="s">
        <v>1204</v>
      </c>
      <c r="F99" s="96" t="s">
        <v>314</v>
      </c>
      <c r="G99" s="96" t="s">
        <v>937</v>
      </c>
      <c r="H99" s="96" t="s">
        <v>203</v>
      </c>
      <c r="I99" s="96" t="s">
        <v>338</v>
      </c>
      <c r="J99" s="96" t="s">
        <v>1199</v>
      </c>
      <c r="K99" s="96" t="s">
        <v>412</v>
      </c>
      <c r="L99" s="96" t="s">
        <v>1201</v>
      </c>
      <c r="M99" s="97">
        <v>1444.53316</v>
      </c>
      <c r="N99" s="97">
        <v>3.7589999999999999</v>
      </c>
      <c r="O99" s="96"/>
      <c r="P99" s="97">
        <v>5430.0001570000004</v>
      </c>
      <c r="Q99" s="98">
        <v>2.8732000000000001E-2</v>
      </c>
      <c r="R99" s="98">
        <v>2.826E-3</v>
      </c>
      <c r="S99" s="106"/>
    </row>
    <row r="100" spans="1:19" ht="15" customHeight="1">
      <c r="A100" s="106"/>
      <c r="B100" s="96">
        <v>286</v>
      </c>
      <c r="C100" s="96">
        <v>286</v>
      </c>
      <c r="D100" s="96" t="s">
        <v>1206</v>
      </c>
      <c r="E100" s="96" t="s">
        <v>1207</v>
      </c>
      <c r="F100" s="96" t="s">
        <v>314</v>
      </c>
      <c r="G100" s="96" t="s">
        <v>936</v>
      </c>
      <c r="H100" s="96" t="s">
        <v>203</v>
      </c>
      <c r="I100" s="96" t="s">
        <v>338</v>
      </c>
      <c r="J100" s="96" t="s">
        <v>1208</v>
      </c>
      <c r="K100" s="96" t="s">
        <v>432</v>
      </c>
      <c r="L100" s="96" t="s">
        <v>1201</v>
      </c>
      <c r="M100" s="97">
        <v>71.061576000000002</v>
      </c>
      <c r="N100" s="97">
        <v>3.7589999999999999</v>
      </c>
      <c r="O100" s="96"/>
      <c r="P100" s="97">
        <v>267.12046700000002</v>
      </c>
      <c r="Q100" s="98">
        <v>1.413E-3</v>
      </c>
      <c r="R100" s="98">
        <v>1.3799999999999999E-4</v>
      </c>
      <c r="S100" s="106"/>
    </row>
    <row r="101" spans="1:19" ht="15" customHeight="1">
      <c r="A101" s="106"/>
      <c r="B101" s="96">
        <v>286</v>
      </c>
      <c r="C101" s="96">
        <v>286</v>
      </c>
      <c r="D101" s="96" t="s">
        <v>1197</v>
      </c>
      <c r="E101" s="96" t="s">
        <v>1198</v>
      </c>
      <c r="F101" s="96" t="s">
        <v>314</v>
      </c>
      <c r="G101" s="96" t="s">
        <v>937</v>
      </c>
      <c r="H101" s="96" t="s">
        <v>203</v>
      </c>
      <c r="I101" s="96" t="s">
        <v>338</v>
      </c>
      <c r="J101" s="96" t="s">
        <v>1199</v>
      </c>
      <c r="K101" s="96" t="s">
        <v>412</v>
      </c>
      <c r="L101" s="96" t="s">
        <v>1221</v>
      </c>
      <c r="M101" s="97">
        <v>-2.0000000000000002E-5</v>
      </c>
      <c r="N101" s="97">
        <v>0.20519999999999999</v>
      </c>
      <c r="O101" s="96"/>
      <c r="P101" s="97">
        <v>-3.9999999999999998E-6</v>
      </c>
      <c r="Q101" s="98">
        <v>0</v>
      </c>
      <c r="R101" s="98">
        <v>0</v>
      </c>
      <c r="S101" s="106"/>
    </row>
    <row r="102" spans="1:19" ht="15" customHeight="1">
      <c r="A102" s="106"/>
      <c r="B102" s="96">
        <v>286</v>
      </c>
      <c r="C102" s="96">
        <v>286</v>
      </c>
      <c r="D102" s="96" t="s">
        <v>1197</v>
      </c>
      <c r="E102" s="96" t="s">
        <v>1198</v>
      </c>
      <c r="F102" s="96" t="s">
        <v>314</v>
      </c>
      <c r="G102" s="96" t="s">
        <v>937</v>
      </c>
      <c r="H102" s="96" t="s">
        <v>203</v>
      </c>
      <c r="I102" s="96" t="s">
        <v>338</v>
      </c>
      <c r="J102" s="96" t="s">
        <v>1199</v>
      </c>
      <c r="K102" s="96" t="s">
        <v>412</v>
      </c>
      <c r="L102" s="96" t="s">
        <v>1202</v>
      </c>
      <c r="M102" s="97">
        <v>1530.95433</v>
      </c>
      <c r="N102" s="97">
        <v>4.0202</v>
      </c>
      <c r="O102" s="96"/>
      <c r="P102" s="97">
        <v>6154.7426050000004</v>
      </c>
      <c r="Q102" s="98">
        <v>3.2568E-2</v>
      </c>
      <c r="R102" s="98">
        <v>3.2030000000000001E-3</v>
      </c>
      <c r="S102" s="106"/>
    </row>
    <row r="103" spans="1:19" ht="15" customHeight="1">
      <c r="A103" s="106"/>
      <c r="B103" s="96">
        <v>286</v>
      </c>
      <c r="C103" s="96">
        <v>286</v>
      </c>
      <c r="D103" s="96" t="s">
        <v>1206</v>
      </c>
      <c r="E103" s="96" t="s">
        <v>1207</v>
      </c>
      <c r="F103" s="96" t="s">
        <v>314</v>
      </c>
      <c r="G103" s="96" t="s">
        <v>939</v>
      </c>
      <c r="H103" s="96" t="s">
        <v>203</v>
      </c>
      <c r="I103" s="96" t="s">
        <v>338</v>
      </c>
      <c r="J103" s="96" t="s">
        <v>1199</v>
      </c>
      <c r="K103" s="96" t="s">
        <v>412</v>
      </c>
      <c r="L103" s="96" t="s">
        <v>1200</v>
      </c>
      <c r="M103" s="97">
        <v>10376.131266</v>
      </c>
      <c r="N103" s="97">
        <v>1</v>
      </c>
      <c r="O103" s="96"/>
      <c r="P103" s="97">
        <v>10376.131266</v>
      </c>
      <c r="Q103" s="98">
        <v>5.4905000000000002E-2</v>
      </c>
      <c r="R103" s="98">
        <v>5.4000000000000003E-3</v>
      </c>
      <c r="S103" s="106"/>
    </row>
    <row r="104" spans="1:19" ht="15" customHeight="1">
      <c r="A104" s="106"/>
      <c r="B104" s="96">
        <v>286</v>
      </c>
      <c r="C104" s="96">
        <v>9803</v>
      </c>
      <c r="D104" s="96" t="s">
        <v>1206</v>
      </c>
      <c r="E104" s="96" t="s">
        <v>1207</v>
      </c>
      <c r="F104" s="96" t="s">
        <v>314</v>
      </c>
      <c r="G104" s="96" t="s">
        <v>937</v>
      </c>
      <c r="H104" s="96" t="s">
        <v>203</v>
      </c>
      <c r="I104" s="96" t="s">
        <v>338</v>
      </c>
      <c r="J104" s="96" t="s">
        <v>1199</v>
      </c>
      <c r="K104" s="96" t="s">
        <v>412</v>
      </c>
      <c r="L104" s="96" t="s">
        <v>1201</v>
      </c>
      <c r="M104" s="97">
        <v>4.8857999999999999E-2</v>
      </c>
      <c r="N104" s="97">
        <v>3.7589999999999999</v>
      </c>
      <c r="O104" s="96"/>
      <c r="P104" s="97">
        <v>0.18365999999999999</v>
      </c>
      <c r="Q104" s="98">
        <v>1.9599999999999999E-4</v>
      </c>
      <c r="R104" s="98">
        <v>1.1E-5</v>
      </c>
      <c r="S104" s="106"/>
    </row>
    <row r="105" spans="1:19" ht="15" customHeight="1">
      <c r="A105" s="106"/>
      <c r="B105" s="96">
        <v>286</v>
      </c>
      <c r="C105" s="96">
        <v>9803</v>
      </c>
      <c r="D105" s="96" t="s">
        <v>1206</v>
      </c>
      <c r="E105" s="96" t="s">
        <v>1207</v>
      </c>
      <c r="F105" s="96" t="s">
        <v>314</v>
      </c>
      <c r="G105" s="96" t="s">
        <v>937</v>
      </c>
      <c r="H105" s="96" t="s">
        <v>203</v>
      </c>
      <c r="I105" s="96" t="s">
        <v>338</v>
      </c>
      <c r="J105" s="96" t="s">
        <v>1199</v>
      </c>
      <c r="K105" s="96" t="s">
        <v>412</v>
      </c>
      <c r="L105" s="96" t="s">
        <v>1202</v>
      </c>
      <c r="M105" s="97">
        <v>0</v>
      </c>
      <c r="N105" s="97">
        <v>4.0202</v>
      </c>
      <c r="O105" s="96"/>
      <c r="P105" s="97">
        <v>9.9999999999999995E-7</v>
      </c>
      <c r="Q105" s="98">
        <v>0</v>
      </c>
      <c r="R105" s="98">
        <v>0</v>
      </c>
      <c r="S105" s="106"/>
    </row>
    <row r="106" spans="1:19" ht="15" customHeight="1">
      <c r="A106" s="106"/>
      <c r="B106" s="96">
        <v>286</v>
      </c>
      <c r="C106" s="96">
        <v>9803</v>
      </c>
      <c r="D106" s="96" t="s">
        <v>1209</v>
      </c>
      <c r="E106" s="96" t="s">
        <v>1210</v>
      </c>
      <c r="F106" s="96" t="s">
        <v>314</v>
      </c>
      <c r="G106" s="96" t="s">
        <v>937</v>
      </c>
      <c r="H106" s="96" t="s">
        <v>203</v>
      </c>
      <c r="I106" s="96" t="s">
        <v>338</v>
      </c>
      <c r="J106" s="96" t="s">
        <v>1199</v>
      </c>
      <c r="K106" s="96" t="s">
        <v>412</v>
      </c>
      <c r="L106" s="96" t="s">
        <v>1201</v>
      </c>
      <c r="M106" s="97">
        <v>2.318082</v>
      </c>
      <c r="N106" s="97">
        <v>3.7589999999999999</v>
      </c>
      <c r="O106" s="96"/>
      <c r="P106" s="97">
        <v>8.7136759999999995</v>
      </c>
      <c r="Q106" s="98">
        <v>9.3220000000000004E-3</v>
      </c>
      <c r="R106" s="98">
        <v>5.1999999999999995E-4</v>
      </c>
      <c r="S106" s="106"/>
    </row>
    <row r="107" spans="1:19" ht="15" customHeight="1">
      <c r="A107" s="106"/>
      <c r="B107" s="96">
        <v>286</v>
      </c>
      <c r="C107" s="96">
        <v>9803</v>
      </c>
      <c r="D107" s="96" t="s">
        <v>1197</v>
      </c>
      <c r="E107" s="96" t="s">
        <v>1198</v>
      </c>
      <c r="F107" s="96" t="s">
        <v>314</v>
      </c>
      <c r="G107" s="96" t="s">
        <v>939</v>
      </c>
      <c r="H107" s="96" t="s">
        <v>203</v>
      </c>
      <c r="I107" s="96" t="s">
        <v>338</v>
      </c>
      <c r="J107" s="96" t="s">
        <v>1199</v>
      </c>
      <c r="K107" s="96" t="s">
        <v>412</v>
      </c>
      <c r="L107" s="96" t="s">
        <v>1200</v>
      </c>
      <c r="M107" s="97">
        <v>18.177667</v>
      </c>
      <c r="N107" s="97">
        <v>1</v>
      </c>
      <c r="O107" s="96"/>
      <c r="P107" s="97">
        <v>18.177667</v>
      </c>
      <c r="Q107" s="98">
        <v>1.9446000000000001E-2</v>
      </c>
      <c r="R107" s="98">
        <v>1.088E-3</v>
      </c>
      <c r="S107" s="106"/>
    </row>
    <row r="108" spans="1:19" ht="15" customHeight="1">
      <c r="A108" s="106"/>
      <c r="B108" s="96">
        <v>286</v>
      </c>
      <c r="C108" s="96">
        <v>9803</v>
      </c>
      <c r="D108" s="96" t="s">
        <v>1209</v>
      </c>
      <c r="E108" s="96" t="s">
        <v>1210</v>
      </c>
      <c r="F108" s="96" t="s">
        <v>314</v>
      </c>
      <c r="G108" s="96" t="s">
        <v>935</v>
      </c>
      <c r="H108" s="96" t="s">
        <v>203</v>
      </c>
      <c r="I108" s="96" t="s">
        <v>338</v>
      </c>
      <c r="J108" s="96" t="s">
        <v>1199</v>
      </c>
      <c r="K108" s="96" t="s">
        <v>412</v>
      </c>
      <c r="L108" s="96" t="s">
        <v>1200</v>
      </c>
      <c r="M108" s="97">
        <v>438.28094099999998</v>
      </c>
      <c r="N108" s="97">
        <v>1</v>
      </c>
      <c r="O108" s="96"/>
      <c r="P108" s="97">
        <v>438.28094099999998</v>
      </c>
      <c r="Q108" s="98">
        <v>0.46891899999999997</v>
      </c>
      <c r="R108" s="98">
        <v>2.6283000000000001E-2</v>
      </c>
      <c r="S108" s="106"/>
    </row>
    <row r="109" spans="1:19" ht="15" customHeight="1">
      <c r="A109" s="106"/>
      <c r="B109" s="96">
        <v>286</v>
      </c>
      <c r="C109" s="96">
        <v>9803</v>
      </c>
      <c r="D109" s="96" t="s">
        <v>1197</v>
      </c>
      <c r="E109" s="96" t="s">
        <v>1198</v>
      </c>
      <c r="F109" s="96" t="s">
        <v>314</v>
      </c>
      <c r="G109" s="96" t="s">
        <v>937</v>
      </c>
      <c r="H109" s="96" t="s">
        <v>203</v>
      </c>
      <c r="I109" s="96" t="s">
        <v>338</v>
      </c>
      <c r="J109" s="96" t="s">
        <v>1199</v>
      </c>
      <c r="K109" s="96" t="s">
        <v>412</v>
      </c>
      <c r="L109" s="96" t="s">
        <v>1201</v>
      </c>
      <c r="M109" s="97">
        <v>0.99676600000000004</v>
      </c>
      <c r="N109" s="97">
        <v>3.7589999999999999</v>
      </c>
      <c r="O109" s="96"/>
      <c r="P109" s="97">
        <v>3.7468409999999999</v>
      </c>
      <c r="Q109" s="98">
        <v>4.0080000000000003E-3</v>
      </c>
      <c r="R109" s="98">
        <v>2.23E-4</v>
      </c>
      <c r="S109" s="106"/>
    </row>
    <row r="110" spans="1:19" ht="15" customHeight="1">
      <c r="A110" s="106"/>
      <c r="B110" s="96">
        <v>286</v>
      </c>
      <c r="C110" s="96">
        <v>9803</v>
      </c>
      <c r="D110" s="96" t="s">
        <v>1203</v>
      </c>
      <c r="E110" s="96" t="s">
        <v>1204</v>
      </c>
      <c r="F110" s="96" t="s">
        <v>314</v>
      </c>
      <c r="G110" s="96" t="s">
        <v>937</v>
      </c>
      <c r="H110" s="96" t="s">
        <v>203</v>
      </c>
      <c r="I110" s="96" t="s">
        <v>338</v>
      </c>
      <c r="J110" s="96" t="s">
        <v>1199</v>
      </c>
      <c r="K110" s="96" t="s">
        <v>412</v>
      </c>
      <c r="L110" s="96" t="s">
        <v>1201</v>
      </c>
      <c r="M110" s="97">
        <v>0.349771</v>
      </c>
      <c r="N110" s="97">
        <v>3.7589999999999999</v>
      </c>
      <c r="O110" s="96"/>
      <c r="P110" s="97">
        <v>1.3147899999999999</v>
      </c>
      <c r="Q110" s="98">
        <v>1.4059999999999999E-3</v>
      </c>
      <c r="R110" s="98">
        <v>7.7999999999999999E-5</v>
      </c>
      <c r="S110" s="106"/>
    </row>
    <row r="111" spans="1:19" ht="15" customHeight="1">
      <c r="A111" s="106"/>
      <c r="B111" s="96">
        <v>286</v>
      </c>
      <c r="C111" s="96">
        <v>9803</v>
      </c>
      <c r="D111" s="96" t="s">
        <v>1212</v>
      </c>
      <c r="E111" s="96" t="s">
        <v>1213</v>
      </c>
      <c r="F111" s="96" t="s">
        <v>314</v>
      </c>
      <c r="G111" s="96" t="s">
        <v>939</v>
      </c>
      <c r="H111" s="96" t="s">
        <v>203</v>
      </c>
      <c r="I111" s="96" t="s">
        <v>338</v>
      </c>
      <c r="J111" s="96" t="s">
        <v>1211</v>
      </c>
      <c r="K111" s="96" t="s">
        <v>414</v>
      </c>
      <c r="L111" s="96" t="s">
        <v>1200</v>
      </c>
      <c r="M111" s="97">
        <v>10.400563999999999</v>
      </c>
      <c r="N111" s="97">
        <v>1</v>
      </c>
      <c r="O111" s="96"/>
      <c r="P111" s="97">
        <v>10.400563999999999</v>
      </c>
      <c r="Q111" s="98">
        <v>1.1126E-2</v>
      </c>
      <c r="R111" s="98">
        <v>6.2200000000000005E-4</v>
      </c>
      <c r="S111" s="106"/>
    </row>
    <row r="112" spans="1:19" ht="15" customHeight="1">
      <c r="A112" s="106"/>
      <c r="B112" s="96">
        <v>286</v>
      </c>
      <c r="C112" s="96">
        <v>9803</v>
      </c>
      <c r="D112" s="96" t="s">
        <v>1209</v>
      </c>
      <c r="E112" s="96" t="s">
        <v>1210</v>
      </c>
      <c r="F112" s="96" t="s">
        <v>314</v>
      </c>
      <c r="G112" s="96" t="s">
        <v>937</v>
      </c>
      <c r="H112" s="96" t="s">
        <v>203</v>
      </c>
      <c r="I112" s="96" t="s">
        <v>338</v>
      </c>
      <c r="J112" s="96" t="s">
        <v>1199</v>
      </c>
      <c r="K112" s="96" t="s">
        <v>412</v>
      </c>
      <c r="L112" s="96" t="s">
        <v>1205</v>
      </c>
      <c r="M112" s="97">
        <v>1.6173E-2</v>
      </c>
      <c r="N112" s="97">
        <v>4.7504999999999997</v>
      </c>
      <c r="O112" s="96"/>
      <c r="P112" s="97">
        <v>7.6834E-2</v>
      </c>
      <c r="Q112" s="98">
        <v>8.2000000000000001E-5</v>
      </c>
      <c r="R112" s="98">
        <v>3.9999999999999998E-6</v>
      </c>
      <c r="S112" s="106"/>
    </row>
    <row r="113" spans="1:19" ht="15" customHeight="1">
      <c r="A113" s="106"/>
      <c r="B113" s="96">
        <v>286</v>
      </c>
      <c r="C113" s="96">
        <v>9803</v>
      </c>
      <c r="D113" s="96" t="s">
        <v>1197</v>
      </c>
      <c r="E113" s="96" t="s">
        <v>1198</v>
      </c>
      <c r="F113" s="96" t="s">
        <v>314</v>
      </c>
      <c r="G113" s="96" t="s">
        <v>936</v>
      </c>
      <c r="H113" s="96" t="s">
        <v>203</v>
      </c>
      <c r="I113" s="96" t="s">
        <v>338</v>
      </c>
      <c r="J113" s="96" t="s">
        <v>1199</v>
      </c>
      <c r="K113" s="96" t="s">
        <v>412</v>
      </c>
      <c r="L113" s="96" t="s">
        <v>1201</v>
      </c>
      <c r="M113" s="97">
        <v>0.66517800000000005</v>
      </c>
      <c r="N113" s="97">
        <v>3.7589999999999999</v>
      </c>
      <c r="O113" s="96"/>
      <c r="P113" s="97">
        <v>2.5004050000000002</v>
      </c>
      <c r="Q113" s="98">
        <v>2.6749999999999999E-3</v>
      </c>
      <c r="R113" s="98">
        <v>1.4999999999999999E-4</v>
      </c>
      <c r="S113" s="106"/>
    </row>
    <row r="114" spans="1:19" ht="15" customHeight="1">
      <c r="A114" s="106"/>
      <c r="B114" s="96">
        <v>286</v>
      </c>
      <c r="C114" s="96">
        <v>9803</v>
      </c>
      <c r="D114" s="96" t="s">
        <v>1212</v>
      </c>
      <c r="E114" s="96" t="s">
        <v>1213</v>
      </c>
      <c r="F114" s="96" t="s">
        <v>314</v>
      </c>
      <c r="G114" s="96" t="s">
        <v>938</v>
      </c>
      <c r="H114" s="96" t="s">
        <v>203</v>
      </c>
      <c r="I114" s="96" t="s">
        <v>338</v>
      </c>
      <c r="J114" s="96" t="s">
        <v>1199</v>
      </c>
      <c r="K114" s="96" t="s">
        <v>412</v>
      </c>
      <c r="L114" s="96" t="s">
        <v>1200</v>
      </c>
      <c r="M114" s="97">
        <v>6.7000000000000002E-5</v>
      </c>
      <c r="N114" s="97">
        <v>1</v>
      </c>
      <c r="O114" s="96"/>
      <c r="P114" s="97">
        <v>6.7000000000000002E-5</v>
      </c>
      <c r="Q114" s="98">
        <v>0</v>
      </c>
      <c r="R114" s="98">
        <v>0</v>
      </c>
      <c r="S114" s="106"/>
    </row>
    <row r="115" spans="1:19" ht="15" customHeight="1">
      <c r="A115" s="106"/>
      <c r="B115" s="96">
        <v>286</v>
      </c>
      <c r="C115" s="96">
        <v>9803</v>
      </c>
      <c r="D115" s="96" t="s">
        <v>1212</v>
      </c>
      <c r="E115" s="96" t="s">
        <v>1213</v>
      </c>
      <c r="F115" s="96" t="s">
        <v>314</v>
      </c>
      <c r="G115" s="96" t="s">
        <v>937</v>
      </c>
      <c r="H115" s="96" t="s">
        <v>203</v>
      </c>
      <c r="I115" s="96" t="s">
        <v>338</v>
      </c>
      <c r="J115" s="96" t="s">
        <v>1199</v>
      </c>
      <c r="K115" s="96" t="s">
        <v>412</v>
      </c>
      <c r="L115" s="96" t="s">
        <v>1201</v>
      </c>
      <c r="M115" s="97">
        <v>6.9995000000000002E-2</v>
      </c>
      <c r="N115" s="97">
        <v>3.7589999999999999</v>
      </c>
      <c r="O115" s="96"/>
      <c r="P115" s="97">
        <v>0.26311099999999998</v>
      </c>
      <c r="Q115" s="98">
        <v>2.81E-4</v>
      </c>
      <c r="R115" s="98">
        <v>1.5E-5</v>
      </c>
      <c r="S115" s="106"/>
    </row>
    <row r="116" spans="1:19" ht="15" customHeight="1">
      <c r="A116" s="106"/>
      <c r="B116" s="96">
        <v>286</v>
      </c>
      <c r="C116" s="96">
        <v>9803</v>
      </c>
      <c r="D116" s="96" t="s">
        <v>1203</v>
      </c>
      <c r="E116" s="96" t="s">
        <v>1204</v>
      </c>
      <c r="F116" s="96" t="s">
        <v>314</v>
      </c>
      <c r="G116" s="96" t="s">
        <v>935</v>
      </c>
      <c r="H116" s="96" t="s">
        <v>203</v>
      </c>
      <c r="I116" s="96" t="s">
        <v>338</v>
      </c>
      <c r="J116" s="96" t="s">
        <v>1199</v>
      </c>
      <c r="K116" s="96" t="s">
        <v>412</v>
      </c>
      <c r="L116" s="96" t="s">
        <v>1200</v>
      </c>
      <c r="M116" s="97">
        <v>11.024455</v>
      </c>
      <c r="N116" s="97">
        <v>1</v>
      </c>
      <c r="O116" s="96"/>
      <c r="P116" s="97">
        <v>11.024455</v>
      </c>
      <c r="Q116" s="98">
        <v>1.1795E-2</v>
      </c>
      <c r="R116" s="98">
        <v>6.6100000000000002E-4</v>
      </c>
      <c r="S116" s="106"/>
    </row>
    <row r="117" spans="1:19" ht="15" customHeight="1">
      <c r="A117" s="106"/>
      <c r="B117" s="96">
        <v>286</v>
      </c>
      <c r="C117" s="96">
        <v>9803</v>
      </c>
      <c r="D117" s="96" t="s">
        <v>1206</v>
      </c>
      <c r="E117" s="96" t="s">
        <v>1207</v>
      </c>
      <c r="F117" s="96" t="s">
        <v>314</v>
      </c>
      <c r="G117" s="96" t="s">
        <v>939</v>
      </c>
      <c r="H117" s="96" t="s">
        <v>203</v>
      </c>
      <c r="I117" s="96" t="s">
        <v>338</v>
      </c>
      <c r="J117" s="96" t="s">
        <v>1199</v>
      </c>
      <c r="K117" s="96" t="s">
        <v>412</v>
      </c>
      <c r="L117" s="96" t="s">
        <v>1200</v>
      </c>
      <c r="M117" s="97">
        <v>3.235325</v>
      </c>
      <c r="N117" s="97">
        <v>1</v>
      </c>
      <c r="O117" s="96"/>
      <c r="P117" s="97">
        <v>3.235325</v>
      </c>
      <c r="Q117" s="98">
        <v>3.4610000000000001E-3</v>
      </c>
      <c r="R117" s="98">
        <v>1.93E-4</v>
      </c>
      <c r="S117" s="106"/>
    </row>
    <row r="118" spans="1:19" ht="15" customHeight="1">
      <c r="A118" s="106"/>
      <c r="B118" s="96">
        <v>286</v>
      </c>
      <c r="C118" s="96">
        <v>9803</v>
      </c>
      <c r="D118" s="96" t="s">
        <v>1203</v>
      </c>
      <c r="E118" s="96" t="s">
        <v>1204</v>
      </c>
      <c r="F118" s="96" t="s">
        <v>314</v>
      </c>
      <c r="G118" s="96" t="s">
        <v>936</v>
      </c>
      <c r="H118" s="96" t="s">
        <v>203</v>
      </c>
      <c r="I118" s="96" t="s">
        <v>338</v>
      </c>
      <c r="J118" s="96" t="s">
        <v>1211</v>
      </c>
      <c r="K118" s="96" t="s">
        <v>414</v>
      </c>
      <c r="L118" s="96" t="s">
        <v>1200</v>
      </c>
      <c r="M118" s="97">
        <v>0.84846999999999995</v>
      </c>
      <c r="N118" s="97">
        <v>1</v>
      </c>
      <c r="O118" s="96"/>
      <c r="P118" s="97">
        <v>0.84846999999999995</v>
      </c>
      <c r="Q118" s="98">
        <v>9.0700000000000004E-4</v>
      </c>
      <c r="R118" s="98">
        <v>5.0000000000000002E-5</v>
      </c>
      <c r="S118" s="106"/>
    </row>
    <row r="119" spans="1:19" ht="15" customHeight="1">
      <c r="A119" s="106"/>
      <c r="B119" s="96">
        <v>286</v>
      </c>
      <c r="C119" s="96">
        <v>9803</v>
      </c>
      <c r="D119" s="96" t="s">
        <v>1206</v>
      </c>
      <c r="E119" s="96" t="s">
        <v>1207</v>
      </c>
      <c r="F119" s="96" t="s">
        <v>314</v>
      </c>
      <c r="G119" s="96" t="s">
        <v>935</v>
      </c>
      <c r="H119" s="96" t="s">
        <v>203</v>
      </c>
      <c r="I119" s="96" t="s">
        <v>338</v>
      </c>
      <c r="J119" s="96" t="s">
        <v>1199</v>
      </c>
      <c r="K119" s="96" t="s">
        <v>412</v>
      </c>
      <c r="L119" s="96" t="s">
        <v>1200</v>
      </c>
      <c r="M119" s="97">
        <v>1.3213000000000001E-2</v>
      </c>
      <c r="N119" s="97">
        <v>1</v>
      </c>
      <c r="O119" s="96"/>
      <c r="P119" s="97">
        <v>1.3213000000000001E-2</v>
      </c>
      <c r="Q119" s="98">
        <v>1.2999999999999999E-5</v>
      </c>
      <c r="R119" s="98">
        <v>0</v>
      </c>
      <c r="S119" s="106"/>
    </row>
    <row r="120" spans="1:19" ht="15" customHeight="1">
      <c r="A120" s="106"/>
      <c r="B120" s="96">
        <v>286</v>
      </c>
      <c r="C120" s="96">
        <v>9803</v>
      </c>
      <c r="D120" s="96" t="s">
        <v>1209</v>
      </c>
      <c r="E120" s="96" t="s">
        <v>1210</v>
      </c>
      <c r="F120" s="96" t="s">
        <v>314</v>
      </c>
      <c r="G120" s="96" t="s">
        <v>937</v>
      </c>
      <c r="H120" s="96" t="s">
        <v>203</v>
      </c>
      <c r="I120" s="96" t="s">
        <v>338</v>
      </c>
      <c r="J120" s="96" t="s">
        <v>1199</v>
      </c>
      <c r="K120" s="96" t="s">
        <v>412</v>
      </c>
      <c r="L120" s="96" t="s">
        <v>1202</v>
      </c>
      <c r="M120" s="97">
        <v>8.1899999999999994E-3</v>
      </c>
      <c r="N120" s="97">
        <v>4.0202</v>
      </c>
      <c r="O120" s="96"/>
      <c r="P120" s="97">
        <v>3.2926999999999998E-2</v>
      </c>
      <c r="Q120" s="98">
        <v>3.4999999999999997E-5</v>
      </c>
      <c r="R120" s="98">
        <v>9.9999999999999995E-7</v>
      </c>
      <c r="S120" s="106"/>
    </row>
    <row r="121" spans="1:19" ht="15" customHeight="1">
      <c r="A121" s="106"/>
      <c r="B121" s="96">
        <v>286</v>
      </c>
      <c r="C121" s="96">
        <v>9803</v>
      </c>
      <c r="D121" s="96" t="s">
        <v>1212</v>
      </c>
      <c r="E121" s="96" t="s">
        <v>1213</v>
      </c>
      <c r="F121" s="96" t="s">
        <v>314</v>
      </c>
      <c r="G121" s="96" t="s">
        <v>935</v>
      </c>
      <c r="H121" s="96" t="s">
        <v>203</v>
      </c>
      <c r="I121" s="96" t="s">
        <v>338</v>
      </c>
      <c r="J121" s="96" t="s">
        <v>1199</v>
      </c>
      <c r="K121" s="96" t="s">
        <v>412</v>
      </c>
      <c r="L121" s="96" t="s">
        <v>1200</v>
      </c>
      <c r="M121" s="97">
        <v>0.70713899999999996</v>
      </c>
      <c r="N121" s="97">
        <v>1</v>
      </c>
      <c r="O121" s="96"/>
      <c r="P121" s="97">
        <v>0.70713899999999996</v>
      </c>
      <c r="Q121" s="98">
        <v>7.5600000000000005E-4</v>
      </c>
      <c r="R121" s="98">
        <v>4.1999999999999998E-5</v>
      </c>
      <c r="S121" s="106"/>
    </row>
    <row r="122" spans="1:19" ht="15" customHeight="1">
      <c r="A122" s="106"/>
      <c r="B122" s="96">
        <v>286</v>
      </c>
      <c r="C122" s="96">
        <v>9803</v>
      </c>
      <c r="D122" s="96" t="s">
        <v>1197</v>
      </c>
      <c r="E122" s="96" t="s">
        <v>1198</v>
      </c>
      <c r="F122" s="96" t="s">
        <v>314</v>
      </c>
      <c r="G122" s="96" t="s">
        <v>935</v>
      </c>
      <c r="H122" s="96" t="s">
        <v>203</v>
      </c>
      <c r="I122" s="96" t="s">
        <v>338</v>
      </c>
      <c r="J122" s="96" t="s">
        <v>1199</v>
      </c>
      <c r="K122" s="96" t="s">
        <v>412</v>
      </c>
      <c r="L122" s="96" t="s">
        <v>1200</v>
      </c>
      <c r="M122" s="97">
        <v>437.85819300000003</v>
      </c>
      <c r="N122" s="97">
        <v>1</v>
      </c>
      <c r="O122" s="96"/>
      <c r="P122" s="97">
        <v>434.25381299999998</v>
      </c>
      <c r="Q122" s="98">
        <v>0.46461000000000002</v>
      </c>
      <c r="R122" s="98">
        <v>2.6041000000000002E-2</v>
      </c>
      <c r="S122" s="106"/>
    </row>
    <row r="123" spans="1:19" ht="15" customHeight="1">
      <c r="A123" s="106"/>
      <c r="B123" s="96">
        <v>286</v>
      </c>
      <c r="C123" s="96">
        <v>9803</v>
      </c>
      <c r="D123" s="96" t="s">
        <v>1209</v>
      </c>
      <c r="E123" s="96" t="s">
        <v>1210</v>
      </c>
      <c r="F123" s="96" t="s">
        <v>314</v>
      </c>
      <c r="G123" s="96" t="s">
        <v>936</v>
      </c>
      <c r="H123" s="96" t="s">
        <v>203</v>
      </c>
      <c r="I123" s="96" t="s">
        <v>338</v>
      </c>
      <c r="J123" s="96" t="s">
        <v>1211</v>
      </c>
      <c r="K123" s="96" t="s">
        <v>414</v>
      </c>
      <c r="L123" s="96" t="s">
        <v>1200</v>
      </c>
      <c r="M123" s="97">
        <v>0.885714</v>
      </c>
      <c r="N123" s="97">
        <v>1</v>
      </c>
      <c r="O123" s="96"/>
      <c r="P123" s="97">
        <v>0.885714</v>
      </c>
      <c r="Q123" s="98">
        <v>9.4700000000000003E-4</v>
      </c>
      <c r="R123" s="98">
        <v>5.3000000000000001E-5</v>
      </c>
      <c r="S123" s="106"/>
    </row>
    <row r="124" spans="1:19" ht="15" customHeight="1">
      <c r="A124" s="106"/>
      <c r="B124" s="105" t="s">
        <v>3767</v>
      </c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6"/>
    </row>
  </sheetData>
  <mergeCells count="4">
    <mergeCell ref="B124:R124"/>
    <mergeCell ref="A1:A124"/>
    <mergeCell ref="B1:R1"/>
    <mergeCell ref="S1:S124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AB104"/>
  <sheetViews>
    <sheetView rightToLeft="1" workbookViewId="0">
      <selection sqref="A1:A104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17.5" bestFit="1" customWidth="1"/>
    <col min="5" max="5" width="21.625" bestFit="1" customWidth="1"/>
    <col min="6" max="6" width="14.25" bestFit="1" customWidth="1"/>
    <col min="7" max="7" width="33.375" bestFit="1" customWidth="1"/>
    <col min="8" max="8" width="8.75" bestFit="1" customWidth="1"/>
    <col min="9" max="9" width="10.75" bestFit="1" customWidth="1"/>
    <col min="10" max="10" width="8.37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7.375" bestFit="1" customWidth="1"/>
    <col min="15" max="15" width="9.875" bestFit="1" customWidth="1"/>
    <col min="16" max="16" width="9.25" bestFit="1" customWidth="1"/>
    <col min="17" max="17" width="10.375" bestFit="1" customWidth="1"/>
    <col min="18" max="18" width="9" bestFit="1" customWidth="1"/>
    <col min="19" max="19" width="14.5" bestFit="1" customWidth="1"/>
    <col min="20" max="20" width="8.625" bestFit="1" customWidth="1"/>
    <col min="21" max="21" width="11" bestFit="1" customWidth="1"/>
    <col min="22" max="22" width="10.875" bestFit="1" customWidth="1"/>
    <col min="23" max="23" width="11.375" bestFit="1" customWidth="1"/>
    <col min="24" max="24" width="10.625" bestFit="1" customWidth="1"/>
    <col min="25" max="25" width="9.5" bestFit="1" customWidth="1"/>
    <col min="26" max="26" width="11" bestFit="1" customWidth="1"/>
    <col min="27" max="27" width="10.375" bestFit="1" customWidth="1"/>
    <col min="28" max="28" width="3.125" customWidth="1"/>
  </cols>
  <sheetData>
    <row r="1" spans="1:28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6" t="s">
        <v>3766</v>
      </c>
    </row>
    <row r="2" spans="1:28" ht="66.75" customHeight="1">
      <c r="A2" s="106"/>
      <c r="B2" s="21" t="s">
        <v>49</v>
      </c>
      <c r="C2" s="21" t="s">
        <v>50</v>
      </c>
      <c r="D2" s="21" t="s">
        <v>66</v>
      </c>
      <c r="E2" s="21" t="s">
        <v>67</v>
      </c>
      <c r="F2" s="21" t="s">
        <v>68</v>
      </c>
      <c r="G2" s="21" t="s">
        <v>54</v>
      </c>
      <c r="H2" s="21" t="s">
        <v>55</v>
      </c>
      <c r="I2" s="21" t="s">
        <v>69</v>
      </c>
      <c r="J2" s="21" t="s">
        <v>70</v>
      </c>
      <c r="K2" s="21" t="s">
        <v>71</v>
      </c>
      <c r="L2" s="21" t="s">
        <v>58</v>
      </c>
      <c r="M2" s="21" t="s">
        <v>59</v>
      </c>
      <c r="N2" s="21" t="s">
        <v>72</v>
      </c>
      <c r="O2" s="21" t="s">
        <v>73</v>
      </c>
      <c r="P2" s="21" t="s">
        <v>62</v>
      </c>
      <c r="Q2" s="21" t="s">
        <v>74</v>
      </c>
      <c r="R2" s="99" t="s">
        <v>75</v>
      </c>
      <c r="S2" s="21" t="s">
        <v>76</v>
      </c>
      <c r="T2" s="21" t="s">
        <v>61</v>
      </c>
      <c r="U2" s="21" t="s">
        <v>77</v>
      </c>
      <c r="V2" s="21" t="s">
        <v>63</v>
      </c>
      <c r="W2" s="99" t="s">
        <v>78</v>
      </c>
      <c r="X2" s="21" t="s">
        <v>17</v>
      </c>
      <c r="Y2" s="21" t="s">
        <v>79</v>
      </c>
      <c r="Z2" s="21" t="s">
        <v>64</v>
      </c>
      <c r="AA2" s="21" t="s">
        <v>65</v>
      </c>
      <c r="AB2" s="106"/>
    </row>
    <row r="3" spans="1:28" ht="15" customHeight="1">
      <c r="A3" s="106"/>
      <c r="B3" s="96">
        <v>286</v>
      </c>
      <c r="C3" s="96">
        <v>1445</v>
      </c>
      <c r="D3" s="96" t="s">
        <v>1222</v>
      </c>
      <c r="E3" s="96" t="s">
        <v>1223</v>
      </c>
      <c r="F3" s="96" t="s">
        <v>1224</v>
      </c>
      <c r="G3" s="96" t="s">
        <v>946</v>
      </c>
      <c r="H3" s="96" t="s">
        <v>203</v>
      </c>
      <c r="I3" s="96" t="s">
        <v>203</v>
      </c>
      <c r="J3" s="96" t="s">
        <v>339</v>
      </c>
      <c r="K3" s="96" t="s">
        <v>1225</v>
      </c>
      <c r="L3" s="96" t="s">
        <v>311</v>
      </c>
      <c r="M3" s="96" t="s">
        <v>1200</v>
      </c>
      <c r="N3" s="97">
        <v>8.76</v>
      </c>
      <c r="O3" s="100">
        <v>49398</v>
      </c>
      <c r="P3" s="98">
        <v>0.04</v>
      </c>
      <c r="Q3" s="98">
        <v>5.04E-2</v>
      </c>
      <c r="R3" s="97"/>
      <c r="S3" s="97">
        <v>503492.02026100003</v>
      </c>
      <c r="T3" s="97">
        <v>1</v>
      </c>
      <c r="U3" s="97">
        <v>92.5</v>
      </c>
      <c r="V3" s="97">
        <v>465.730118</v>
      </c>
      <c r="W3" s="97"/>
      <c r="X3" s="96"/>
      <c r="Y3" s="98">
        <v>4.3000000000000002E-5</v>
      </c>
      <c r="Z3" s="98">
        <v>1.4305999999999999E-2</v>
      </c>
      <c r="AA3" s="98">
        <v>8.8679999999999991E-3</v>
      </c>
      <c r="AB3" s="106"/>
    </row>
    <row r="4" spans="1:28" ht="15" customHeight="1">
      <c r="A4" s="106"/>
      <c r="B4" s="96">
        <v>286</v>
      </c>
      <c r="C4" s="96">
        <v>1445</v>
      </c>
      <c r="D4" s="96" t="s">
        <v>1222</v>
      </c>
      <c r="E4" s="96" t="s">
        <v>1226</v>
      </c>
      <c r="F4" s="96" t="s">
        <v>1227</v>
      </c>
      <c r="G4" s="96" t="s">
        <v>946</v>
      </c>
      <c r="H4" s="96" t="s">
        <v>203</v>
      </c>
      <c r="I4" s="96" t="s">
        <v>203</v>
      </c>
      <c r="J4" s="96" t="s">
        <v>339</v>
      </c>
      <c r="K4" s="96" t="s">
        <v>1225</v>
      </c>
      <c r="L4" s="96" t="s">
        <v>311</v>
      </c>
      <c r="M4" s="96" t="s">
        <v>1200</v>
      </c>
      <c r="N4" s="97">
        <v>4.0199999999999996</v>
      </c>
      <c r="O4" s="100">
        <v>47024</v>
      </c>
      <c r="P4" s="98">
        <v>2.2499999999999999E-2</v>
      </c>
      <c r="Q4" s="98">
        <v>4.6199999999999998E-2</v>
      </c>
      <c r="R4" s="96"/>
      <c r="S4" s="97">
        <v>1829167.7447619999</v>
      </c>
      <c r="T4" s="97">
        <v>1</v>
      </c>
      <c r="U4" s="97">
        <v>92.73</v>
      </c>
      <c r="V4" s="97">
        <v>1696.1872490000001</v>
      </c>
      <c r="W4" s="96"/>
      <c r="X4" s="96"/>
      <c r="Y4" s="98">
        <v>5.8999999999999998E-5</v>
      </c>
      <c r="Z4" s="98">
        <v>5.2104999999999999E-2</v>
      </c>
      <c r="AA4" s="98">
        <v>3.2300000000000002E-2</v>
      </c>
      <c r="AB4" s="106"/>
    </row>
    <row r="5" spans="1:28" ht="15" customHeight="1">
      <c r="A5" s="106"/>
      <c r="B5" s="96">
        <v>286</v>
      </c>
      <c r="C5" s="96">
        <v>1445</v>
      </c>
      <c r="D5" s="96" t="s">
        <v>1222</v>
      </c>
      <c r="E5" s="96" t="s">
        <v>1228</v>
      </c>
      <c r="F5" s="96" t="s">
        <v>1229</v>
      </c>
      <c r="G5" s="96" t="s">
        <v>944</v>
      </c>
      <c r="H5" s="96" t="s">
        <v>203</v>
      </c>
      <c r="I5" s="96" t="s">
        <v>203</v>
      </c>
      <c r="J5" s="96" t="s">
        <v>339</v>
      </c>
      <c r="K5" s="96" t="s">
        <v>1225</v>
      </c>
      <c r="L5" s="96" t="s">
        <v>311</v>
      </c>
      <c r="M5" s="96" t="s">
        <v>1200</v>
      </c>
      <c r="N5" s="97">
        <v>2.08</v>
      </c>
      <c r="O5" s="100">
        <v>46234</v>
      </c>
      <c r="P5" s="98">
        <v>1E-3</v>
      </c>
      <c r="Q5" s="98">
        <v>1.6400000000000001E-2</v>
      </c>
      <c r="R5" s="96"/>
      <c r="S5" s="97">
        <v>228723.730836</v>
      </c>
      <c r="T5" s="97">
        <v>1</v>
      </c>
      <c r="U5" s="97">
        <v>110.2</v>
      </c>
      <c r="V5" s="97">
        <v>252.053551</v>
      </c>
      <c r="W5" s="96"/>
      <c r="X5" s="96"/>
      <c r="Y5" s="98">
        <v>1.1E-5</v>
      </c>
      <c r="Z5" s="98">
        <v>7.7419999999999998E-3</v>
      </c>
      <c r="AA5" s="98">
        <v>4.7990000000000003E-3</v>
      </c>
      <c r="AB5" s="106"/>
    </row>
    <row r="6" spans="1:28" ht="15" customHeight="1">
      <c r="A6" s="106"/>
      <c r="B6" s="96">
        <v>286</v>
      </c>
      <c r="C6" s="96">
        <v>1445</v>
      </c>
      <c r="D6" s="96" t="s">
        <v>1222</v>
      </c>
      <c r="E6" s="96" t="s">
        <v>1230</v>
      </c>
      <c r="F6" s="96" t="s">
        <v>1231</v>
      </c>
      <c r="G6" s="96" t="s">
        <v>944</v>
      </c>
      <c r="H6" s="96" t="s">
        <v>203</v>
      </c>
      <c r="I6" s="96" t="s">
        <v>203</v>
      </c>
      <c r="J6" s="96" t="s">
        <v>339</v>
      </c>
      <c r="K6" s="96" t="s">
        <v>1225</v>
      </c>
      <c r="L6" s="96" t="s">
        <v>311</v>
      </c>
      <c r="M6" s="96" t="s">
        <v>1200</v>
      </c>
      <c r="N6" s="97">
        <v>7.39</v>
      </c>
      <c r="O6" s="100">
        <v>48182</v>
      </c>
      <c r="P6" s="98">
        <v>1E-3</v>
      </c>
      <c r="Q6" s="98">
        <v>2.18E-2</v>
      </c>
      <c r="R6" s="96"/>
      <c r="S6" s="97">
        <v>2906402.5366690001</v>
      </c>
      <c r="T6" s="97">
        <v>1</v>
      </c>
      <c r="U6" s="97">
        <v>97.65</v>
      </c>
      <c r="V6" s="97">
        <v>2838.1020760000001</v>
      </c>
      <c r="W6" s="96"/>
      <c r="X6" s="96"/>
      <c r="Y6" s="98">
        <v>9.3999999999999994E-5</v>
      </c>
      <c r="Z6" s="98">
        <v>8.7183999999999998E-2</v>
      </c>
      <c r="AA6" s="98">
        <v>5.4044000000000002E-2</v>
      </c>
      <c r="AB6" s="106"/>
    </row>
    <row r="7" spans="1:28" ht="15" customHeight="1">
      <c r="A7" s="106"/>
      <c r="B7" s="96">
        <v>286</v>
      </c>
      <c r="C7" s="96">
        <v>1445</v>
      </c>
      <c r="D7" s="96" t="s">
        <v>1222</v>
      </c>
      <c r="E7" s="96" t="s">
        <v>1232</v>
      </c>
      <c r="F7" s="96" t="s">
        <v>1233</v>
      </c>
      <c r="G7" s="96" t="s">
        <v>944</v>
      </c>
      <c r="H7" s="96" t="s">
        <v>203</v>
      </c>
      <c r="I7" s="96" t="s">
        <v>203</v>
      </c>
      <c r="J7" s="96" t="s">
        <v>339</v>
      </c>
      <c r="K7" s="96" t="s">
        <v>1225</v>
      </c>
      <c r="L7" s="96" t="s">
        <v>311</v>
      </c>
      <c r="M7" s="96" t="s">
        <v>1200</v>
      </c>
      <c r="N7" s="97">
        <v>9.8800000000000008</v>
      </c>
      <c r="O7" s="100">
        <v>49825</v>
      </c>
      <c r="P7" s="98">
        <v>0.04</v>
      </c>
      <c r="Q7" s="98">
        <v>2.3099999999999999E-2</v>
      </c>
      <c r="R7" s="96"/>
      <c r="S7" s="97">
        <v>341961.49302599998</v>
      </c>
      <c r="T7" s="97">
        <v>1</v>
      </c>
      <c r="U7" s="97">
        <v>159.08000000000001</v>
      </c>
      <c r="V7" s="97">
        <v>543.99234300000001</v>
      </c>
      <c r="W7" s="96"/>
      <c r="X7" s="96"/>
      <c r="Y7" s="98">
        <v>2.0999999999999999E-5</v>
      </c>
      <c r="Z7" s="98">
        <v>1.6711E-2</v>
      </c>
      <c r="AA7" s="98">
        <v>1.0359E-2</v>
      </c>
      <c r="AB7" s="106"/>
    </row>
    <row r="8" spans="1:28" ht="15" customHeight="1">
      <c r="A8" s="106"/>
      <c r="B8" s="96">
        <v>286</v>
      </c>
      <c r="C8" s="96">
        <v>1445</v>
      </c>
      <c r="D8" s="96" t="s">
        <v>1222</v>
      </c>
      <c r="E8" s="96" t="s">
        <v>1234</v>
      </c>
      <c r="F8" s="96" t="s">
        <v>1235</v>
      </c>
      <c r="G8" s="96" t="s">
        <v>946</v>
      </c>
      <c r="H8" s="96" t="s">
        <v>203</v>
      </c>
      <c r="I8" s="96" t="s">
        <v>203</v>
      </c>
      <c r="J8" s="96" t="s">
        <v>339</v>
      </c>
      <c r="K8" s="96" t="s">
        <v>1225</v>
      </c>
      <c r="L8" s="96" t="s">
        <v>311</v>
      </c>
      <c r="M8" s="96" t="s">
        <v>1200</v>
      </c>
      <c r="N8" s="97">
        <v>7.42</v>
      </c>
      <c r="O8" s="100">
        <v>48334</v>
      </c>
      <c r="P8" s="98">
        <v>1.2999999999999999E-2</v>
      </c>
      <c r="Q8" s="98">
        <v>4.9000000000000002E-2</v>
      </c>
      <c r="R8" s="96"/>
      <c r="S8" s="97">
        <v>3123283.0768860001</v>
      </c>
      <c r="T8" s="97">
        <v>1</v>
      </c>
      <c r="U8" s="97">
        <v>77.260000000000005</v>
      </c>
      <c r="V8" s="97">
        <v>2413.0485050000002</v>
      </c>
      <c r="W8" s="96"/>
      <c r="X8" s="96"/>
      <c r="Y8" s="98">
        <v>1.0399999999999999E-4</v>
      </c>
      <c r="Z8" s="98">
        <v>7.4126999999999998E-2</v>
      </c>
      <c r="AA8" s="98">
        <v>4.5950999999999999E-2</v>
      </c>
      <c r="AB8" s="106"/>
    </row>
    <row r="9" spans="1:28" ht="15" customHeight="1">
      <c r="A9" s="106"/>
      <c r="B9" s="96">
        <v>286</v>
      </c>
      <c r="C9" s="96">
        <v>1445</v>
      </c>
      <c r="D9" s="96" t="s">
        <v>1222</v>
      </c>
      <c r="E9" s="96" t="s">
        <v>1236</v>
      </c>
      <c r="F9" s="96" t="s">
        <v>1237</v>
      </c>
      <c r="G9" s="96" t="s">
        <v>946</v>
      </c>
      <c r="H9" s="96" t="s">
        <v>203</v>
      </c>
      <c r="I9" s="96" t="s">
        <v>203</v>
      </c>
      <c r="J9" s="96" t="s">
        <v>339</v>
      </c>
      <c r="K9" s="96" t="s">
        <v>1225</v>
      </c>
      <c r="L9" s="96" t="s">
        <v>311</v>
      </c>
      <c r="M9" s="96" t="s">
        <v>1200</v>
      </c>
      <c r="N9" s="97">
        <v>2.16</v>
      </c>
      <c r="O9" s="100">
        <v>46325</v>
      </c>
      <c r="P9" s="98">
        <v>6.25E-2</v>
      </c>
      <c r="Q9" s="98">
        <v>4.41E-2</v>
      </c>
      <c r="R9" s="96"/>
      <c r="S9" s="97">
        <v>418435.100087</v>
      </c>
      <c r="T9" s="97">
        <v>1</v>
      </c>
      <c r="U9" s="97">
        <v>108.16</v>
      </c>
      <c r="V9" s="97">
        <v>452.57940300000001</v>
      </c>
      <c r="W9" s="96"/>
      <c r="X9" s="96"/>
      <c r="Y9" s="98">
        <v>2.8E-5</v>
      </c>
      <c r="Z9" s="98">
        <v>1.3901999999999999E-2</v>
      </c>
      <c r="AA9" s="98">
        <v>8.6169999999999997E-3</v>
      </c>
      <c r="AB9" s="106"/>
    </row>
    <row r="10" spans="1:28" ht="15" customHeight="1">
      <c r="A10" s="106"/>
      <c r="B10" s="96">
        <v>286</v>
      </c>
      <c r="C10" s="96">
        <v>1445</v>
      </c>
      <c r="D10" s="96" t="s">
        <v>1222</v>
      </c>
      <c r="E10" s="96" t="s">
        <v>1238</v>
      </c>
      <c r="F10" s="96" t="s">
        <v>1239</v>
      </c>
      <c r="G10" s="96" t="s">
        <v>946</v>
      </c>
      <c r="H10" s="96" t="s">
        <v>203</v>
      </c>
      <c r="I10" s="96" t="s">
        <v>203</v>
      </c>
      <c r="J10" s="96" t="s">
        <v>339</v>
      </c>
      <c r="K10" s="96" t="s">
        <v>1225</v>
      </c>
      <c r="L10" s="96" t="s">
        <v>311</v>
      </c>
      <c r="M10" s="96" t="s">
        <v>1200</v>
      </c>
      <c r="N10" s="97">
        <v>11.5</v>
      </c>
      <c r="O10" s="100">
        <v>50191</v>
      </c>
      <c r="P10" s="98">
        <v>1.4999999999999999E-2</v>
      </c>
      <c r="Q10" s="98">
        <v>5.21E-2</v>
      </c>
      <c r="R10" s="96"/>
      <c r="S10" s="97">
        <v>524268.89521500003</v>
      </c>
      <c r="T10" s="97">
        <v>1</v>
      </c>
      <c r="U10" s="97">
        <v>65.83</v>
      </c>
      <c r="V10" s="97">
        <v>345.12621200000001</v>
      </c>
      <c r="W10" s="96"/>
      <c r="X10" s="96"/>
      <c r="Y10" s="98">
        <v>1.5999999999999999E-5</v>
      </c>
      <c r="Z10" s="98">
        <v>1.0600999999999999E-2</v>
      </c>
      <c r="AA10" s="98">
        <v>6.5709999999999996E-3</v>
      </c>
      <c r="AB10" s="106"/>
    </row>
    <row r="11" spans="1:28" ht="15" customHeight="1">
      <c r="A11" s="106"/>
      <c r="B11" s="96">
        <v>286</v>
      </c>
      <c r="C11" s="96">
        <v>1445</v>
      </c>
      <c r="D11" s="96" t="s">
        <v>1222</v>
      </c>
      <c r="E11" s="96" t="s">
        <v>1240</v>
      </c>
      <c r="F11" s="96" t="s">
        <v>1241</v>
      </c>
      <c r="G11" s="96" t="s">
        <v>944</v>
      </c>
      <c r="H11" s="96" t="s">
        <v>203</v>
      </c>
      <c r="I11" s="96" t="s">
        <v>203</v>
      </c>
      <c r="J11" s="96" t="s">
        <v>339</v>
      </c>
      <c r="K11" s="96" t="s">
        <v>1225</v>
      </c>
      <c r="L11" s="96" t="s">
        <v>311</v>
      </c>
      <c r="M11" s="96" t="s">
        <v>1200</v>
      </c>
      <c r="N11" s="97">
        <v>4.87</v>
      </c>
      <c r="O11" s="100">
        <v>47269</v>
      </c>
      <c r="P11" s="98">
        <v>5.0000000000000001E-3</v>
      </c>
      <c r="Q11" s="98">
        <v>1.9900000000000001E-2</v>
      </c>
      <c r="R11" s="96"/>
      <c r="S11" s="97">
        <v>3029006.4844869999</v>
      </c>
      <c r="T11" s="97">
        <v>1</v>
      </c>
      <c r="U11" s="97">
        <v>105.85</v>
      </c>
      <c r="V11" s="97">
        <v>3206.2033630000001</v>
      </c>
      <c r="W11" s="96"/>
      <c r="X11" s="96"/>
      <c r="Y11" s="98">
        <v>1.25E-4</v>
      </c>
      <c r="Z11" s="98">
        <v>9.8490999999999995E-2</v>
      </c>
      <c r="AA11" s="98">
        <v>6.1053999999999997E-2</v>
      </c>
      <c r="AB11" s="106"/>
    </row>
    <row r="12" spans="1:28" ht="15" customHeight="1">
      <c r="A12" s="106"/>
      <c r="B12" s="96">
        <v>286</v>
      </c>
      <c r="C12" s="96">
        <v>1445</v>
      </c>
      <c r="D12" s="96" t="s">
        <v>1222</v>
      </c>
      <c r="E12" s="96" t="s">
        <v>1242</v>
      </c>
      <c r="F12" s="96" t="s">
        <v>1243</v>
      </c>
      <c r="G12" s="96" t="s">
        <v>946</v>
      </c>
      <c r="H12" s="96" t="s">
        <v>203</v>
      </c>
      <c r="I12" s="96" t="s">
        <v>203</v>
      </c>
      <c r="J12" s="96" t="s">
        <v>339</v>
      </c>
      <c r="K12" s="96" t="s">
        <v>1225</v>
      </c>
      <c r="L12" s="96" t="s">
        <v>311</v>
      </c>
      <c r="M12" s="96" t="s">
        <v>1200</v>
      </c>
      <c r="N12" s="97">
        <v>1.66</v>
      </c>
      <c r="O12" s="100">
        <v>46080</v>
      </c>
      <c r="P12" s="98">
        <v>5.0000000000000001E-3</v>
      </c>
      <c r="Q12" s="98">
        <v>4.3700000000000003E-2</v>
      </c>
      <c r="R12" s="96"/>
      <c r="S12" s="97">
        <v>951564.89929299999</v>
      </c>
      <c r="T12" s="97">
        <v>1</v>
      </c>
      <c r="U12" s="97">
        <v>94.09</v>
      </c>
      <c r="V12" s="97">
        <v>895.32741299999998</v>
      </c>
      <c r="W12" s="96"/>
      <c r="X12" s="96"/>
      <c r="Y12" s="98">
        <v>3.4E-5</v>
      </c>
      <c r="Z12" s="98">
        <v>2.7503E-2</v>
      </c>
      <c r="AA12" s="98">
        <v>1.7049000000000002E-2</v>
      </c>
      <c r="AB12" s="106"/>
    </row>
    <row r="13" spans="1:28" ht="15" customHeight="1">
      <c r="A13" s="106"/>
      <c r="B13" s="96">
        <v>286</v>
      </c>
      <c r="C13" s="96">
        <v>1445</v>
      </c>
      <c r="D13" s="96" t="s">
        <v>1222</v>
      </c>
      <c r="E13" s="96" t="s">
        <v>1244</v>
      </c>
      <c r="F13" s="96" t="s">
        <v>1245</v>
      </c>
      <c r="G13" s="96" t="s">
        <v>947</v>
      </c>
      <c r="H13" s="96" t="s">
        <v>203</v>
      </c>
      <c r="I13" s="96" t="s">
        <v>203</v>
      </c>
      <c r="J13" s="96" t="s">
        <v>339</v>
      </c>
      <c r="K13" s="96" t="s">
        <v>1225</v>
      </c>
      <c r="L13" s="96" t="s">
        <v>311</v>
      </c>
      <c r="M13" s="96" t="s">
        <v>1200</v>
      </c>
      <c r="N13" s="97">
        <v>1.84</v>
      </c>
      <c r="O13" s="100">
        <v>46173</v>
      </c>
      <c r="P13" s="98">
        <v>4.3783000000000002E-2</v>
      </c>
      <c r="Q13" s="98">
        <v>4.6899999999999997E-2</v>
      </c>
      <c r="R13" s="96"/>
      <c r="S13" s="97">
        <v>426310.60194899997</v>
      </c>
      <c r="T13" s="97">
        <v>1</v>
      </c>
      <c r="U13" s="97">
        <v>99.64</v>
      </c>
      <c r="V13" s="97">
        <v>424.77588300000002</v>
      </c>
      <c r="W13" s="96"/>
      <c r="X13" s="96"/>
      <c r="Y13" s="98">
        <v>2.0000000000000002E-5</v>
      </c>
      <c r="Z13" s="98">
        <v>1.3048000000000001E-2</v>
      </c>
      <c r="AA13" s="98">
        <v>8.0879999999999997E-3</v>
      </c>
      <c r="AB13" s="106"/>
    </row>
    <row r="14" spans="1:28" ht="15" customHeight="1">
      <c r="A14" s="106"/>
      <c r="B14" s="96">
        <v>286</v>
      </c>
      <c r="C14" s="96">
        <v>1445</v>
      </c>
      <c r="D14" s="96" t="s">
        <v>1222</v>
      </c>
      <c r="E14" s="96" t="s">
        <v>1246</v>
      </c>
      <c r="F14" s="96" t="s">
        <v>1247</v>
      </c>
      <c r="G14" s="96" t="s">
        <v>947</v>
      </c>
      <c r="H14" s="96" t="s">
        <v>203</v>
      </c>
      <c r="I14" s="96" t="s">
        <v>203</v>
      </c>
      <c r="J14" s="96" t="s">
        <v>339</v>
      </c>
      <c r="K14" s="96" t="s">
        <v>1225</v>
      </c>
      <c r="L14" s="96" t="s">
        <v>311</v>
      </c>
      <c r="M14" s="96" t="s">
        <v>1200</v>
      </c>
      <c r="N14" s="97">
        <v>5.6</v>
      </c>
      <c r="O14" s="100">
        <v>47816</v>
      </c>
      <c r="P14" s="98">
        <v>4.3783000000000002E-2</v>
      </c>
      <c r="Q14" s="98">
        <v>4.8599999999999997E-2</v>
      </c>
      <c r="R14" s="96"/>
      <c r="S14" s="97">
        <v>1249481.8528700001</v>
      </c>
      <c r="T14" s="97">
        <v>1</v>
      </c>
      <c r="U14" s="97">
        <v>97.22</v>
      </c>
      <c r="V14" s="97">
        <v>1214.7462559999999</v>
      </c>
      <c r="W14" s="96"/>
      <c r="X14" s="96"/>
      <c r="Y14" s="98">
        <v>3.8999999999999999E-5</v>
      </c>
      <c r="Z14" s="98">
        <v>3.7315000000000001E-2</v>
      </c>
      <c r="AA14" s="98">
        <v>2.3130999999999999E-2</v>
      </c>
      <c r="AB14" s="106"/>
    </row>
    <row r="15" spans="1:28" ht="15" customHeight="1">
      <c r="A15" s="106"/>
      <c r="B15" s="96">
        <v>286</v>
      </c>
      <c r="C15" s="96">
        <v>1445</v>
      </c>
      <c r="D15" s="96" t="s">
        <v>1222</v>
      </c>
      <c r="E15" s="96" t="s">
        <v>1248</v>
      </c>
      <c r="F15" s="96" t="s">
        <v>1249</v>
      </c>
      <c r="G15" s="96" t="s">
        <v>944</v>
      </c>
      <c r="H15" s="96" t="s">
        <v>203</v>
      </c>
      <c r="I15" s="96" t="s">
        <v>203</v>
      </c>
      <c r="J15" s="96" t="s">
        <v>339</v>
      </c>
      <c r="K15" s="96" t="s">
        <v>1225</v>
      </c>
      <c r="L15" s="96" t="s">
        <v>311</v>
      </c>
      <c r="M15" s="96" t="s">
        <v>1200</v>
      </c>
      <c r="N15" s="97">
        <v>2.89</v>
      </c>
      <c r="O15" s="100">
        <v>46538</v>
      </c>
      <c r="P15" s="98">
        <v>7.4999999999999997E-3</v>
      </c>
      <c r="Q15" s="98">
        <v>1.7399999999999999E-2</v>
      </c>
      <c r="R15" s="96"/>
      <c r="S15" s="97">
        <v>1102743.7715189999</v>
      </c>
      <c r="T15" s="97">
        <v>1</v>
      </c>
      <c r="U15" s="97">
        <v>111.66</v>
      </c>
      <c r="V15" s="97">
        <v>1231.3236939999999</v>
      </c>
      <c r="W15" s="96"/>
      <c r="X15" s="96"/>
      <c r="Y15" s="98">
        <v>4.8999999999999998E-5</v>
      </c>
      <c r="Z15" s="98">
        <v>3.7824999999999998E-2</v>
      </c>
      <c r="AA15" s="98">
        <v>2.3446999999999999E-2</v>
      </c>
      <c r="AB15" s="106"/>
    </row>
    <row r="16" spans="1:28" ht="15" customHeight="1">
      <c r="A16" s="106"/>
      <c r="B16" s="96">
        <v>286</v>
      </c>
      <c r="C16" s="96">
        <v>1445</v>
      </c>
      <c r="D16" s="96" t="s">
        <v>1222</v>
      </c>
      <c r="E16" s="96" t="s">
        <v>1250</v>
      </c>
      <c r="F16" s="96" t="s">
        <v>1251</v>
      </c>
      <c r="G16" s="96" t="s">
        <v>946</v>
      </c>
      <c r="H16" s="96" t="s">
        <v>203</v>
      </c>
      <c r="I16" s="96" t="s">
        <v>203</v>
      </c>
      <c r="J16" s="96" t="s">
        <v>339</v>
      </c>
      <c r="K16" s="96" t="s">
        <v>1225</v>
      </c>
      <c r="L16" s="96" t="s">
        <v>311</v>
      </c>
      <c r="M16" s="96" t="s">
        <v>1200</v>
      </c>
      <c r="N16" s="97">
        <v>16.829999999999998</v>
      </c>
      <c r="O16" s="100">
        <v>55852</v>
      </c>
      <c r="P16" s="98">
        <v>2.8000000000000001E-2</v>
      </c>
      <c r="Q16" s="98">
        <v>5.5599999999999997E-2</v>
      </c>
      <c r="R16" s="96"/>
      <c r="S16" s="97">
        <v>683138.10348299996</v>
      </c>
      <c r="T16" s="97">
        <v>1</v>
      </c>
      <c r="U16" s="97">
        <v>62.6</v>
      </c>
      <c r="V16" s="97">
        <v>427.644452</v>
      </c>
      <c r="W16" s="96"/>
      <c r="X16" s="96"/>
      <c r="Y16" s="98">
        <v>4.0000000000000003E-5</v>
      </c>
      <c r="Z16" s="98">
        <v>1.3136E-2</v>
      </c>
      <c r="AA16" s="98">
        <v>8.1429999999999992E-3</v>
      </c>
      <c r="AB16" s="106"/>
    </row>
    <row r="17" spans="1:28" ht="15" customHeight="1">
      <c r="A17" s="106"/>
      <c r="B17" s="96">
        <v>286</v>
      </c>
      <c r="C17" s="96">
        <v>1445</v>
      </c>
      <c r="D17" s="96" t="s">
        <v>1222</v>
      </c>
      <c r="E17" s="96" t="s">
        <v>1252</v>
      </c>
      <c r="F17" s="96" t="s">
        <v>1253</v>
      </c>
      <c r="G17" s="96" t="s">
        <v>950</v>
      </c>
      <c r="H17" s="96" t="s">
        <v>203</v>
      </c>
      <c r="I17" s="96" t="s">
        <v>203</v>
      </c>
      <c r="J17" s="96" t="s">
        <v>339</v>
      </c>
      <c r="K17" s="96" t="s">
        <v>1225</v>
      </c>
      <c r="L17" s="96" t="s">
        <v>311</v>
      </c>
      <c r="M17" s="96" t="s">
        <v>1200</v>
      </c>
      <c r="N17" s="97">
        <v>0.01</v>
      </c>
      <c r="O17" s="100">
        <v>45476</v>
      </c>
      <c r="P17" s="98">
        <v>0</v>
      </c>
      <c r="Q17" s="98">
        <v>5.6300000000000003E-2</v>
      </c>
      <c r="R17" s="96"/>
      <c r="S17" s="97">
        <v>14220.959538999999</v>
      </c>
      <c r="T17" s="97">
        <v>1</v>
      </c>
      <c r="U17" s="97">
        <v>99.97</v>
      </c>
      <c r="V17" s="97">
        <v>14.216692999999999</v>
      </c>
      <c r="W17" s="96"/>
      <c r="X17" s="96"/>
      <c r="Y17" s="98">
        <v>0</v>
      </c>
      <c r="Z17" s="98">
        <v>4.3600000000000003E-4</v>
      </c>
      <c r="AA17" s="98">
        <v>2.7E-4</v>
      </c>
      <c r="AB17" s="106"/>
    </row>
    <row r="18" spans="1:28" ht="15" customHeight="1">
      <c r="A18" s="106"/>
      <c r="B18" s="96">
        <v>286</v>
      </c>
      <c r="C18" s="96">
        <v>1445</v>
      </c>
      <c r="D18" s="96" t="s">
        <v>1222</v>
      </c>
      <c r="E18" s="96" t="s">
        <v>1254</v>
      </c>
      <c r="F18" s="96" t="s">
        <v>1255</v>
      </c>
      <c r="G18" s="96" t="s">
        <v>946</v>
      </c>
      <c r="H18" s="96" t="s">
        <v>203</v>
      </c>
      <c r="I18" s="96" t="s">
        <v>203</v>
      </c>
      <c r="J18" s="96" t="s">
        <v>339</v>
      </c>
      <c r="K18" s="96" t="s">
        <v>1225</v>
      </c>
      <c r="L18" s="96" t="s">
        <v>311</v>
      </c>
      <c r="M18" s="96" t="s">
        <v>1200</v>
      </c>
      <c r="N18" s="97">
        <v>2.69</v>
      </c>
      <c r="O18" s="100">
        <v>46477</v>
      </c>
      <c r="P18" s="98">
        <v>0.02</v>
      </c>
      <c r="Q18" s="98">
        <v>4.4900000000000002E-2</v>
      </c>
      <c r="R18" s="96"/>
      <c r="S18" s="97">
        <v>244441.28847999999</v>
      </c>
      <c r="T18" s="97">
        <v>1</v>
      </c>
      <c r="U18" s="97">
        <v>94.2</v>
      </c>
      <c r="V18" s="97">
        <v>230.26369199999999</v>
      </c>
      <c r="W18" s="96"/>
      <c r="X18" s="96"/>
      <c r="Y18" s="98">
        <v>9.0000000000000002E-6</v>
      </c>
      <c r="Z18" s="98">
        <v>7.0730000000000003E-3</v>
      </c>
      <c r="AA18" s="98">
        <v>4.3839999999999999E-3</v>
      </c>
      <c r="AB18" s="106"/>
    </row>
    <row r="19" spans="1:28" ht="15" customHeight="1">
      <c r="A19" s="106"/>
      <c r="B19" s="96">
        <v>286</v>
      </c>
      <c r="C19" s="96">
        <v>1445</v>
      </c>
      <c r="D19" s="96" t="s">
        <v>1222</v>
      </c>
      <c r="E19" s="96" t="s">
        <v>1256</v>
      </c>
      <c r="F19" s="96" t="s">
        <v>1257</v>
      </c>
      <c r="G19" s="96" t="s">
        <v>950</v>
      </c>
      <c r="H19" s="96" t="s">
        <v>203</v>
      </c>
      <c r="I19" s="96" t="s">
        <v>203</v>
      </c>
      <c r="J19" s="96" t="s">
        <v>339</v>
      </c>
      <c r="K19" s="96" t="s">
        <v>1225</v>
      </c>
      <c r="L19" s="96" t="s">
        <v>311</v>
      </c>
      <c r="M19" s="96" t="s">
        <v>1200</v>
      </c>
      <c r="N19" s="97">
        <v>0.35</v>
      </c>
      <c r="O19" s="100">
        <v>45602</v>
      </c>
      <c r="P19" s="98">
        <v>0</v>
      </c>
      <c r="Q19" s="98">
        <v>4.3099999999999999E-2</v>
      </c>
      <c r="R19" s="96"/>
      <c r="S19" s="97">
        <v>94105.855616000001</v>
      </c>
      <c r="T19" s="97">
        <v>1</v>
      </c>
      <c r="U19" s="97">
        <v>98.53</v>
      </c>
      <c r="V19" s="97">
        <v>92.722498999999999</v>
      </c>
      <c r="W19" s="96"/>
      <c r="X19" s="96"/>
      <c r="Y19" s="98">
        <v>6.0000000000000002E-6</v>
      </c>
      <c r="Z19" s="98">
        <v>2.8479999999999998E-3</v>
      </c>
      <c r="AA19" s="98">
        <v>1.7650000000000001E-3</v>
      </c>
      <c r="AB19" s="106"/>
    </row>
    <row r="20" spans="1:28" ht="15" customHeight="1">
      <c r="A20" s="106"/>
      <c r="B20" s="96">
        <v>286</v>
      </c>
      <c r="C20" s="96">
        <v>1445</v>
      </c>
      <c r="D20" s="96" t="s">
        <v>1222</v>
      </c>
      <c r="E20" s="96" t="s">
        <v>1258</v>
      </c>
      <c r="F20" s="96" t="s">
        <v>1259</v>
      </c>
      <c r="G20" s="96" t="s">
        <v>944</v>
      </c>
      <c r="H20" s="96" t="s">
        <v>203</v>
      </c>
      <c r="I20" s="96" t="s">
        <v>203</v>
      </c>
      <c r="J20" s="96" t="s">
        <v>339</v>
      </c>
      <c r="K20" s="96" t="s">
        <v>1225</v>
      </c>
      <c r="L20" s="96" t="s">
        <v>311</v>
      </c>
      <c r="M20" s="96" t="s">
        <v>1200</v>
      </c>
      <c r="N20" s="97">
        <v>8.68</v>
      </c>
      <c r="O20" s="100">
        <v>48883</v>
      </c>
      <c r="P20" s="98">
        <v>1.6E-2</v>
      </c>
      <c r="Q20" s="98">
        <v>2.3E-2</v>
      </c>
      <c r="R20" s="96"/>
      <c r="S20" s="97">
        <v>1000916.521186</v>
      </c>
      <c r="T20" s="97">
        <v>1</v>
      </c>
      <c r="U20" s="97">
        <v>96.6</v>
      </c>
      <c r="V20" s="97">
        <v>966.88535899999999</v>
      </c>
      <c r="W20" s="96"/>
      <c r="X20" s="96"/>
      <c r="Y20" s="98">
        <v>1.54E-4</v>
      </c>
      <c r="Z20" s="98">
        <v>2.9701000000000002E-2</v>
      </c>
      <c r="AA20" s="98">
        <v>1.8411E-2</v>
      </c>
      <c r="AB20" s="106"/>
    </row>
    <row r="21" spans="1:28" ht="15" customHeight="1">
      <c r="A21" s="106"/>
      <c r="B21" s="96">
        <v>286</v>
      </c>
      <c r="C21" s="96">
        <v>1445</v>
      </c>
      <c r="D21" s="96" t="s">
        <v>1222</v>
      </c>
      <c r="E21" s="96" t="s">
        <v>1260</v>
      </c>
      <c r="F21" s="96" t="s">
        <v>1261</v>
      </c>
      <c r="G21" s="96" t="s">
        <v>946</v>
      </c>
      <c r="H21" s="96" t="s">
        <v>203</v>
      </c>
      <c r="I21" s="96" t="s">
        <v>203</v>
      </c>
      <c r="J21" s="96" t="s">
        <v>339</v>
      </c>
      <c r="K21" s="96" t="s">
        <v>1225</v>
      </c>
      <c r="L21" s="96" t="s">
        <v>311</v>
      </c>
      <c r="M21" s="96" t="s">
        <v>1200</v>
      </c>
      <c r="N21" s="97">
        <v>5.58</v>
      </c>
      <c r="O21" s="100">
        <v>47573</v>
      </c>
      <c r="P21" s="98">
        <v>0.01</v>
      </c>
      <c r="Q21" s="98">
        <v>4.7600000000000003E-2</v>
      </c>
      <c r="R21" s="96"/>
      <c r="S21" s="97">
        <v>3231187.9696740001</v>
      </c>
      <c r="T21" s="97">
        <v>1</v>
      </c>
      <c r="U21" s="97">
        <v>81.73</v>
      </c>
      <c r="V21" s="97">
        <v>2640.8499270000002</v>
      </c>
      <c r="W21" s="96"/>
      <c r="X21" s="96"/>
      <c r="Y21" s="98">
        <v>8.5000000000000006E-5</v>
      </c>
      <c r="Z21" s="98">
        <v>8.1125000000000003E-2</v>
      </c>
      <c r="AA21" s="98">
        <v>5.0289E-2</v>
      </c>
      <c r="AB21" s="106"/>
    </row>
    <row r="22" spans="1:28" ht="15" customHeight="1">
      <c r="A22" s="106"/>
      <c r="B22" s="96">
        <v>286</v>
      </c>
      <c r="C22" s="96">
        <v>1445</v>
      </c>
      <c r="D22" s="96" t="s">
        <v>1222</v>
      </c>
      <c r="E22" s="96" t="s">
        <v>1262</v>
      </c>
      <c r="F22" s="96" t="s">
        <v>1263</v>
      </c>
      <c r="G22" s="96" t="s">
        <v>944</v>
      </c>
      <c r="H22" s="96" t="s">
        <v>203</v>
      </c>
      <c r="I22" s="96" t="s">
        <v>203</v>
      </c>
      <c r="J22" s="96" t="s">
        <v>339</v>
      </c>
      <c r="K22" s="96" t="s">
        <v>1225</v>
      </c>
      <c r="L22" s="96" t="s">
        <v>311</v>
      </c>
      <c r="M22" s="96" t="s">
        <v>1200</v>
      </c>
      <c r="N22" s="97">
        <v>4.2300000000000004</v>
      </c>
      <c r="O22" s="100">
        <v>47057</v>
      </c>
      <c r="P22" s="98">
        <v>1.0999999999999999E-2</v>
      </c>
      <c r="Q22" s="98">
        <v>1.9400000000000001E-2</v>
      </c>
      <c r="R22" s="96"/>
      <c r="S22" s="97">
        <v>2654039.9298299998</v>
      </c>
      <c r="T22" s="97">
        <v>1</v>
      </c>
      <c r="U22" s="97">
        <v>99.98</v>
      </c>
      <c r="V22" s="97">
        <v>2653.5091210000001</v>
      </c>
      <c r="W22" s="96"/>
      <c r="X22" s="96"/>
      <c r="Y22" s="98">
        <v>1.6799999999999999E-4</v>
      </c>
      <c r="Z22" s="98">
        <v>8.1513000000000002E-2</v>
      </c>
      <c r="AA22" s="98">
        <v>5.0528999999999998E-2</v>
      </c>
      <c r="AB22" s="106"/>
    </row>
    <row r="23" spans="1:28" ht="15" customHeight="1">
      <c r="A23" s="106"/>
      <c r="B23" s="96">
        <v>286</v>
      </c>
      <c r="C23" s="96">
        <v>1445</v>
      </c>
      <c r="D23" s="96" t="s">
        <v>1222</v>
      </c>
      <c r="E23" s="96" t="s">
        <v>1264</v>
      </c>
      <c r="F23" s="96" t="s">
        <v>1265</v>
      </c>
      <c r="G23" s="96" t="s">
        <v>946</v>
      </c>
      <c r="H23" s="96" t="s">
        <v>203</v>
      </c>
      <c r="I23" s="96" t="s">
        <v>203</v>
      </c>
      <c r="J23" s="96" t="s">
        <v>339</v>
      </c>
      <c r="K23" s="96" t="s">
        <v>1225</v>
      </c>
      <c r="L23" s="96" t="s">
        <v>311</v>
      </c>
      <c r="M23" s="96" t="s">
        <v>1200</v>
      </c>
      <c r="N23" s="97">
        <v>14.48</v>
      </c>
      <c r="O23" s="100">
        <v>53782</v>
      </c>
      <c r="P23" s="98">
        <v>3.7499999999999999E-2</v>
      </c>
      <c r="Q23" s="98">
        <v>5.4699999999999999E-2</v>
      </c>
      <c r="R23" s="96"/>
      <c r="S23" s="97">
        <v>1875598.5491510001</v>
      </c>
      <c r="T23" s="97">
        <v>1</v>
      </c>
      <c r="U23" s="97">
        <v>78.790000000000006</v>
      </c>
      <c r="V23" s="97">
        <v>1477.7840960000001</v>
      </c>
      <c r="W23" s="96"/>
      <c r="X23" s="96"/>
      <c r="Y23" s="98">
        <v>7.1000000000000005E-5</v>
      </c>
      <c r="Z23" s="98">
        <v>4.5394999999999998E-2</v>
      </c>
      <c r="AA23" s="98">
        <v>2.8139999999999998E-2</v>
      </c>
      <c r="AB23" s="106"/>
    </row>
    <row r="24" spans="1:28" ht="15" customHeight="1">
      <c r="A24" s="106"/>
      <c r="B24" s="96">
        <v>286</v>
      </c>
      <c r="C24" s="96">
        <v>1445</v>
      </c>
      <c r="D24" s="96" t="s">
        <v>1222</v>
      </c>
      <c r="E24" s="96" t="s">
        <v>1266</v>
      </c>
      <c r="F24" s="96" t="s">
        <v>1267</v>
      </c>
      <c r="G24" s="96" t="s">
        <v>946</v>
      </c>
      <c r="H24" s="96" t="s">
        <v>203</v>
      </c>
      <c r="I24" s="96" t="s">
        <v>203</v>
      </c>
      <c r="J24" s="96" t="s">
        <v>339</v>
      </c>
      <c r="K24" s="96" t="s">
        <v>1225</v>
      </c>
      <c r="L24" s="96" t="s">
        <v>311</v>
      </c>
      <c r="M24" s="96" t="s">
        <v>1200</v>
      </c>
      <c r="N24" s="97">
        <v>11.51</v>
      </c>
      <c r="O24" s="100">
        <v>51897</v>
      </c>
      <c r="P24" s="98">
        <v>5.5E-2</v>
      </c>
      <c r="Q24" s="98">
        <v>5.33E-2</v>
      </c>
      <c r="R24" s="96"/>
      <c r="S24" s="97">
        <v>1519820.5225279999</v>
      </c>
      <c r="T24" s="97">
        <v>1</v>
      </c>
      <c r="U24" s="97">
        <v>104.09</v>
      </c>
      <c r="V24" s="97">
        <v>1581.9811810000001</v>
      </c>
      <c r="W24" s="96"/>
      <c r="X24" s="96"/>
      <c r="Y24" s="98">
        <v>7.7999999999999999E-5</v>
      </c>
      <c r="Z24" s="98">
        <v>4.8596E-2</v>
      </c>
      <c r="AA24" s="98">
        <v>3.0124000000000001E-2</v>
      </c>
      <c r="AB24" s="106"/>
    </row>
    <row r="25" spans="1:28" ht="15" customHeight="1">
      <c r="A25" s="106"/>
      <c r="B25" s="96">
        <v>286</v>
      </c>
      <c r="C25" s="96">
        <v>1445</v>
      </c>
      <c r="D25" s="96" t="s">
        <v>1222</v>
      </c>
      <c r="E25" s="96" t="s">
        <v>1268</v>
      </c>
      <c r="F25" s="96" t="s">
        <v>1269</v>
      </c>
      <c r="G25" s="96" t="s">
        <v>946</v>
      </c>
      <c r="H25" s="96" t="s">
        <v>203</v>
      </c>
      <c r="I25" s="96" t="s">
        <v>203</v>
      </c>
      <c r="J25" s="96" t="s">
        <v>339</v>
      </c>
      <c r="K25" s="96" t="s">
        <v>1225</v>
      </c>
      <c r="L25" s="96" t="s">
        <v>311</v>
      </c>
      <c r="M25" s="96" t="s">
        <v>1200</v>
      </c>
      <c r="N25" s="97">
        <v>4.3099999999999996</v>
      </c>
      <c r="O25" s="100">
        <v>47177</v>
      </c>
      <c r="P25" s="98">
        <v>3.7499999999999999E-2</v>
      </c>
      <c r="Q25" s="98">
        <v>4.6600000000000003E-2</v>
      </c>
      <c r="R25" s="96"/>
      <c r="S25" s="97">
        <v>3218127.8192409999</v>
      </c>
      <c r="T25" s="97">
        <v>1</v>
      </c>
      <c r="U25" s="97">
        <v>97.49</v>
      </c>
      <c r="V25" s="97">
        <v>3137.3528099999999</v>
      </c>
      <c r="W25" s="96"/>
      <c r="X25" s="96"/>
      <c r="Y25" s="98">
        <v>1.21E-4</v>
      </c>
      <c r="Z25" s="98">
        <v>9.6377000000000004E-2</v>
      </c>
      <c r="AA25" s="98">
        <v>5.9742999999999997E-2</v>
      </c>
      <c r="AB25" s="106"/>
    </row>
    <row r="26" spans="1:28" ht="15" customHeight="1">
      <c r="A26" s="106"/>
      <c r="B26" s="96">
        <v>286</v>
      </c>
      <c r="C26" s="96">
        <v>1445</v>
      </c>
      <c r="D26" s="96" t="s">
        <v>1222</v>
      </c>
      <c r="E26" s="96" t="s">
        <v>1270</v>
      </c>
      <c r="F26" s="96" t="s">
        <v>1271</v>
      </c>
      <c r="G26" s="96" t="s">
        <v>950</v>
      </c>
      <c r="H26" s="96" t="s">
        <v>203</v>
      </c>
      <c r="I26" s="96" t="s">
        <v>203</v>
      </c>
      <c r="J26" s="96" t="s">
        <v>339</v>
      </c>
      <c r="K26" s="96" t="s">
        <v>1225</v>
      </c>
      <c r="L26" s="96" t="s">
        <v>311</v>
      </c>
      <c r="M26" s="96" t="s">
        <v>1200</v>
      </c>
      <c r="N26" s="97">
        <v>0.93</v>
      </c>
      <c r="O26" s="100">
        <v>45812</v>
      </c>
      <c r="P26" s="98">
        <v>0</v>
      </c>
      <c r="Q26" s="98">
        <v>4.3099999999999999E-2</v>
      </c>
      <c r="R26" s="96"/>
      <c r="S26" s="97">
        <v>373615.72272700001</v>
      </c>
      <c r="T26" s="97">
        <v>1</v>
      </c>
      <c r="U26" s="97">
        <v>96.17</v>
      </c>
      <c r="V26" s="97">
        <v>359.30624</v>
      </c>
      <c r="W26" s="96"/>
      <c r="X26" s="96"/>
      <c r="Y26" s="98">
        <v>3.1000000000000001E-5</v>
      </c>
      <c r="Z26" s="98">
        <v>1.1037E-2</v>
      </c>
      <c r="AA26" s="98">
        <v>6.842E-3</v>
      </c>
      <c r="AB26" s="106"/>
    </row>
    <row r="27" spans="1:28" ht="15" customHeight="1">
      <c r="A27" s="106"/>
      <c r="B27" s="96">
        <v>286</v>
      </c>
      <c r="C27" s="96">
        <v>1445</v>
      </c>
      <c r="D27" s="96" t="s">
        <v>1222</v>
      </c>
      <c r="E27" s="96" t="s">
        <v>1272</v>
      </c>
      <c r="F27" s="96" t="s">
        <v>1273</v>
      </c>
      <c r="G27" s="96" t="s">
        <v>944</v>
      </c>
      <c r="H27" s="96" t="s">
        <v>203</v>
      </c>
      <c r="I27" s="96" t="s">
        <v>203</v>
      </c>
      <c r="J27" s="96" t="s">
        <v>339</v>
      </c>
      <c r="K27" s="96" t="s">
        <v>1225</v>
      </c>
      <c r="L27" s="96" t="s">
        <v>311</v>
      </c>
      <c r="M27" s="96" t="s">
        <v>1200</v>
      </c>
      <c r="N27" s="97">
        <v>18.62</v>
      </c>
      <c r="O27" s="100">
        <v>53113</v>
      </c>
      <c r="P27" s="98">
        <v>0.01</v>
      </c>
      <c r="Q27" s="98">
        <v>2.4299999999999999E-2</v>
      </c>
      <c r="R27" s="96"/>
      <c r="S27" s="97">
        <v>242850.21977200001</v>
      </c>
      <c r="T27" s="97">
        <v>1</v>
      </c>
      <c r="U27" s="97">
        <v>88.06</v>
      </c>
      <c r="V27" s="97">
        <v>213.853903</v>
      </c>
      <c r="W27" s="96"/>
      <c r="X27" s="96"/>
      <c r="Y27" s="98">
        <v>1.2999999999999999E-5</v>
      </c>
      <c r="Z27" s="98">
        <v>6.5690000000000002E-3</v>
      </c>
      <c r="AA27" s="98">
        <v>4.0720000000000001E-3</v>
      </c>
      <c r="AB27" s="106"/>
    </row>
    <row r="28" spans="1:28" ht="15" customHeight="1">
      <c r="A28" s="106"/>
      <c r="B28" s="96">
        <v>286</v>
      </c>
      <c r="C28" s="96">
        <v>1445</v>
      </c>
      <c r="D28" s="96" t="s">
        <v>1222</v>
      </c>
      <c r="E28" s="96" t="s">
        <v>1274</v>
      </c>
      <c r="F28" s="96" t="s">
        <v>1275</v>
      </c>
      <c r="G28" s="96" t="s">
        <v>946</v>
      </c>
      <c r="H28" s="96" t="s">
        <v>203</v>
      </c>
      <c r="I28" s="96" t="s">
        <v>203</v>
      </c>
      <c r="J28" s="96" t="s">
        <v>339</v>
      </c>
      <c r="K28" s="96" t="s">
        <v>1225</v>
      </c>
      <c r="L28" s="96" t="s">
        <v>311</v>
      </c>
      <c r="M28" s="96" t="s">
        <v>1200</v>
      </c>
      <c r="N28" s="97">
        <v>3.07</v>
      </c>
      <c r="O28" s="100">
        <v>46660</v>
      </c>
      <c r="P28" s="98">
        <v>3.7499999999999999E-2</v>
      </c>
      <c r="Q28" s="98">
        <v>4.5600000000000002E-2</v>
      </c>
      <c r="R28" s="96"/>
      <c r="S28" s="97">
        <v>1497130.5071700001</v>
      </c>
      <c r="T28" s="97">
        <v>1</v>
      </c>
      <c r="U28" s="97">
        <v>99.11</v>
      </c>
      <c r="V28" s="97">
        <v>1483.806045</v>
      </c>
      <c r="W28" s="96"/>
      <c r="X28" s="96"/>
      <c r="Y28" s="98">
        <v>1.35E-4</v>
      </c>
      <c r="Z28" s="98">
        <v>4.5581000000000003E-2</v>
      </c>
      <c r="AA28" s="98">
        <v>2.8254999999999999E-2</v>
      </c>
      <c r="AB28" s="106"/>
    </row>
    <row r="29" spans="1:28" ht="15" customHeight="1">
      <c r="A29" s="106"/>
      <c r="B29" s="96">
        <v>286</v>
      </c>
      <c r="C29" s="96">
        <v>1445</v>
      </c>
      <c r="D29" s="96" t="s">
        <v>1222</v>
      </c>
      <c r="E29" s="96" t="s">
        <v>1276</v>
      </c>
      <c r="F29" s="96" t="s">
        <v>1277</v>
      </c>
      <c r="G29" s="96" t="s">
        <v>944</v>
      </c>
      <c r="H29" s="96" t="s">
        <v>203</v>
      </c>
      <c r="I29" s="96" t="s">
        <v>203</v>
      </c>
      <c r="J29" s="96" t="s">
        <v>339</v>
      </c>
      <c r="K29" s="96" t="s">
        <v>1225</v>
      </c>
      <c r="L29" s="96" t="s">
        <v>311</v>
      </c>
      <c r="M29" s="96" t="s">
        <v>1200</v>
      </c>
      <c r="N29" s="97">
        <v>13.72</v>
      </c>
      <c r="O29" s="100">
        <v>51743</v>
      </c>
      <c r="P29" s="98">
        <v>2.75E-2</v>
      </c>
      <c r="Q29" s="98">
        <v>2.35E-2</v>
      </c>
      <c r="R29" s="96"/>
      <c r="S29" s="97">
        <v>742723.05254900001</v>
      </c>
      <c r="T29" s="97">
        <v>1</v>
      </c>
      <c r="U29" s="97">
        <v>131.08000000000001</v>
      </c>
      <c r="V29" s="97">
        <v>973.56137699999999</v>
      </c>
      <c r="W29" s="96"/>
      <c r="X29" s="96"/>
      <c r="Y29" s="98">
        <v>3.8999999999999999E-5</v>
      </c>
      <c r="Z29" s="98">
        <v>2.9907E-2</v>
      </c>
      <c r="AA29" s="98">
        <v>1.8539E-2</v>
      </c>
      <c r="AB29" s="106"/>
    </row>
    <row r="30" spans="1:28" ht="15" customHeight="1">
      <c r="A30" s="106"/>
      <c r="B30" s="96">
        <v>286</v>
      </c>
      <c r="C30" s="96">
        <v>1445</v>
      </c>
      <c r="D30" s="96" t="s">
        <v>1278</v>
      </c>
      <c r="E30" s="96" t="s">
        <v>1279</v>
      </c>
      <c r="F30" s="96" t="s">
        <v>1280</v>
      </c>
      <c r="G30" s="96" t="s">
        <v>951</v>
      </c>
      <c r="H30" s="96" t="s">
        <v>204</v>
      </c>
      <c r="I30" s="96" t="s">
        <v>223</v>
      </c>
      <c r="J30" s="96" t="s">
        <v>367</v>
      </c>
      <c r="K30" s="96" t="s">
        <v>1281</v>
      </c>
      <c r="L30" s="96" t="s">
        <v>422</v>
      </c>
      <c r="M30" s="96" t="s">
        <v>1201</v>
      </c>
      <c r="N30" s="97">
        <v>7.45</v>
      </c>
      <c r="O30" s="100">
        <v>48806</v>
      </c>
      <c r="P30" s="98">
        <v>3.875E-2</v>
      </c>
      <c r="Q30" s="98">
        <v>4.41E-2</v>
      </c>
      <c r="R30" s="96"/>
      <c r="S30" s="97">
        <v>7771.0960480000003</v>
      </c>
      <c r="T30" s="97">
        <v>3.7589999999999999</v>
      </c>
      <c r="U30" s="97">
        <v>97.495099999999994</v>
      </c>
      <c r="V30" s="97">
        <v>28.479842000000001</v>
      </c>
      <c r="W30" s="96"/>
      <c r="X30" s="96"/>
      <c r="Y30" s="98">
        <v>0</v>
      </c>
      <c r="Z30" s="98">
        <v>8.7399999999999999E-4</v>
      </c>
      <c r="AA30" s="98">
        <v>5.4199999999999995E-4</v>
      </c>
      <c r="AB30" s="106"/>
    </row>
    <row r="31" spans="1:28" ht="15" customHeight="1">
      <c r="A31" s="106"/>
      <c r="B31" s="96">
        <v>286</v>
      </c>
      <c r="C31" s="96">
        <v>1445</v>
      </c>
      <c r="D31" s="96" t="s">
        <v>1278</v>
      </c>
      <c r="E31" s="96" t="s">
        <v>1282</v>
      </c>
      <c r="F31" s="96" t="s">
        <v>1283</v>
      </c>
      <c r="G31" s="96" t="s">
        <v>951</v>
      </c>
      <c r="H31" s="96" t="s">
        <v>204</v>
      </c>
      <c r="I31" s="96" t="s">
        <v>223</v>
      </c>
      <c r="J31" s="96" t="s">
        <v>379</v>
      </c>
      <c r="K31" s="96" t="s">
        <v>1281</v>
      </c>
      <c r="L31" s="96" t="s">
        <v>422</v>
      </c>
      <c r="M31" s="96" t="s">
        <v>1201</v>
      </c>
      <c r="N31" s="97">
        <v>1.26</v>
      </c>
      <c r="O31" s="100">
        <v>45961</v>
      </c>
      <c r="P31" s="98">
        <v>0.05</v>
      </c>
      <c r="Q31" s="98">
        <v>5.0099999999999999E-2</v>
      </c>
      <c r="R31" s="96"/>
      <c r="S31" s="97">
        <v>310.843841</v>
      </c>
      <c r="T31" s="97">
        <v>3.7589999999999999</v>
      </c>
      <c r="U31" s="97">
        <v>100.8394</v>
      </c>
      <c r="V31" s="97">
        <v>1.1782699999999999</v>
      </c>
      <c r="W31" s="96"/>
      <c r="X31" s="96"/>
      <c r="Y31" s="98">
        <v>0</v>
      </c>
      <c r="Z31" s="98">
        <v>3.6000000000000001E-5</v>
      </c>
      <c r="AA31" s="98">
        <v>2.1999999999999999E-5</v>
      </c>
      <c r="AB31" s="106"/>
    </row>
    <row r="32" spans="1:28" ht="15" customHeight="1">
      <c r="A32" s="106"/>
      <c r="B32" s="96">
        <v>286</v>
      </c>
      <c r="C32" s="96">
        <v>1445</v>
      </c>
      <c r="D32" s="96" t="s">
        <v>1278</v>
      </c>
      <c r="E32" s="96" t="s">
        <v>1284</v>
      </c>
      <c r="F32" s="96" t="s">
        <v>1285</v>
      </c>
      <c r="G32" s="96" t="s">
        <v>951</v>
      </c>
      <c r="H32" s="96" t="s">
        <v>204</v>
      </c>
      <c r="I32" s="96" t="s">
        <v>223</v>
      </c>
      <c r="J32" s="96" t="s">
        <v>379</v>
      </c>
      <c r="K32" s="96" t="s">
        <v>1281</v>
      </c>
      <c r="L32" s="96" t="s">
        <v>422</v>
      </c>
      <c r="M32" s="96" t="s">
        <v>1201</v>
      </c>
      <c r="N32" s="97">
        <v>3.84</v>
      </c>
      <c r="O32" s="100">
        <v>47057</v>
      </c>
      <c r="P32" s="98">
        <v>4.8750000000000002E-2</v>
      </c>
      <c r="Q32" s="98">
        <v>4.4200000000000003E-2</v>
      </c>
      <c r="R32" s="96"/>
      <c r="S32" s="97">
        <v>310.843841</v>
      </c>
      <c r="T32" s="97">
        <v>3.7589999999999999</v>
      </c>
      <c r="U32" s="97">
        <v>102.57810000000001</v>
      </c>
      <c r="V32" s="97">
        <v>1.1985859999999999</v>
      </c>
      <c r="W32" s="96"/>
      <c r="X32" s="96"/>
      <c r="Y32" s="98">
        <v>0</v>
      </c>
      <c r="Z32" s="98">
        <v>3.6000000000000001E-5</v>
      </c>
      <c r="AA32" s="98">
        <v>2.1999999999999999E-5</v>
      </c>
      <c r="AB32" s="106"/>
    </row>
    <row r="33" spans="1:28" ht="15" customHeight="1">
      <c r="A33" s="106"/>
      <c r="B33" s="96">
        <v>286</v>
      </c>
      <c r="C33" s="96">
        <v>1445</v>
      </c>
      <c r="D33" s="96" t="s">
        <v>1222</v>
      </c>
      <c r="E33" s="96" t="s">
        <v>1286</v>
      </c>
      <c r="F33" s="96" t="s">
        <v>1287</v>
      </c>
      <c r="G33" s="96" t="s">
        <v>951</v>
      </c>
      <c r="H33" s="96" t="s">
        <v>204</v>
      </c>
      <c r="I33" s="96" t="s">
        <v>203</v>
      </c>
      <c r="J33" s="96" t="s">
        <v>379</v>
      </c>
      <c r="K33" s="96" t="s">
        <v>1288</v>
      </c>
      <c r="L33" s="96" t="s">
        <v>430</v>
      </c>
      <c r="M33" s="96" t="s">
        <v>1201</v>
      </c>
      <c r="N33" s="97">
        <v>7.23</v>
      </c>
      <c r="O33" s="100">
        <v>49015</v>
      </c>
      <c r="P33" s="98">
        <v>5.5E-2</v>
      </c>
      <c r="Q33" s="98">
        <v>6.13E-2</v>
      </c>
      <c r="R33" s="96"/>
      <c r="S33" s="97">
        <v>22043.32764</v>
      </c>
      <c r="T33" s="97">
        <v>3.7589999999999999</v>
      </c>
      <c r="U33" s="97">
        <v>97.060500000000005</v>
      </c>
      <c r="V33" s="97">
        <v>80.425218999999998</v>
      </c>
      <c r="W33" s="96"/>
      <c r="X33" s="96"/>
      <c r="Y33" s="98">
        <v>6.9999999999999999E-6</v>
      </c>
      <c r="Z33" s="98">
        <v>2.47E-3</v>
      </c>
      <c r="AA33" s="98">
        <v>1.531E-3</v>
      </c>
      <c r="AB33" s="106"/>
    </row>
    <row r="34" spans="1:28" ht="15" customHeight="1">
      <c r="A34" s="106"/>
      <c r="B34" s="96">
        <v>286</v>
      </c>
      <c r="C34" s="96">
        <v>1445</v>
      </c>
      <c r="D34" s="96" t="s">
        <v>1278</v>
      </c>
      <c r="E34" s="96" t="s">
        <v>1289</v>
      </c>
      <c r="F34" s="96" t="s">
        <v>1290</v>
      </c>
      <c r="G34" s="96" t="s">
        <v>951</v>
      </c>
      <c r="H34" s="96" t="s">
        <v>204</v>
      </c>
      <c r="I34" s="96" t="s">
        <v>223</v>
      </c>
      <c r="J34" s="96" t="s">
        <v>313</v>
      </c>
      <c r="K34" s="96" t="s">
        <v>1281</v>
      </c>
      <c r="L34" s="96" t="s">
        <v>422</v>
      </c>
      <c r="M34" s="96" t="s">
        <v>1201</v>
      </c>
      <c r="N34" s="97">
        <v>0.24</v>
      </c>
      <c r="O34" s="100">
        <v>45565</v>
      </c>
      <c r="P34" s="98">
        <v>1.4999999999999999E-2</v>
      </c>
      <c r="Q34" s="98">
        <v>5.3900000000000003E-2</v>
      </c>
      <c r="R34" s="96"/>
      <c r="S34" s="97">
        <v>13793.695486000001</v>
      </c>
      <c r="T34" s="97">
        <v>3.7589999999999999</v>
      </c>
      <c r="U34" s="97">
        <v>99.453299999999999</v>
      </c>
      <c r="V34" s="97">
        <v>51.567079999999997</v>
      </c>
      <c r="W34" s="96"/>
      <c r="X34" s="96"/>
      <c r="Y34" s="98">
        <v>0</v>
      </c>
      <c r="Z34" s="98">
        <v>1.5839999999999999E-3</v>
      </c>
      <c r="AA34" s="98">
        <v>9.810000000000001E-4</v>
      </c>
      <c r="AB34" s="106"/>
    </row>
    <row r="35" spans="1:28" ht="15" customHeight="1">
      <c r="A35" s="106"/>
      <c r="B35" s="96">
        <v>286</v>
      </c>
      <c r="C35" s="96">
        <v>1445</v>
      </c>
      <c r="D35" s="96" t="s">
        <v>1291</v>
      </c>
      <c r="E35" s="96" t="s">
        <v>1292</v>
      </c>
      <c r="F35" s="96" t="s">
        <v>1293</v>
      </c>
      <c r="G35" s="96" t="s">
        <v>951</v>
      </c>
      <c r="H35" s="96" t="s">
        <v>204</v>
      </c>
      <c r="I35" s="96" t="s">
        <v>223</v>
      </c>
      <c r="J35" s="96" t="s">
        <v>343</v>
      </c>
      <c r="K35" s="96" t="s">
        <v>1281</v>
      </c>
      <c r="L35" s="96" t="s">
        <v>432</v>
      </c>
      <c r="M35" s="96" t="s">
        <v>1201</v>
      </c>
      <c r="N35" s="97">
        <v>0.03</v>
      </c>
      <c r="O35" s="100">
        <v>45484</v>
      </c>
      <c r="P35" s="98">
        <v>0</v>
      </c>
      <c r="Q35" s="98">
        <v>5.3400000000000003E-2</v>
      </c>
      <c r="R35" s="96"/>
      <c r="S35" s="97">
        <v>5828.3220359999996</v>
      </c>
      <c r="T35" s="97">
        <v>3.7589999999999999</v>
      </c>
      <c r="U35" s="97">
        <v>99.795900000000003</v>
      </c>
      <c r="V35" s="97">
        <v>21.863947</v>
      </c>
      <c r="W35" s="96"/>
      <c r="X35" s="96"/>
      <c r="Y35" s="98">
        <v>0</v>
      </c>
      <c r="Z35" s="98">
        <v>6.7100000000000005E-4</v>
      </c>
      <c r="AA35" s="98">
        <v>4.1599999999999997E-4</v>
      </c>
      <c r="AB35" s="106"/>
    </row>
    <row r="36" spans="1:28" ht="15" customHeight="1">
      <c r="A36" s="106"/>
      <c r="B36" s="96">
        <v>286</v>
      </c>
      <c r="C36" s="96">
        <v>1445</v>
      </c>
      <c r="D36" s="96" t="s">
        <v>1222</v>
      </c>
      <c r="E36" s="96" t="s">
        <v>1294</v>
      </c>
      <c r="F36" s="96" t="s">
        <v>1295</v>
      </c>
      <c r="G36" s="96" t="s">
        <v>951</v>
      </c>
      <c r="H36" s="96" t="s">
        <v>204</v>
      </c>
      <c r="I36" s="96" t="s">
        <v>203</v>
      </c>
      <c r="J36" s="96" t="s">
        <v>313</v>
      </c>
      <c r="K36" s="96" t="s">
        <v>1288</v>
      </c>
      <c r="L36" s="96" t="s">
        <v>430</v>
      </c>
      <c r="M36" s="96" t="s">
        <v>1201</v>
      </c>
      <c r="N36" s="97">
        <v>5.28</v>
      </c>
      <c r="O36" s="100">
        <v>47667</v>
      </c>
      <c r="P36" s="98">
        <v>2.75E-2</v>
      </c>
      <c r="Q36" s="98">
        <v>5.8500000000000003E-2</v>
      </c>
      <c r="R36" s="96"/>
      <c r="S36" s="97">
        <v>37361.572271999998</v>
      </c>
      <c r="T36" s="97">
        <v>3.7589999999999999</v>
      </c>
      <c r="U36" s="97">
        <v>85.816000000000003</v>
      </c>
      <c r="V36" s="97">
        <v>120.521952</v>
      </c>
      <c r="W36" s="96"/>
      <c r="X36" s="96"/>
      <c r="Y36" s="98">
        <v>1.8E-5</v>
      </c>
      <c r="Z36" s="98">
        <v>3.702E-3</v>
      </c>
      <c r="AA36" s="98">
        <v>2.2950000000000002E-3</v>
      </c>
      <c r="AB36" s="106"/>
    </row>
    <row r="37" spans="1:28" ht="15" customHeight="1">
      <c r="A37" s="106"/>
      <c r="B37" s="96">
        <v>286</v>
      </c>
      <c r="C37" s="96">
        <v>1445</v>
      </c>
      <c r="D37" s="96" t="s">
        <v>1278</v>
      </c>
      <c r="E37" s="96" t="s">
        <v>1296</v>
      </c>
      <c r="F37" s="96" t="s">
        <v>1297</v>
      </c>
      <c r="G37" s="96" t="s">
        <v>951</v>
      </c>
      <c r="H37" s="96" t="s">
        <v>204</v>
      </c>
      <c r="I37" s="96" t="s">
        <v>223</v>
      </c>
      <c r="J37" s="96" t="s">
        <v>313</v>
      </c>
      <c r="K37" s="96" t="s">
        <v>1281</v>
      </c>
      <c r="L37" s="96" t="s">
        <v>422</v>
      </c>
      <c r="M37" s="96" t="s">
        <v>1201</v>
      </c>
      <c r="N37" s="97">
        <v>7.0000000000000007E-2</v>
      </c>
      <c r="O37" s="100">
        <v>45504</v>
      </c>
      <c r="P37" s="98">
        <v>1.7500000000000002E-2</v>
      </c>
      <c r="Q37" s="98">
        <v>5.33E-2</v>
      </c>
      <c r="R37" s="96"/>
      <c r="S37" s="97">
        <v>3885.5480240000002</v>
      </c>
      <c r="T37" s="97">
        <v>3.7589999999999999</v>
      </c>
      <c r="U37" s="97">
        <v>100.4684</v>
      </c>
      <c r="V37" s="97">
        <v>14.674189</v>
      </c>
      <c r="W37" s="96"/>
      <c r="X37" s="96"/>
      <c r="Y37" s="98">
        <v>0</v>
      </c>
      <c r="Z37" s="98">
        <v>4.4999999999999999E-4</v>
      </c>
      <c r="AA37" s="98">
        <v>2.7900000000000001E-4</v>
      </c>
      <c r="AB37" s="106"/>
    </row>
    <row r="38" spans="1:28" ht="15" customHeight="1">
      <c r="A38" s="106"/>
      <c r="B38" s="96">
        <v>286</v>
      </c>
      <c r="C38" s="96">
        <v>286</v>
      </c>
      <c r="D38" s="96" t="s">
        <v>1222</v>
      </c>
      <c r="E38" s="96" t="s">
        <v>1246</v>
      </c>
      <c r="F38" s="96" t="s">
        <v>1247</v>
      </c>
      <c r="G38" s="96" t="s">
        <v>947</v>
      </c>
      <c r="H38" s="96" t="s">
        <v>203</v>
      </c>
      <c r="I38" s="96" t="s">
        <v>203</v>
      </c>
      <c r="J38" s="96" t="s">
        <v>339</v>
      </c>
      <c r="K38" s="96" t="s">
        <v>1225</v>
      </c>
      <c r="L38" s="96" t="s">
        <v>311</v>
      </c>
      <c r="M38" s="96" t="s">
        <v>1200</v>
      </c>
      <c r="N38" s="97">
        <v>5.6</v>
      </c>
      <c r="O38" s="100">
        <v>47816</v>
      </c>
      <c r="P38" s="98">
        <v>4.3783000000000002E-2</v>
      </c>
      <c r="Q38" s="98">
        <v>4.8599999999999997E-2</v>
      </c>
      <c r="R38" s="96"/>
      <c r="S38" s="97">
        <v>12293990.719784999</v>
      </c>
      <c r="T38" s="97">
        <v>1</v>
      </c>
      <c r="U38" s="97">
        <v>97.22</v>
      </c>
      <c r="V38" s="97">
        <v>11952.217777</v>
      </c>
      <c r="W38" s="96"/>
      <c r="X38" s="96"/>
      <c r="Y38" s="98">
        <v>3.88E-4</v>
      </c>
      <c r="Z38" s="98">
        <v>3.6711000000000001E-2</v>
      </c>
      <c r="AA38" s="98">
        <v>6.2230000000000002E-3</v>
      </c>
      <c r="AB38" s="106"/>
    </row>
    <row r="39" spans="1:28" ht="15" customHeight="1">
      <c r="A39" s="106"/>
      <c r="B39" s="96">
        <v>286</v>
      </c>
      <c r="C39" s="96">
        <v>286</v>
      </c>
      <c r="D39" s="96" t="s">
        <v>1222</v>
      </c>
      <c r="E39" s="96" t="s">
        <v>1250</v>
      </c>
      <c r="F39" s="96" t="s">
        <v>1251</v>
      </c>
      <c r="G39" s="96" t="s">
        <v>946</v>
      </c>
      <c r="H39" s="96" t="s">
        <v>203</v>
      </c>
      <c r="I39" s="96" t="s">
        <v>203</v>
      </c>
      <c r="J39" s="96" t="s">
        <v>339</v>
      </c>
      <c r="K39" s="96" t="s">
        <v>1225</v>
      </c>
      <c r="L39" s="96" t="s">
        <v>311</v>
      </c>
      <c r="M39" s="96" t="s">
        <v>1200</v>
      </c>
      <c r="N39" s="97">
        <v>16.829999999999998</v>
      </c>
      <c r="O39" s="100">
        <v>55852</v>
      </c>
      <c r="P39" s="98">
        <v>2.8000000000000001E-2</v>
      </c>
      <c r="Q39" s="98">
        <v>5.5599999999999997E-2</v>
      </c>
      <c r="R39" s="96"/>
      <c r="S39" s="97">
        <v>6721581.0179730002</v>
      </c>
      <c r="T39" s="97">
        <v>1</v>
      </c>
      <c r="U39" s="97">
        <v>62.6</v>
      </c>
      <c r="V39" s="97">
        <v>4207.7097169999997</v>
      </c>
      <c r="W39" s="96"/>
      <c r="X39" s="96"/>
      <c r="Y39" s="98">
        <v>4.0299999999999998E-4</v>
      </c>
      <c r="Z39" s="98">
        <v>1.2924E-2</v>
      </c>
      <c r="AA39" s="98">
        <v>2.1909999999999998E-3</v>
      </c>
      <c r="AB39" s="106"/>
    </row>
    <row r="40" spans="1:28" ht="15" customHeight="1">
      <c r="A40" s="106"/>
      <c r="B40" s="96">
        <v>286</v>
      </c>
      <c r="C40" s="96">
        <v>286</v>
      </c>
      <c r="D40" s="96" t="s">
        <v>1222</v>
      </c>
      <c r="E40" s="96" t="s">
        <v>1254</v>
      </c>
      <c r="F40" s="96" t="s">
        <v>1255</v>
      </c>
      <c r="G40" s="96" t="s">
        <v>946</v>
      </c>
      <c r="H40" s="96" t="s">
        <v>203</v>
      </c>
      <c r="I40" s="96" t="s">
        <v>203</v>
      </c>
      <c r="J40" s="96" t="s">
        <v>339</v>
      </c>
      <c r="K40" s="96" t="s">
        <v>1225</v>
      </c>
      <c r="L40" s="96" t="s">
        <v>311</v>
      </c>
      <c r="M40" s="96" t="s">
        <v>1200</v>
      </c>
      <c r="N40" s="97">
        <v>2.69</v>
      </c>
      <c r="O40" s="100">
        <v>46477</v>
      </c>
      <c r="P40" s="98">
        <v>0.02</v>
      </c>
      <c r="Q40" s="98">
        <v>4.4900000000000002E-2</v>
      </c>
      <c r="R40" s="96"/>
      <c r="S40" s="97">
        <v>2405124.1122189998</v>
      </c>
      <c r="T40" s="97">
        <v>1</v>
      </c>
      <c r="U40" s="97">
        <v>94.2</v>
      </c>
      <c r="V40" s="97">
        <v>2265.6269130000001</v>
      </c>
      <c r="W40" s="96"/>
      <c r="X40" s="96"/>
      <c r="Y40" s="98">
        <v>9.2999999999999997E-5</v>
      </c>
      <c r="Z40" s="98">
        <v>6.9579999999999998E-3</v>
      </c>
      <c r="AA40" s="98">
        <v>1.1789999999999999E-3</v>
      </c>
      <c r="AB40" s="106"/>
    </row>
    <row r="41" spans="1:28" ht="15" customHeight="1">
      <c r="A41" s="106"/>
      <c r="B41" s="96">
        <v>286</v>
      </c>
      <c r="C41" s="96">
        <v>286</v>
      </c>
      <c r="D41" s="96" t="s">
        <v>1222</v>
      </c>
      <c r="E41" s="96" t="s">
        <v>1274</v>
      </c>
      <c r="F41" s="96" t="s">
        <v>1275</v>
      </c>
      <c r="G41" s="96" t="s">
        <v>946</v>
      </c>
      <c r="H41" s="96" t="s">
        <v>203</v>
      </c>
      <c r="I41" s="96" t="s">
        <v>203</v>
      </c>
      <c r="J41" s="96" t="s">
        <v>339</v>
      </c>
      <c r="K41" s="96" t="s">
        <v>1225</v>
      </c>
      <c r="L41" s="96" t="s">
        <v>311</v>
      </c>
      <c r="M41" s="96" t="s">
        <v>1200</v>
      </c>
      <c r="N41" s="97">
        <v>3.07</v>
      </c>
      <c r="O41" s="100">
        <v>46660</v>
      </c>
      <c r="P41" s="98">
        <v>3.7499999999999999E-2</v>
      </c>
      <c r="Q41" s="98">
        <v>4.5600000000000002E-2</v>
      </c>
      <c r="R41" s="96"/>
      <c r="S41" s="97">
        <v>14730672.973898999</v>
      </c>
      <c r="T41" s="97">
        <v>1</v>
      </c>
      <c r="U41" s="97">
        <v>99.11</v>
      </c>
      <c r="V41" s="97">
        <v>14599.569984</v>
      </c>
      <c r="W41" s="96"/>
      <c r="X41" s="96"/>
      <c r="Y41" s="98">
        <v>1.3359999999999999E-3</v>
      </c>
      <c r="Z41" s="98">
        <v>4.4844000000000002E-2</v>
      </c>
      <c r="AA41" s="98">
        <v>7.6020000000000003E-3</v>
      </c>
      <c r="AB41" s="106"/>
    </row>
    <row r="42" spans="1:28" ht="15" customHeight="1">
      <c r="A42" s="106"/>
      <c r="B42" s="96">
        <v>286</v>
      </c>
      <c r="C42" s="96">
        <v>286</v>
      </c>
      <c r="D42" s="96" t="s">
        <v>1222</v>
      </c>
      <c r="E42" s="96" t="s">
        <v>1232</v>
      </c>
      <c r="F42" s="96" t="s">
        <v>1233</v>
      </c>
      <c r="G42" s="96" t="s">
        <v>944</v>
      </c>
      <c r="H42" s="96" t="s">
        <v>203</v>
      </c>
      <c r="I42" s="96" t="s">
        <v>203</v>
      </c>
      <c r="J42" s="96" t="s">
        <v>339</v>
      </c>
      <c r="K42" s="96" t="s">
        <v>1225</v>
      </c>
      <c r="L42" s="96" t="s">
        <v>311</v>
      </c>
      <c r="M42" s="96" t="s">
        <v>1200</v>
      </c>
      <c r="N42" s="97">
        <v>9.8800000000000008</v>
      </c>
      <c r="O42" s="100">
        <v>49825</v>
      </c>
      <c r="P42" s="98">
        <v>0.04</v>
      </c>
      <c r="Q42" s="98">
        <v>2.3099999999999999E-2</v>
      </c>
      <c r="R42" s="96"/>
      <c r="S42" s="97">
        <v>3364651.845191</v>
      </c>
      <c r="T42" s="97">
        <v>1</v>
      </c>
      <c r="U42" s="97">
        <v>159.08000000000001</v>
      </c>
      <c r="V42" s="97">
        <v>5352.488155</v>
      </c>
      <c r="W42" s="96"/>
      <c r="X42" s="96"/>
      <c r="Y42" s="98">
        <v>2.1100000000000001E-4</v>
      </c>
      <c r="Z42" s="98">
        <v>1.644E-2</v>
      </c>
      <c r="AA42" s="98">
        <v>2.787E-3</v>
      </c>
      <c r="AB42" s="106"/>
    </row>
    <row r="43" spans="1:28" ht="15" customHeight="1">
      <c r="A43" s="106"/>
      <c r="B43" s="96">
        <v>286</v>
      </c>
      <c r="C43" s="96">
        <v>286</v>
      </c>
      <c r="D43" s="96" t="s">
        <v>1222</v>
      </c>
      <c r="E43" s="96" t="s">
        <v>1248</v>
      </c>
      <c r="F43" s="96" t="s">
        <v>1249</v>
      </c>
      <c r="G43" s="96" t="s">
        <v>944</v>
      </c>
      <c r="H43" s="96" t="s">
        <v>203</v>
      </c>
      <c r="I43" s="96" t="s">
        <v>203</v>
      </c>
      <c r="J43" s="96" t="s">
        <v>339</v>
      </c>
      <c r="K43" s="96" t="s">
        <v>1225</v>
      </c>
      <c r="L43" s="96" t="s">
        <v>311</v>
      </c>
      <c r="M43" s="96" t="s">
        <v>1200</v>
      </c>
      <c r="N43" s="97">
        <v>2.89</v>
      </c>
      <c r="O43" s="100">
        <v>46538</v>
      </c>
      <c r="P43" s="98">
        <v>7.4999999999999997E-3</v>
      </c>
      <c r="Q43" s="98">
        <v>1.7399999999999999E-2</v>
      </c>
      <c r="R43" s="96"/>
      <c r="S43" s="97">
        <v>10850194.95259</v>
      </c>
      <c r="T43" s="97">
        <v>1</v>
      </c>
      <c r="U43" s="97">
        <v>111.66</v>
      </c>
      <c r="V43" s="97">
        <v>12115.327683</v>
      </c>
      <c r="W43" s="96"/>
      <c r="X43" s="96"/>
      <c r="Y43" s="98">
        <v>4.86E-4</v>
      </c>
      <c r="Z43" s="98">
        <v>3.7213000000000003E-2</v>
      </c>
      <c r="AA43" s="98">
        <v>6.3080000000000002E-3</v>
      </c>
      <c r="AB43" s="106"/>
    </row>
    <row r="44" spans="1:28" ht="15" customHeight="1">
      <c r="A44" s="106"/>
      <c r="B44" s="96">
        <v>286</v>
      </c>
      <c r="C44" s="96">
        <v>286</v>
      </c>
      <c r="D44" s="96" t="s">
        <v>1222</v>
      </c>
      <c r="E44" s="96" t="s">
        <v>1252</v>
      </c>
      <c r="F44" s="96" t="s">
        <v>1253</v>
      </c>
      <c r="G44" s="96" t="s">
        <v>950</v>
      </c>
      <c r="H44" s="96" t="s">
        <v>203</v>
      </c>
      <c r="I44" s="96" t="s">
        <v>203</v>
      </c>
      <c r="J44" s="96" t="s">
        <v>339</v>
      </c>
      <c r="K44" s="96" t="s">
        <v>1225</v>
      </c>
      <c r="L44" s="96" t="s">
        <v>311</v>
      </c>
      <c r="M44" s="96" t="s">
        <v>1200</v>
      </c>
      <c r="N44" s="97">
        <v>0.01</v>
      </c>
      <c r="O44" s="100">
        <v>45476</v>
      </c>
      <c r="P44" s="98">
        <v>0</v>
      </c>
      <c r="Q44" s="98">
        <v>5.6300000000000003E-2</v>
      </c>
      <c r="R44" s="96"/>
      <c r="S44" s="97">
        <v>139923.876605</v>
      </c>
      <c r="T44" s="97">
        <v>1</v>
      </c>
      <c r="U44" s="97">
        <v>99.97</v>
      </c>
      <c r="V44" s="97">
        <v>139.881899</v>
      </c>
      <c r="W44" s="96"/>
      <c r="X44" s="96"/>
      <c r="Y44" s="98">
        <v>3.0000000000000001E-6</v>
      </c>
      <c r="Z44" s="98">
        <v>4.2900000000000002E-4</v>
      </c>
      <c r="AA44" s="98">
        <v>7.2000000000000002E-5</v>
      </c>
      <c r="AB44" s="106"/>
    </row>
    <row r="45" spans="1:28" ht="15" customHeight="1">
      <c r="A45" s="106"/>
      <c r="B45" s="96">
        <v>286</v>
      </c>
      <c r="C45" s="96">
        <v>286</v>
      </c>
      <c r="D45" s="96" t="s">
        <v>1222</v>
      </c>
      <c r="E45" s="96" t="s">
        <v>1256</v>
      </c>
      <c r="F45" s="96" t="s">
        <v>1257</v>
      </c>
      <c r="G45" s="96" t="s">
        <v>950</v>
      </c>
      <c r="H45" s="96" t="s">
        <v>203</v>
      </c>
      <c r="I45" s="96" t="s">
        <v>203</v>
      </c>
      <c r="J45" s="96" t="s">
        <v>339</v>
      </c>
      <c r="K45" s="96" t="s">
        <v>1225</v>
      </c>
      <c r="L45" s="96" t="s">
        <v>311</v>
      </c>
      <c r="M45" s="96" t="s">
        <v>1200</v>
      </c>
      <c r="N45" s="97">
        <v>0.35</v>
      </c>
      <c r="O45" s="100">
        <v>45602</v>
      </c>
      <c r="P45" s="98">
        <v>0</v>
      </c>
      <c r="Q45" s="98">
        <v>4.3099999999999999E-2</v>
      </c>
      <c r="R45" s="96"/>
      <c r="S45" s="97">
        <v>925933.02813500003</v>
      </c>
      <c r="T45" s="97">
        <v>1</v>
      </c>
      <c r="U45" s="97">
        <v>98.53</v>
      </c>
      <c r="V45" s="97">
        <v>912.32181200000002</v>
      </c>
      <c r="W45" s="96"/>
      <c r="X45" s="96"/>
      <c r="Y45" s="98">
        <v>6.6000000000000005E-5</v>
      </c>
      <c r="Z45" s="98">
        <v>2.8019999999999998E-3</v>
      </c>
      <c r="AA45" s="98">
        <v>4.75E-4</v>
      </c>
      <c r="AB45" s="106"/>
    </row>
    <row r="46" spans="1:28" ht="15" customHeight="1">
      <c r="A46" s="106"/>
      <c r="B46" s="96">
        <v>286</v>
      </c>
      <c r="C46" s="96">
        <v>286</v>
      </c>
      <c r="D46" s="96" t="s">
        <v>1222</v>
      </c>
      <c r="E46" s="96" t="s">
        <v>1260</v>
      </c>
      <c r="F46" s="96" t="s">
        <v>1261</v>
      </c>
      <c r="G46" s="96" t="s">
        <v>946</v>
      </c>
      <c r="H46" s="96" t="s">
        <v>203</v>
      </c>
      <c r="I46" s="96" t="s">
        <v>203</v>
      </c>
      <c r="J46" s="96" t="s">
        <v>339</v>
      </c>
      <c r="K46" s="96" t="s">
        <v>1225</v>
      </c>
      <c r="L46" s="96" t="s">
        <v>311</v>
      </c>
      <c r="M46" s="96" t="s">
        <v>1200</v>
      </c>
      <c r="N46" s="97">
        <v>5.58</v>
      </c>
      <c r="O46" s="100">
        <v>47573</v>
      </c>
      <c r="P46" s="98">
        <v>0.01</v>
      </c>
      <c r="Q46" s="98">
        <v>4.7600000000000003E-2</v>
      </c>
      <c r="R46" s="96"/>
      <c r="S46" s="97">
        <v>31792534.498842001</v>
      </c>
      <c r="T46" s="97">
        <v>1</v>
      </c>
      <c r="U46" s="97">
        <v>81.73</v>
      </c>
      <c r="V46" s="97">
        <v>25984.038444999998</v>
      </c>
      <c r="W46" s="96"/>
      <c r="X46" s="96"/>
      <c r="Y46" s="98">
        <v>8.4199999999999998E-4</v>
      </c>
      <c r="Z46" s="98">
        <v>7.9811999999999994E-2</v>
      </c>
      <c r="AA46" s="98">
        <v>1.3531E-2</v>
      </c>
      <c r="AB46" s="106"/>
    </row>
    <row r="47" spans="1:28" ht="15" customHeight="1">
      <c r="A47" s="106"/>
      <c r="B47" s="96">
        <v>286</v>
      </c>
      <c r="C47" s="96">
        <v>286</v>
      </c>
      <c r="D47" s="96" t="s">
        <v>1222</v>
      </c>
      <c r="E47" s="96" t="s">
        <v>1238</v>
      </c>
      <c r="F47" s="96" t="s">
        <v>1239</v>
      </c>
      <c r="G47" s="96" t="s">
        <v>946</v>
      </c>
      <c r="H47" s="96" t="s">
        <v>203</v>
      </c>
      <c r="I47" s="96" t="s">
        <v>203</v>
      </c>
      <c r="J47" s="96" t="s">
        <v>339</v>
      </c>
      <c r="K47" s="96" t="s">
        <v>1225</v>
      </c>
      <c r="L47" s="96" t="s">
        <v>311</v>
      </c>
      <c r="M47" s="96" t="s">
        <v>1200</v>
      </c>
      <c r="N47" s="97">
        <v>11.5</v>
      </c>
      <c r="O47" s="100">
        <v>50191</v>
      </c>
      <c r="P47" s="98">
        <v>1.4999999999999999E-2</v>
      </c>
      <c r="Q47" s="98">
        <v>5.21E-2</v>
      </c>
      <c r="R47" s="96"/>
      <c r="S47" s="97">
        <v>5158423.8039480001</v>
      </c>
      <c r="T47" s="97">
        <v>1</v>
      </c>
      <c r="U47" s="97">
        <v>65.83</v>
      </c>
      <c r="V47" s="97">
        <v>3395.7903879999999</v>
      </c>
      <c r="W47" s="96"/>
      <c r="X47" s="96"/>
      <c r="Y47" s="98">
        <v>1.6000000000000001E-4</v>
      </c>
      <c r="Z47" s="98">
        <v>1.043E-2</v>
      </c>
      <c r="AA47" s="98">
        <v>1.7669999999999999E-3</v>
      </c>
      <c r="AB47" s="106"/>
    </row>
    <row r="48" spans="1:28" ht="15" customHeight="1">
      <c r="A48" s="106"/>
      <c r="B48" s="96">
        <v>286</v>
      </c>
      <c r="C48" s="96">
        <v>286</v>
      </c>
      <c r="D48" s="96" t="s">
        <v>1222</v>
      </c>
      <c r="E48" s="96" t="s">
        <v>1228</v>
      </c>
      <c r="F48" s="96" t="s">
        <v>1229</v>
      </c>
      <c r="G48" s="96" t="s">
        <v>944</v>
      </c>
      <c r="H48" s="96" t="s">
        <v>203</v>
      </c>
      <c r="I48" s="96" t="s">
        <v>203</v>
      </c>
      <c r="J48" s="96" t="s">
        <v>339</v>
      </c>
      <c r="K48" s="96" t="s">
        <v>1225</v>
      </c>
      <c r="L48" s="96" t="s">
        <v>311</v>
      </c>
      <c r="M48" s="96" t="s">
        <v>1200</v>
      </c>
      <c r="N48" s="97">
        <v>2.08</v>
      </c>
      <c r="O48" s="100">
        <v>46234</v>
      </c>
      <c r="P48" s="98">
        <v>1E-3</v>
      </c>
      <c r="Q48" s="98">
        <v>1.6400000000000001E-2</v>
      </c>
      <c r="R48" s="96"/>
      <c r="S48" s="97">
        <v>2250474.8010920002</v>
      </c>
      <c r="T48" s="97">
        <v>1</v>
      </c>
      <c r="U48" s="97">
        <v>110.2</v>
      </c>
      <c r="V48" s="97">
        <v>2480.0232299999998</v>
      </c>
      <c r="W48" s="96"/>
      <c r="X48" s="96"/>
      <c r="Y48" s="98">
        <v>1.11E-4</v>
      </c>
      <c r="Z48" s="98">
        <v>7.6160000000000004E-3</v>
      </c>
      <c r="AA48" s="98">
        <v>1.291E-3</v>
      </c>
      <c r="AB48" s="106"/>
    </row>
    <row r="49" spans="1:28" ht="15" customHeight="1">
      <c r="A49" s="106"/>
      <c r="B49" s="96">
        <v>286</v>
      </c>
      <c r="C49" s="96">
        <v>286</v>
      </c>
      <c r="D49" s="96" t="s">
        <v>1222</v>
      </c>
      <c r="E49" s="96" t="s">
        <v>1262</v>
      </c>
      <c r="F49" s="96" t="s">
        <v>1263</v>
      </c>
      <c r="G49" s="96" t="s">
        <v>944</v>
      </c>
      <c r="H49" s="96" t="s">
        <v>203</v>
      </c>
      <c r="I49" s="96" t="s">
        <v>203</v>
      </c>
      <c r="J49" s="96" t="s">
        <v>339</v>
      </c>
      <c r="K49" s="96" t="s">
        <v>1225</v>
      </c>
      <c r="L49" s="96" t="s">
        <v>311</v>
      </c>
      <c r="M49" s="96" t="s">
        <v>1200</v>
      </c>
      <c r="N49" s="97">
        <v>4.2300000000000004</v>
      </c>
      <c r="O49" s="100">
        <v>47057</v>
      </c>
      <c r="P49" s="98">
        <v>1.0999999999999999E-2</v>
      </c>
      <c r="Q49" s="98">
        <v>1.9400000000000001E-2</v>
      </c>
      <c r="R49" s="96"/>
      <c r="S49" s="97">
        <v>26113818.453880001</v>
      </c>
      <c r="T49" s="97">
        <v>1</v>
      </c>
      <c r="U49" s="97">
        <v>99.98</v>
      </c>
      <c r="V49" s="97">
        <v>26108.595689000002</v>
      </c>
      <c r="W49" s="96"/>
      <c r="X49" s="96"/>
      <c r="Y49" s="98">
        <v>1.66E-3</v>
      </c>
      <c r="Z49" s="98">
        <v>8.0195000000000002E-2</v>
      </c>
      <c r="AA49" s="98">
        <v>1.3596E-2</v>
      </c>
      <c r="AB49" s="106"/>
    </row>
    <row r="50" spans="1:28" ht="15" customHeight="1">
      <c r="A50" s="106"/>
      <c r="B50" s="96">
        <v>286</v>
      </c>
      <c r="C50" s="96">
        <v>286</v>
      </c>
      <c r="D50" s="96" t="s">
        <v>1222</v>
      </c>
      <c r="E50" s="96" t="s">
        <v>1266</v>
      </c>
      <c r="F50" s="96" t="s">
        <v>1267</v>
      </c>
      <c r="G50" s="96" t="s">
        <v>946</v>
      </c>
      <c r="H50" s="96" t="s">
        <v>203</v>
      </c>
      <c r="I50" s="96" t="s">
        <v>203</v>
      </c>
      <c r="J50" s="96" t="s">
        <v>339</v>
      </c>
      <c r="K50" s="96" t="s">
        <v>1225</v>
      </c>
      <c r="L50" s="96" t="s">
        <v>311</v>
      </c>
      <c r="M50" s="96" t="s">
        <v>1200</v>
      </c>
      <c r="N50" s="97">
        <v>11.51</v>
      </c>
      <c r="O50" s="100">
        <v>51897</v>
      </c>
      <c r="P50" s="98">
        <v>5.5E-2</v>
      </c>
      <c r="Q50" s="98">
        <v>5.33E-2</v>
      </c>
      <c r="R50" s="96"/>
      <c r="S50" s="97">
        <v>14953926.186915001</v>
      </c>
      <c r="T50" s="97">
        <v>1</v>
      </c>
      <c r="U50" s="97">
        <v>104.09</v>
      </c>
      <c r="V50" s="97">
        <v>15565.541766</v>
      </c>
      <c r="W50" s="96"/>
      <c r="X50" s="96"/>
      <c r="Y50" s="98">
        <v>7.7399999999999995E-4</v>
      </c>
      <c r="Z50" s="98">
        <v>4.7809999999999998E-2</v>
      </c>
      <c r="AA50" s="98">
        <v>8.1049999999999994E-3</v>
      </c>
      <c r="AB50" s="106"/>
    </row>
    <row r="51" spans="1:28" ht="15" customHeight="1">
      <c r="A51" s="106"/>
      <c r="B51" s="96">
        <v>286</v>
      </c>
      <c r="C51" s="96">
        <v>286</v>
      </c>
      <c r="D51" s="96" t="s">
        <v>1222</v>
      </c>
      <c r="E51" s="96" t="s">
        <v>1236</v>
      </c>
      <c r="F51" s="96" t="s">
        <v>1237</v>
      </c>
      <c r="G51" s="96" t="s">
        <v>946</v>
      </c>
      <c r="H51" s="96" t="s">
        <v>203</v>
      </c>
      <c r="I51" s="96" t="s">
        <v>203</v>
      </c>
      <c r="J51" s="96" t="s">
        <v>339</v>
      </c>
      <c r="K51" s="96" t="s">
        <v>1225</v>
      </c>
      <c r="L51" s="96" t="s">
        <v>311</v>
      </c>
      <c r="M51" s="96" t="s">
        <v>1200</v>
      </c>
      <c r="N51" s="97">
        <v>2.16</v>
      </c>
      <c r="O51" s="100">
        <v>46325</v>
      </c>
      <c r="P51" s="98">
        <v>6.25E-2</v>
      </c>
      <c r="Q51" s="98">
        <v>4.41E-2</v>
      </c>
      <c r="R51" s="96"/>
      <c r="S51" s="97">
        <v>4117096.3991970001</v>
      </c>
      <c r="T51" s="97">
        <v>1</v>
      </c>
      <c r="U51" s="97">
        <v>108.16</v>
      </c>
      <c r="V51" s="97">
        <v>4453.0514640000001</v>
      </c>
      <c r="W51" s="96"/>
      <c r="X51" s="96"/>
      <c r="Y51" s="98">
        <v>2.7599999999999999E-4</v>
      </c>
      <c r="Z51" s="98">
        <v>1.3677E-2</v>
      </c>
      <c r="AA51" s="98">
        <v>2.3180000000000002E-3</v>
      </c>
      <c r="AB51" s="106"/>
    </row>
    <row r="52" spans="1:28" ht="15" customHeight="1">
      <c r="A52" s="106"/>
      <c r="B52" s="96">
        <v>286</v>
      </c>
      <c r="C52" s="96">
        <v>286</v>
      </c>
      <c r="D52" s="96" t="s">
        <v>1222</v>
      </c>
      <c r="E52" s="96" t="s">
        <v>1244</v>
      </c>
      <c r="F52" s="96" t="s">
        <v>1245</v>
      </c>
      <c r="G52" s="96" t="s">
        <v>947</v>
      </c>
      <c r="H52" s="96" t="s">
        <v>203</v>
      </c>
      <c r="I52" s="96" t="s">
        <v>203</v>
      </c>
      <c r="J52" s="96" t="s">
        <v>339</v>
      </c>
      <c r="K52" s="96" t="s">
        <v>1225</v>
      </c>
      <c r="L52" s="96" t="s">
        <v>311</v>
      </c>
      <c r="M52" s="96" t="s">
        <v>1200</v>
      </c>
      <c r="N52" s="97">
        <v>1.84</v>
      </c>
      <c r="O52" s="100">
        <v>46173</v>
      </c>
      <c r="P52" s="98">
        <v>4.3783000000000002E-2</v>
      </c>
      <c r="Q52" s="98">
        <v>4.6899999999999997E-2</v>
      </c>
      <c r="R52" s="96"/>
      <c r="S52" s="97">
        <v>4194585.5972840004</v>
      </c>
      <c r="T52" s="97">
        <v>1</v>
      </c>
      <c r="U52" s="97">
        <v>99.64</v>
      </c>
      <c r="V52" s="97">
        <v>4179.4850889999998</v>
      </c>
      <c r="W52" s="96"/>
      <c r="X52" s="96"/>
      <c r="Y52" s="98">
        <v>1.9699999999999999E-4</v>
      </c>
      <c r="Z52" s="98">
        <v>1.2836999999999999E-2</v>
      </c>
      <c r="AA52" s="98">
        <v>2.176E-3</v>
      </c>
      <c r="AB52" s="106"/>
    </row>
    <row r="53" spans="1:28" ht="15" customHeight="1">
      <c r="A53" s="106"/>
      <c r="B53" s="96">
        <v>286</v>
      </c>
      <c r="C53" s="96">
        <v>286</v>
      </c>
      <c r="D53" s="96" t="s">
        <v>1222</v>
      </c>
      <c r="E53" s="96" t="s">
        <v>1240</v>
      </c>
      <c r="F53" s="96" t="s">
        <v>1241</v>
      </c>
      <c r="G53" s="96" t="s">
        <v>944</v>
      </c>
      <c r="H53" s="96" t="s">
        <v>203</v>
      </c>
      <c r="I53" s="96" t="s">
        <v>203</v>
      </c>
      <c r="J53" s="96" t="s">
        <v>339</v>
      </c>
      <c r="K53" s="96" t="s">
        <v>1225</v>
      </c>
      <c r="L53" s="96" t="s">
        <v>311</v>
      </c>
      <c r="M53" s="96" t="s">
        <v>1200</v>
      </c>
      <c r="N53" s="97">
        <v>4.87</v>
      </c>
      <c r="O53" s="100">
        <v>47269</v>
      </c>
      <c r="P53" s="98">
        <v>5.0000000000000001E-3</v>
      </c>
      <c r="Q53" s="98">
        <v>1.9900000000000001E-2</v>
      </c>
      <c r="R53" s="96"/>
      <c r="S53" s="97">
        <v>29803216.049054999</v>
      </c>
      <c r="T53" s="97">
        <v>1</v>
      </c>
      <c r="U53" s="97">
        <v>105.85</v>
      </c>
      <c r="V53" s="97">
        <v>31546.704186999999</v>
      </c>
      <c r="W53" s="96"/>
      <c r="X53" s="96"/>
      <c r="Y53" s="98">
        <v>1.238E-3</v>
      </c>
      <c r="Z53" s="98">
        <v>9.6897999999999998E-2</v>
      </c>
      <c r="AA53" s="98">
        <v>1.6427000000000001E-2</v>
      </c>
      <c r="AB53" s="106"/>
    </row>
    <row r="54" spans="1:28" ht="15" customHeight="1">
      <c r="A54" s="106"/>
      <c r="B54" s="96">
        <v>286</v>
      </c>
      <c r="C54" s="96">
        <v>286</v>
      </c>
      <c r="D54" s="96" t="s">
        <v>1222</v>
      </c>
      <c r="E54" s="96" t="s">
        <v>1268</v>
      </c>
      <c r="F54" s="96" t="s">
        <v>1269</v>
      </c>
      <c r="G54" s="96" t="s">
        <v>946</v>
      </c>
      <c r="H54" s="96" t="s">
        <v>203</v>
      </c>
      <c r="I54" s="96" t="s">
        <v>203</v>
      </c>
      <c r="J54" s="96" t="s">
        <v>339</v>
      </c>
      <c r="K54" s="96" t="s">
        <v>1225</v>
      </c>
      <c r="L54" s="96" t="s">
        <v>311</v>
      </c>
      <c r="M54" s="96" t="s">
        <v>1200</v>
      </c>
      <c r="N54" s="97">
        <v>4.3099999999999996</v>
      </c>
      <c r="O54" s="100">
        <v>47177</v>
      </c>
      <c r="P54" s="98">
        <v>3.7499999999999999E-2</v>
      </c>
      <c r="Q54" s="98">
        <v>4.6600000000000003E-2</v>
      </c>
      <c r="R54" s="96"/>
      <c r="S54" s="97">
        <v>31664032.137757</v>
      </c>
      <c r="T54" s="97">
        <v>1</v>
      </c>
      <c r="U54" s="97">
        <v>97.49</v>
      </c>
      <c r="V54" s="97">
        <v>30869.264930000001</v>
      </c>
      <c r="W54" s="96"/>
      <c r="X54" s="96"/>
      <c r="Y54" s="98">
        <v>1.199E-3</v>
      </c>
      <c r="Z54" s="98">
        <v>9.4816999999999999E-2</v>
      </c>
      <c r="AA54" s="98">
        <v>1.6074000000000001E-2</v>
      </c>
      <c r="AB54" s="106"/>
    </row>
    <row r="55" spans="1:28" ht="15" customHeight="1">
      <c r="A55" s="106"/>
      <c r="B55" s="96">
        <v>286</v>
      </c>
      <c r="C55" s="96">
        <v>286</v>
      </c>
      <c r="D55" s="96" t="s">
        <v>1222</v>
      </c>
      <c r="E55" s="96" t="s">
        <v>1230</v>
      </c>
      <c r="F55" s="96" t="s">
        <v>1231</v>
      </c>
      <c r="G55" s="96" t="s">
        <v>944</v>
      </c>
      <c r="H55" s="96" t="s">
        <v>203</v>
      </c>
      <c r="I55" s="96" t="s">
        <v>203</v>
      </c>
      <c r="J55" s="96" t="s">
        <v>339</v>
      </c>
      <c r="K55" s="96" t="s">
        <v>1225</v>
      </c>
      <c r="L55" s="96" t="s">
        <v>311</v>
      </c>
      <c r="M55" s="96" t="s">
        <v>1200</v>
      </c>
      <c r="N55" s="97">
        <v>7.39</v>
      </c>
      <c r="O55" s="100">
        <v>48182</v>
      </c>
      <c r="P55" s="98">
        <v>1E-3</v>
      </c>
      <c r="Q55" s="98">
        <v>2.18E-2</v>
      </c>
      <c r="R55" s="96"/>
      <c r="S55" s="97">
        <v>28596882.565111998</v>
      </c>
      <c r="T55" s="97">
        <v>1</v>
      </c>
      <c r="U55" s="97">
        <v>97.65</v>
      </c>
      <c r="V55" s="97">
        <v>27924.855823000002</v>
      </c>
      <c r="W55" s="96"/>
      <c r="X55" s="96"/>
      <c r="Y55" s="98">
        <v>9.3099999999999997E-4</v>
      </c>
      <c r="Z55" s="98">
        <v>8.5773000000000002E-2</v>
      </c>
      <c r="AA55" s="98">
        <v>1.4541E-2</v>
      </c>
      <c r="AB55" s="106"/>
    </row>
    <row r="56" spans="1:28" ht="15" customHeight="1">
      <c r="A56" s="106"/>
      <c r="B56" s="96">
        <v>286</v>
      </c>
      <c r="C56" s="96">
        <v>286</v>
      </c>
      <c r="D56" s="96" t="s">
        <v>1222</v>
      </c>
      <c r="E56" s="96" t="s">
        <v>1276</v>
      </c>
      <c r="F56" s="96" t="s">
        <v>1277</v>
      </c>
      <c r="G56" s="96" t="s">
        <v>944</v>
      </c>
      <c r="H56" s="96" t="s">
        <v>203</v>
      </c>
      <c r="I56" s="96" t="s">
        <v>203</v>
      </c>
      <c r="J56" s="96" t="s">
        <v>339</v>
      </c>
      <c r="K56" s="96" t="s">
        <v>1225</v>
      </c>
      <c r="L56" s="96" t="s">
        <v>311</v>
      </c>
      <c r="M56" s="96" t="s">
        <v>1200</v>
      </c>
      <c r="N56" s="97">
        <v>13.72</v>
      </c>
      <c r="O56" s="100">
        <v>51743</v>
      </c>
      <c r="P56" s="98">
        <v>2.75E-2</v>
      </c>
      <c r="Q56" s="98">
        <v>2.35E-2</v>
      </c>
      <c r="R56" s="96"/>
      <c r="S56" s="97">
        <v>7307853.4869809998</v>
      </c>
      <c r="T56" s="97">
        <v>1</v>
      </c>
      <c r="U56" s="97">
        <v>131.08000000000001</v>
      </c>
      <c r="V56" s="97">
        <v>9579.1343500000003</v>
      </c>
      <c r="W56" s="96"/>
      <c r="X56" s="96"/>
      <c r="Y56" s="98">
        <v>3.8499999999999998E-4</v>
      </c>
      <c r="Z56" s="98">
        <v>2.9423000000000001E-2</v>
      </c>
      <c r="AA56" s="98">
        <v>4.9880000000000002E-3</v>
      </c>
      <c r="AB56" s="106"/>
    </row>
    <row r="57" spans="1:28" ht="15" customHeight="1">
      <c r="A57" s="106"/>
      <c r="B57" s="96">
        <v>286</v>
      </c>
      <c r="C57" s="96">
        <v>286</v>
      </c>
      <c r="D57" s="96" t="s">
        <v>1222</v>
      </c>
      <c r="E57" s="96" t="s">
        <v>1226</v>
      </c>
      <c r="F57" s="96" t="s">
        <v>1227</v>
      </c>
      <c r="G57" s="96" t="s">
        <v>946</v>
      </c>
      <c r="H57" s="96" t="s">
        <v>203</v>
      </c>
      <c r="I57" s="96" t="s">
        <v>203</v>
      </c>
      <c r="J57" s="96" t="s">
        <v>339</v>
      </c>
      <c r="K57" s="96" t="s">
        <v>1225</v>
      </c>
      <c r="L57" s="96" t="s">
        <v>311</v>
      </c>
      <c r="M57" s="96" t="s">
        <v>1200</v>
      </c>
      <c r="N57" s="97">
        <v>4.0199999999999996</v>
      </c>
      <c r="O57" s="100">
        <v>47024</v>
      </c>
      <c r="P57" s="98">
        <v>2.2499999999999999E-2</v>
      </c>
      <c r="Q57" s="98">
        <v>4.6199999999999998E-2</v>
      </c>
      <c r="R57" s="96"/>
      <c r="S57" s="97">
        <v>17997677.379126001</v>
      </c>
      <c r="T57" s="97">
        <v>1</v>
      </c>
      <c r="U57" s="97">
        <v>92.73</v>
      </c>
      <c r="V57" s="97">
        <v>16689.246233000002</v>
      </c>
      <c r="W57" s="96"/>
      <c r="X57" s="96"/>
      <c r="Y57" s="98">
        <v>5.9000000000000003E-4</v>
      </c>
      <c r="Z57" s="98">
        <v>5.1262000000000002E-2</v>
      </c>
      <c r="AA57" s="98">
        <v>8.6910000000000008E-3</v>
      </c>
      <c r="AB57" s="106"/>
    </row>
    <row r="58" spans="1:28" ht="15" customHeight="1">
      <c r="A58" s="106"/>
      <c r="B58" s="96">
        <v>286</v>
      </c>
      <c r="C58" s="96">
        <v>286</v>
      </c>
      <c r="D58" s="96" t="s">
        <v>1222</v>
      </c>
      <c r="E58" s="96" t="s">
        <v>1223</v>
      </c>
      <c r="F58" s="96" t="s">
        <v>1224</v>
      </c>
      <c r="G58" s="96" t="s">
        <v>946</v>
      </c>
      <c r="H58" s="96" t="s">
        <v>203</v>
      </c>
      <c r="I58" s="96" t="s">
        <v>203</v>
      </c>
      <c r="J58" s="96" t="s">
        <v>339</v>
      </c>
      <c r="K58" s="96" t="s">
        <v>1225</v>
      </c>
      <c r="L58" s="96" t="s">
        <v>311</v>
      </c>
      <c r="M58" s="96" t="s">
        <v>1200</v>
      </c>
      <c r="N58" s="97">
        <v>8.76</v>
      </c>
      <c r="O58" s="100">
        <v>49398</v>
      </c>
      <c r="P58" s="98">
        <v>0.04</v>
      </c>
      <c r="Q58" s="98">
        <v>5.04E-2</v>
      </c>
      <c r="R58" s="96"/>
      <c r="S58" s="97">
        <v>4953994.4980920004</v>
      </c>
      <c r="T58" s="97">
        <v>1</v>
      </c>
      <c r="U58" s="97">
        <v>92.5</v>
      </c>
      <c r="V58" s="97">
        <v>4582.4449100000002</v>
      </c>
      <c r="W58" s="96"/>
      <c r="X58" s="96"/>
      <c r="Y58" s="98">
        <v>4.2299999999999998E-4</v>
      </c>
      <c r="Z58" s="98">
        <v>1.4074E-2</v>
      </c>
      <c r="AA58" s="98">
        <v>2.385E-3</v>
      </c>
      <c r="AB58" s="106"/>
    </row>
    <row r="59" spans="1:28" ht="15" customHeight="1">
      <c r="A59" s="106"/>
      <c r="B59" s="96">
        <v>286</v>
      </c>
      <c r="C59" s="96">
        <v>286</v>
      </c>
      <c r="D59" s="96" t="s">
        <v>1222</v>
      </c>
      <c r="E59" s="96" t="s">
        <v>1270</v>
      </c>
      <c r="F59" s="96" t="s">
        <v>1271</v>
      </c>
      <c r="G59" s="96" t="s">
        <v>950</v>
      </c>
      <c r="H59" s="96" t="s">
        <v>203</v>
      </c>
      <c r="I59" s="96" t="s">
        <v>203</v>
      </c>
      <c r="J59" s="96" t="s">
        <v>339</v>
      </c>
      <c r="K59" s="96" t="s">
        <v>1225</v>
      </c>
      <c r="L59" s="96" t="s">
        <v>311</v>
      </c>
      <c r="M59" s="96" t="s">
        <v>1200</v>
      </c>
      <c r="N59" s="97">
        <v>0.93</v>
      </c>
      <c r="O59" s="100">
        <v>45812</v>
      </c>
      <c r="P59" s="98">
        <v>0</v>
      </c>
      <c r="Q59" s="98">
        <v>4.3099999999999999E-2</v>
      </c>
      <c r="R59" s="96"/>
      <c r="S59" s="97">
        <v>3676106.3935619998</v>
      </c>
      <c r="T59" s="97">
        <v>1</v>
      </c>
      <c r="U59" s="97">
        <v>96.17</v>
      </c>
      <c r="V59" s="97">
        <v>3535.311518</v>
      </c>
      <c r="W59" s="96"/>
      <c r="X59" s="96"/>
      <c r="Y59" s="98">
        <v>3.0600000000000001E-4</v>
      </c>
      <c r="Z59" s="98">
        <v>1.0859000000000001E-2</v>
      </c>
      <c r="AA59" s="98">
        <v>1.841E-3</v>
      </c>
      <c r="AB59" s="106"/>
    </row>
    <row r="60" spans="1:28" ht="15" customHeight="1">
      <c r="A60" s="106"/>
      <c r="B60" s="96">
        <v>286</v>
      </c>
      <c r="C60" s="96">
        <v>286</v>
      </c>
      <c r="D60" s="96" t="s">
        <v>1222</v>
      </c>
      <c r="E60" s="96" t="s">
        <v>1272</v>
      </c>
      <c r="F60" s="96" t="s">
        <v>1273</v>
      </c>
      <c r="G60" s="96" t="s">
        <v>944</v>
      </c>
      <c r="H60" s="96" t="s">
        <v>203</v>
      </c>
      <c r="I60" s="96" t="s">
        <v>203</v>
      </c>
      <c r="J60" s="96" t="s">
        <v>339</v>
      </c>
      <c r="K60" s="96" t="s">
        <v>1225</v>
      </c>
      <c r="L60" s="96" t="s">
        <v>311</v>
      </c>
      <c r="M60" s="96" t="s">
        <v>1200</v>
      </c>
      <c r="N60" s="97">
        <v>18.62</v>
      </c>
      <c r="O60" s="100">
        <v>53113</v>
      </c>
      <c r="P60" s="98">
        <v>0.01</v>
      </c>
      <c r="Q60" s="98">
        <v>2.4299999999999999E-2</v>
      </c>
      <c r="R60" s="96"/>
      <c r="S60" s="97">
        <v>2389469.1558150002</v>
      </c>
      <c r="T60" s="97">
        <v>1</v>
      </c>
      <c r="U60" s="97">
        <v>88.06</v>
      </c>
      <c r="V60" s="97">
        <v>2104.1665379999999</v>
      </c>
      <c r="W60" s="96"/>
      <c r="X60" s="96"/>
      <c r="Y60" s="98">
        <v>1.3100000000000001E-4</v>
      </c>
      <c r="Z60" s="98">
        <v>6.463E-3</v>
      </c>
      <c r="AA60" s="98">
        <v>1.0950000000000001E-3</v>
      </c>
      <c r="AB60" s="106"/>
    </row>
    <row r="61" spans="1:28" ht="15" customHeight="1">
      <c r="A61" s="106"/>
      <c r="B61" s="96">
        <v>286</v>
      </c>
      <c r="C61" s="96">
        <v>286</v>
      </c>
      <c r="D61" s="96" t="s">
        <v>1222</v>
      </c>
      <c r="E61" s="96" t="s">
        <v>1242</v>
      </c>
      <c r="F61" s="96" t="s">
        <v>1243</v>
      </c>
      <c r="G61" s="96" t="s">
        <v>946</v>
      </c>
      <c r="H61" s="96" t="s">
        <v>203</v>
      </c>
      <c r="I61" s="96" t="s">
        <v>203</v>
      </c>
      <c r="J61" s="96" t="s">
        <v>339</v>
      </c>
      <c r="K61" s="96" t="s">
        <v>1225</v>
      </c>
      <c r="L61" s="96" t="s">
        <v>311</v>
      </c>
      <c r="M61" s="96" t="s">
        <v>1200</v>
      </c>
      <c r="N61" s="97">
        <v>1.66</v>
      </c>
      <c r="O61" s="100">
        <v>46080</v>
      </c>
      <c r="P61" s="98">
        <v>5.0000000000000001E-3</v>
      </c>
      <c r="Q61" s="98">
        <v>4.3700000000000003E-2</v>
      </c>
      <c r="R61" s="96"/>
      <c r="S61" s="97">
        <v>9362705.0399420001</v>
      </c>
      <c r="T61" s="97">
        <v>1</v>
      </c>
      <c r="U61" s="97">
        <v>94.09</v>
      </c>
      <c r="V61" s="97">
        <v>8809.3691720000006</v>
      </c>
      <c r="W61" s="96"/>
      <c r="X61" s="96"/>
      <c r="Y61" s="98">
        <v>3.3599999999999998E-4</v>
      </c>
      <c r="Z61" s="98">
        <v>2.7057999999999999E-2</v>
      </c>
      <c r="AA61" s="98">
        <v>4.5869999999999999E-3</v>
      </c>
      <c r="AB61" s="106"/>
    </row>
    <row r="62" spans="1:28" ht="15" customHeight="1">
      <c r="A62" s="106"/>
      <c r="B62" s="96">
        <v>286</v>
      </c>
      <c r="C62" s="96">
        <v>286</v>
      </c>
      <c r="D62" s="96" t="s">
        <v>1222</v>
      </c>
      <c r="E62" s="96" t="s">
        <v>1258</v>
      </c>
      <c r="F62" s="96" t="s">
        <v>1259</v>
      </c>
      <c r="G62" s="96" t="s">
        <v>944</v>
      </c>
      <c r="H62" s="96" t="s">
        <v>203</v>
      </c>
      <c r="I62" s="96" t="s">
        <v>203</v>
      </c>
      <c r="J62" s="96" t="s">
        <v>339</v>
      </c>
      <c r="K62" s="96" t="s">
        <v>1225</v>
      </c>
      <c r="L62" s="96" t="s">
        <v>311</v>
      </c>
      <c r="M62" s="96" t="s">
        <v>1200</v>
      </c>
      <c r="N62" s="97">
        <v>8.68</v>
      </c>
      <c r="O62" s="100">
        <v>48883</v>
      </c>
      <c r="P62" s="98">
        <v>1.6E-2</v>
      </c>
      <c r="Q62" s="98">
        <v>2.3E-2</v>
      </c>
      <c r="R62" s="96"/>
      <c r="S62" s="97">
        <v>9848289.0283530001</v>
      </c>
      <c r="T62" s="97">
        <v>1</v>
      </c>
      <c r="U62" s="97">
        <v>96.6</v>
      </c>
      <c r="V62" s="97">
        <v>9513.4472000000005</v>
      </c>
      <c r="W62" s="96"/>
      <c r="X62" s="96"/>
      <c r="Y62" s="98">
        <v>1.5200000000000001E-3</v>
      </c>
      <c r="Z62" s="98">
        <v>2.9221E-2</v>
      </c>
      <c r="AA62" s="98">
        <v>4.9529999999999999E-3</v>
      </c>
      <c r="AB62" s="106"/>
    </row>
    <row r="63" spans="1:28" ht="15" customHeight="1">
      <c r="A63" s="106"/>
      <c r="B63" s="96">
        <v>286</v>
      </c>
      <c r="C63" s="96">
        <v>286</v>
      </c>
      <c r="D63" s="96" t="s">
        <v>1222</v>
      </c>
      <c r="E63" s="96" t="s">
        <v>1264</v>
      </c>
      <c r="F63" s="96" t="s">
        <v>1265</v>
      </c>
      <c r="G63" s="96" t="s">
        <v>946</v>
      </c>
      <c r="H63" s="96" t="s">
        <v>203</v>
      </c>
      <c r="I63" s="96" t="s">
        <v>203</v>
      </c>
      <c r="J63" s="96" t="s">
        <v>339</v>
      </c>
      <c r="K63" s="96" t="s">
        <v>1225</v>
      </c>
      <c r="L63" s="96" t="s">
        <v>311</v>
      </c>
      <c r="M63" s="96" t="s">
        <v>1200</v>
      </c>
      <c r="N63" s="97">
        <v>14.48</v>
      </c>
      <c r="O63" s="100">
        <v>53782</v>
      </c>
      <c r="P63" s="98">
        <v>3.7499999999999999E-2</v>
      </c>
      <c r="Q63" s="98">
        <v>5.4699999999999999E-2</v>
      </c>
      <c r="R63" s="96"/>
      <c r="S63" s="97">
        <v>18454522.652203001</v>
      </c>
      <c r="T63" s="97">
        <v>1</v>
      </c>
      <c r="U63" s="97">
        <v>78.790000000000006</v>
      </c>
      <c r="V63" s="97">
        <v>14540.318396000001</v>
      </c>
      <c r="W63" s="96"/>
      <c r="X63" s="96"/>
      <c r="Y63" s="98">
        <v>7.0299999999999996E-4</v>
      </c>
      <c r="Z63" s="98">
        <v>4.4660999999999999E-2</v>
      </c>
      <c r="AA63" s="98">
        <v>7.5709999999999996E-3</v>
      </c>
      <c r="AB63" s="106"/>
    </row>
    <row r="64" spans="1:28" ht="15" customHeight="1">
      <c r="A64" s="106"/>
      <c r="B64" s="96">
        <v>286</v>
      </c>
      <c r="C64" s="96">
        <v>286</v>
      </c>
      <c r="D64" s="96" t="s">
        <v>1222</v>
      </c>
      <c r="E64" s="96" t="s">
        <v>1234</v>
      </c>
      <c r="F64" s="96" t="s">
        <v>1235</v>
      </c>
      <c r="G64" s="96" t="s">
        <v>946</v>
      </c>
      <c r="H64" s="96" t="s">
        <v>203</v>
      </c>
      <c r="I64" s="96" t="s">
        <v>203</v>
      </c>
      <c r="J64" s="96" t="s">
        <v>339</v>
      </c>
      <c r="K64" s="96" t="s">
        <v>1225</v>
      </c>
      <c r="L64" s="96" t="s">
        <v>311</v>
      </c>
      <c r="M64" s="96" t="s">
        <v>1200</v>
      </c>
      <c r="N64" s="97">
        <v>7.42</v>
      </c>
      <c r="O64" s="100">
        <v>48334</v>
      </c>
      <c r="P64" s="98">
        <v>1.2999999999999999E-2</v>
      </c>
      <c r="Q64" s="98">
        <v>4.9000000000000002E-2</v>
      </c>
      <c r="R64" s="96"/>
      <c r="S64" s="97">
        <v>30730829.002671</v>
      </c>
      <c r="T64" s="97">
        <v>1</v>
      </c>
      <c r="U64" s="97">
        <v>77.260000000000005</v>
      </c>
      <c r="V64" s="97">
        <v>23742.638487</v>
      </c>
      <c r="W64" s="96"/>
      <c r="X64" s="96"/>
      <c r="Y64" s="98">
        <v>1.024E-3</v>
      </c>
      <c r="Z64" s="98">
        <v>7.2927000000000006E-2</v>
      </c>
      <c r="AA64" s="98">
        <v>1.2364E-2</v>
      </c>
      <c r="AB64" s="106"/>
    </row>
    <row r="65" spans="1:28" ht="15" customHeight="1">
      <c r="A65" s="106"/>
      <c r="B65" s="96">
        <v>286</v>
      </c>
      <c r="C65" s="96">
        <v>286</v>
      </c>
      <c r="D65" s="96" t="s">
        <v>1291</v>
      </c>
      <c r="E65" s="96" t="s">
        <v>1292</v>
      </c>
      <c r="F65" s="96" t="s">
        <v>1293</v>
      </c>
      <c r="G65" s="96" t="s">
        <v>951</v>
      </c>
      <c r="H65" s="96" t="s">
        <v>204</v>
      </c>
      <c r="I65" s="96" t="s">
        <v>223</v>
      </c>
      <c r="J65" s="96" t="s">
        <v>343</v>
      </c>
      <c r="K65" s="96" t="s">
        <v>1281</v>
      </c>
      <c r="L65" s="96" t="s">
        <v>432</v>
      </c>
      <c r="M65" s="96" t="s">
        <v>1201</v>
      </c>
      <c r="N65" s="97">
        <v>0.03</v>
      </c>
      <c r="O65" s="100">
        <v>45484</v>
      </c>
      <c r="P65" s="98">
        <v>0</v>
      </c>
      <c r="Q65" s="98">
        <v>5.3400000000000003E-2</v>
      </c>
      <c r="R65" s="96"/>
      <c r="S65" s="97">
        <v>315373.28973299998</v>
      </c>
      <c r="T65" s="97">
        <v>3.7589999999999999</v>
      </c>
      <c r="U65" s="97">
        <v>99.795900000000003</v>
      </c>
      <c r="V65" s="97">
        <v>1183.0686149999999</v>
      </c>
      <c r="W65" s="96"/>
      <c r="X65" s="96"/>
      <c r="Y65" s="98">
        <v>6.9999999999999999E-6</v>
      </c>
      <c r="Z65" s="98">
        <v>3.6329999999999999E-3</v>
      </c>
      <c r="AA65" s="98">
        <v>6.1600000000000001E-4</v>
      </c>
      <c r="AB65" s="106"/>
    </row>
    <row r="66" spans="1:28" ht="15" customHeight="1">
      <c r="A66" s="106"/>
      <c r="B66" s="96">
        <v>286</v>
      </c>
      <c r="C66" s="96">
        <v>286</v>
      </c>
      <c r="D66" s="96" t="s">
        <v>1278</v>
      </c>
      <c r="E66" s="96" t="s">
        <v>1296</v>
      </c>
      <c r="F66" s="96" t="s">
        <v>1297</v>
      </c>
      <c r="G66" s="96" t="s">
        <v>951</v>
      </c>
      <c r="H66" s="96" t="s">
        <v>204</v>
      </c>
      <c r="I66" s="96" t="s">
        <v>223</v>
      </c>
      <c r="J66" s="96" t="s">
        <v>313</v>
      </c>
      <c r="K66" s="96" t="s">
        <v>1281</v>
      </c>
      <c r="L66" s="96" t="s">
        <v>422</v>
      </c>
      <c r="M66" s="96" t="s">
        <v>1201</v>
      </c>
      <c r="N66" s="97">
        <v>7.0000000000000007E-2</v>
      </c>
      <c r="O66" s="100">
        <v>45504</v>
      </c>
      <c r="P66" s="98">
        <v>1.7500000000000002E-2</v>
      </c>
      <c r="Q66" s="98">
        <v>5.33E-2</v>
      </c>
      <c r="R66" s="96"/>
      <c r="S66" s="97">
        <v>210248.859822</v>
      </c>
      <c r="T66" s="97">
        <v>3.7589999999999999</v>
      </c>
      <c r="U66" s="97">
        <v>100.4684</v>
      </c>
      <c r="V66" s="97">
        <v>794.02737100000002</v>
      </c>
      <c r="W66" s="96"/>
      <c r="X66" s="96"/>
      <c r="Y66" s="98">
        <v>3.9999999999999998E-6</v>
      </c>
      <c r="Z66" s="98">
        <v>2.4380000000000001E-3</v>
      </c>
      <c r="AA66" s="98">
        <v>4.1300000000000001E-4</v>
      </c>
      <c r="AB66" s="106"/>
    </row>
    <row r="67" spans="1:28" ht="15" customHeight="1">
      <c r="A67" s="106"/>
      <c r="B67" s="96">
        <v>286</v>
      </c>
      <c r="C67" s="96">
        <v>286</v>
      </c>
      <c r="D67" s="96" t="s">
        <v>1222</v>
      </c>
      <c r="E67" s="96" t="s">
        <v>1294</v>
      </c>
      <c r="F67" s="96" t="s">
        <v>1295</v>
      </c>
      <c r="G67" s="96" t="s">
        <v>951</v>
      </c>
      <c r="H67" s="96" t="s">
        <v>204</v>
      </c>
      <c r="I67" s="96" t="s">
        <v>203</v>
      </c>
      <c r="J67" s="96" t="s">
        <v>313</v>
      </c>
      <c r="K67" s="96" t="s">
        <v>1288</v>
      </c>
      <c r="L67" s="96" t="s">
        <v>430</v>
      </c>
      <c r="M67" s="96" t="s">
        <v>1201</v>
      </c>
      <c r="N67" s="97">
        <v>5.28</v>
      </c>
      <c r="O67" s="100">
        <v>47667</v>
      </c>
      <c r="P67" s="98">
        <v>2.75E-2</v>
      </c>
      <c r="Q67" s="98">
        <v>5.8500000000000003E-2</v>
      </c>
      <c r="R67" s="96"/>
      <c r="S67" s="97">
        <v>367610.639356</v>
      </c>
      <c r="T67" s="97">
        <v>3.7589999999999999</v>
      </c>
      <c r="U67" s="97">
        <v>85.816000000000003</v>
      </c>
      <c r="V67" s="97">
        <v>1185.848168</v>
      </c>
      <c r="W67" s="96"/>
      <c r="X67" s="96"/>
      <c r="Y67" s="98">
        <v>1.83E-4</v>
      </c>
      <c r="Z67" s="98">
        <v>3.6419999999999998E-3</v>
      </c>
      <c r="AA67" s="98">
        <v>6.1700000000000004E-4</v>
      </c>
      <c r="AB67" s="106"/>
    </row>
    <row r="68" spans="1:28" ht="15" customHeight="1">
      <c r="A68" s="106"/>
      <c r="B68" s="96">
        <v>286</v>
      </c>
      <c r="C68" s="96">
        <v>286</v>
      </c>
      <c r="D68" s="96" t="s">
        <v>1278</v>
      </c>
      <c r="E68" s="96" t="s">
        <v>1279</v>
      </c>
      <c r="F68" s="96" t="s">
        <v>1280</v>
      </c>
      <c r="G68" s="96" t="s">
        <v>951</v>
      </c>
      <c r="H68" s="96" t="s">
        <v>204</v>
      </c>
      <c r="I68" s="96" t="s">
        <v>223</v>
      </c>
      <c r="J68" s="96" t="s">
        <v>367</v>
      </c>
      <c r="K68" s="96" t="s">
        <v>1281</v>
      </c>
      <c r="L68" s="96" t="s">
        <v>422</v>
      </c>
      <c r="M68" s="96" t="s">
        <v>1201</v>
      </c>
      <c r="N68" s="97">
        <v>7.45</v>
      </c>
      <c r="O68" s="100">
        <v>48806</v>
      </c>
      <c r="P68" s="98">
        <v>3.875E-2</v>
      </c>
      <c r="Q68" s="98">
        <v>4.41E-2</v>
      </c>
      <c r="R68" s="96"/>
      <c r="S68" s="97">
        <v>420497.719644</v>
      </c>
      <c r="T68" s="97">
        <v>3.7589999999999999</v>
      </c>
      <c r="U68" s="97">
        <v>97.495099999999994</v>
      </c>
      <c r="V68" s="97">
        <v>1541.057818</v>
      </c>
      <c r="W68" s="96"/>
      <c r="X68" s="96"/>
      <c r="Y68" s="98">
        <v>3.0000000000000001E-6</v>
      </c>
      <c r="Z68" s="98">
        <v>4.7330000000000002E-3</v>
      </c>
      <c r="AA68" s="98">
        <v>8.0199999999999998E-4</v>
      </c>
      <c r="AB68" s="106"/>
    </row>
    <row r="69" spans="1:28" ht="15" customHeight="1">
      <c r="A69" s="106"/>
      <c r="B69" s="96">
        <v>286</v>
      </c>
      <c r="C69" s="96">
        <v>286</v>
      </c>
      <c r="D69" s="96" t="s">
        <v>1278</v>
      </c>
      <c r="E69" s="96" t="s">
        <v>1282</v>
      </c>
      <c r="F69" s="96" t="s">
        <v>1283</v>
      </c>
      <c r="G69" s="96" t="s">
        <v>951</v>
      </c>
      <c r="H69" s="96" t="s">
        <v>204</v>
      </c>
      <c r="I69" s="96" t="s">
        <v>223</v>
      </c>
      <c r="J69" s="96" t="s">
        <v>379</v>
      </c>
      <c r="K69" s="96" t="s">
        <v>1281</v>
      </c>
      <c r="L69" s="96" t="s">
        <v>422</v>
      </c>
      <c r="M69" s="96" t="s">
        <v>1201</v>
      </c>
      <c r="N69" s="97">
        <v>1.26</v>
      </c>
      <c r="O69" s="100">
        <v>45961</v>
      </c>
      <c r="P69" s="98">
        <v>0.05</v>
      </c>
      <c r="Q69" s="98">
        <v>5.0099999999999999E-2</v>
      </c>
      <c r="R69" s="96"/>
      <c r="S69" s="97">
        <v>16819.908785</v>
      </c>
      <c r="T69" s="97">
        <v>3.7589999999999999</v>
      </c>
      <c r="U69" s="97">
        <v>100.8394</v>
      </c>
      <c r="V69" s="97">
        <v>63.756762000000002</v>
      </c>
      <c r="W69" s="96"/>
      <c r="X69" s="96"/>
      <c r="Y69" s="98">
        <v>0</v>
      </c>
      <c r="Z69" s="98">
        <v>1.95E-4</v>
      </c>
      <c r="AA69" s="98">
        <v>3.3000000000000003E-5</v>
      </c>
      <c r="AB69" s="106"/>
    </row>
    <row r="70" spans="1:28" ht="15" customHeight="1">
      <c r="A70" s="106"/>
      <c r="B70" s="96">
        <v>286</v>
      </c>
      <c r="C70" s="96">
        <v>286</v>
      </c>
      <c r="D70" s="96" t="s">
        <v>1278</v>
      </c>
      <c r="E70" s="96" t="s">
        <v>1284</v>
      </c>
      <c r="F70" s="96" t="s">
        <v>1285</v>
      </c>
      <c r="G70" s="96" t="s">
        <v>951</v>
      </c>
      <c r="H70" s="96" t="s">
        <v>204</v>
      </c>
      <c r="I70" s="96" t="s">
        <v>223</v>
      </c>
      <c r="J70" s="96" t="s">
        <v>379</v>
      </c>
      <c r="K70" s="96" t="s">
        <v>1281</v>
      </c>
      <c r="L70" s="96" t="s">
        <v>422</v>
      </c>
      <c r="M70" s="96" t="s">
        <v>1201</v>
      </c>
      <c r="N70" s="97">
        <v>3.84</v>
      </c>
      <c r="O70" s="100">
        <v>47057</v>
      </c>
      <c r="P70" s="98">
        <v>4.8750000000000002E-2</v>
      </c>
      <c r="Q70" s="98">
        <v>4.4200000000000003E-2</v>
      </c>
      <c r="R70" s="96"/>
      <c r="S70" s="97">
        <v>16819.908785</v>
      </c>
      <c r="T70" s="97">
        <v>3.7589999999999999</v>
      </c>
      <c r="U70" s="97">
        <v>102.57810000000001</v>
      </c>
      <c r="V70" s="97">
        <v>64.856082999999998</v>
      </c>
      <c r="W70" s="96"/>
      <c r="X70" s="96"/>
      <c r="Y70" s="98">
        <v>0</v>
      </c>
      <c r="Z70" s="98">
        <v>1.9900000000000001E-4</v>
      </c>
      <c r="AA70" s="98">
        <v>3.3000000000000003E-5</v>
      </c>
      <c r="AB70" s="106"/>
    </row>
    <row r="71" spans="1:28" ht="15" customHeight="1">
      <c r="A71" s="106"/>
      <c r="B71" s="96">
        <v>286</v>
      </c>
      <c r="C71" s="96">
        <v>286</v>
      </c>
      <c r="D71" s="96" t="s">
        <v>1222</v>
      </c>
      <c r="E71" s="96" t="s">
        <v>1286</v>
      </c>
      <c r="F71" s="96" t="s">
        <v>1287</v>
      </c>
      <c r="G71" s="96" t="s">
        <v>951</v>
      </c>
      <c r="H71" s="96" t="s">
        <v>204</v>
      </c>
      <c r="I71" s="96" t="s">
        <v>203</v>
      </c>
      <c r="J71" s="96" t="s">
        <v>379</v>
      </c>
      <c r="K71" s="96" t="s">
        <v>1288</v>
      </c>
      <c r="L71" s="96" t="s">
        <v>430</v>
      </c>
      <c r="M71" s="96" t="s">
        <v>1201</v>
      </c>
      <c r="N71" s="97">
        <v>7.23</v>
      </c>
      <c r="O71" s="100">
        <v>49015</v>
      </c>
      <c r="P71" s="98">
        <v>5.5E-2</v>
      </c>
      <c r="Q71" s="98">
        <v>6.13E-2</v>
      </c>
      <c r="R71" s="96"/>
      <c r="S71" s="97">
        <v>216890.27721999999</v>
      </c>
      <c r="T71" s="97">
        <v>3.7589999999999999</v>
      </c>
      <c r="U71" s="97">
        <v>97.060500000000005</v>
      </c>
      <c r="V71" s="97">
        <v>791.32553900000005</v>
      </c>
      <c r="W71" s="96"/>
      <c r="X71" s="96"/>
      <c r="Y71" s="98">
        <v>7.2000000000000002E-5</v>
      </c>
      <c r="Z71" s="98">
        <v>2.4299999999999999E-3</v>
      </c>
      <c r="AA71" s="98">
        <v>4.1199999999999999E-4</v>
      </c>
      <c r="AB71" s="106"/>
    </row>
    <row r="72" spans="1:28" ht="15" customHeight="1">
      <c r="A72" s="106"/>
      <c r="B72" s="96">
        <v>286</v>
      </c>
      <c r="C72" s="96">
        <v>286</v>
      </c>
      <c r="D72" s="96" t="s">
        <v>1278</v>
      </c>
      <c r="E72" s="96" t="s">
        <v>1289</v>
      </c>
      <c r="F72" s="96" t="s">
        <v>1290</v>
      </c>
      <c r="G72" s="96" t="s">
        <v>951</v>
      </c>
      <c r="H72" s="96" t="s">
        <v>204</v>
      </c>
      <c r="I72" s="96" t="s">
        <v>223</v>
      </c>
      <c r="J72" s="96" t="s">
        <v>313</v>
      </c>
      <c r="K72" s="96" t="s">
        <v>1281</v>
      </c>
      <c r="L72" s="96" t="s">
        <v>422</v>
      </c>
      <c r="M72" s="96" t="s">
        <v>1201</v>
      </c>
      <c r="N72" s="97">
        <v>0.24</v>
      </c>
      <c r="O72" s="100">
        <v>45565</v>
      </c>
      <c r="P72" s="98">
        <v>1.4999999999999999E-2</v>
      </c>
      <c r="Q72" s="98">
        <v>5.3900000000000003E-2</v>
      </c>
      <c r="R72" s="96"/>
      <c r="S72" s="97">
        <v>746383.45236899995</v>
      </c>
      <c r="T72" s="97">
        <v>3.7589999999999999</v>
      </c>
      <c r="U72" s="97">
        <v>99.453299999999999</v>
      </c>
      <c r="V72" s="97">
        <v>2790.3192829999998</v>
      </c>
      <c r="W72" s="96"/>
      <c r="X72" s="96"/>
      <c r="Y72" s="98">
        <v>1.5999999999999999E-5</v>
      </c>
      <c r="Z72" s="98">
        <v>8.5699999999999995E-3</v>
      </c>
      <c r="AA72" s="98">
        <v>1.4530000000000001E-3</v>
      </c>
      <c r="AB72" s="106"/>
    </row>
    <row r="73" spans="1:28" ht="15" customHeight="1">
      <c r="A73" s="106"/>
      <c r="B73" s="96">
        <v>286</v>
      </c>
      <c r="C73" s="96">
        <v>9803</v>
      </c>
      <c r="D73" s="96" t="s">
        <v>1222</v>
      </c>
      <c r="E73" s="96" t="s">
        <v>1266</v>
      </c>
      <c r="F73" s="96" t="s">
        <v>1267</v>
      </c>
      <c r="G73" s="96" t="s">
        <v>946</v>
      </c>
      <c r="H73" s="96" t="s">
        <v>203</v>
      </c>
      <c r="I73" s="96" t="s">
        <v>203</v>
      </c>
      <c r="J73" s="96" t="s">
        <v>339</v>
      </c>
      <c r="K73" s="96" t="s">
        <v>1225</v>
      </c>
      <c r="L73" s="96" t="s">
        <v>311</v>
      </c>
      <c r="M73" s="96" t="s">
        <v>1200</v>
      </c>
      <c r="N73" s="97">
        <v>11.51</v>
      </c>
      <c r="O73" s="100">
        <v>51897</v>
      </c>
      <c r="P73" s="98">
        <v>5.5E-2</v>
      </c>
      <c r="Q73" s="98">
        <v>5.33E-2</v>
      </c>
      <c r="R73" s="96"/>
      <c r="S73" s="97">
        <v>271922.46409800003</v>
      </c>
      <c r="T73" s="97">
        <v>1</v>
      </c>
      <c r="U73" s="97">
        <v>104.09</v>
      </c>
      <c r="V73" s="97">
        <v>283.04409099999998</v>
      </c>
      <c r="W73" s="96"/>
      <c r="X73" s="96"/>
      <c r="Y73" s="98">
        <v>1.4E-5</v>
      </c>
      <c r="Z73" s="98">
        <v>4.8774999999999999E-2</v>
      </c>
      <c r="AA73" s="98">
        <v>1.6974E-2</v>
      </c>
      <c r="AB73" s="106"/>
    </row>
    <row r="74" spans="1:28" ht="15" customHeight="1">
      <c r="A74" s="106"/>
      <c r="B74" s="96">
        <v>286</v>
      </c>
      <c r="C74" s="96">
        <v>9803</v>
      </c>
      <c r="D74" s="96" t="s">
        <v>1222</v>
      </c>
      <c r="E74" s="96" t="s">
        <v>1276</v>
      </c>
      <c r="F74" s="96" t="s">
        <v>1277</v>
      </c>
      <c r="G74" s="96" t="s">
        <v>944</v>
      </c>
      <c r="H74" s="96" t="s">
        <v>203</v>
      </c>
      <c r="I74" s="96" t="s">
        <v>203</v>
      </c>
      <c r="J74" s="96" t="s">
        <v>339</v>
      </c>
      <c r="K74" s="96" t="s">
        <v>1225</v>
      </c>
      <c r="L74" s="96" t="s">
        <v>311</v>
      </c>
      <c r="M74" s="96" t="s">
        <v>1200</v>
      </c>
      <c r="N74" s="97">
        <v>13.72</v>
      </c>
      <c r="O74" s="100">
        <v>51743</v>
      </c>
      <c r="P74" s="98">
        <v>2.75E-2</v>
      </c>
      <c r="Q74" s="98">
        <v>2.35E-2</v>
      </c>
      <c r="R74" s="96"/>
      <c r="S74" s="97">
        <v>132886.13990800001</v>
      </c>
      <c r="T74" s="97">
        <v>1</v>
      </c>
      <c r="U74" s="97">
        <v>131.08000000000001</v>
      </c>
      <c r="V74" s="97">
        <v>174.187152</v>
      </c>
      <c r="W74" s="96"/>
      <c r="X74" s="96"/>
      <c r="Y74" s="98">
        <v>6.9999999999999999E-6</v>
      </c>
      <c r="Z74" s="98">
        <v>3.0016000000000001E-2</v>
      </c>
      <c r="AA74" s="98">
        <v>1.0446E-2</v>
      </c>
      <c r="AB74" s="106"/>
    </row>
    <row r="75" spans="1:28" ht="15" customHeight="1">
      <c r="A75" s="106"/>
      <c r="B75" s="96">
        <v>286</v>
      </c>
      <c r="C75" s="96">
        <v>9803</v>
      </c>
      <c r="D75" s="96" t="s">
        <v>1222</v>
      </c>
      <c r="E75" s="96" t="s">
        <v>1232</v>
      </c>
      <c r="F75" s="96" t="s">
        <v>1233</v>
      </c>
      <c r="G75" s="96" t="s">
        <v>944</v>
      </c>
      <c r="H75" s="96" t="s">
        <v>203</v>
      </c>
      <c r="I75" s="96" t="s">
        <v>203</v>
      </c>
      <c r="J75" s="96" t="s">
        <v>339</v>
      </c>
      <c r="K75" s="96" t="s">
        <v>1225</v>
      </c>
      <c r="L75" s="96" t="s">
        <v>311</v>
      </c>
      <c r="M75" s="96" t="s">
        <v>1200</v>
      </c>
      <c r="N75" s="97">
        <v>9.8800000000000008</v>
      </c>
      <c r="O75" s="100">
        <v>49825</v>
      </c>
      <c r="P75" s="98">
        <v>0.04</v>
      </c>
      <c r="Q75" s="98">
        <v>2.3099999999999999E-2</v>
      </c>
      <c r="R75" s="96"/>
      <c r="S75" s="97">
        <v>61182.889973999998</v>
      </c>
      <c r="T75" s="97">
        <v>1</v>
      </c>
      <c r="U75" s="97">
        <v>159.08000000000001</v>
      </c>
      <c r="V75" s="97">
        <v>97.329740999999999</v>
      </c>
      <c r="W75" s="96"/>
      <c r="X75" s="96"/>
      <c r="Y75" s="98">
        <v>3.0000000000000001E-6</v>
      </c>
      <c r="Z75" s="98">
        <v>1.6771999999999999E-2</v>
      </c>
      <c r="AA75" s="98">
        <v>5.836E-3</v>
      </c>
      <c r="AB75" s="106"/>
    </row>
    <row r="76" spans="1:28" ht="15" customHeight="1">
      <c r="A76" s="106"/>
      <c r="B76" s="96">
        <v>286</v>
      </c>
      <c r="C76" s="96">
        <v>9803</v>
      </c>
      <c r="D76" s="96" t="s">
        <v>1222</v>
      </c>
      <c r="E76" s="96" t="s">
        <v>1262</v>
      </c>
      <c r="F76" s="96" t="s">
        <v>1263</v>
      </c>
      <c r="G76" s="96" t="s">
        <v>944</v>
      </c>
      <c r="H76" s="96" t="s">
        <v>203</v>
      </c>
      <c r="I76" s="96" t="s">
        <v>203</v>
      </c>
      <c r="J76" s="96" t="s">
        <v>339</v>
      </c>
      <c r="K76" s="96" t="s">
        <v>1225</v>
      </c>
      <c r="L76" s="96" t="s">
        <v>311</v>
      </c>
      <c r="M76" s="96" t="s">
        <v>1200</v>
      </c>
      <c r="N76" s="97">
        <v>4.2300000000000004</v>
      </c>
      <c r="O76" s="100">
        <v>47057</v>
      </c>
      <c r="P76" s="98">
        <v>1.0999999999999999E-2</v>
      </c>
      <c r="Q76" s="98">
        <v>1.9400000000000001E-2</v>
      </c>
      <c r="R76" s="96"/>
      <c r="S76" s="97">
        <v>474854.14681399998</v>
      </c>
      <c r="T76" s="97">
        <v>1</v>
      </c>
      <c r="U76" s="97">
        <v>99.98</v>
      </c>
      <c r="V76" s="97">
        <v>474.75917500000003</v>
      </c>
      <c r="W76" s="96"/>
      <c r="X76" s="96"/>
      <c r="Y76" s="98">
        <v>3.0000000000000001E-5</v>
      </c>
      <c r="Z76" s="98">
        <v>8.1811999999999996E-2</v>
      </c>
      <c r="AA76" s="98">
        <v>2.8471E-2</v>
      </c>
      <c r="AB76" s="106"/>
    </row>
    <row r="77" spans="1:28" ht="15" customHeight="1">
      <c r="A77" s="106"/>
      <c r="B77" s="96">
        <v>286</v>
      </c>
      <c r="C77" s="96">
        <v>9803</v>
      </c>
      <c r="D77" s="96" t="s">
        <v>1222</v>
      </c>
      <c r="E77" s="96" t="s">
        <v>1240</v>
      </c>
      <c r="F77" s="96" t="s">
        <v>1241</v>
      </c>
      <c r="G77" s="96" t="s">
        <v>944</v>
      </c>
      <c r="H77" s="96" t="s">
        <v>203</v>
      </c>
      <c r="I77" s="96" t="s">
        <v>203</v>
      </c>
      <c r="J77" s="96" t="s">
        <v>339</v>
      </c>
      <c r="K77" s="96" t="s">
        <v>1225</v>
      </c>
      <c r="L77" s="96" t="s">
        <v>311</v>
      </c>
      <c r="M77" s="96" t="s">
        <v>1200</v>
      </c>
      <c r="N77" s="97">
        <v>4.87</v>
      </c>
      <c r="O77" s="100">
        <v>47269</v>
      </c>
      <c r="P77" s="98">
        <v>5.0000000000000001E-3</v>
      </c>
      <c r="Q77" s="98">
        <v>1.9900000000000001E-2</v>
      </c>
      <c r="R77" s="96"/>
      <c r="S77" s="97">
        <v>541942.219377</v>
      </c>
      <c r="T77" s="97">
        <v>1</v>
      </c>
      <c r="U77" s="97">
        <v>105.85</v>
      </c>
      <c r="V77" s="97">
        <v>573.64583900000002</v>
      </c>
      <c r="W77" s="96"/>
      <c r="X77" s="96"/>
      <c r="Y77" s="98">
        <v>2.1999999999999999E-5</v>
      </c>
      <c r="Z77" s="98">
        <v>9.8852999999999996E-2</v>
      </c>
      <c r="AA77" s="98">
        <v>3.4401000000000001E-2</v>
      </c>
      <c r="AB77" s="106"/>
    </row>
    <row r="78" spans="1:28" ht="15" customHeight="1">
      <c r="A78" s="106"/>
      <c r="B78" s="96">
        <v>286</v>
      </c>
      <c r="C78" s="96">
        <v>9803</v>
      </c>
      <c r="D78" s="96" t="s">
        <v>1222</v>
      </c>
      <c r="E78" s="96" t="s">
        <v>1272</v>
      </c>
      <c r="F78" s="96" t="s">
        <v>1273</v>
      </c>
      <c r="G78" s="96" t="s">
        <v>944</v>
      </c>
      <c r="H78" s="96" t="s">
        <v>203</v>
      </c>
      <c r="I78" s="96" t="s">
        <v>203</v>
      </c>
      <c r="J78" s="96" t="s">
        <v>339</v>
      </c>
      <c r="K78" s="96" t="s">
        <v>1225</v>
      </c>
      <c r="L78" s="96" t="s">
        <v>311</v>
      </c>
      <c r="M78" s="96" t="s">
        <v>1200</v>
      </c>
      <c r="N78" s="97">
        <v>18.62</v>
      </c>
      <c r="O78" s="100">
        <v>53113</v>
      </c>
      <c r="P78" s="98">
        <v>0.01</v>
      </c>
      <c r="Q78" s="98">
        <v>2.4299999999999999E-2</v>
      </c>
      <c r="R78" s="96"/>
      <c r="S78" s="97">
        <v>43450.150322000001</v>
      </c>
      <c r="T78" s="97">
        <v>1</v>
      </c>
      <c r="U78" s="97">
        <v>88.06</v>
      </c>
      <c r="V78" s="97">
        <v>38.262202000000002</v>
      </c>
      <c r="W78" s="96"/>
      <c r="X78" s="96"/>
      <c r="Y78" s="98">
        <v>1.9999999999999999E-6</v>
      </c>
      <c r="Z78" s="98">
        <v>6.5929999999999999E-3</v>
      </c>
      <c r="AA78" s="98">
        <v>2.294E-3</v>
      </c>
      <c r="AB78" s="106"/>
    </row>
    <row r="79" spans="1:28" ht="15" customHeight="1">
      <c r="A79" s="106"/>
      <c r="B79" s="96">
        <v>286</v>
      </c>
      <c r="C79" s="96">
        <v>9803</v>
      </c>
      <c r="D79" s="96" t="s">
        <v>1222</v>
      </c>
      <c r="E79" s="96" t="s">
        <v>1238</v>
      </c>
      <c r="F79" s="96" t="s">
        <v>1239</v>
      </c>
      <c r="G79" s="96" t="s">
        <v>946</v>
      </c>
      <c r="H79" s="96" t="s">
        <v>203</v>
      </c>
      <c r="I79" s="96" t="s">
        <v>203</v>
      </c>
      <c r="J79" s="96" t="s">
        <v>339</v>
      </c>
      <c r="K79" s="96" t="s">
        <v>1225</v>
      </c>
      <c r="L79" s="96" t="s">
        <v>311</v>
      </c>
      <c r="M79" s="96" t="s">
        <v>1200</v>
      </c>
      <c r="N79" s="97">
        <v>11.5</v>
      </c>
      <c r="O79" s="100">
        <v>50191</v>
      </c>
      <c r="P79" s="98">
        <v>1.4999999999999999E-2</v>
      </c>
      <c r="Q79" s="98">
        <v>5.21E-2</v>
      </c>
      <c r="R79" s="96"/>
      <c r="S79" s="97">
        <v>93800.871696999995</v>
      </c>
      <c r="T79" s="97">
        <v>1</v>
      </c>
      <c r="U79" s="97">
        <v>65.83</v>
      </c>
      <c r="V79" s="97">
        <v>61.749111999999997</v>
      </c>
      <c r="W79" s="96"/>
      <c r="X79" s="96"/>
      <c r="Y79" s="98">
        <v>1.9999999999999999E-6</v>
      </c>
      <c r="Z79" s="98">
        <v>1.064E-2</v>
      </c>
      <c r="AA79" s="98">
        <v>3.7030000000000001E-3</v>
      </c>
      <c r="AB79" s="106"/>
    </row>
    <row r="80" spans="1:28" ht="15" customHeight="1">
      <c r="A80" s="106"/>
      <c r="B80" s="96">
        <v>286</v>
      </c>
      <c r="C80" s="96">
        <v>9803</v>
      </c>
      <c r="D80" s="96" t="s">
        <v>1222</v>
      </c>
      <c r="E80" s="96" t="s">
        <v>1236</v>
      </c>
      <c r="F80" s="96" t="s">
        <v>1237</v>
      </c>
      <c r="G80" s="96" t="s">
        <v>946</v>
      </c>
      <c r="H80" s="96" t="s">
        <v>203</v>
      </c>
      <c r="I80" s="96" t="s">
        <v>203</v>
      </c>
      <c r="J80" s="96" t="s">
        <v>339</v>
      </c>
      <c r="K80" s="96" t="s">
        <v>1225</v>
      </c>
      <c r="L80" s="96" t="s">
        <v>311</v>
      </c>
      <c r="M80" s="96" t="s">
        <v>1200</v>
      </c>
      <c r="N80" s="97">
        <v>2.16</v>
      </c>
      <c r="O80" s="100">
        <v>46325</v>
      </c>
      <c r="P80" s="98">
        <v>6.25E-2</v>
      </c>
      <c r="Q80" s="98">
        <v>4.41E-2</v>
      </c>
      <c r="R80" s="96"/>
      <c r="S80" s="97">
        <v>74865.355345000004</v>
      </c>
      <c r="T80" s="97">
        <v>1</v>
      </c>
      <c r="U80" s="97">
        <v>108.16</v>
      </c>
      <c r="V80" s="97">
        <v>80.974367000000001</v>
      </c>
      <c r="W80" s="96"/>
      <c r="X80" s="96"/>
      <c r="Y80" s="98">
        <v>5.0000000000000004E-6</v>
      </c>
      <c r="Z80" s="98">
        <v>1.3953E-2</v>
      </c>
      <c r="AA80" s="98">
        <v>4.8549999999999999E-3</v>
      </c>
      <c r="AB80" s="106"/>
    </row>
    <row r="81" spans="1:28" ht="15" customHeight="1">
      <c r="A81" s="106"/>
      <c r="B81" s="96">
        <v>286</v>
      </c>
      <c r="C81" s="96">
        <v>9803</v>
      </c>
      <c r="D81" s="96" t="s">
        <v>1222</v>
      </c>
      <c r="E81" s="96" t="s">
        <v>1248</v>
      </c>
      <c r="F81" s="96" t="s">
        <v>1249</v>
      </c>
      <c r="G81" s="96" t="s">
        <v>944</v>
      </c>
      <c r="H81" s="96" t="s">
        <v>203</v>
      </c>
      <c r="I81" s="96" t="s">
        <v>203</v>
      </c>
      <c r="J81" s="96" t="s">
        <v>339</v>
      </c>
      <c r="K81" s="96" t="s">
        <v>1225</v>
      </c>
      <c r="L81" s="96" t="s">
        <v>311</v>
      </c>
      <c r="M81" s="96" t="s">
        <v>1200</v>
      </c>
      <c r="N81" s="97">
        <v>2.89</v>
      </c>
      <c r="O81" s="100">
        <v>46538</v>
      </c>
      <c r="P81" s="98">
        <v>7.4999999999999997E-3</v>
      </c>
      <c r="Q81" s="98">
        <v>1.7399999999999999E-2</v>
      </c>
      <c r="R81" s="96"/>
      <c r="S81" s="97">
        <v>197300.141152</v>
      </c>
      <c r="T81" s="97">
        <v>1</v>
      </c>
      <c r="U81" s="97">
        <v>111.66</v>
      </c>
      <c r="V81" s="97">
        <v>220.30533600000001</v>
      </c>
      <c r="W81" s="96"/>
      <c r="X81" s="96"/>
      <c r="Y81" s="98">
        <v>7.9999999999999996E-6</v>
      </c>
      <c r="Z81" s="98">
        <v>3.7962999999999997E-2</v>
      </c>
      <c r="AA81" s="98">
        <v>1.3211000000000001E-2</v>
      </c>
      <c r="AB81" s="106"/>
    </row>
    <row r="82" spans="1:28" ht="15" customHeight="1">
      <c r="A82" s="106"/>
      <c r="B82" s="96">
        <v>286</v>
      </c>
      <c r="C82" s="96">
        <v>9803</v>
      </c>
      <c r="D82" s="96" t="s">
        <v>1222</v>
      </c>
      <c r="E82" s="96" t="s">
        <v>1252</v>
      </c>
      <c r="F82" s="96" t="s">
        <v>1253</v>
      </c>
      <c r="G82" s="96" t="s">
        <v>950</v>
      </c>
      <c r="H82" s="96" t="s">
        <v>203</v>
      </c>
      <c r="I82" s="96" t="s">
        <v>203</v>
      </c>
      <c r="J82" s="96" t="s">
        <v>339</v>
      </c>
      <c r="K82" s="96" t="s">
        <v>1225</v>
      </c>
      <c r="L82" s="96" t="s">
        <v>311</v>
      </c>
      <c r="M82" s="96" t="s">
        <v>1200</v>
      </c>
      <c r="N82" s="97">
        <v>0.01</v>
      </c>
      <c r="O82" s="100">
        <v>45476</v>
      </c>
      <c r="P82" s="98">
        <v>0</v>
      </c>
      <c r="Q82" s="98">
        <v>5.6300000000000003E-2</v>
      </c>
      <c r="R82" s="96"/>
      <c r="S82" s="97">
        <v>2544.3783010000002</v>
      </c>
      <c r="T82" s="97">
        <v>1</v>
      </c>
      <c r="U82" s="97">
        <v>99.97</v>
      </c>
      <c r="V82" s="97">
        <v>2.5436139999999998</v>
      </c>
      <c r="W82" s="96"/>
      <c r="X82" s="96"/>
      <c r="Y82" s="98">
        <v>0</v>
      </c>
      <c r="Z82" s="98">
        <v>4.3800000000000002E-4</v>
      </c>
      <c r="AA82" s="98">
        <v>1.5200000000000001E-4</v>
      </c>
      <c r="AB82" s="106"/>
    </row>
    <row r="83" spans="1:28" ht="15" customHeight="1">
      <c r="A83" s="106"/>
      <c r="B83" s="96">
        <v>286</v>
      </c>
      <c r="C83" s="96">
        <v>9803</v>
      </c>
      <c r="D83" s="96" t="s">
        <v>1222</v>
      </c>
      <c r="E83" s="96" t="s">
        <v>1260</v>
      </c>
      <c r="F83" s="96" t="s">
        <v>1261</v>
      </c>
      <c r="G83" s="96" t="s">
        <v>946</v>
      </c>
      <c r="H83" s="96" t="s">
        <v>203</v>
      </c>
      <c r="I83" s="96" t="s">
        <v>203</v>
      </c>
      <c r="J83" s="96" t="s">
        <v>339</v>
      </c>
      <c r="K83" s="96" t="s">
        <v>1225</v>
      </c>
      <c r="L83" s="96" t="s">
        <v>311</v>
      </c>
      <c r="M83" s="96" t="s">
        <v>1200</v>
      </c>
      <c r="N83" s="97">
        <v>5.58</v>
      </c>
      <c r="O83" s="100">
        <v>47573</v>
      </c>
      <c r="P83" s="98">
        <v>0.01</v>
      </c>
      <c r="Q83" s="98">
        <v>4.7600000000000003E-2</v>
      </c>
      <c r="R83" s="96"/>
      <c r="S83" s="97">
        <v>578116.02202899999</v>
      </c>
      <c r="T83" s="97">
        <v>1</v>
      </c>
      <c r="U83" s="97">
        <v>81.73</v>
      </c>
      <c r="V83" s="97">
        <v>472.49422399999997</v>
      </c>
      <c r="W83" s="96"/>
      <c r="X83" s="96"/>
      <c r="Y83" s="98">
        <v>1.5E-5</v>
      </c>
      <c r="Z83" s="98">
        <v>8.1421999999999994E-2</v>
      </c>
      <c r="AA83" s="98">
        <v>2.8334999999999999E-2</v>
      </c>
      <c r="AB83" s="106"/>
    </row>
    <row r="84" spans="1:28" ht="15" customHeight="1">
      <c r="A84" s="106"/>
      <c r="B84" s="96">
        <v>286</v>
      </c>
      <c r="C84" s="96">
        <v>9803</v>
      </c>
      <c r="D84" s="96" t="s">
        <v>1222</v>
      </c>
      <c r="E84" s="96" t="s">
        <v>1258</v>
      </c>
      <c r="F84" s="96" t="s">
        <v>1259</v>
      </c>
      <c r="G84" s="96" t="s">
        <v>944</v>
      </c>
      <c r="H84" s="96" t="s">
        <v>203</v>
      </c>
      <c r="I84" s="96" t="s">
        <v>203</v>
      </c>
      <c r="J84" s="96" t="s">
        <v>339</v>
      </c>
      <c r="K84" s="96" t="s">
        <v>1225</v>
      </c>
      <c r="L84" s="96" t="s">
        <v>311</v>
      </c>
      <c r="M84" s="96" t="s">
        <v>1200</v>
      </c>
      <c r="N84" s="97">
        <v>8.68</v>
      </c>
      <c r="O84" s="100">
        <v>48883</v>
      </c>
      <c r="P84" s="98">
        <v>1.6E-2</v>
      </c>
      <c r="Q84" s="98">
        <v>2.3E-2</v>
      </c>
      <c r="R84" s="96"/>
      <c r="S84" s="97">
        <v>179081.46571399999</v>
      </c>
      <c r="T84" s="97">
        <v>1</v>
      </c>
      <c r="U84" s="97">
        <v>96.6</v>
      </c>
      <c r="V84" s="97">
        <v>172.992695</v>
      </c>
      <c r="W84" s="96"/>
      <c r="X84" s="96"/>
      <c r="Y84" s="98">
        <v>2.6999999999999999E-5</v>
      </c>
      <c r="Z84" s="98">
        <v>2.981E-2</v>
      </c>
      <c r="AA84" s="98">
        <v>1.0373E-2</v>
      </c>
      <c r="AB84" s="106"/>
    </row>
    <row r="85" spans="1:28" ht="15" customHeight="1">
      <c r="A85" s="106"/>
      <c r="B85" s="96">
        <v>286</v>
      </c>
      <c r="C85" s="96">
        <v>9803</v>
      </c>
      <c r="D85" s="96" t="s">
        <v>1222</v>
      </c>
      <c r="E85" s="96" t="s">
        <v>1274</v>
      </c>
      <c r="F85" s="96" t="s">
        <v>1275</v>
      </c>
      <c r="G85" s="96" t="s">
        <v>946</v>
      </c>
      <c r="H85" s="96" t="s">
        <v>203</v>
      </c>
      <c r="I85" s="96" t="s">
        <v>203</v>
      </c>
      <c r="J85" s="96" t="s">
        <v>339</v>
      </c>
      <c r="K85" s="96" t="s">
        <v>1225</v>
      </c>
      <c r="L85" s="96" t="s">
        <v>311</v>
      </c>
      <c r="M85" s="96" t="s">
        <v>1200</v>
      </c>
      <c r="N85" s="97">
        <v>3.07</v>
      </c>
      <c r="O85" s="100">
        <v>46660</v>
      </c>
      <c r="P85" s="98">
        <v>3.7499999999999999E-2</v>
      </c>
      <c r="Q85" s="98">
        <v>4.5600000000000002E-2</v>
      </c>
      <c r="R85" s="96"/>
      <c r="S85" s="97">
        <v>267862.823638</v>
      </c>
      <c r="T85" s="97">
        <v>1</v>
      </c>
      <c r="U85" s="97">
        <v>99.11</v>
      </c>
      <c r="V85" s="97">
        <v>265.47884399999998</v>
      </c>
      <c r="W85" s="96"/>
      <c r="X85" s="96"/>
      <c r="Y85" s="98">
        <v>2.4000000000000001E-5</v>
      </c>
      <c r="Z85" s="98">
        <v>4.5747999999999997E-2</v>
      </c>
      <c r="AA85" s="98">
        <v>1.592E-2</v>
      </c>
      <c r="AB85" s="106"/>
    </row>
    <row r="86" spans="1:28" ht="15" customHeight="1">
      <c r="A86" s="106"/>
      <c r="B86" s="96">
        <v>286</v>
      </c>
      <c r="C86" s="96">
        <v>9803</v>
      </c>
      <c r="D86" s="96" t="s">
        <v>1222</v>
      </c>
      <c r="E86" s="96" t="s">
        <v>1268</v>
      </c>
      <c r="F86" s="96" t="s">
        <v>1269</v>
      </c>
      <c r="G86" s="96" t="s">
        <v>946</v>
      </c>
      <c r="H86" s="96" t="s">
        <v>203</v>
      </c>
      <c r="I86" s="96" t="s">
        <v>203</v>
      </c>
      <c r="J86" s="96" t="s">
        <v>339</v>
      </c>
      <c r="K86" s="96" t="s">
        <v>1225</v>
      </c>
      <c r="L86" s="96" t="s">
        <v>311</v>
      </c>
      <c r="M86" s="96" t="s">
        <v>1200</v>
      </c>
      <c r="N86" s="97">
        <v>4.3099999999999996</v>
      </c>
      <c r="O86" s="100">
        <v>47177</v>
      </c>
      <c r="P86" s="98">
        <v>3.7499999999999999E-2</v>
      </c>
      <c r="Q86" s="98">
        <v>4.6600000000000003E-2</v>
      </c>
      <c r="R86" s="96"/>
      <c r="S86" s="97">
        <v>575779.33277099999</v>
      </c>
      <c r="T86" s="97">
        <v>1</v>
      </c>
      <c r="U86" s="97">
        <v>97.49</v>
      </c>
      <c r="V86" s="97">
        <v>561.32727</v>
      </c>
      <c r="W86" s="96"/>
      <c r="X86" s="96"/>
      <c r="Y86" s="98">
        <v>2.0999999999999999E-5</v>
      </c>
      <c r="Z86" s="98">
        <v>9.6729999999999997E-2</v>
      </c>
      <c r="AA86" s="98">
        <v>3.3662999999999998E-2</v>
      </c>
      <c r="AB86" s="106"/>
    </row>
    <row r="87" spans="1:28" ht="15" customHeight="1">
      <c r="A87" s="106"/>
      <c r="B87" s="96">
        <v>286</v>
      </c>
      <c r="C87" s="96">
        <v>9803</v>
      </c>
      <c r="D87" s="96" t="s">
        <v>1222</v>
      </c>
      <c r="E87" s="96" t="s">
        <v>1226</v>
      </c>
      <c r="F87" s="96" t="s">
        <v>1227</v>
      </c>
      <c r="G87" s="96" t="s">
        <v>946</v>
      </c>
      <c r="H87" s="96" t="s">
        <v>203</v>
      </c>
      <c r="I87" s="96" t="s">
        <v>203</v>
      </c>
      <c r="J87" s="96" t="s">
        <v>339</v>
      </c>
      <c r="K87" s="96" t="s">
        <v>1225</v>
      </c>
      <c r="L87" s="96" t="s">
        <v>311</v>
      </c>
      <c r="M87" s="96" t="s">
        <v>1200</v>
      </c>
      <c r="N87" s="97">
        <v>4.0199999999999996</v>
      </c>
      <c r="O87" s="100">
        <v>47024</v>
      </c>
      <c r="P87" s="98">
        <v>2.2499999999999999E-2</v>
      </c>
      <c r="Q87" s="98">
        <v>4.6199999999999998E-2</v>
      </c>
      <c r="R87" s="96"/>
      <c r="S87" s="97">
        <v>327270.090799</v>
      </c>
      <c r="T87" s="97">
        <v>1</v>
      </c>
      <c r="U87" s="97">
        <v>92.73</v>
      </c>
      <c r="V87" s="97">
        <v>303.477555</v>
      </c>
      <c r="W87" s="96"/>
      <c r="X87" s="96"/>
      <c r="Y87" s="98">
        <v>1.0000000000000001E-5</v>
      </c>
      <c r="Z87" s="98">
        <v>5.2296000000000002E-2</v>
      </c>
      <c r="AA87" s="98">
        <v>1.8199E-2</v>
      </c>
      <c r="AB87" s="106"/>
    </row>
    <row r="88" spans="1:28" ht="15" customHeight="1">
      <c r="A88" s="106"/>
      <c r="B88" s="96">
        <v>286</v>
      </c>
      <c r="C88" s="96">
        <v>9803</v>
      </c>
      <c r="D88" s="96" t="s">
        <v>1222</v>
      </c>
      <c r="E88" s="96" t="s">
        <v>1264</v>
      </c>
      <c r="F88" s="96" t="s">
        <v>1265</v>
      </c>
      <c r="G88" s="96" t="s">
        <v>946</v>
      </c>
      <c r="H88" s="96" t="s">
        <v>203</v>
      </c>
      <c r="I88" s="96" t="s">
        <v>203</v>
      </c>
      <c r="J88" s="96" t="s">
        <v>339</v>
      </c>
      <c r="K88" s="96" t="s">
        <v>1225</v>
      </c>
      <c r="L88" s="96" t="s">
        <v>311</v>
      </c>
      <c r="M88" s="96" t="s">
        <v>1200</v>
      </c>
      <c r="N88" s="97">
        <v>14.48</v>
      </c>
      <c r="O88" s="100">
        <v>53782</v>
      </c>
      <c r="P88" s="98">
        <v>3.7499999999999999E-2</v>
      </c>
      <c r="Q88" s="98">
        <v>5.4699999999999999E-2</v>
      </c>
      <c r="R88" s="96"/>
      <c r="S88" s="97">
        <v>335577.37350300001</v>
      </c>
      <c r="T88" s="97">
        <v>1</v>
      </c>
      <c r="U88" s="97">
        <v>78.790000000000006</v>
      </c>
      <c r="V88" s="97">
        <v>264.40141199999999</v>
      </c>
      <c r="W88" s="96"/>
      <c r="X88" s="96"/>
      <c r="Y88" s="98">
        <v>1.2E-5</v>
      </c>
      <c r="Z88" s="98">
        <v>4.5561999999999998E-2</v>
      </c>
      <c r="AA88" s="98">
        <v>1.5855000000000001E-2</v>
      </c>
      <c r="AB88" s="106"/>
    </row>
    <row r="89" spans="1:28" ht="15" customHeight="1">
      <c r="A89" s="106"/>
      <c r="B89" s="96">
        <v>286</v>
      </c>
      <c r="C89" s="96">
        <v>9803</v>
      </c>
      <c r="D89" s="96" t="s">
        <v>1222</v>
      </c>
      <c r="E89" s="96" t="s">
        <v>1230</v>
      </c>
      <c r="F89" s="96" t="s">
        <v>1231</v>
      </c>
      <c r="G89" s="96" t="s">
        <v>944</v>
      </c>
      <c r="H89" s="96" t="s">
        <v>203</v>
      </c>
      <c r="I89" s="96" t="s">
        <v>203</v>
      </c>
      <c r="J89" s="96" t="s">
        <v>339</v>
      </c>
      <c r="K89" s="96" t="s">
        <v>1225</v>
      </c>
      <c r="L89" s="96" t="s">
        <v>311</v>
      </c>
      <c r="M89" s="96" t="s">
        <v>1200</v>
      </c>
      <c r="N89" s="97">
        <v>7.39</v>
      </c>
      <c r="O89" s="100">
        <v>48182</v>
      </c>
      <c r="P89" s="98">
        <v>1E-3</v>
      </c>
      <c r="Q89" s="98">
        <v>2.18E-2</v>
      </c>
      <c r="R89" s="96"/>
      <c r="S89" s="97">
        <v>520006.229498</v>
      </c>
      <c r="T89" s="97">
        <v>1</v>
      </c>
      <c r="U89" s="97">
        <v>97.65</v>
      </c>
      <c r="V89" s="97">
        <v>507.78608200000002</v>
      </c>
      <c r="W89" s="96"/>
      <c r="X89" s="96"/>
      <c r="Y89" s="98">
        <v>1.5999999999999999E-5</v>
      </c>
      <c r="Z89" s="98">
        <v>8.7502999999999997E-2</v>
      </c>
      <c r="AA89" s="98">
        <v>3.0450999999999999E-2</v>
      </c>
      <c r="AB89" s="106"/>
    </row>
    <row r="90" spans="1:28" ht="15" customHeight="1">
      <c r="A90" s="106"/>
      <c r="B90" s="96">
        <v>286</v>
      </c>
      <c r="C90" s="96">
        <v>9803</v>
      </c>
      <c r="D90" s="96" t="s">
        <v>1222</v>
      </c>
      <c r="E90" s="96" t="s">
        <v>1223</v>
      </c>
      <c r="F90" s="96" t="s">
        <v>1224</v>
      </c>
      <c r="G90" s="96" t="s">
        <v>946</v>
      </c>
      <c r="H90" s="96" t="s">
        <v>203</v>
      </c>
      <c r="I90" s="96" t="s">
        <v>203</v>
      </c>
      <c r="J90" s="96" t="s">
        <v>339</v>
      </c>
      <c r="K90" s="96" t="s">
        <v>1225</v>
      </c>
      <c r="L90" s="96" t="s">
        <v>311</v>
      </c>
      <c r="M90" s="96" t="s">
        <v>1200</v>
      </c>
      <c r="N90" s="97">
        <v>8.76</v>
      </c>
      <c r="O90" s="100">
        <v>49398</v>
      </c>
      <c r="P90" s="98">
        <v>0.04</v>
      </c>
      <c r="Q90" s="98">
        <v>5.04E-2</v>
      </c>
      <c r="R90" s="96"/>
      <c r="S90" s="97">
        <v>90083.525504000005</v>
      </c>
      <c r="T90" s="97">
        <v>1</v>
      </c>
      <c r="U90" s="97">
        <v>92.5</v>
      </c>
      <c r="V90" s="97">
        <v>83.327259999999995</v>
      </c>
      <c r="W90" s="96"/>
      <c r="X90" s="96"/>
      <c r="Y90" s="98">
        <v>6.9999999999999999E-6</v>
      </c>
      <c r="Z90" s="98">
        <v>1.4359E-2</v>
      </c>
      <c r="AA90" s="98">
        <v>4.9959999999999996E-3</v>
      </c>
      <c r="AB90" s="106"/>
    </row>
    <row r="91" spans="1:28" ht="15" customHeight="1">
      <c r="A91" s="106"/>
      <c r="B91" s="96">
        <v>286</v>
      </c>
      <c r="C91" s="96">
        <v>9803</v>
      </c>
      <c r="D91" s="96" t="s">
        <v>1222</v>
      </c>
      <c r="E91" s="96" t="s">
        <v>1242</v>
      </c>
      <c r="F91" s="96" t="s">
        <v>1243</v>
      </c>
      <c r="G91" s="96" t="s">
        <v>946</v>
      </c>
      <c r="H91" s="96" t="s">
        <v>203</v>
      </c>
      <c r="I91" s="96" t="s">
        <v>203</v>
      </c>
      <c r="J91" s="96" t="s">
        <v>339</v>
      </c>
      <c r="K91" s="96" t="s">
        <v>1225</v>
      </c>
      <c r="L91" s="96" t="s">
        <v>311</v>
      </c>
      <c r="M91" s="96" t="s">
        <v>1200</v>
      </c>
      <c r="N91" s="97">
        <v>1.66</v>
      </c>
      <c r="O91" s="100">
        <v>46080</v>
      </c>
      <c r="P91" s="98">
        <v>5.0000000000000001E-3</v>
      </c>
      <c r="Q91" s="98">
        <v>4.3700000000000003E-2</v>
      </c>
      <c r="R91" s="96"/>
      <c r="S91" s="97">
        <v>170251.59769200001</v>
      </c>
      <c r="T91" s="97">
        <v>1</v>
      </c>
      <c r="U91" s="97">
        <v>94.09</v>
      </c>
      <c r="V91" s="97">
        <v>160.189728</v>
      </c>
      <c r="W91" s="96"/>
      <c r="X91" s="96"/>
      <c r="Y91" s="98">
        <v>6.0000000000000002E-6</v>
      </c>
      <c r="Z91" s="98">
        <v>2.7604E-2</v>
      </c>
      <c r="AA91" s="98">
        <v>9.606E-3</v>
      </c>
      <c r="AB91" s="106"/>
    </row>
    <row r="92" spans="1:28" ht="15" customHeight="1">
      <c r="A92" s="106"/>
      <c r="B92" s="96">
        <v>286</v>
      </c>
      <c r="C92" s="96">
        <v>9803</v>
      </c>
      <c r="D92" s="96" t="s">
        <v>1222</v>
      </c>
      <c r="E92" s="96" t="s">
        <v>1234</v>
      </c>
      <c r="F92" s="96" t="s">
        <v>1235</v>
      </c>
      <c r="G92" s="96" t="s">
        <v>946</v>
      </c>
      <c r="H92" s="96" t="s">
        <v>203</v>
      </c>
      <c r="I92" s="96" t="s">
        <v>203</v>
      </c>
      <c r="J92" s="96" t="s">
        <v>339</v>
      </c>
      <c r="K92" s="96" t="s">
        <v>1225</v>
      </c>
      <c r="L92" s="96" t="s">
        <v>311</v>
      </c>
      <c r="M92" s="96" t="s">
        <v>1200</v>
      </c>
      <c r="N92" s="97">
        <v>7.42</v>
      </c>
      <c r="O92" s="100">
        <v>48334</v>
      </c>
      <c r="P92" s="98">
        <v>1.2999999999999999E-2</v>
      </c>
      <c r="Q92" s="98">
        <v>4.9000000000000002E-2</v>
      </c>
      <c r="R92" s="96"/>
      <c r="S92" s="97">
        <v>558809.95009399997</v>
      </c>
      <c r="T92" s="97">
        <v>1</v>
      </c>
      <c r="U92" s="97">
        <v>77.260000000000005</v>
      </c>
      <c r="V92" s="97">
        <v>431.73656699999998</v>
      </c>
      <c r="W92" s="96"/>
      <c r="X92" s="96"/>
      <c r="Y92" s="98">
        <v>1.8E-5</v>
      </c>
      <c r="Z92" s="98">
        <v>7.4399000000000007E-2</v>
      </c>
      <c r="AA92" s="98">
        <v>2.5891000000000001E-2</v>
      </c>
      <c r="AB92" s="106"/>
    </row>
    <row r="93" spans="1:28" ht="15" customHeight="1">
      <c r="A93" s="106"/>
      <c r="B93" s="96">
        <v>286</v>
      </c>
      <c r="C93" s="96">
        <v>9803</v>
      </c>
      <c r="D93" s="96" t="s">
        <v>1222</v>
      </c>
      <c r="E93" s="96" t="s">
        <v>1270</v>
      </c>
      <c r="F93" s="96" t="s">
        <v>1271</v>
      </c>
      <c r="G93" s="96" t="s">
        <v>950</v>
      </c>
      <c r="H93" s="96" t="s">
        <v>203</v>
      </c>
      <c r="I93" s="96" t="s">
        <v>203</v>
      </c>
      <c r="J93" s="96" t="s">
        <v>339</v>
      </c>
      <c r="K93" s="96" t="s">
        <v>1225</v>
      </c>
      <c r="L93" s="96" t="s">
        <v>311</v>
      </c>
      <c r="M93" s="96" t="s">
        <v>1200</v>
      </c>
      <c r="N93" s="97">
        <v>0.93</v>
      </c>
      <c r="O93" s="100">
        <v>45812</v>
      </c>
      <c r="P93" s="98">
        <v>0</v>
      </c>
      <c r="Q93" s="98">
        <v>4.3099999999999999E-2</v>
      </c>
      <c r="R93" s="96"/>
      <c r="S93" s="97">
        <v>66846.385112000004</v>
      </c>
      <c r="T93" s="97">
        <v>1</v>
      </c>
      <c r="U93" s="97">
        <v>96.17</v>
      </c>
      <c r="V93" s="97">
        <v>64.286168000000004</v>
      </c>
      <c r="W93" s="96"/>
      <c r="X93" s="96"/>
      <c r="Y93" s="98">
        <v>5.0000000000000004E-6</v>
      </c>
      <c r="Z93" s="98">
        <v>1.1077999999999999E-2</v>
      </c>
      <c r="AA93" s="98">
        <v>3.8549999999999999E-3</v>
      </c>
      <c r="AB93" s="106"/>
    </row>
    <row r="94" spans="1:28" ht="15" customHeight="1">
      <c r="A94" s="106"/>
      <c r="B94" s="96">
        <v>286</v>
      </c>
      <c r="C94" s="96">
        <v>9803</v>
      </c>
      <c r="D94" s="96" t="s">
        <v>1222</v>
      </c>
      <c r="E94" s="96" t="s">
        <v>1228</v>
      </c>
      <c r="F94" s="96" t="s">
        <v>1229</v>
      </c>
      <c r="G94" s="96" t="s">
        <v>944</v>
      </c>
      <c r="H94" s="96" t="s">
        <v>203</v>
      </c>
      <c r="I94" s="96" t="s">
        <v>203</v>
      </c>
      <c r="J94" s="96" t="s">
        <v>339</v>
      </c>
      <c r="K94" s="96" t="s">
        <v>1225</v>
      </c>
      <c r="L94" s="96" t="s">
        <v>311</v>
      </c>
      <c r="M94" s="96" t="s">
        <v>1200</v>
      </c>
      <c r="N94" s="97">
        <v>2.08</v>
      </c>
      <c r="O94" s="100">
        <v>46234</v>
      </c>
      <c r="P94" s="98">
        <v>1E-3</v>
      </c>
      <c r="Q94" s="98">
        <v>1.6400000000000001E-2</v>
      </c>
      <c r="R94" s="96"/>
      <c r="S94" s="97">
        <v>40922.674463000003</v>
      </c>
      <c r="T94" s="97">
        <v>1</v>
      </c>
      <c r="U94" s="97">
        <v>110.2</v>
      </c>
      <c r="V94" s="97">
        <v>45.096786000000002</v>
      </c>
      <c r="W94" s="96"/>
      <c r="X94" s="96"/>
      <c r="Y94" s="98">
        <v>1.9999999999999999E-6</v>
      </c>
      <c r="Z94" s="98">
        <v>7.7710000000000001E-3</v>
      </c>
      <c r="AA94" s="98">
        <v>2.7030000000000001E-3</v>
      </c>
      <c r="AB94" s="106"/>
    </row>
    <row r="95" spans="1:28" ht="15" customHeight="1">
      <c r="A95" s="106"/>
      <c r="B95" s="96">
        <v>286</v>
      </c>
      <c r="C95" s="96">
        <v>9803</v>
      </c>
      <c r="D95" s="96" t="s">
        <v>1222</v>
      </c>
      <c r="E95" s="96" t="s">
        <v>1256</v>
      </c>
      <c r="F95" s="96" t="s">
        <v>1257</v>
      </c>
      <c r="G95" s="96" t="s">
        <v>950</v>
      </c>
      <c r="H95" s="96" t="s">
        <v>203</v>
      </c>
      <c r="I95" s="96" t="s">
        <v>203</v>
      </c>
      <c r="J95" s="96" t="s">
        <v>339</v>
      </c>
      <c r="K95" s="96" t="s">
        <v>1225</v>
      </c>
      <c r="L95" s="96" t="s">
        <v>311</v>
      </c>
      <c r="M95" s="96" t="s">
        <v>1200</v>
      </c>
      <c r="N95" s="97">
        <v>0.35</v>
      </c>
      <c r="O95" s="100">
        <v>45602</v>
      </c>
      <c r="P95" s="98">
        <v>0</v>
      </c>
      <c r="Q95" s="98">
        <v>4.3099999999999999E-2</v>
      </c>
      <c r="R95" s="96"/>
      <c r="S95" s="97">
        <v>16837.182921</v>
      </c>
      <c r="T95" s="97">
        <v>1</v>
      </c>
      <c r="U95" s="97">
        <v>98.53</v>
      </c>
      <c r="V95" s="97">
        <v>16.589676000000001</v>
      </c>
      <c r="W95" s="96"/>
      <c r="X95" s="96"/>
      <c r="Y95" s="98">
        <v>9.9999999999999995E-7</v>
      </c>
      <c r="Z95" s="98">
        <v>2.8579999999999999E-3</v>
      </c>
      <c r="AA95" s="98">
        <v>9.9400000000000009E-4</v>
      </c>
      <c r="AB95" s="106"/>
    </row>
    <row r="96" spans="1:28" ht="15" customHeight="1">
      <c r="A96" s="106"/>
      <c r="B96" s="96">
        <v>286</v>
      </c>
      <c r="C96" s="96">
        <v>9803</v>
      </c>
      <c r="D96" s="96" t="s">
        <v>1222</v>
      </c>
      <c r="E96" s="96" t="s">
        <v>1250</v>
      </c>
      <c r="F96" s="96" t="s">
        <v>1251</v>
      </c>
      <c r="G96" s="96" t="s">
        <v>946</v>
      </c>
      <c r="H96" s="96" t="s">
        <v>203</v>
      </c>
      <c r="I96" s="96" t="s">
        <v>203</v>
      </c>
      <c r="J96" s="96" t="s">
        <v>339</v>
      </c>
      <c r="K96" s="96" t="s">
        <v>1225</v>
      </c>
      <c r="L96" s="96" t="s">
        <v>311</v>
      </c>
      <c r="M96" s="96" t="s">
        <v>1200</v>
      </c>
      <c r="N96" s="97">
        <v>16.829999999999998</v>
      </c>
      <c r="O96" s="100">
        <v>55852</v>
      </c>
      <c r="P96" s="98">
        <v>2.8000000000000001E-2</v>
      </c>
      <c r="Q96" s="98">
        <v>5.5599999999999997E-2</v>
      </c>
      <c r="R96" s="96"/>
      <c r="S96" s="97">
        <v>122225.35073400001</v>
      </c>
      <c r="T96" s="97">
        <v>1</v>
      </c>
      <c r="U96" s="97">
        <v>62.6</v>
      </c>
      <c r="V96" s="97">
        <v>76.513069000000002</v>
      </c>
      <c r="W96" s="96"/>
      <c r="X96" s="96"/>
      <c r="Y96" s="98">
        <v>6.9999999999999999E-6</v>
      </c>
      <c r="Z96" s="98">
        <v>1.3185000000000001E-2</v>
      </c>
      <c r="AA96" s="98">
        <v>4.5880000000000001E-3</v>
      </c>
      <c r="AB96" s="106"/>
    </row>
    <row r="97" spans="1:28" ht="15" customHeight="1">
      <c r="A97" s="106"/>
      <c r="B97" s="96">
        <v>286</v>
      </c>
      <c r="C97" s="96">
        <v>9803</v>
      </c>
      <c r="D97" s="96" t="s">
        <v>1222</v>
      </c>
      <c r="E97" s="96" t="s">
        <v>1246</v>
      </c>
      <c r="F97" s="96" t="s">
        <v>1247</v>
      </c>
      <c r="G97" s="96" t="s">
        <v>947</v>
      </c>
      <c r="H97" s="96" t="s">
        <v>203</v>
      </c>
      <c r="I97" s="96" t="s">
        <v>203</v>
      </c>
      <c r="J97" s="96" t="s">
        <v>339</v>
      </c>
      <c r="K97" s="96" t="s">
        <v>1225</v>
      </c>
      <c r="L97" s="96" t="s">
        <v>311</v>
      </c>
      <c r="M97" s="96" t="s">
        <v>1200</v>
      </c>
      <c r="N97" s="97">
        <v>5.6</v>
      </c>
      <c r="O97" s="100">
        <v>47816</v>
      </c>
      <c r="P97" s="98">
        <v>4.3783000000000002E-2</v>
      </c>
      <c r="Q97" s="98">
        <v>4.8599999999999997E-2</v>
      </c>
      <c r="R97" s="96"/>
      <c r="S97" s="97">
        <v>223554.14948200001</v>
      </c>
      <c r="T97" s="97">
        <v>1</v>
      </c>
      <c r="U97" s="97">
        <v>97.22</v>
      </c>
      <c r="V97" s="97">
        <v>217.33934300000001</v>
      </c>
      <c r="W97" s="96"/>
      <c r="X97" s="96"/>
      <c r="Y97" s="98">
        <v>6.9999999999999999E-6</v>
      </c>
      <c r="Z97" s="98">
        <v>3.7451999999999999E-2</v>
      </c>
      <c r="AA97" s="98">
        <v>1.3032999999999999E-2</v>
      </c>
      <c r="AB97" s="106"/>
    </row>
    <row r="98" spans="1:28" ht="15" customHeight="1">
      <c r="A98" s="106"/>
      <c r="B98" s="96">
        <v>286</v>
      </c>
      <c r="C98" s="96">
        <v>9803</v>
      </c>
      <c r="D98" s="96" t="s">
        <v>1222</v>
      </c>
      <c r="E98" s="96" t="s">
        <v>1244</v>
      </c>
      <c r="F98" s="96" t="s">
        <v>1245</v>
      </c>
      <c r="G98" s="96" t="s">
        <v>947</v>
      </c>
      <c r="H98" s="96" t="s">
        <v>203</v>
      </c>
      <c r="I98" s="96" t="s">
        <v>203</v>
      </c>
      <c r="J98" s="96" t="s">
        <v>339</v>
      </c>
      <c r="K98" s="96" t="s">
        <v>1225</v>
      </c>
      <c r="L98" s="96" t="s">
        <v>311</v>
      </c>
      <c r="M98" s="96" t="s">
        <v>1200</v>
      </c>
      <c r="N98" s="97">
        <v>1.84</v>
      </c>
      <c r="O98" s="100">
        <v>46173</v>
      </c>
      <c r="P98" s="98">
        <v>4.3783000000000002E-2</v>
      </c>
      <c r="Q98" s="98">
        <v>4.6899999999999997E-2</v>
      </c>
      <c r="R98" s="96"/>
      <c r="S98" s="97">
        <v>76274.420324999999</v>
      </c>
      <c r="T98" s="97">
        <v>1</v>
      </c>
      <c r="U98" s="97">
        <v>99.64</v>
      </c>
      <c r="V98" s="97">
        <v>75.999831999999998</v>
      </c>
      <c r="W98" s="96"/>
      <c r="X98" s="96"/>
      <c r="Y98" s="98">
        <v>3.0000000000000001E-6</v>
      </c>
      <c r="Z98" s="98">
        <v>1.3096E-2</v>
      </c>
      <c r="AA98" s="98">
        <v>4.5570000000000003E-3</v>
      </c>
      <c r="AB98" s="106"/>
    </row>
    <row r="99" spans="1:28" ht="15" customHeight="1">
      <c r="A99" s="106"/>
      <c r="B99" s="96">
        <v>286</v>
      </c>
      <c r="C99" s="96">
        <v>9803</v>
      </c>
      <c r="D99" s="96" t="s">
        <v>1222</v>
      </c>
      <c r="E99" s="96" t="s">
        <v>1254</v>
      </c>
      <c r="F99" s="96" t="s">
        <v>1255</v>
      </c>
      <c r="G99" s="96" t="s">
        <v>946</v>
      </c>
      <c r="H99" s="96" t="s">
        <v>203</v>
      </c>
      <c r="I99" s="96" t="s">
        <v>203</v>
      </c>
      <c r="J99" s="96" t="s">
        <v>339</v>
      </c>
      <c r="K99" s="96" t="s">
        <v>1225</v>
      </c>
      <c r="L99" s="96" t="s">
        <v>311</v>
      </c>
      <c r="M99" s="96" t="s">
        <v>1200</v>
      </c>
      <c r="N99" s="97">
        <v>2.69</v>
      </c>
      <c r="O99" s="100">
        <v>46477</v>
      </c>
      <c r="P99" s="98">
        <v>0.02</v>
      </c>
      <c r="Q99" s="98">
        <v>4.4900000000000002E-2</v>
      </c>
      <c r="R99" s="96"/>
      <c r="S99" s="97">
        <v>43734.820333000003</v>
      </c>
      <c r="T99" s="97">
        <v>1</v>
      </c>
      <c r="U99" s="97">
        <v>94.2</v>
      </c>
      <c r="V99" s="97">
        <v>41.1982</v>
      </c>
      <c r="W99" s="96"/>
      <c r="X99" s="96"/>
      <c r="Y99" s="98">
        <v>9.9999999999999995E-7</v>
      </c>
      <c r="Z99" s="98">
        <v>7.0980000000000001E-3</v>
      </c>
      <c r="AA99" s="98">
        <v>2.4689999999999998E-3</v>
      </c>
      <c r="AB99" s="106"/>
    </row>
    <row r="100" spans="1:28" ht="15" customHeight="1">
      <c r="A100" s="106"/>
      <c r="B100" s="96">
        <v>286</v>
      </c>
      <c r="C100" s="96">
        <v>9803</v>
      </c>
      <c r="D100" s="96" t="s">
        <v>1222</v>
      </c>
      <c r="E100" s="96" t="s">
        <v>1294</v>
      </c>
      <c r="F100" s="96" t="s">
        <v>1295</v>
      </c>
      <c r="G100" s="96" t="s">
        <v>951</v>
      </c>
      <c r="H100" s="96" t="s">
        <v>204</v>
      </c>
      <c r="I100" s="96" t="s">
        <v>203</v>
      </c>
      <c r="J100" s="96" t="s">
        <v>313</v>
      </c>
      <c r="K100" s="96" t="s">
        <v>1288</v>
      </c>
      <c r="L100" s="96" t="s">
        <v>430</v>
      </c>
      <c r="M100" s="96" t="s">
        <v>1201</v>
      </c>
      <c r="N100" s="97">
        <v>5.28</v>
      </c>
      <c r="O100" s="100">
        <v>47667</v>
      </c>
      <c r="P100" s="98">
        <v>2.75E-2</v>
      </c>
      <c r="Q100" s="98">
        <v>5.8500000000000003E-2</v>
      </c>
      <c r="R100" s="96"/>
      <c r="S100" s="97">
        <v>6684.6385110000001</v>
      </c>
      <c r="T100" s="97">
        <v>3.7589999999999999</v>
      </c>
      <c r="U100" s="97">
        <v>85.816000000000003</v>
      </c>
      <c r="V100" s="97">
        <v>21.563483999999999</v>
      </c>
      <c r="W100" s="96"/>
      <c r="X100" s="96"/>
      <c r="Y100" s="98">
        <v>3.0000000000000001E-6</v>
      </c>
      <c r="Z100" s="98">
        <v>3.715E-3</v>
      </c>
      <c r="AA100" s="98">
        <v>1.2930000000000001E-3</v>
      </c>
      <c r="AB100" s="106"/>
    </row>
    <row r="101" spans="1:28" ht="15" customHeight="1">
      <c r="A101" s="106"/>
      <c r="B101" s="96">
        <v>286</v>
      </c>
      <c r="C101" s="96">
        <v>9803</v>
      </c>
      <c r="D101" s="96" t="s">
        <v>1222</v>
      </c>
      <c r="E101" s="96" t="s">
        <v>1286</v>
      </c>
      <c r="F101" s="96" t="s">
        <v>1287</v>
      </c>
      <c r="G101" s="96" t="s">
        <v>951</v>
      </c>
      <c r="H101" s="96" t="s">
        <v>204</v>
      </c>
      <c r="I101" s="96" t="s">
        <v>203</v>
      </c>
      <c r="J101" s="96" t="s">
        <v>379</v>
      </c>
      <c r="K101" s="96" t="s">
        <v>1288</v>
      </c>
      <c r="L101" s="96" t="s">
        <v>430</v>
      </c>
      <c r="M101" s="96" t="s">
        <v>1201</v>
      </c>
      <c r="N101" s="97">
        <v>7.23</v>
      </c>
      <c r="O101" s="100">
        <v>49015</v>
      </c>
      <c r="P101" s="98">
        <v>5.5E-2</v>
      </c>
      <c r="Q101" s="98">
        <v>6.13E-2</v>
      </c>
      <c r="R101" s="96"/>
      <c r="S101" s="97">
        <v>3943.936721</v>
      </c>
      <c r="T101" s="97">
        <v>3.7589999999999999</v>
      </c>
      <c r="U101" s="97">
        <v>97.060500000000005</v>
      </c>
      <c r="V101" s="97">
        <v>14.389476999999999</v>
      </c>
      <c r="W101" s="96"/>
      <c r="X101" s="96"/>
      <c r="Y101" s="98">
        <v>9.9999999999999995E-7</v>
      </c>
      <c r="Z101" s="98">
        <v>2.4789999999999999E-3</v>
      </c>
      <c r="AA101" s="98">
        <v>8.6200000000000003E-4</v>
      </c>
      <c r="AB101" s="106"/>
    </row>
    <row r="102" spans="1:28" ht="15" customHeight="1">
      <c r="A102" s="106"/>
      <c r="B102" s="96">
        <v>286</v>
      </c>
      <c r="C102" s="96">
        <v>14418</v>
      </c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106"/>
    </row>
    <row r="103" spans="1:28" ht="15" customHeight="1">
      <c r="A103" s="106"/>
      <c r="B103" s="96">
        <v>286</v>
      </c>
      <c r="C103" s="96">
        <v>1446</v>
      </c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106"/>
    </row>
    <row r="104" spans="1:28" ht="15" customHeight="1">
      <c r="A104" s="106"/>
      <c r="B104" s="105" t="s">
        <v>3767</v>
      </c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6"/>
    </row>
  </sheetData>
  <mergeCells count="4">
    <mergeCell ref="B104:AA104"/>
    <mergeCell ref="A1:A104"/>
    <mergeCell ref="B1:AA1"/>
    <mergeCell ref="AB1:AB104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L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375" bestFit="1" customWidth="1"/>
    <col min="6" max="6" width="9.125" bestFit="1" customWidth="1"/>
    <col min="7" max="7" width="9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8" bestFit="1" customWidth="1"/>
    <col min="28" max="28" width="9.125" bestFit="1" customWidth="1"/>
    <col min="29" max="29" width="11.5" bestFit="1" customWidth="1"/>
    <col min="30" max="30" width="9" bestFit="1" customWidth="1"/>
    <col min="31" max="31" width="9.5" bestFit="1" customWidth="1"/>
    <col min="32" max="33" width="11.375" bestFit="1" customWidth="1"/>
    <col min="34" max="34" width="10.625" bestFit="1" customWidth="1"/>
    <col min="35" max="35" width="9.5" bestFit="1" customWidth="1"/>
    <col min="36" max="36" width="11" bestFit="1" customWidth="1"/>
    <col min="37" max="37" width="10.375" bestFit="1" customWidth="1"/>
    <col min="38" max="38" width="3.125" customWidth="1"/>
  </cols>
  <sheetData>
    <row r="1" spans="1:38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6" t="s">
        <v>3766</v>
      </c>
    </row>
    <row r="2" spans="1:38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70</v>
      </c>
      <c r="N2" s="21" t="s">
        <v>83</v>
      </c>
      <c r="O2" s="21" t="s">
        <v>56</v>
      </c>
      <c r="P2" s="21" t="s">
        <v>71</v>
      </c>
      <c r="Q2" s="21" t="s">
        <v>58</v>
      </c>
      <c r="R2" s="21" t="s">
        <v>84</v>
      </c>
      <c r="S2" s="21" t="s">
        <v>59</v>
      </c>
      <c r="T2" s="99" t="s">
        <v>72</v>
      </c>
      <c r="U2" s="21" t="s">
        <v>85</v>
      </c>
      <c r="V2" s="101" t="s">
        <v>73</v>
      </c>
      <c r="W2" s="95" t="s">
        <v>62</v>
      </c>
      <c r="X2" s="95" t="s">
        <v>74</v>
      </c>
      <c r="Y2" s="21" t="s">
        <v>86</v>
      </c>
      <c r="Z2" s="21" t="s">
        <v>87</v>
      </c>
      <c r="AA2" s="99" t="s">
        <v>76</v>
      </c>
      <c r="AB2" s="99" t="s">
        <v>61</v>
      </c>
      <c r="AC2" s="99" t="s">
        <v>77</v>
      </c>
      <c r="AD2" s="99" t="s">
        <v>75</v>
      </c>
      <c r="AE2" s="99" t="s">
        <v>63</v>
      </c>
      <c r="AF2" s="99" t="s">
        <v>78</v>
      </c>
      <c r="AG2" s="99" t="s">
        <v>88</v>
      </c>
      <c r="AH2" s="21" t="s">
        <v>17</v>
      </c>
      <c r="AI2" s="95" t="s">
        <v>79</v>
      </c>
      <c r="AJ2" s="95" t="s">
        <v>64</v>
      </c>
      <c r="AK2" s="95" t="s">
        <v>65</v>
      </c>
      <c r="AL2" s="106"/>
    </row>
    <row r="3" spans="1:38" ht="15" customHeight="1">
      <c r="A3" s="106"/>
      <c r="B3" s="96">
        <v>286</v>
      </c>
      <c r="C3" s="96">
        <v>14418</v>
      </c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7"/>
      <c r="U3" s="96"/>
      <c r="V3" s="100"/>
      <c r="W3" s="98"/>
      <c r="X3" s="98"/>
      <c r="Y3" s="96"/>
      <c r="Z3" s="96"/>
      <c r="AA3" s="97"/>
      <c r="AB3" s="97"/>
      <c r="AC3" s="97"/>
      <c r="AD3" s="97"/>
      <c r="AE3" s="97"/>
      <c r="AF3" s="97"/>
      <c r="AG3" s="97"/>
      <c r="AH3" s="96"/>
      <c r="AI3" s="98"/>
      <c r="AJ3" s="98"/>
      <c r="AK3" s="98"/>
      <c r="AL3" s="106"/>
    </row>
    <row r="4" spans="1:38" ht="15" customHeight="1">
      <c r="A4" s="106"/>
      <c r="B4" s="96">
        <v>286</v>
      </c>
      <c r="C4" s="96">
        <v>1445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106"/>
    </row>
    <row r="5" spans="1:38" ht="15" customHeight="1">
      <c r="A5" s="106"/>
      <c r="B5" s="96">
        <v>286</v>
      </c>
      <c r="C5" s="96">
        <v>1446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106"/>
    </row>
    <row r="6" spans="1:38" ht="15" customHeight="1">
      <c r="A6" s="106"/>
      <c r="B6" s="96">
        <v>286</v>
      </c>
      <c r="C6" s="96">
        <v>286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106"/>
    </row>
    <row r="7" spans="1:38" ht="15" customHeight="1">
      <c r="A7" s="106"/>
      <c r="B7" s="96">
        <v>286</v>
      </c>
      <c r="C7" s="96">
        <v>9803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106"/>
    </row>
    <row r="8" spans="1:38" ht="15" customHeight="1">
      <c r="A8" s="106"/>
      <c r="B8" s="105" t="s">
        <v>3767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6"/>
    </row>
  </sheetData>
  <mergeCells count="4">
    <mergeCell ref="B8:AK8"/>
    <mergeCell ref="A1:A8"/>
    <mergeCell ref="B1:AK1"/>
    <mergeCell ref="AL1:AL8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L1260"/>
  <sheetViews>
    <sheetView rightToLeft="1" topLeftCell="R1" workbookViewId="0">
      <selection sqref="A1:A1260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3.875" bestFit="1" customWidth="1"/>
    <col min="5" max="5" width="26.125" bestFit="1" customWidth="1"/>
    <col min="6" max="6" width="22.75" bestFit="1" customWidth="1"/>
    <col min="7" max="7" width="31.25" bestFit="1" customWidth="1"/>
    <col min="8" max="8" width="14.75" bestFit="1" customWidth="1"/>
    <col min="9" max="9" width="11" bestFit="1" customWidth="1"/>
    <col min="10" max="10" width="22.75" bestFit="1" customWidth="1"/>
    <col min="11" max="11" width="8.75" bestFit="1" customWidth="1"/>
    <col min="12" max="12" width="40.625" bestFit="1" customWidth="1"/>
    <col min="13" max="13" width="14" bestFit="1" customWidth="1"/>
    <col min="14" max="14" width="11" bestFit="1" customWidth="1"/>
    <col min="15" max="15" width="48.125" bestFit="1" customWidth="1"/>
    <col min="16" max="16" width="9.625" bestFit="1" customWidth="1"/>
    <col min="17" max="17" width="6" bestFit="1" customWidth="1"/>
    <col min="18" max="18" width="12.25" bestFit="1" customWidth="1"/>
    <col min="19" max="19" width="10.125" bestFit="1" customWidth="1"/>
    <col min="20" max="20" width="9.875" bestFit="1" customWidth="1"/>
    <col min="21" max="21" width="7.375" bestFit="1" customWidth="1"/>
    <col min="22" max="22" width="9.875" bestFit="1" customWidth="1"/>
    <col min="23" max="23" width="9.25" bestFit="1" customWidth="1"/>
    <col min="24" max="24" width="10.375" bestFit="1" customWidth="1"/>
    <col min="25" max="25" width="10.75" bestFit="1" customWidth="1"/>
    <col min="26" max="26" width="11.25" bestFit="1" customWidth="1"/>
    <col min="27" max="27" width="13.5" bestFit="1" customWidth="1"/>
    <col min="28" max="28" width="8.625" bestFit="1" customWidth="1"/>
    <col min="29" max="29" width="11" bestFit="1" customWidth="1"/>
    <col min="30" max="30" width="8.5" bestFit="1" customWidth="1"/>
    <col min="31" max="31" width="9.875" bestFit="1" customWidth="1"/>
    <col min="32" max="33" width="11.375" bestFit="1" customWidth="1"/>
    <col min="34" max="34" width="10.625" bestFit="1" customWidth="1"/>
    <col min="35" max="35" width="9.5" bestFit="1" customWidth="1"/>
    <col min="36" max="36" width="11" bestFit="1" customWidth="1"/>
    <col min="37" max="37" width="10.375" bestFit="1" customWidth="1"/>
    <col min="38" max="38" width="3.125" customWidth="1"/>
  </cols>
  <sheetData>
    <row r="1" spans="1:38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6" t="s">
        <v>3766</v>
      </c>
    </row>
    <row r="2" spans="1:38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70</v>
      </c>
      <c r="O2" s="21" t="s">
        <v>83</v>
      </c>
      <c r="P2" s="21" t="s">
        <v>56</v>
      </c>
      <c r="Q2" s="21" t="s">
        <v>71</v>
      </c>
      <c r="R2" s="21" t="s">
        <v>58</v>
      </c>
      <c r="S2" s="21" t="s">
        <v>84</v>
      </c>
      <c r="T2" s="21" t="s">
        <v>59</v>
      </c>
      <c r="U2" s="21" t="s">
        <v>72</v>
      </c>
      <c r="V2" s="21" t="s">
        <v>73</v>
      </c>
      <c r="W2" s="21" t="s">
        <v>62</v>
      </c>
      <c r="X2" s="21" t="s">
        <v>74</v>
      </c>
      <c r="Y2" s="21" t="s">
        <v>86</v>
      </c>
      <c r="Z2" s="21" t="s">
        <v>87</v>
      </c>
      <c r="AA2" s="21" t="s">
        <v>76</v>
      </c>
      <c r="AB2" s="21" t="s">
        <v>61</v>
      </c>
      <c r="AC2" s="21" t="s">
        <v>77</v>
      </c>
      <c r="AD2" s="21" t="s">
        <v>75</v>
      </c>
      <c r="AE2" s="21" t="s">
        <v>63</v>
      </c>
      <c r="AF2" s="99" t="s">
        <v>78</v>
      </c>
      <c r="AG2" s="99" t="s">
        <v>88</v>
      </c>
      <c r="AH2" s="21" t="s">
        <v>17</v>
      </c>
      <c r="AI2" s="21" t="s">
        <v>79</v>
      </c>
      <c r="AJ2" s="21" t="s">
        <v>64</v>
      </c>
      <c r="AK2" s="21" t="s">
        <v>65</v>
      </c>
      <c r="AL2" s="106"/>
    </row>
    <row r="3" spans="1:38" ht="15" customHeight="1">
      <c r="A3" s="106"/>
      <c r="B3" s="96">
        <v>286</v>
      </c>
      <c r="C3" s="96">
        <v>1445</v>
      </c>
      <c r="D3" s="96" t="s">
        <v>1298</v>
      </c>
      <c r="E3" s="96">
        <v>510960719</v>
      </c>
      <c r="F3" s="96" t="s">
        <v>308</v>
      </c>
      <c r="G3" s="96" t="s">
        <v>1299</v>
      </c>
      <c r="H3" s="96" t="s">
        <v>1300</v>
      </c>
      <c r="I3" s="96" t="s">
        <v>320</v>
      </c>
      <c r="J3" s="96" t="s">
        <v>753</v>
      </c>
      <c r="K3" s="96" t="s">
        <v>203</v>
      </c>
      <c r="L3" s="96" t="s">
        <v>203</v>
      </c>
      <c r="M3" s="96" t="s">
        <v>324</v>
      </c>
      <c r="N3" s="96" t="s">
        <v>339</v>
      </c>
      <c r="O3" s="96" t="s">
        <v>463</v>
      </c>
      <c r="P3" s="96" t="s">
        <v>338</v>
      </c>
      <c r="Q3" s="96" t="s">
        <v>1301</v>
      </c>
      <c r="R3" s="96" t="s">
        <v>414</v>
      </c>
      <c r="S3" s="96" t="s">
        <v>406</v>
      </c>
      <c r="T3" s="96" t="s">
        <v>1200</v>
      </c>
      <c r="U3" s="97">
        <v>3.14</v>
      </c>
      <c r="V3" s="100">
        <v>47669</v>
      </c>
      <c r="W3" s="98">
        <v>1.34E-2</v>
      </c>
      <c r="X3" s="98">
        <v>2.7799999999999998E-2</v>
      </c>
      <c r="Y3" s="96" t="s">
        <v>411</v>
      </c>
      <c r="Z3" s="96"/>
      <c r="AA3" s="97">
        <v>111103.120031</v>
      </c>
      <c r="AB3" s="97">
        <v>1</v>
      </c>
      <c r="AC3" s="97">
        <v>110</v>
      </c>
      <c r="AD3" s="97">
        <v>10.648585000000001</v>
      </c>
      <c r="AE3" s="97">
        <v>132.86201700000001</v>
      </c>
      <c r="AF3" s="97"/>
      <c r="AG3" s="97"/>
      <c r="AH3" s="96"/>
      <c r="AI3" s="98">
        <v>4.1E-5</v>
      </c>
      <c r="AJ3" s="98">
        <v>1.0364999999999999E-2</v>
      </c>
      <c r="AK3" s="98">
        <v>2.529E-3</v>
      </c>
      <c r="AL3" s="106"/>
    </row>
    <row r="4" spans="1:38" ht="15" customHeight="1">
      <c r="A4" s="106"/>
      <c r="B4" s="96">
        <v>286</v>
      </c>
      <c r="C4" s="96">
        <v>1445</v>
      </c>
      <c r="D4" s="96" t="s">
        <v>1302</v>
      </c>
      <c r="E4" s="96">
        <v>513623314</v>
      </c>
      <c r="F4" s="96" t="s">
        <v>308</v>
      </c>
      <c r="G4" s="96" t="s">
        <v>1303</v>
      </c>
      <c r="H4" s="96" t="s">
        <v>1304</v>
      </c>
      <c r="I4" s="96" t="s">
        <v>320</v>
      </c>
      <c r="J4" s="96" t="s">
        <v>753</v>
      </c>
      <c r="K4" s="96" t="s">
        <v>203</v>
      </c>
      <c r="L4" s="96" t="s">
        <v>203</v>
      </c>
      <c r="M4" s="96" t="s">
        <v>324</v>
      </c>
      <c r="N4" s="96" t="s">
        <v>339</v>
      </c>
      <c r="O4" s="96" t="s">
        <v>463</v>
      </c>
      <c r="P4" s="96" t="s">
        <v>337</v>
      </c>
      <c r="Q4" s="96" t="s">
        <v>1305</v>
      </c>
      <c r="R4" s="96" t="s">
        <v>414</v>
      </c>
      <c r="S4" s="96" t="s">
        <v>406</v>
      </c>
      <c r="T4" s="96" t="s">
        <v>1200</v>
      </c>
      <c r="U4" s="97">
        <v>4.45</v>
      </c>
      <c r="V4" s="100">
        <v>47937</v>
      </c>
      <c r="W4" s="98">
        <v>1.3299999999999999E-2</v>
      </c>
      <c r="X4" s="98">
        <v>3.5499999999999997E-2</v>
      </c>
      <c r="Y4" s="96" t="s">
        <v>411</v>
      </c>
      <c r="Z4" s="96"/>
      <c r="AA4" s="97">
        <v>2184.7973010000001</v>
      </c>
      <c r="AB4" s="97">
        <v>1</v>
      </c>
      <c r="AC4" s="97">
        <v>103.22</v>
      </c>
      <c r="AD4" s="97"/>
      <c r="AE4" s="97">
        <v>2.255147</v>
      </c>
      <c r="AF4" s="96"/>
      <c r="AG4" s="96"/>
      <c r="AH4" s="96"/>
      <c r="AI4" s="98">
        <v>9.9999999999999995E-7</v>
      </c>
      <c r="AJ4" s="98">
        <v>1.75E-4</v>
      </c>
      <c r="AK4" s="98">
        <v>4.1999999999999998E-5</v>
      </c>
      <c r="AL4" s="106"/>
    </row>
    <row r="5" spans="1:38" ht="15" customHeight="1">
      <c r="A5" s="106"/>
      <c r="B5" s="96">
        <v>286</v>
      </c>
      <c r="C5" s="96">
        <v>1445</v>
      </c>
      <c r="D5" s="96" t="s">
        <v>1306</v>
      </c>
      <c r="E5" s="96">
        <v>520044322</v>
      </c>
      <c r="F5" s="96" t="s">
        <v>308</v>
      </c>
      <c r="G5" s="96" t="s">
        <v>1307</v>
      </c>
      <c r="H5" s="96" t="s">
        <v>1308</v>
      </c>
      <c r="I5" s="96" t="s">
        <v>320</v>
      </c>
      <c r="J5" s="96" t="s">
        <v>952</v>
      </c>
      <c r="K5" s="96" t="s">
        <v>203</v>
      </c>
      <c r="L5" s="96" t="s">
        <v>203</v>
      </c>
      <c r="M5" s="96" t="s">
        <v>324</v>
      </c>
      <c r="N5" s="96" t="s">
        <v>339</v>
      </c>
      <c r="O5" s="96" t="s">
        <v>453</v>
      </c>
      <c r="P5" s="96" t="s">
        <v>338</v>
      </c>
      <c r="Q5" s="96" t="s">
        <v>1309</v>
      </c>
      <c r="R5" s="96" t="s">
        <v>414</v>
      </c>
      <c r="S5" s="96" t="s">
        <v>406</v>
      </c>
      <c r="T5" s="96" t="s">
        <v>1200</v>
      </c>
      <c r="U5" s="97">
        <v>4.07</v>
      </c>
      <c r="V5" s="100">
        <v>48152</v>
      </c>
      <c r="W5" s="98">
        <v>6.5199999999999994E-2</v>
      </c>
      <c r="X5" s="98">
        <v>6.4600000000000005E-2</v>
      </c>
      <c r="Y5" s="96" t="s">
        <v>411</v>
      </c>
      <c r="Z5" s="96"/>
      <c r="AA5" s="97">
        <v>45404.400612999998</v>
      </c>
      <c r="AB5" s="97">
        <v>1</v>
      </c>
      <c r="AC5" s="97">
        <v>101.71</v>
      </c>
      <c r="AD5" s="97"/>
      <c r="AE5" s="97">
        <v>46.180815000000003</v>
      </c>
      <c r="AF5" s="96"/>
      <c r="AG5" s="96"/>
      <c r="AH5" s="96"/>
      <c r="AI5" s="98">
        <v>3.4E-5</v>
      </c>
      <c r="AJ5" s="98">
        <v>3.6029999999999999E-3</v>
      </c>
      <c r="AK5" s="98">
        <v>8.7900000000000001E-4</v>
      </c>
      <c r="AL5" s="106"/>
    </row>
    <row r="6" spans="1:38" ht="15" customHeight="1">
      <c r="A6" s="106"/>
      <c r="B6" s="96">
        <v>286</v>
      </c>
      <c r="C6" s="96">
        <v>1445</v>
      </c>
      <c r="D6" s="96" t="s">
        <v>1310</v>
      </c>
      <c r="E6" s="96">
        <v>520017450</v>
      </c>
      <c r="F6" s="96" t="s">
        <v>308</v>
      </c>
      <c r="G6" s="96" t="s">
        <v>1311</v>
      </c>
      <c r="H6" s="96" t="s">
        <v>1312</v>
      </c>
      <c r="I6" s="96" t="s">
        <v>320</v>
      </c>
      <c r="J6" s="96" t="s">
        <v>753</v>
      </c>
      <c r="K6" s="96" t="s">
        <v>203</v>
      </c>
      <c r="L6" s="96" t="s">
        <v>203</v>
      </c>
      <c r="M6" s="96" t="s">
        <v>324</v>
      </c>
      <c r="N6" s="96" t="s">
        <v>339</v>
      </c>
      <c r="O6" s="96" t="s">
        <v>444</v>
      </c>
      <c r="P6" s="96" t="s">
        <v>338</v>
      </c>
      <c r="Q6" s="96" t="s">
        <v>1313</v>
      </c>
      <c r="R6" s="96" t="s">
        <v>412</v>
      </c>
      <c r="S6" s="96" t="s">
        <v>406</v>
      </c>
      <c r="T6" s="96" t="s">
        <v>1200</v>
      </c>
      <c r="U6" s="97">
        <v>4.79</v>
      </c>
      <c r="V6" s="100">
        <v>47604</v>
      </c>
      <c r="W6" s="98">
        <v>4.4000000000000003E-3</v>
      </c>
      <c r="X6" s="98">
        <v>2.87E-2</v>
      </c>
      <c r="Y6" s="96" t="s">
        <v>411</v>
      </c>
      <c r="Z6" s="96"/>
      <c r="AA6" s="97">
        <v>25098.778217999999</v>
      </c>
      <c r="AB6" s="97">
        <v>1</v>
      </c>
      <c r="AC6" s="97">
        <v>101.08</v>
      </c>
      <c r="AD6" s="97"/>
      <c r="AE6" s="97">
        <v>25.369845000000002</v>
      </c>
      <c r="AF6" s="96"/>
      <c r="AG6" s="96"/>
      <c r="AH6" s="96"/>
      <c r="AI6" s="98">
        <v>2.9E-5</v>
      </c>
      <c r="AJ6" s="98">
        <v>1.9789999999999999E-3</v>
      </c>
      <c r="AK6" s="98">
        <v>4.8299999999999998E-4</v>
      </c>
      <c r="AL6" s="106"/>
    </row>
    <row r="7" spans="1:38" ht="15" customHeight="1">
      <c r="A7" s="106"/>
      <c r="B7" s="96">
        <v>286</v>
      </c>
      <c r="C7" s="96">
        <v>1445</v>
      </c>
      <c r="D7" s="96" t="s">
        <v>1314</v>
      </c>
      <c r="E7" s="96">
        <v>513754069</v>
      </c>
      <c r="F7" s="96" t="s">
        <v>308</v>
      </c>
      <c r="G7" s="96" t="s">
        <v>1315</v>
      </c>
      <c r="H7" s="96" t="s">
        <v>1316</v>
      </c>
      <c r="I7" s="96" t="s">
        <v>320</v>
      </c>
      <c r="J7" s="96" t="s">
        <v>952</v>
      </c>
      <c r="K7" s="96" t="s">
        <v>203</v>
      </c>
      <c r="L7" s="96" t="s">
        <v>203</v>
      </c>
      <c r="M7" s="96" t="s">
        <v>324</v>
      </c>
      <c r="N7" s="96" t="s">
        <v>339</v>
      </c>
      <c r="O7" s="96" t="s">
        <v>444</v>
      </c>
      <c r="P7" s="96" t="s">
        <v>338</v>
      </c>
      <c r="Q7" s="96" t="s">
        <v>1305</v>
      </c>
      <c r="R7" s="96" t="s">
        <v>414</v>
      </c>
      <c r="S7" s="96" t="s">
        <v>406</v>
      </c>
      <c r="T7" s="96" t="s">
        <v>1200</v>
      </c>
      <c r="U7" s="97">
        <v>7.67</v>
      </c>
      <c r="V7" s="100">
        <v>49156</v>
      </c>
      <c r="W7" s="98">
        <v>5.3100000000000001E-2</v>
      </c>
      <c r="X7" s="98">
        <v>6.3299999999999995E-2</v>
      </c>
      <c r="Y7" s="96" t="s">
        <v>411</v>
      </c>
      <c r="Z7" s="96"/>
      <c r="AA7" s="97">
        <v>59632.381724999999</v>
      </c>
      <c r="AB7" s="97">
        <v>1</v>
      </c>
      <c r="AC7" s="97">
        <v>95.33</v>
      </c>
      <c r="AD7" s="97"/>
      <c r="AE7" s="97">
        <v>56.847549000000001</v>
      </c>
      <c r="AF7" s="96"/>
      <c r="AG7" s="96"/>
      <c r="AH7" s="96"/>
      <c r="AI7" s="98">
        <v>4.6E-5</v>
      </c>
      <c r="AJ7" s="98">
        <v>4.4349999999999997E-3</v>
      </c>
      <c r="AK7" s="98">
        <v>1.0820000000000001E-3</v>
      </c>
      <c r="AL7" s="106"/>
    </row>
    <row r="8" spans="1:38" ht="15" customHeight="1">
      <c r="A8" s="106"/>
      <c r="B8" s="96">
        <v>286</v>
      </c>
      <c r="C8" s="96">
        <v>1445</v>
      </c>
      <c r="D8" s="96" t="s">
        <v>1317</v>
      </c>
      <c r="E8" s="96">
        <v>520028911</v>
      </c>
      <c r="F8" s="96" t="s">
        <v>308</v>
      </c>
      <c r="G8" s="96" t="s">
        <v>1318</v>
      </c>
      <c r="H8" s="96" t="s">
        <v>1319</v>
      </c>
      <c r="I8" s="96" t="s">
        <v>320</v>
      </c>
      <c r="J8" s="96" t="s">
        <v>952</v>
      </c>
      <c r="K8" s="96" t="s">
        <v>203</v>
      </c>
      <c r="L8" s="96" t="s">
        <v>203</v>
      </c>
      <c r="M8" s="96" t="s">
        <v>324</v>
      </c>
      <c r="N8" s="96" t="s">
        <v>339</v>
      </c>
      <c r="O8" s="96" t="s">
        <v>450</v>
      </c>
      <c r="P8" s="96" t="s">
        <v>337</v>
      </c>
      <c r="Q8" s="96" t="s">
        <v>1320</v>
      </c>
      <c r="R8" s="96" t="s">
        <v>412</v>
      </c>
      <c r="S8" s="96" t="s">
        <v>406</v>
      </c>
      <c r="T8" s="96" t="s">
        <v>1200</v>
      </c>
      <c r="U8" s="97">
        <v>3.13</v>
      </c>
      <c r="V8" s="100">
        <v>47858</v>
      </c>
      <c r="W8" s="98">
        <v>0.04</v>
      </c>
      <c r="X8" s="98">
        <v>5.6899999999999999E-2</v>
      </c>
      <c r="Y8" s="96" t="s">
        <v>411</v>
      </c>
      <c r="Z8" s="96"/>
      <c r="AA8" s="97">
        <v>22293.937754999999</v>
      </c>
      <c r="AB8" s="97">
        <v>1</v>
      </c>
      <c r="AC8" s="97">
        <v>96.92</v>
      </c>
      <c r="AD8" s="97"/>
      <c r="AE8" s="97">
        <v>21.607284</v>
      </c>
      <c r="AF8" s="96"/>
      <c r="AG8" s="96"/>
      <c r="AH8" s="96"/>
      <c r="AI8" s="98">
        <v>3.1999999999999999E-5</v>
      </c>
      <c r="AJ8" s="98">
        <v>1.6850000000000001E-3</v>
      </c>
      <c r="AK8" s="98">
        <v>4.1100000000000002E-4</v>
      </c>
      <c r="AL8" s="106"/>
    </row>
    <row r="9" spans="1:38" ht="15" customHeight="1">
      <c r="A9" s="106"/>
      <c r="B9" s="96">
        <v>286</v>
      </c>
      <c r="C9" s="96">
        <v>1445</v>
      </c>
      <c r="D9" s="96" t="s">
        <v>1321</v>
      </c>
      <c r="E9" s="96">
        <v>550263107</v>
      </c>
      <c r="F9" s="96" t="s">
        <v>309</v>
      </c>
      <c r="G9" s="96" t="s">
        <v>1322</v>
      </c>
      <c r="H9" s="96" t="s">
        <v>1323</v>
      </c>
      <c r="I9" s="96" t="s">
        <v>320</v>
      </c>
      <c r="J9" s="96" t="s">
        <v>952</v>
      </c>
      <c r="K9" s="96" t="s">
        <v>203</v>
      </c>
      <c r="L9" s="96" t="s">
        <v>203</v>
      </c>
      <c r="M9" s="96" t="s">
        <v>324</v>
      </c>
      <c r="N9" s="96" t="s">
        <v>339</v>
      </c>
      <c r="O9" s="96" t="s">
        <v>453</v>
      </c>
      <c r="P9" s="96" t="s">
        <v>338</v>
      </c>
      <c r="Q9" s="96" t="s">
        <v>1324</v>
      </c>
      <c r="R9" s="96" t="s">
        <v>412</v>
      </c>
      <c r="S9" s="96" t="s">
        <v>406</v>
      </c>
      <c r="T9" s="96" t="s">
        <v>1200</v>
      </c>
      <c r="U9" s="97">
        <v>3.87</v>
      </c>
      <c r="V9" s="100">
        <v>47391</v>
      </c>
      <c r="W9" s="98">
        <v>6.7000000000000004E-2</v>
      </c>
      <c r="X9" s="98">
        <v>6.6000000000000003E-2</v>
      </c>
      <c r="Y9" s="96" t="s">
        <v>411</v>
      </c>
      <c r="Z9" s="96"/>
      <c r="AA9" s="97">
        <v>30803.045942000001</v>
      </c>
      <c r="AB9" s="97">
        <v>1</v>
      </c>
      <c r="AC9" s="97">
        <v>102.81</v>
      </c>
      <c r="AD9" s="97"/>
      <c r="AE9" s="97">
        <v>31.668610999999999</v>
      </c>
      <c r="AF9" s="96"/>
      <c r="AG9" s="96"/>
      <c r="AH9" s="96"/>
      <c r="AI9" s="98">
        <v>3.3000000000000003E-5</v>
      </c>
      <c r="AJ9" s="98">
        <v>2.47E-3</v>
      </c>
      <c r="AK9" s="98">
        <v>6.0300000000000002E-4</v>
      </c>
      <c r="AL9" s="106"/>
    </row>
    <row r="10" spans="1:38" ht="15" customHeight="1">
      <c r="A10" s="106"/>
      <c r="B10" s="96">
        <v>286</v>
      </c>
      <c r="C10" s="96">
        <v>1445</v>
      </c>
      <c r="D10" s="96" t="s">
        <v>1325</v>
      </c>
      <c r="E10" s="96">
        <v>510488190</v>
      </c>
      <c r="F10" s="96" t="s">
        <v>308</v>
      </c>
      <c r="G10" s="96" t="s">
        <v>1326</v>
      </c>
      <c r="H10" s="96" t="s">
        <v>1327</v>
      </c>
      <c r="I10" s="96" t="s">
        <v>320</v>
      </c>
      <c r="J10" s="96" t="s">
        <v>952</v>
      </c>
      <c r="K10" s="96" t="s">
        <v>203</v>
      </c>
      <c r="L10" s="96" t="s">
        <v>203</v>
      </c>
      <c r="M10" s="96" t="s">
        <v>324</v>
      </c>
      <c r="N10" s="96" t="s">
        <v>339</v>
      </c>
      <c r="O10" s="96" t="s">
        <v>446</v>
      </c>
      <c r="P10" s="96" t="s">
        <v>338</v>
      </c>
      <c r="Q10" s="96" t="s">
        <v>1328</v>
      </c>
      <c r="R10" s="96" t="s">
        <v>412</v>
      </c>
      <c r="S10" s="96" t="s">
        <v>406</v>
      </c>
      <c r="T10" s="96" t="s">
        <v>1200</v>
      </c>
      <c r="U10" s="97">
        <v>3.09</v>
      </c>
      <c r="V10" s="100">
        <v>47452</v>
      </c>
      <c r="W10" s="98">
        <v>5.3400000000000003E-2</v>
      </c>
      <c r="X10" s="98">
        <v>6.3500000000000001E-2</v>
      </c>
      <c r="Y10" s="96" t="s">
        <v>411</v>
      </c>
      <c r="Z10" s="96"/>
      <c r="AA10" s="97">
        <v>44132.698288</v>
      </c>
      <c r="AB10" s="97">
        <v>1</v>
      </c>
      <c r="AC10" s="97">
        <v>97.71</v>
      </c>
      <c r="AD10" s="97"/>
      <c r="AE10" s="97">
        <v>43.122059</v>
      </c>
      <c r="AF10" s="96"/>
      <c r="AG10" s="96"/>
      <c r="AH10" s="96"/>
      <c r="AI10" s="98">
        <v>6.3E-5</v>
      </c>
      <c r="AJ10" s="98">
        <v>3.3639999999999998E-3</v>
      </c>
      <c r="AK10" s="98">
        <v>8.2100000000000001E-4</v>
      </c>
      <c r="AL10" s="106"/>
    </row>
    <row r="11" spans="1:38" ht="15" customHeight="1">
      <c r="A11" s="106"/>
      <c r="B11" s="96">
        <v>286</v>
      </c>
      <c r="C11" s="96">
        <v>1445</v>
      </c>
      <c r="D11" s="96" t="s">
        <v>1329</v>
      </c>
      <c r="E11" s="96">
        <v>513682146</v>
      </c>
      <c r="F11" s="96" t="s">
        <v>308</v>
      </c>
      <c r="G11" s="96" t="s">
        <v>1330</v>
      </c>
      <c r="H11" s="96" t="s">
        <v>1331</v>
      </c>
      <c r="I11" s="96" t="s">
        <v>320</v>
      </c>
      <c r="J11" s="96" t="s">
        <v>753</v>
      </c>
      <c r="K11" s="96" t="s">
        <v>203</v>
      </c>
      <c r="L11" s="96" t="s">
        <v>203</v>
      </c>
      <c r="M11" s="96" t="s">
        <v>324</v>
      </c>
      <c r="N11" s="96" t="s">
        <v>339</v>
      </c>
      <c r="O11" s="96" t="s">
        <v>447</v>
      </c>
      <c r="P11" s="96" t="s">
        <v>338</v>
      </c>
      <c r="Q11" s="96" t="s">
        <v>1332</v>
      </c>
      <c r="R11" s="96" t="s">
        <v>412</v>
      </c>
      <c r="S11" s="96" t="s">
        <v>406</v>
      </c>
      <c r="T11" s="96" t="s">
        <v>1200</v>
      </c>
      <c r="U11" s="97">
        <v>4.75</v>
      </c>
      <c r="V11" s="100">
        <v>47879</v>
      </c>
      <c r="W11" s="98">
        <v>2.5899999999999999E-2</v>
      </c>
      <c r="X11" s="98">
        <v>2.75E-2</v>
      </c>
      <c r="Y11" s="96" t="s">
        <v>411</v>
      </c>
      <c r="Z11" s="96"/>
      <c r="AA11" s="97">
        <v>26654.617208</v>
      </c>
      <c r="AB11" s="97">
        <v>1</v>
      </c>
      <c r="AC11" s="97">
        <v>102.32</v>
      </c>
      <c r="AD11" s="97"/>
      <c r="AE11" s="97">
        <v>27.273004</v>
      </c>
      <c r="AF11" s="96"/>
      <c r="AG11" s="96"/>
      <c r="AH11" s="96"/>
      <c r="AI11" s="98">
        <v>5.8999999999999998E-5</v>
      </c>
      <c r="AJ11" s="98">
        <v>2.127E-3</v>
      </c>
      <c r="AK11" s="98">
        <v>5.1900000000000004E-4</v>
      </c>
      <c r="AL11" s="106"/>
    </row>
    <row r="12" spans="1:38" ht="15" customHeight="1">
      <c r="A12" s="106"/>
      <c r="B12" s="96">
        <v>286</v>
      </c>
      <c r="C12" s="96">
        <v>1445</v>
      </c>
      <c r="D12" s="96" t="s">
        <v>1333</v>
      </c>
      <c r="E12" s="96">
        <v>520024126</v>
      </c>
      <c r="F12" s="96" t="s">
        <v>308</v>
      </c>
      <c r="G12" s="96" t="s">
        <v>1334</v>
      </c>
      <c r="H12" s="96" t="s">
        <v>1335</v>
      </c>
      <c r="I12" s="96" t="s">
        <v>320</v>
      </c>
      <c r="J12" s="96" t="s">
        <v>952</v>
      </c>
      <c r="K12" s="96" t="s">
        <v>203</v>
      </c>
      <c r="L12" s="96" t="s">
        <v>203</v>
      </c>
      <c r="M12" s="96" t="s">
        <v>324</v>
      </c>
      <c r="N12" s="96" t="s">
        <v>339</v>
      </c>
      <c r="O12" s="96" t="s">
        <v>463</v>
      </c>
      <c r="P12" s="96" t="s">
        <v>337</v>
      </c>
      <c r="Q12" s="96" t="s">
        <v>1336</v>
      </c>
      <c r="R12" s="96" t="s">
        <v>414</v>
      </c>
      <c r="S12" s="96" t="s">
        <v>406</v>
      </c>
      <c r="T12" s="96" t="s">
        <v>1200</v>
      </c>
      <c r="U12" s="97">
        <v>2.34</v>
      </c>
      <c r="V12" s="100">
        <v>46934</v>
      </c>
      <c r="W12" s="98">
        <v>5.6500000000000002E-2</v>
      </c>
      <c r="X12" s="98">
        <v>5.2400000000000002E-2</v>
      </c>
      <c r="Y12" s="96" t="s">
        <v>411</v>
      </c>
      <c r="Z12" s="96"/>
      <c r="AA12" s="97">
        <v>6111.7155199999997</v>
      </c>
      <c r="AB12" s="97">
        <v>1</v>
      </c>
      <c r="AC12" s="97">
        <v>101.11</v>
      </c>
      <c r="AD12" s="97"/>
      <c r="AE12" s="97">
        <v>6.1795549999999997</v>
      </c>
      <c r="AF12" s="96"/>
      <c r="AG12" s="96"/>
      <c r="AH12" s="96"/>
      <c r="AI12" s="98">
        <v>3.8999999999999999E-5</v>
      </c>
      <c r="AJ12" s="98">
        <v>4.8200000000000001E-4</v>
      </c>
      <c r="AK12" s="98">
        <v>1.17E-4</v>
      </c>
      <c r="AL12" s="106"/>
    </row>
    <row r="13" spans="1:38" ht="15" customHeight="1">
      <c r="A13" s="106"/>
      <c r="B13" s="96">
        <v>286</v>
      </c>
      <c r="C13" s="96">
        <v>1445</v>
      </c>
      <c r="D13" s="96" t="s">
        <v>1337</v>
      </c>
      <c r="E13" s="96">
        <v>520028010</v>
      </c>
      <c r="F13" s="96" t="s">
        <v>308</v>
      </c>
      <c r="G13" s="96" t="s">
        <v>1338</v>
      </c>
      <c r="H13" s="96" t="s">
        <v>1339</v>
      </c>
      <c r="I13" s="96" t="s">
        <v>320</v>
      </c>
      <c r="J13" s="96" t="s">
        <v>754</v>
      </c>
      <c r="K13" s="96" t="s">
        <v>203</v>
      </c>
      <c r="L13" s="96" t="s">
        <v>203</v>
      </c>
      <c r="M13" s="96" t="s">
        <v>324</v>
      </c>
      <c r="N13" s="96" t="s">
        <v>339</v>
      </c>
      <c r="O13" s="96" t="s">
        <v>450</v>
      </c>
      <c r="P13" s="96" t="s">
        <v>338</v>
      </c>
      <c r="Q13" s="96" t="s">
        <v>1320</v>
      </c>
      <c r="R13" s="96" t="s">
        <v>412</v>
      </c>
      <c r="S13" s="96" t="s">
        <v>406</v>
      </c>
      <c r="T13" s="96" t="s">
        <v>1200</v>
      </c>
      <c r="U13" s="97">
        <v>1.23</v>
      </c>
      <c r="V13" s="100">
        <v>46295</v>
      </c>
      <c r="W13" s="98">
        <v>5.8500000000000003E-2</v>
      </c>
      <c r="X13" s="98">
        <v>5.8099999999999999E-2</v>
      </c>
      <c r="Y13" s="96" t="s">
        <v>411</v>
      </c>
      <c r="Z13" s="96"/>
      <c r="AA13" s="97">
        <v>10487.426903</v>
      </c>
      <c r="AB13" s="97">
        <v>1</v>
      </c>
      <c r="AC13" s="97">
        <v>109.4</v>
      </c>
      <c r="AD13" s="97"/>
      <c r="AE13" s="97">
        <v>11.473245</v>
      </c>
      <c r="AF13" s="96"/>
      <c r="AG13" s="96"/>
      <c r="AH13" s="96"/>
      <c r="AI13" s="98">
        <v>6.6000000000000005E-5</v>
      </c>
      <c r="AJ13" s="98">
        <v>8.9499999999999996E-4</v>
      </c>
      <c r="AK13" s="98">
        <v>2.1800000000000001E-4</v>
      </c>
      <c r="AL13" s="106"/>
    </row>
    <row r="14" spans="1:38" ht="15" customHeight="1">
      <c r="A14" s="106"/>
      <c r="B14" s="96">
        <v>286</v>
      </c>
      <c r="C14" s="96">
        <v>1445</v>
      </c>
      <c r="D14" s="96" t="s">
        <v>1340</v>
      </c>
      <c r="E14" s="96">
        <v>520036658</v>
      </c>
      <c r="F14" s="96" t="s">
        <v>308</v>
      </c>
      <c r="G14" s="96" t="s">
        <v>1341</v>
      </c>
      <c r="H14" s="96" t="s">
        <v>1342</v>
      </c>
      <c r="I14" s="96" t="s">
        <v>320</v>
      </c>
      <c r="J14" s="96" t="s">
        <v>952</v>
      </c>
      <c r="K14" s="96" t="s">
        <v>203</v>
      </c>
      <c r="L14" s="96" t="s">
        <v>203</v>
      </c>
      <c r="M14" s="96" t="s">
        <v>324</v>
      </c>
      <c r="N14" s="96" t="s">
        <v>339</v>
      </c>
      <c r="O14" s="96" t="s">
        <v>439</v>
      </c>
      <c r="P14" s="96" t="s">
        <v>338</v>
      </c>
      <c r="Q14" s="96" t="s">
        <v>1320</v>
      </c>
      <c r="R14" s="96" t="s">
        <v>412</v>
      </c>
      <c r="S14" s="96" t="s">
        <v>406</v>
      </c>
      <c r="T14" s="96" t="s">
        <v>1200</v>
      </c>
      <c r="U14" s="97">
        <v>3.35</v>
      </c>
      <c r="V14" s="100">
        <v>47386</v>
      </c>
      <c r="W14" s="98">
        <v>0.05</v>
      </c>
      <c r="X14" s="98">
        <v>6.3E-2</v>
      </c>
      <c r="Y14" s="96" t="s">
        <v>411</v>
      </c>
      <c r="Z14" s="96"/>
      <c r="AA14" s="97">
        <v>5370.6971610000001</v>
      </c>
      <c r="AB14" s="97">
        <v>1</v>
      </c>
      <c r="AC14" s="97">
        <v>97.4</v>
      </c>
      <c r="AD14" s="97"/>
      <c r="AE14" s="97">
        <v>5.2310590000000001</v>
      </c>
      <c r="AF14" s="96"/>
      <c r="AG14" s="96"/>
      <c r="AH14" s="96"/>
      <c r="AI14" s="98">
        <v>5.0000000000000004E-6</v>
      </c>
      <c r="AJ14" s="98">
        <v>4.08E-4</v>
      </c>
      <c r="AK14" s="98">
        <v>9.8999999999999994E-5</v>
      </c>
      <c r="AL14" s="106"/>
    </row>
    <row r="15" spans="1:38" ht="15" customHeight="1">
      <c r="A15" s="106"/>
      <c r="B15" s="96">
        <v>286</v>
      </c>
      <c r="C15" s="96">
        <v>1445</v>
      </c>
      <c r="D15" s="96" t="s">
        <v>1343</v>
      </c>
      <c r="E15" s="96">
        <v>514290345</v>
      </c>
      <c r="F15" s="96" t="s">
        <v>308</v>
      </c>
      <c r="G15" s="96" t="s">
        <v>1344</v>
      </c>
      <c r="H15" s="96" t="s">
        <v>1345</v>
      </c>
      <c r="I15" s="96" t="s">
        <v>320</v>
      </c>
      <c r="J15" s="96" t="s">
        <v>952</v>
      </c>
      <c r="K15" s="96" t="s">
        <v>203</v>
      </c>
      <c r="L15" s="96" t="s">
        <v>203</v>
      </c>
      <c r="M15" s="96" t="s">
        <v>324</v>
      </c>
      <c r="N15" s="96" t="s">
        <v>339</v>
      </c>
      <c r="O15" s="96" t="s">
        <v>444</v>
      </c>
      <c r="P15" s="96" t="s">
        <v>338</v>
      </c>
      <c r="Q15" s="96" t="s">
        <v>1305</v>
      </c>
      <c r="R15" s="96" t="s">
        <v>414</v>
      </c>
      <c r="S15" s="96" t="s">
        <v>406</v>
      </c>
      <c r="T15" s="96" t="s">
        <v>1200</v>
      </c>
      <c r="U15" s="97">
        <v>5.24</v>
      </c>
      <c r="V15" s="100">
        <v>47664</v>
      </c>
      <c r="W15" s="98">
        <v>4.6899999999999997E-2</v>
      </c>
      <c r="X15" s="98">
        <v>5.7500000000000002E-2</v>
      </c>
      <c r="Y15" s="96" t="s">
        <v>411</v>
      </c>
      <c r="Z15" s="96"/>
      <c r="AA15" s="97">
        <v>15606.431678000001</v>
      </c>
      <c r="AB15" s="97">
        <v>1</v>
      </c>
      <c r="AC15" s="97">
        <v>95.24</v>
      </c>
      <c r="AD15" s="97"/>
      <c r="AE15" s="97">
        <v>14.863564999999999</v>
      </c>
      <c r="AF15" s="96"/>
      <c r="AG15" s="96"/>
      <c r="AH15" s="96"/>
      <c r="AI15" s="98">
        <v>3.1000000000000001E-5</v>
      </c>
      <c r="AJ15" s="98">
        <v>1.1590000000000001E-3</v>
      </c>
      <c r="AK15" s="98">
        <v>2.8299999999999999E-4</v>
      </c>
      <c r="AL15" s="106"/>
    </row>
    <row r="16" spans="1:38" ht="15" customHeight="1">
      <c r="A16" s="106"/>
      <c r="B16" s="96">
        <v>286</v>
      </c>
      <c r="C16" s="96">
        <v>1445</v>
      </c>
      <c r="D16" s="96" t="s">
        <v>1346</v>
      </c>
      <c r="E16" s="96">
        <v>520025370</v>
      </c>
      <c r="F16" s="96" t="s">
        <v>308</v>
      </c>
      <c r="G16" s="96" t="s">
        <v>1347</v>
      </c>
      <c r="H16" s="96" t="s">
        <v>1348</v>
      </c>
      <c r="I16" s="96" t="s">
        <v>320</v>
      </c>
      <c r="J16" s="96" t="s">
        <v>952</v>
      </c>
      <c r="K16" s="96" t="s">
        <v>203</v>
      </c>
      <c r="L16" s="96" t="s">
        <v>203</v>
      </c>
      <c r="M16" s="96" t="s">
        <v>326</v>
      </c>
      <c r="N16" s="96" t="s">
        <v>339</v>
      </c>
      <c r="O16" s="96" t="s">
        <v>450</v>
      </c>
      <c r="P16" s="96" t="s">
        <v>338</v>
      </c>
      <c r="Q16" s="96" t="s">
        <v>1332</v>
      </c>
      <c r="R16" s="96" t="s">
        <v>412</v>
      </c>
      <c r="S16" s="96" t="s">
        <v>406</v>
      </c>
      <c r="T16" s="96" t="s">
        <v>1200</v>
      </c>
      <c r="U16" s="97">
        <v>2.5099999999999998</v>
      </c>
      <c r="V16" s="100">
        <v>47376</v>
      </c>
      <c r="W16" s="98">
        <v>2.0400000000000001E-2</v>
      </c>
      <c r="X16" s="98">
        <v>5.3800000000000001E-2</v>
      </c>
      <c r="Y16" s="96" t="s">
        <v>411</v>
      </c>
      <c r="Z16" s="96"/>
      <c r="AA16" s="97">
        <v>1373.739554</v>
      </c>
      <c r="AB16" s="97">
        <v>1</v>
      </c>
      <c r="AC16" s="97">
        <v>92.64</v>
      </c>
      <c r="AD16" s="97"/>
      <c r="AE16" s="97">
        <v>1.272632</v>
      </c>
      <c r="AF16" s="96"/>
      <c r="AG16" s="96"/>
      <c r="AH16" s="96"/>
      <c r="AI16" s="98">
        <v>3.0000000000000001E-6</v>
      </c>
      <c r="AJ16" s="98">
        <v>9.8999999999999994E-5</v>
      </c>
      <c r="AK16" s="98">
        <v>2.4000000000000001E-5</v>
      </c>
      <c r="AL16" s="106"/>
    </row>
    <row r="17" spans="1:38" ht="15" customHeight="1">
      <c r="A17" s="106"/>
      <c r="B17" s="96">
        <v>286</v>
      </c>
      <c r="C17" s="96">
        <v>1445</v>
      </c>
      <c r="D17" s="96" t="s">
        <v>1197</v>
      </c>
      <c r="E17" s="96">
        <v>520018078</v>
      </c>
      <c r="F17" s="96" t="s">
        <v>308</v>
      </c>
      <c r="G17" s="96" t="s">
        <v>1349</v>
      </c>
      <c r="H17" s="96" t="s">
        <v>1350</v>
      </c>
      <c r="I17" s="96" t="s">
        <v>320</v>
      </c>
      <c r="J17" s="96" t="s">
        <v>753</v>
      </c>
      <c r="K17" s="96" t="s">
        <v>203</v>
      </c>
      <c r="L17" s="96" t="s">
        <v>203</v>
      </c>
      <c r="M17" s="96" t="s">
        <v>324</v>
      </c>
      <c r="N17" s="96" t="s">
        <v>339</v>
      </c>
      <c r="O17" s="96" t="s">
        <v>447</v>
      </c>
      <c r="P17" s="96" t="s">
        <v>338</v>
      </c>
      <c r="Q17" s="96" t="s">
        <v>1199</v>
      </c>
      <c r="R17" s="96" t="s">
        <v>412</v>
      </c>
      <c r="S17" s="96" t="s">
        <v>406</v>
      </c>
      <c r="T17" s="96" t="s">
        <v>1200</v>
      </c>
      <c r="U17" s="97">
        <v>2.81</v>
      </c>
      <c r="V17" s="100">
        <v>47361</v>
      </c>
      <c r="W17" s="98">
        <v>1.8599999999999998E-2</v>
      </c>
      <c r="X17" s="98">
        <v>2.3E-2</v>
      </c>
      <c r="Y17" s="96" t="s">
        <v>411</v>
      </c>
      <c r="Z17" s="96"/>
      <c r="AA17" s="97">
        <v>13432.214366</v>
      </c>
      <c r="AB17" s="97">
        <v>1</v>
      </c>
      <c r="AC17" s="97">
        <v>101.33</v>
      </c>
      <c r="AD17" s="97"/>
      <c r="AE17" s="97">
        <v>13.610861999999999</v>
      </c>
      <c r="AF17" s="96"/>
      <c r="AG17" s="96"/>
      <c r="AH17" s="96"/>
      <c r="AI17" s="98">
        <v>1.0000000000000001E-5</v>
      </c>
      <c r="AJ17" s="98">
        <v>1.0610000000000001E-3</v>
      </c>
      <c r="AK17" s="98">
        <v>2.5900000000000001E-4</v>
      </c>
      <c r="AL17" s="106"/>
    </row>
    <row r="18" spans="1:38" ht="15" customHeight="1">
      <c r="A18" s="106"/>
      <c r="B18" s="96">
        <v>286</v>
      </c>
      <c r="C18" s="96">
        <v>1445</v>
      </c>
      <c r="D18" s="96" t="s">
        <v>1351</v>
      </c>
      <c r="E18" s="96">
        <v>520033986</v>
      </c>
      <c r="F18" s="96" t="s">
        <v>308</v>
      </c>
      <c r="G18" s="96" t="s">
        <v>1352</v>
      </c>
      <c r="H18" s="96" t="s">
        <v>1353</v>
      </c>
      <c r="I18" s="96" t="s">
        <v>320</v>
      </c>
      <c r="J18" s="96" t="s">
        <v>952</v>
      </c>
      <c r="K18" s="96" t="s">
        <v>203</v>
      </c>
      <c r="L18" s="96" t="s">
        <v>203</v>
      </c>
      <c r="M18" s="96" t="s">
        <v>324</v>
      </c>
      <c r="N18" s="96" t="s">
        <v>339</v>
      </c>
      <c r="O18" s="96" t="s">
        <v>444</v>
      </c>
      <c r="P18" s="96" t="s">
        <v>338</v>
      </c>
      <c r="Q18" s="96" t="s">
        <v>1336</v>
      </c>
      <c r="R18" s="96" t="s">
        <v>414</v>
      </c>
      <c r="S18" s="96" t="s">
        <v>406</v>
      </c>
      <c r="T18" s="96" t="s">
        <v>1200</v>
      </c>
      <c r="U18" s="97">
        <v>5.21</v>
      </c>
      <c r="V18" s="100">
        <v>49674</v>
      </c>
      <c r="W18" s="98">
        <v>1.95E-2</v>
      </c>
      <c r="X18" s="98">
        <v>5.74E-2</v>
      </c>
      <c r="Y18" s="96" t="s">
        <v>411</v>
      </c>
      <c r="Z18" s="96"/>
      <c r="AA18" s="97">
        <v>62189.445209999998</v>
      </c>
      <c r="AB18" s="97">
        <v>1</v>
      </c>
      <c r="AC18" s="97">
        <v>82.15</v>
      </c>
      <c r="AD18" s="97"/>
      <c r="AE18" s="97">
        <v>51.088628999999997</v>
      </c>
      <c r="AF18" s="96"/>
      <c r="AG18" s="96"/>
      <c r="AH18" s="96"/>
      <c r="AI18" s="98">
        <v>5.8999999999999998E-5</v>
      </c>
      <c r="AJ18" s="98">
        <v>3.9849999999999998E-3</v>
      </c>
      <c r="AK18" s="98">
        <v>9.7199999999999999E-4</v>
      </c>
      <c r="AL18" s="106"/>
    </row>
    <row r="19" spans="1:38" ht="15" customHeight="1">
      <c r="A19" s="106"/>
      <c r="B19" s="96">
        <v>286</v>
      </c>
      <c r="C19" s="96">
        <v>1445</v>
      </c>
      <c r="D19" s="96" t="s">
        <v>1354</v>
      </c>
      <c r="E19" s="96">
        <v>513893123</v>
      </c>
      <c r="F19" s="96" t="s">
        <v>308</v>
      </c>
      <c r="G19" s="96" t="s">
        <v>1355</v>
      </c>
      <c r="H19" s="96" t="s">
        <v>1356</v>
      </c>
      <c r="I19" s="96" t="s">
        <v>320</v>
      </c>
      <c r="J19" s="96" t="s">
        <v>753</v>
      </c>
      <c r="K19" s="96" t="s">
        <v>203</v>
      </c>
      <c r="L19" s="96" t="s">
        <v>203</v>
      </c>
      <c r="M19" s="96" t="s">
        <v>324</v>
      </c>
      <c r="N19" s="96" t="s">
        <v>339</v>
      </c>
      <c r="O19" s="96" t="s">
        <v>442</v>
      </c>
      <c r="P19" s="96" t="s">
        <v>338</v>
      </c>
      <c r="Q19" s="96" t="s">
        <v>1357</v>
      </c>
      <c r="R19" s="96" t="s">
        <v>414</v>
      </c>
      <c r="S19" s="96" t="s">
        <v>406</v>
      </c>
      <c r="T19" s="96" t="s">
        <v>1200</v>
      </c>
      <c r="U19" s="97">
        <v>1.04</v>
      </c>
      <c r="V19" s="100">
        <v>46022</v>
      </c>
      <c r="W19" s="98">
        <v>1.8499999999999999E-2</v>
      </c>
      <c r="X19" s="98">
        <v>2.9399999999999999E-2</v>
      </c>
      <c r="Y19" s="96" t="s">
        <v>411</v>
      </c>
      <c r="Z19" s="96"/>
      <c r="AA19" s="97">
        <v>705.04694600000005</v>
      </c>
      <c r="AB19" s="97">
        <v>1</v>
      </c>
      <c r="AC19" s="97">
        <v>112.32</v>
      </c>
      <c r="AD19" s="97"/>
      <c r="AE19" s="97">
        <v>0.79190799999999995</v>
      </c>
      <c r="AF19" s="96"/>
      <c r="AG19" s="96"/>
      <c r="AH19" s="96"/>
      <c r="AI19" s="98">
        <v>9.9999999999999995E-7</v>
      </c>
      <c r="AJ19" s="98">
        <v>6.0999999999999999E-5</v>
      </c>
      <c r="AK19" s="98">
        <v>1.5E-5</v>
      </c>
      <c r="AL19" s="106"/>
    </row>
    <row r="20" spans="1:38" ht="15" customHeight="1">
      <c r="A20" s="106"/>
      <c r="B20" s="96">
        <v>286</v>
      </c>
      <c r="C20" s="96">
        <v>1445</v>
      </c>
      <c r="D20" s="96" t="s">
        <v>1358</v>
      </c>
      <c r="E20" s="96">
        <v>520022732</v>
      </c>
      <c r="F20" s="96" t="s">
        <v>308</v>
      </c>
      <c r="G20" s="96" t="s">
        <v>1359</v>
      </c>
      <c r="H20" s="96" t="s">
        <v>1360</v>
      </c>
      <c r="I20" s="96" t="s">
        <v>320</v>
      </c>
      <c r="J20" s="96" t="s">
        <v>952</v>
      </c>
      <c r="K20" s="96" t="s">
        <v>203</v>
      </c>
      <c r="L20" s="96" t="s">
        <v>203</v>
      </c>
      <c r="M20" s="96" t="s">
        <v>324</v>
      </c>
      <c r="N20" s="96" t="s">
        <v>339</v>
      </c>
      <c r="O20" s="96" t="s">
        <v>474</v>
      </c>
      <c r="P20" s="96" t="s">
        <v>337</v>
      </c>
      <c r="Q20" s="96" t="s">
        <v>1313</v>
      </c>
      <c r="R20" s="96" t="s">
        <v>412</v>
      </c>
      <c r="S20" s="96" t="s">
        <v>406</v>
      </c>
      <c r="T20" s="96" t="s">
        <v>1200</v>
      </c>
      <c r="U20" s="97">
        <v>2.5</v>
      </c>
      <c r="V20" s="100">
        <v>47399</v>
      </c>
      <c r="W20" s="98">
        <v>5.0900000000000001E-2</v>
      </c>
      <c r="X20" s="98">
        <v>5.1799999999999999E-2</v>
      </c>
      <c r="Y20" s="96" t="s">
        <v>411</v>
      </c>
      <c r="Z20" s="96"/>
      <c r="AA20" s="97">
        <v>17889.015445000001</v>
      </c>
      <c r="AB20" s="97">
        <v>1</v>
      </c>
      <c r="AC20" s="97">
        <v>103.46</v>
      </c>
      <c r="AD20" s="97"/>
      <c r="AE20" s="97">
        <v>18.507974999999998</v>
      </c>
      <c r="AF20" s="96"/>
      <c r="AG20" s="96"/>
      <c r="AH20" s="96"/>
      <c r="AI20" s="98">
        <v>2.8E-5</v>
      </c>
      <c r="AJ20" s="98">
        <v>1.4430000000000001E-3</v>
      </c>
      <c r="AK20" s="98">
        <v>3.5199999999999999E-4</v>
      </c>
      <c r="AL20" s="106"/>
    </row>
    <row r="21" spans="1:38" ht="15" customHeight="1">
      <c r="A21" s="106"/>
      <c r="B21" s="96">
        <v>286</v>
      </c>
      <c r="C21" s="96">
        <v>1445</v>
      </c>
      <c r="D21" s="96" t="s">
        <v>1361</v>
      </c>
      <c r="E21" s="96">
        <v>512764408</v>
      </c>
      <c r="F21" s="96" t="s">
        <v>308</v>
      </c>
      <c r="G21" s="96" t="s">
        <v>1362</v>
      </c>
      <c r="H21" s="96" t="s">
        <v>1363</v>
      </c>
      <c r="I21" s="96" t="s">
        <v>320</v>
      </c>
      <c r="J21" s="96" t="s">
        <v>952</v>
      </c>
      <c r="K21" s="96" t="s">
        <v>203</v>
      </c>
      <c r="L21" s="96" t="s">
        <v>203</v>
      </c>
      <c r="M21" s="96" t="s">
        <v>324</v>
      </c>
      <c r="N21" s="96" t="s">
        <v>339</v>
      </c>
      <c r="O21" s="96" t="s">
        <v>442</v>
      </c>
      <c r="P21" s="96" t="s">
        <v>338</v>
      </c>
      <c r="Q21" s="96" t="s">
        <v>1309</v>
      </c>
      <c r="R21" s="96" t="s">
        <v>414</v>
      </c>
      <c r="S21" s="96" t="s">
        <v>406</v>
      </c>
      <c r="T21" s="96" t="s">
        <v>1200</v>
      </c>
      <c r="U21" s="97">
        <v>1.19</v>
      </c>
      <c r="V21" s="100">
        <v>46295</v>
      </c>
      <c r="W21" s="98">
        <v>6.9000000000000006E-2</v>
      </c>
      <c r="X21" s="98">
        <v>6.88E-2</v>
      </c>
      <c r="Y21" s="96" t="s">
        <v>411</v>
      </c>
      <c r="Z21" s="96"/>
      <c r="AA21" s="97">
        <v>1701.225132</v>
      </c>
      <c r="AB21" s="97">
        <v>1</v>
      </c>
      <c r="AC21" s="97">
        <v>101.87</v>
      </c>
      <c r="AD21" s="97"/>
      <c r="AE21" s="97">
        <v>1.7330380000000001</v>
      </c>
      <c r="AF21" s="96"/>
      <c r="AG21" s="96"/>
      <c r="AH21" s="96"/>
      <c r="AI21" s="98">
        <v>3.9999999999999998E-6</v>
      </c>
      <c r="AJ21" s="98">
        <v>1.35E-4</v>
      </c>
      <c r="AK21" s="98">
        <v>3.3000000000000003E-5</v>
      </c>
      <c r="AL21" s="106"/>
    </row>
    <row r="22" spans="1:38" ht="15" customHeight="1">
      <c r="A22" s="106"/>
      <c r="B22" s="96">
        <v>286</v>
      </c>
      <c r="C22" s="96">
        <v>1445</v>
      </c>
      <c r="D22" s="96" t="s">
        <v>1364</v>
      </c>
      <c r="E22" s="96">
        <v>513821488</v>
      </c>
      <c r="F22" s="96" t="s">
        <v>308</v>
      </c>
      <c r="G22" s="96" t="s">
        <v>1365</v>
      </c>
      <c r="H22" s="96" t="s">
        <v>1366</v>
      </c>
      <c r="I22" s="96" t="s">
        <v>320</v>
      </c>
      <c r="J22" s="96" t="s">
        <v>753</v>
      </c>
      <c r="K22" s="96" t="s">
        <v>203</v>
      </c>
      <c r="L22" s="96" t="s">
        <v>203</v>
      </c>
      <c r="M22" s="96" t="s">
        <v>324</v>
      </c>
      <c r="N22" s="96" t="s">
        <v>339</v>
      </c>
      <c r="O22" s="96" t="s">
        <v>463</v>
      </c>
      <c r="P22" s="96" t="s">
        <v>337</v>
      </c>
      <c r="Q22" s="96" t="s">
        <v>1313</v>
      </c>
      <c r="R22" s="96" t="s">
        <v>412</v>
      </c>
      <c r="S22" s="96" t="s">
        <v>406</v>
      </c>
      <c r="T22" s="96" t="s">
        <v>1200</v>
      </c>
      <c r="U22" s="97">
        <v>3.62</v>
      </c>
      <c r="V22" s="100">
        <v>48111</v>
      </c>
      <c r="W22" s="98">
        <v>3.5000000000000003E-2</v>
      </c>
      <c r="X22" s="98">
        <v>3.15E-2</v>
      </c>
      <c r="Y22" s="96" t="s">
        <v>411</v>
      </c>
      <c r="Z22" s="96"/>
      <c r="AA22" s="97">
        <v>22142.646769999999</v>
      </c>
      <c r="AB22" s="97">
        <v>1</v>
      </c>
      <c r="AC22" s="97">
        <v>118.06</v>
      </c>
      <c r="AD22" s="97"/>
      <c r="AE22" s="97">
        <v>26.141608000000002</v>
      </c>
      <c r="AF22" s="96"/>
      <c r="AG22" s="96"/>
      <c r="AH22" s="96"/>
      <c r="AI22" s="98">
        <v>2.5000000000000001E-5</v>
      </c>
      <c r="AJ22" s="98">
        <v>2.039E-3</v>
      </c>
      <c r="AK22" s="98">
        <v>4.9700000000000005E-4</v>
      </c>
      <c r="AL22" s="106"/>
    </row>
    <row r="23" spans="1:38" ht="15" customHeight="1">
      <c r="A23" s="106"/>
      <c r="B23" s="96">
        <v>286</v>
      </c>
      <c r="C23" s="96">
        <v>1445</v>
      </c>
      <c r="D23" s="96" t="s">
        <v>1367</v>
      </c>
      <c r="E23" s="96">
        <v>513141879</v>
      </c>
      <c r="F23" s="96" t="s">
        <v>308</v>
      </c>
      <c r="G23" s="96" t="s">
        <v>1368</v>
      </c>
      <c r="H23" s="96" t="s">
        <v>1369</v>
      </c>
      <c r="I23" s="96" t="s">
        <v>320</v>
      </c>
      <c r="J23" s="96" t="s">
        <v>753</v>
      </c>
      <c r="K23" s="96" t="s">
        <v>203</v>
      </c>
      <c r="L23" s="96" t="s">
        <v>203</v>
      </c>
      <c r="M23" s="96" t="s">
        <v>324</v>
      </c>
      <c r="N23" s="96" t="s">
        <v>339</v>
      </c>
      <c r="O23" s="96" t="s">
        <v>447</v>
      </c>
      <c r="P23" s="96" t="s">
        <v>338</v>
      </c>
      <c r="Q23" s="96" t="s">
        <v>1305</v>
      </c>
      <c r="R23" s="96" t="s">
        <v>414</v>
      </c>
      <c r="S23" s="96" t="s">
        <v>406</v>
      </c>
      <c r="T23" s="96" t="s">
        <v>1200</v>
      </c>
      <c r="U23" s="97">
        <v>3.68</v>
      </c>
      <c r="V23" s="100">
        <v>46843</v>
      </c>
      <c r="W23" s="98">
        <v>1.09E-2</v>
      </c>
      <c r="X23" s="98">
        <v>3.3799999999999997E-2</v>
      </c>
      <c r="Y23" s="96" t="s">
        <v>410</v>
      </c>
      <c r="Z23" s="96"/>
      <c r="AA23" s="97">
        <v>4755.77567</v>
      </c>
      <c r="AB23" s="97">
        <v>1</v>
      </c>
      <c r="AC23" s="97">
        <v>101.16</v>
      </c>
      <c r="AD23" s="97"/>
      <c r="AE23" s="97">
        <v>4.8109419999999998</v>
      </c>
      <c r="AF23" s="96"/>
      <c r="AG23" s="96"/>
      <c r="AH23" s="96"/>
      <c r="AI23" s="98">
        <v>5.0000000000000004E-6</v>
      </c>
      <c r="AJ23" s="98">
        <v>3.7500000000000001E-4</v>
      </c>
      <c r="AK23" s="98">
        <v>9.1000000000000003E-5</v>
      </c>
      <c r="AL23" s="106"/>
    </row>
    <row r="24" spans="1:38" ht="15" customHeight="1">
      <c r="A24" s="106"/>
      <c r="B24" s="96">
        <v>286</v>
      </c>
      <c r="C24" s="96">
        <v>1445</v>
      </c>
      <c r="D24" s="96" t="s">
        <v>1370</v>
      </c>
      <c r="E24" s="96">
        <v>1604</v>
      </c>
      <c r="F24" s="96" t="s">
        <v>80</v>
      </c>
      <c r="G24" s="96" t="s">
        <v>1371</v>
      </c>
      <c r="H24" s="96" t="s">
        <v>1372</v>
      </c>
      <c r="I24" s="96" t="s">
        <v>320</v>
      </c>
      <c r="J24" s="96" t="s">
        <v>952</v>
      </c>
      <c r="K24" s="96" t="s">
        <v>203</v>
      </c>
      <c r="L24" s="96" t="s">
        <v>203</v>
      </c>
      <c r="M24" s="96" t="s">
        <v>324</v>
      </c>
      <c r="N24" s="96" t="s">
        <v>339</v>
      </c>
      <c r="O24" s="96" t="s">
        <v>464</v>
      </c>
      <c r="P24" s="96" t="s">
        <v>338</v>
      </c>
      <c r="Q24" s="96" t="s">
        <v>1324</v>
      </c>
      <c r="R24" s="96" t="s">
        <v>412</v>
      </c>
      <c r="S24" s="96" t="s">
        <v>406</v>
      </c>
      <c r="T24" s="96" t="s">
        <v>1200</v>
      </c>
      <c r="U24" s="97">
        <v>2.39</v>
      </c>
      <c r="V24" s="100">
        <v>46888</v>
      </c>
      <c r="W24" s="98">
        <v>0.08</v>
      </c>
      <c r="X24" s="98">
        <v>0.1547</v>
      </c>
      <c r="Y24" s="96" t="s">
        <v>411</v>
      </c>
      <c r="Z24" s="96"/>
      <c r="AA24" s="97">
        <v>74944.831028999994</v>
      </c>
      <c r="AB24" s="97">
        <v>1</v>
      </c>
      <c r="AC24" s="97">
        <v>83.99</v>
      </c>
      <c r="AD24" s="97"/>
      <c r="AE24" s="97">
        <v>62.946162999999999</v>
      </c>
      <c r="AF24" s="96"/>
      <c r="AG24" s="96"/>
      <c r="AH24" s="96"/>
      <c r="AI24" s="98">
        <v>8.2999999999999998E-5</v>
      </c>
      <c r="AJ24" s="98">
        <v>4.9109999999999996E-3</v>
      </c>
      <c r="AK24" s="98">
        <v>1.1980000000000001E-3</v>
      </c>
      <c r="AL24" s="106"/>
    </row>
    <row r="25" spans="1:38" ht="15" customHeight="1">
      <c r="A25" s="106"/>
      <c r="B25" s="96">
        <v>286</v>
      </c>
      <c r="C25" s="96">
        <v>1445</v>
      </c>
      <c r="D25" s="96" t="s">
        <v>1373</v>
      </c>
      <c r="E25" s="96">
        <v>1476</v>
      </c>
      <c r="F25" s="96" t="s">
        <v>80</v>
      </c>
      <c r="G25" s="96" t="s">
        <v>1374</v>
      </c>
      <c r="H25" s="96" t="s">
        <v>1375</v>
      </c>
      <c r="I25" s="96" t="s">
        <v>320</v>
      </c>
      <c r="J25" s="96" t="s">
        <v>753</v>
      </c>
      <c r="K25" s="96" t="s">
        <v>203</v>
      </c>
      <c r="L25" s="96" t="s">
        <v>298</v>
      </c>
      <c r="M25" s="96" t="s">
        <v>324</v>
      </c>
      <c r="N25" s="96" t="s">
        <v>339</v>
      </c>
      <c r="O25" s="96" t="s">
        <v>446</v>
      </c>
      <c r="P25" s="96" t="s">
        <v>338</v>
      </c>
      <c r="Q25" s="96" t="s">
        <v>409</v>
      </c>
      <c r="R25" s="96" t="s">
        <v>409</v>
      </c>
      <c r="S25" s="96" t="s">
        <v>409</v>
      </c>
      <c r="T25" s="96" t="s">
        <v>1200</v>
      </c>
      <c r="U25" s="97">
        <v>2.31</v>
      </c>
      <c r="V25" s="100">
        <v>45658</v>
      </c>
      <c r="W25" s="98">
        <v>6.9000000000000006E-2</v>
      </c>
      <c r="X25" s="98">
        <v>9.99</v>
      </c>
      <c r="Y25" s="96" t="s">
        <v>411</v>
      </c>
      <c r="Z25" s="96"/>
      <c r="AA25" s="97">
        <v>611.33462599999996</v>
      </c>
      <c r="AB25" s="97">
        <v>1</v>
      </c>
      <c r="AC25" s="97">
        <v>12.89</v>
      </c>
      <c r="AD25" s="97"/>
      <c r="AE25" s="97">
        <v>7.8800999999999996E-2</v>
      </c>
      <c r="AF25" s="96"/>
      <c r="AG25" s="96"/>
      <c r="AH25" s="96"/>
      <c r="AI25" s="98">
        <v>3.0000000000000001E-6</v>
      </c>
      <c r="AJ25" s="98">
        <v>6.0000000000000002E-6</v>
      </c>
      <c r="AK25" s="98">
        <v>9.9999999999999995E-7</v>
      </c>
      <c r="AL25" s="106"/>
    </row>
    <row r="26" spans="1:38" ht="15" customHeight="1">
      <c r="A26" s="106"/>
      <c r="B26" s="96">
        <v>286</v>
      </c>
      <c r="C26" s="96">
        <v>1445</v>
      </c>
      <c r="D26" s="96" t="s">
        <v>1376</v>
      </c>
      <c r="E26" s="96">
        <v>520025438</v>
      </c>
      <c r="F26" s="96" t="s">
        <v>308</v>
      </c>
      <c r="G26" s="96" t="s">
        <v>1377</v>
      </c>
      <c r="H26" s="96" t="s">
        <v>1378</v>
      </c>
      <c r="I26" s="96" t="s">
        <v>320</v>
      </c>
      <c r="J26" s="96" t="s">
        <v>753</v>
      </c>
      <c r="K26" s="96" t="s">
        <v>203</v>
      </c>
      <c r="L26" s="96" t="s">
        <v>203</v>
      </c>
      <c r="M26" s="96" t="s">
        <v>324</v>
      </c>
      <c r="N26" s="96" t="s">
        <v>339</v>
      </c>
      <c r="O26" s="96" t="s">
        <v>463</v>
      </c>
      <c r="P26" s="96" t="s">
        <v>338</v>
      </c>
      <c r="Q26" s="96" t="s">
        <v>1328</v>
      </c>
      <c r="R26" s="96" t="s">
        <v>412</v>
      </c>
      <c r="S26" s="96" t="s">
        <v>406</v>
      </c>
      <c r="T26" s="96" t="s">
        <v>1200</v>
      </c>
      <c r="U26" s="97">
        <v>0.99</v>
      </c>
      <c r="V26" s="100">
        <v>46022</v>
      </c>
      <c r="W26" s="98">
        <v>4.9500000000000002E-2</v>
      </c>
      <c r="X26" s="98">
        <v>4.2099999999999999E-2</v>
      </c>
      <c r="Y26" s="96" t="s">
        <v>411</v>
      </c>
      <c r="Z26" s="96"/>
      <c r="AA26" s="97">
        <v>8556.4078179999997</v>
      </c>
      <c r="AB26" s="97">
        <v>1</v>
      </c>
      <c r="AC26" s="97">
        <v>138.26</v>
      </c>
      <c r="AD26" s="97"/>
      <c r="AE26" s="97">
        <v>11.830088999999999</v>
      </c>
      <c r="AF26" s="96"/>
      <c r="AG26" s="96"/>
      <c r="AH26" s="96"/>
      <c r="AI26" s="98">
        <v>1.9000000000000001E-5</v>
      </c>
      <c r="AJ26" s="98">
        <v>9.2199999999999997E-4</v>
      </c>
      <c r="AK26" s="98">
        <v>2.2499999999999999E-4</v>
      </c>
      <c r="AL26" s="106"/>
    </row>
    <row r="27" spans="1:38" ht="15" customHeight="1">
      <c r="A27" s="106"/>
      <c r="B27" s="96">
        <v>286</v>
      </c>
      <c r="C27" s="96">
        <v>1445</v>
      </c>
      <c r="D27" s="96" t="s">
        <v>1379</v>
      </c>
      <c r="E27" s="96">
        <v>510454333</v>
      </c>
      <c r="F27" s="96" t="s">
        <v>308</v>
      </c>
      <c r="G27" s="96" t="s">
        <v>1380</v>
      </c>
      <c r="H27" s="96" t="s">
        <v>1381</v>
      </c>
      <c r="I27" s="96" t="s">
        <v>320</v>
      </c>
      <c r="J27" s="96" t="s">
        <v>753</v>
      </c>
      <c r="K27" s="96" t="s">
        <v>203</v>
      </c>
      <c r="L27" s="96" t="s">
        <v>203</v>
      </c>
      <c r="M27" s="96" t="s">
        <v>324</v>
      </c>
      <c r="N27" s="96" t="s">
        <v>339</v>
      </c>
      <c r="O27" s="96" t="s">
        <v>476</v>
      </c>
      <c r="P27" s="96" t="s">
        <v>338</v>
      </c>
      <c r="Q27" s="96" t="s">
        <v>1320</v>
      </c>
      <c r="R27" s="96" t="s">
        <v>412</v>
      </c>
      <c r="S27" s="96" t="s">
        <v>406</v>
      </c>
      <c r="T27" s="96" t="s">
        <v>1200</v>
      </c>
      <c r="U27" s="97">
        <v>2.73</v>
      </c>
      <c r="V27" s="100">
        <v>47391</v>
      </c>
      <c r="W27" s="98">
        <v>3.2300000000000002E-2</v>
      </c>
      <c r="X27" s="98">
        <v>3.32E-2</v>
      </c>
      <c r="Y27" s="96" t="s">
        <v>411</v>
      </c>
      <c r="Z27" s="96"/>
      <c r="AA27" s="97">
        <v>24456.444824999999</v>
      </c>
      <c r="AB27" s="97">
        <v>1</v>
      </c>
      <c r="AC27" s="97">
        <v>105.98</v>
      </c>
      <c r="AD27" s="97"/>
      <c r="AE27" s="97">
        <v>25.918939999999999</v>
      </c>
      <c r="AF27" s="96"/>
      <c r="AG27" s="96"/>
      <c r="AH27" s="96"/>
      <c r="AI27" s="98">
        <v>4.1E-5</v>
      </c>
      <c r="AJ27" s="98">
        <v>2.0219999999999999E-3</v>
      </c>
      <c r="AK27" s="98">
        <v>4.9299999999999995E-4</v>
      </c>
      <c r="AL27" s="106"/>
    </row>
    <row r="28" spans="1:38" ht="15" customHeight="1">
      <c r="A28" s="106"/>
      <c r="B28" s="96">
        <v>286</v>
      </c>
      <c r="C28" s="96">
        <v>1445</v>
      </c>
      <c r="D28" s="96" t="s">
        <v>1382</v>
      </c>
      <c r="E28" s="96">
        <v>520036690</v>
      </c>
      <c r="F28" s="96" t="s">
        <v>308</v>
      </c>
      <c r="G28" s="96" t="s">
        <v>1383</v>
      </c>
      <c r="H28" s="96" t="s">
        <v>1384</v>
      </c>
      <c r="I28" s="96" t="s">
        <v>320</v>
      </c>
      <c r="J28" s="96" t="s">
        <v>952</v>
      </c>
      <c r="K28" s="96" t="s">
        <v>203</v>
      </c>
      <c r="L28" s="96" t="s">
        <v>203</v>
      </c>
      <c r="M28" s="96" t="s">
        <v>324</v>
      </c>
      <c r="N28" s="96" t="s">
        <v>339</v>
      </c>
      <c r="O28" s="96" t="s">
        <v>475</v>
      </c>
      <c r="P28" s="96" t="s">
        <v>337</v>
      </c>
      <c r="Q28" s="96" t="s">
        <v>1305</v>
      </c>
      <c r="R28" s="96" t="s">
        <v>414</v>
      </c>
      <c r="S28" s="96" t="s">
        <v>406</v>
      </c>
      <c r="T28" s="96" t="s">
        <v>1200</v>
      </c>
      <c r="U28" s="97">
        <v>1.58</v>
      </c>
      <c r="V28" s="100">
        <v>46357</v>
      </c>
      <c r="W28" s="98">
        <v>2.29E-2</v>
      </c>
      <c r="X28" s="98">
        <v>4.9099999999999998E-2</v>
      </c>
      <c r="Y28" s="96" t="s">
        <v>411</v>
      </c>
      <c r="Z28" s="96"/>
      <c r="AA28" s="97">
        <v>9970.9048579999999</v>
      </c>
      <c r="AB28" s="97">
        <v>1</v>
      </c>
      <c r="AC28" s="97">
        <v>96.26</v>
      </c>
      <c r="AD28" s="97"/>
      <c r="AE28" s="97">
        <v>9.5979930000000007</v>
      </c>
      <c r="AF28" s="96"/>
      <c r="AG28" s="96"/>
      <c r="AH28" s="96"/>
      <c r="AI28" s="98">
        <v>2.4000000000000001E-5</v>
      </c>
      <c r="AJ28" s="98">
        <v>7.4799999999999997E-4</v>
      </c>
      <c r="AK28" s="98">
        <v>1.8200000000000001E-4</v>
      </c>
      <c r="AL28" s="106"/>
    </row>
    <row r="29" spans="1:38" ht="15" customHeight="1">
      <c r="A29" s="106"/>
      <c r="B29" s="96">
        <v>286</v>
      </c>
      <c r="C29" s="96">
        <v>1445</v>
      </c>
      <c r="D29" s="96" t="s">
        <v>1385</v>
      </c>
      <c r="E29" s="96">
        <v>520017807</v>
      </c>
      <c r="F29" s="96" t="s">
        <v>308</v>
      </c>
      <c r="G29" s="96" t="s">
        <v>1386</v>
      </c>
      <c r="H29" s="96" t="s">
        <v>1387</v>
      </c>
      <c r="I29" s="96" t="s">
        <v>320</v>
      </c>
      <c r="J29" s="96" t="s">
        <v>753</v>
      </c>
      <c r="K29" s="96" t="s">
        <v>203</v>
      </c>
      <c r="L29" s="96" t="s">
        <v>203</v>
      </c>
      <c r="M29" s="96" t="s">
        <v>324</v>
      </c>
      <c r="N29" s="96" t="s">
        <v>339</v>
      </c>
      <c r="O29" s="96" t="s">
        <v>463</v>
      </c>
      <c r="P29" s="96" t="s">
        <v>337</v>
      </c>
      <c r="Q29" s="96" t="s">
        <v>1305</v>
      </c>
      <c r="R29" s="96" t="s">
        <v>414</v>
      </c>
      <c r="S29" s="96" t="s">
        <v>406</v>
      </c>
      <c r="T29" s="96" t="s">
        <v>1200</v>
      </c>
      <c r="U29" s="97">
        <v>3.43</v>
      </c>
      <c r="V29" s="100">
        <v>48059</v>
      </c>
      <c r="W29" s="98">
        <v>2.4E-2</v>
      </c>
      <c r="X29" s="98">
        <v>3.0499999999999999E-2</v>
      </c>
      <c r="Y29" s="96" t="s">
        <v>411</v>
      </c>
      <c r="Z29" s="96"/>
      <c r="AA29" s="97">
        <v>21039.682552999999</v>
      </c>
      <c r="AB29" s="97">
        <v>1</v>
      </c>
      <c r="AC29" s="97">
        <v>113.28</v>
      </c>
      <c r="AD29" s="97"/>
      <c r="AE29" s="97">
        <v>23.833752</v>
      </c>
      <c r="AF29" s="96"/>
      <c r="AG29" s="96"/>
      <c r="AH29" s="96"/>
      <c r="AI29" s="98">
        <v>1.5E-5</v>
      </c>
      <c r="AJ29" s="98">
        <v>1.859E-3</v>
      </c>
      <c r="AK29" s="98">
        <v>4.5300000000000001E-4</v>
      </c>
      <c r="AL29" s="106"/>
    </row>
    <row r="30" spans="1:38" ht="15" customHeight="1">
      <c r="A30" s="106"/>
      <c r="B30" s="96">
        <v>286</v>
      </c>
      <c r="C30" s="96">
        <v>1445</v>
      </c>
      <c r="D30" s="96" t="s">
        <v>1364</v>
      </c>
      <c r="E30" s="96">
        <v>513821488</v>
      </c>
      <c r="F30" s="96" t="s">
        <v>308</v>
      </c>
      <c r="G30" s="96" t="s">
        <v>1388</v>
      </c>
      <c r="H30" s="96" t="s">
        <v>1389</v>
      </c>
      <c r="I30" s="96" t="s">
        <v>320</v>
      </c>
      <c r="J30" s="96" t="s">
        <v>753</v>
      </c>
      <c r="K30" s="96" t="s">
        <v>203</v>
      </c>
      <c r="L30" s="96" t="s">
        <v>203</v>
      </c>
      <c r="M30" s="96" t="s">
        <v>324</v>
      </c>
      <c r="N30" s="96" t="s">
        <v>339</v>
      </c>
      <c r="O30" s="96" t="s">
        <v>463</v>
      </c>
      <c r="P30" s="96" t="s">
        <v>337</v>
      </c>
      <c r="Q30" s="96" t="s">
        <v>1313</v>
      </c>
      <c r="R30" s="96" t="s">
        <v>412</v>
      </c>
      <c r="S30" s="96" t="s">
        <v>406</v>
      </c>
      <c r="T30" s="96" t="s">
        <v>1200</v>
      </c>
      <c r="U30" s="97">
        <v>2.29</v>
      </c>
      <c r="V30" s="100">
        <v>47016</v>
      </c>
      <c r="W30" s="98">
        <v>0.04</v>
      </c>
      <c r="X30" s="98">
        <v>2.8000000000000001E-2</v>
      </c>
      <c r="Y30" s="96" t="s">
        <v>411</v>
      </c>
      <c r="Z30" s="96"/>
      <c r="AA30" s="97">
        <v>61266.473030000001</v>
      </c>
      <c r="AB30" s="97">
        <v>1</v>
      </c>
      <c r="AC30" s="97">
        <v>118.66</v>
      </c>
      <c r="AD30" s="97"/>
      <c r="AE30" s="97">
        <v>72.698796000000002</v>
      </c>
      <c r="AF30" s="96"/>
      <c r="AG30" s="96"/>
      <c r="AH30" s="96"/>
      <c r="AI30" s="98">
        <v>6.0999999999999999E-5</v>
      </c>
      <c r="AJ30" s="98">
        <v>5.6709999999999998E-3</v>
      </c>
      <c r="AK30" s="98">
        <v>1.384E-3</v>
      </c>
      <c r="AL30" s="106"/>
    </row>
    <row r="31" spans="1:38" ht="15" customHeight="1">
      <c r="A31" s="106"/>
      <c r="B31" s="96">
        <v>286</v>
      </c>
      <c r="C31" s="96">
        <v>1445</v>
      </c>
      <c r="D31" s="96" t="s">
        <v>1379</v>
      </c>
      <c r="E31" s="96">
        <v>510454333</v>
      </c>
      <c r="F31" s="96" t="s">
        <v>308</v>
      </c>
      <c r="G31" s="96" t="s">
        <v>1390</v>
      </c>
      <c r="H31" s="96" t="s">
        <v>1391</v>
      </c>
      <c r="I31" s="96" t="s">
        <v>320</v>
      </c>
      <c r="J31" s="96" t="s">
        <v>753</v>
      </c>
      <c r="K31" s="96" t="s">
        <v>203</v>
      </c>
      <c r="L31" s="96" t="s">
        <v>203</v>
      </c>
      <c r="M31" s="96" t="s">
        <v>326</v>
      </c>
      <c r="N31" s="96" t="s">
        <v>339</v>
      </c>
      <c r="O31" s="96" t="s">
        <v>476</v>
      </c>
      <c r="P31" s="96" t="s">
        <v>338</v>
      </c>
      <c r="Q31" s="96" t="s">
        <v>1320</v>
      </c>
      <c r="R31" s="96" t="s">
        <v>412</v>
      </c>
      <c r="S31" s="96" t="s">
        <v>406</v>
      </c>
      <c r="T31" s="96" t="s">
        <v>1200</v>
      </c>
      <c r="U31" s="97">
        <v>2.62</v>
      </c>
      <c r="V31" s="100">
        <v>47299</v>
      </c>
      <c r="W31" s="98">
        <v>0.01</v>
      </c>
      <c r="X31" s="98">
        <v>2.98E-2</v>
      </c>
      <c r="Y31" s="96" t="s">
        <v>411</v>
      </c>
      <c r="Z31" s="96"/>
      <c r="AA31" s="97">
        <v>1980.3421980000001</v>
      </c>
      <c r="AB31" s="97">
        <v>1</v>
      </c>
      <c r="AC31" s="97">
        <v>104.8245</v>
      </c>
      <c r="AD31" s="97"/>
      <c r="AE31" s="97">
        <v>2.0758830000000001</v>
      </c>
      <c r="AF31" s="96"/>
      <c r="AG31" s="96"/>
      <c r="AH31" s="96"/>
      <c r="AI31" s="98">
        <v>6.0000000000000002E-6</v>
      </c>
      <c r="AJ31" s="98">
        <v>1.6100000000000001E-4</v>
      </c>
      <c r="AK31" s="98">
        <v>3.8999999999999999E-5</v>
      </c>
      <c r="AL31" s="106"/>
    </row>
    <row r="32" spans="1:38" ht="15" customHeight="1">
      <c r="A32" s="106"/>
      <c r="B32" s="96">
        <v>286</v>
      </c>
      <c r="C32" s="96">
        <v>1445</v>
      </c>
      <c r="D32" s="96" t="s">
        <v>1392</v>
      </c>
      <c r="E32" s="96">
        <v>513708818</v>
      </c>
      <c r="F32" s="96" t="s">
        <v>308</v>
      </c>
      <c r="G32" s="96" t="s">
        <v>1393</v>
      </c>
      <c r="H32" s="96" t="s">
        <v>1394</v>
      </c>
      <c r="I32" s="96" t="s">
        <v>320</v>
      </c>
      <c r="J32" s="96" t="s">
        <v>753</v>
      </c>
      <c r="K32" s="96" t="s">
        <v>203</v>
      </c>
      <c r="L32" s="96" t="s">
        <v>203</v>
      </c>
      <c r="M32" s="96" t="s">
        <v>326</v>
      </c>
      <c r="N32" s="96" t="s">
        <v>339</v>
      </c>
      <c r="O32" s="96" t="s">
        <v>439</v>
      </c>
      <c r="P32" s="96" t="s">
        <v>338</v>
      </c>
      <c r="Q32" s="96" t="s">
        <v>1309</v>
      </c>
      <c r="R32" s="96" t="s">
        <v>414</v>
      </c>
      <c r="S32" s="96" t="s">
        <v>406</v>
      </c>
      <c r="T32" s="96" t="s">
        <v>1200</v>
      </c>
      <c r="U32" s="97">
        <v>5.97</v>
      </c>
      <c r="V32" s="100">
        <v>49217</v>
      </c>
      <c r="W32" s="98">
        <v>3.3000000000000002E-2</v>
      </c>
      <c r="X32" s="98">
        <v>4.5600000000000002E-2</v>
      </c>
      <c r="Y32" s="96" t="s">
        <v>411</v>
      </c>
      <c r="Z32" s="96"/>
      <c r="AA32" s="97">
        <v>59294.219933</v>
      </c>
      <c r="AB32" s="97">
        <v>1</v>
      </c>
      <c r="AC32" s="97">
        <v>99.871099999999998</v>
      </c>
      <c r="AD32" s="97"/>
      <c r="AE32" s="97">
        <v>59.217787999999999</v>
      </c>
      <c r="AF32" s="96"/>
      <c r="AG32" s="96"/>
      <c r="AH32" s="96"/>
      <c r="AI32" s="98">
        <v>4.6999999999999997E-5</v>
      </c>
      <c r="AJ32" s="98">
        <v>4.62E-3</v>
      </c>
      <c r="AK32" s="98">
        <v>1.127E-3</v>
      </c>
      <c r="AL32" s="106"/>
    </row>
    <row r="33" spans="1:38" ht="15" customHeight="1">
      <c r="A33" s="106"/>
      <c r="B33" s="96">
        <v>286</v>
      </c>
      <c r="C33" s="96">
        <v>1445</v>
      </c>
      <c r="D33" s="96" t="s">
        <v>1354</v>
      </c>
      <c r="E33" s="96">
        <v>513893123</v>
      </c>
      <c r="F33" s="96" t="s">
        <v>308</v>
      </c>
      <c r="G33" s="96" t="s">
        <v>1395</v>
      </c>
      <c r="H33" s="96" t="s">
        <v>1396</v>
      </c>
      <c r="I33" s="96" t="s">
        <v>320</v>
      </c>
      <c r="J33" s="96" t="s">
        <v>753</v>
      </c>
      <c r="K33" s="96" t="s">
        <v>203</v>
      </c>
      <c r="L33" s="96" t="s">
        <v>203</v>
      </c>
      <c r="M33" s="96" t="s">
        <v>326</v>
      </c>
      <c r="N33" s="96" t="s">
        <v>339</v>
      </c>
      <c r="O33" s="96" t="s">
        <v>442</v>
      </c>
      <c r="P33" s="96" t="s">
        <v>338</v>
      </c>
      <c r="Q33" s="96" t="s">
        <v>1357</v>
      </c>
      <c r="R33" s="96" t="s">
        <v>414</v>
      </c>
      <c r="S33" s="96" t="s">
        <v>406</v>
      </c>
      <c r="T33" s="96" t="s">
        <v>1200</v>
      </c>
      <c r="U33" s="97">
        <v>3.22</v>
      </c>
      <c r="V33" s="100">
        <v>48060</v>
      </c>
      <c r="W33" s="98">
        <v>0.01</v>
      </c>
      <c r="X33" s="98">
        <v>3.8600000000000002E-2</v>
      </c>
      <c r="Y33" s="96" t="s">
        <v>411</v>
      </c>
      <c r="Z33" s="96"/>
      <c r="AA33" s="97">
        <v>1984.7628910000001</v>
      </c>
      <c r="AB33" s="97">
        <v>1</v>
      </c>
      <c r="AC33" s="97">
        <v>101.62090000000001</v>
      </c>
      <c r="AD33" s="97"/>
      <c r="AE33" s="97">
        <v>2.0169329999999999</v>
      </c>
      <c r="AF33" s="96"/>
      <c r="AG33" s="96"/>
      <c r="AH33" s="96"/>
      <c r="AI33" s="98">
        <v>9.9999999999999995E-7</v>
      </c>
      <c r="AJ33" s="98">
        <v>1.5699999999999999E-4</v>
      </c>
      <c r="AK33" s="98">
        <v>3.8000000000000002E-5</v>
      </c>
      <c r="AL33" s="106"/>
    </row>
    <row r="34" spans="1:38" ht="15" customHeight="1">
      <c r="A34" s="106"/>
      <c r="B34" s="96">
        <v>286</v>
      </c>
      <c r="C34" s="96">
        <v>1445</v>
      </c>
      <c r="D34" s="96" t="s">
        <v>1203</v>
      </c>
      <c r="E34" s="96">
        <v>520000118</v>
      </c>
      <c r="F34" s="96" t="s">
        <v>308</v>
      </c>
      <c r="G34" s="96" t="s">
        <v>1397</v>
      </c>
      <c r="H34" s="96" t="s">
        <v>1398</v>
      </c>
      <c r="I34" s="96" t="s">
        <v>320</v>
      </c>
      <c r="J34" s="96" t="s">
        <v>753</v>
      </c>
      <c r="K34" s="96" t="s">
        <v>203</v>
      </c>
      <c r="L34" s="96" t="s">
        <v>203</v>
      </c>
      <c r="M34" s="96" t="s">
        <v>324</v>
      </c>
      <c r="N34" s="96" t="s">
        <v>339</v>
      </c>
      <c r="O34" s="96" t="s">
        <v>447</v>
      </c>
      <c r="P34" s="96" t="s">
        <v>338</v>
      </c>
      <c r="Q34" s="96" t="s">
        <v>1332</v>
      </c>
      <c r="R34" s="96" t="s">
        <v>412</v>
      </c>
      <c r="S34" s="96" t="s">
        <v>406</v>
      </c>
      <c r="T34" s="96" t="s">
        <v>1200</v>
      </c>
      <c r="U34" s="97">
        <v>1.85</v>
      </c>
      <c r="V34" s="100">
        <v>46159</v>
      </c>
      <c r="W34" s="98">
        <v>2.5899999999999999E-2</v>
      </c>
      <c r="X34" s="98">
        <v>2.6499999999999999E-2</v>
      </c>
      <c r="Y34" s="96" t="s">
        <v>410</v>
      </c>
      <c r="Z34" s="96"/>
      <c r="AA34" s="97">
        <v>53452.554145000002</v>
      </c>
      <c r="AB34" s="97">
        <v>1</v>
      </c>
      <c r="AC34" s="97">
        <v>113.54</v>
      </c>
      <c r="AD34" s="97"/>
      <c r="AE34" s="97">
        <v>60.690029000000003</v>
      </c>
      <c r="AF34" s="96"/>
      <c r="AG34" s="96"/>
      <c r="AH34" s="96"/>
      <c r="AI34" s="98">
        <v>5.0000000000000002E-5</v>
      </c>
      <c r="AJ34" s="98">
        <v>4.7349999999999996E-3</v>
      </c>
      <c r="AK34" s="98">
        <v>1.155E-3</v>
      </c>
      <c r="AL34" s="106"/>
    </row>
    <row r="35" spans="1:38" ht="15" customHeight="1">
      <c r="A35" s="106"/>
      <c r="B35" s="96">
        <v>286</v>
      </c>
      <c r="C35" s="96">
        <v>1445</v>
      </c>
      <c r="D35" s="96" t="s">
        <v>1399</v>
      </c>
      <c r="E35" s="96">
        <v>520032046</v>
      </c>
      <c r="F35" s="96" t="s">
        <v>308</v>
      </c>
      <c r="G35" s="96" t="s">
        <v>1400</v>
      </c>
      <c r="H35" s="96" t="s">
        <v>1401</v>
      </c>
      <c r="I35" s="96" t="s">
        <v>320</v>
      </c>
      <c r="J35" s="96" t="s">
        <v>753</v>
      </c>
      <c r="K35" s="96" t="s">
        <v>203</v>
      </c>
      <c r="L35" s="96" t="s">
        <v>203</v>
      </c>
      <c r="M35" s="96" t="s">
        <v>324</v>
      </c>
      <c r="N35" s="96" t="s">
        <v>339</v>
      </c>
      <c r="O35" s="96" t="s">
        <v>447</v>
      </c>
      <c r="P35" s="96" t="s">
        <v>338</v>
      </c>
      <c r="Q35" s="96" t="s">
        <v>1305</v>
      </c>
      <c r="R35" s="96" t="s">
        <v>414</v>
      </c>
      <c r="S35" s="96" t="s">
        <v>406</v>
      </c>
      <c r="T35" s="96" t="s">
        <v>1200</v>
      </c>
      <c r="U35" s="97">
        <v>0.48</v>
      </c>
      <c r="V35" s="100">
        <v>45649</v>
      </c>
      <c r="W35" s="98">
        <v>1.9E-2</v>
      </c>
      <c r="X35" s="98">
        <v>4.4699999999999997E-2</v>
      </c>
      <c r="Y35" s="96" t="s">
        <v>410</v>
      </c>
      <c r="Z35" s="96"/>
      <c r="AA35" s="97">
        <v>58177.081836999998</v>
      </c>
      <c r="AB35" s="97">
        <v>1</v>
      </c>
      <c r="AC35" s="97">
        <v>111.73</v>
      </c>
      <c r="AD35" s="97"/>
      <c r="AE35" s="97">
        <v>65.001253000000005</v>
      </c>
      <c r="AF35" s="96"/>
      <c r="AG35" s="96"/>
      <c r="AH35" s="96"/>
      <c r="AI35" s="98">
        <v>5.3000000000000001E-5</v>
      </c>
      <c r="AJ35" s="98">
        <v>5.071E-3</v>
      </c>
      <c r="AK35" s="98">
        <v>1.237E-3</v>
      </c>
      <c r="AL35" s="106"/>
    </row>
    <row r="36" spans="1:38" ht="15" customHeight="1">
      <c r="A36" s="106"/>
      <c r="B36" s="96">
        <v>286</v>
      </c>
      <c r="C36" s="96">
        <v>1445</v>
      </c>
      <c r="D36" s="96" t="s">
        <v>1333</v>
      </c>
      <c r="E36" s="96">
        <v>520024126</v>
      </c>
      <c r="F36" s="96" t="s">
        <v>308</v>
      </c>
      <c r="G36" s="96" t="s">
        <v>1402</v>
      </c>
      <c r="H36" s="96" t="s">
        <v>1403</v>
      </c>
      <c r="I36" s="96" t="s">
        <v>320</v>
      </c>
      <c r="J36" s="96" t="s">
        <v>753</v>
      </c>
      <c r="K36" s="96" t="s">
        <v>203</v>
      </c>
      <c r="L36" s="96" t="s">
        <v>203</v>
      </c>
      <c r="M36" s="96" t="s">
        <v>324</v>
      </c>
      <c r="N36" s="96" t="s">
        <v>339</v>
      </c>
      <c r="O36" s="96" t="s">
        <v>463</v>
      </c>
      <c r="P36" s="96" t="s">
        <v>337</v>
      </c>
      <c r="Q36" s="96" t="s">
        <v>1313</v>
      </c>
      <c r="R36" s="96" t="s">
        <v>412</v>
      </c>
      <c r="S36" s="96" t="s">
        <v>406</v>
      </c>
      <c r="T36" s="96" t="s">
        <v>1200</v>
      </c>
      <c r="U36" s="97">
        <v>2.4700000000000002</v>
      </c>
      <c r="V36" s="100">
        <v>46477</v>
      </c>
      <c r="W36" s="98">
        <v>2.5999999999999999E-2</v>
      </c>
      <c r="X36" s="98">
        <v>2.69E-2</v>
      </c>
      <c r="Y36" s="96" t="s">
        <v>411</v>
      </c>
      <c r="Z36" s="96"/>
      <c r="AA36" s="97">
        <v>1439.9183290000001</v>
      </c>
      <c r="AB36" s="97">
        <v>1</v>
      </c>
      <c r="AC36" s="97">
        <v>115.09</v>
      </c>
      <c r="AD36" s="97"/>
      <c r="AE36" s="97">
        <v>1.6572020000000001</v>
      </c>
      <c r="AF36" s="96"/>
      <c r="AG36" s="96"/>
      <c r="AH36" s="96"/>
      <c r="AI36" s="98">
        <v>3.0000000000000001E-6</v>
      </c>
      <c r="AJ36" s="98">
        <v>1.2899999999999999E-4</v>
      </c>
      <c r="AK36" s="98">
        <v>3.1000000000000001E-5</v>
      </c>
      <c r="AL36" s="106"/>
    </row>
    <row r="37" spans="1:38" ht="15" customHeight="1">
      <c r="A37" s="106"/>
      <c r="B37" s="96">
        <v>286</v>
      </c>
      <c r="C37" s="96">
        <v>1445</v>
      </c>
      <c r="D37" s="96" t="s">
        <v>1302</v>
      </c>
      <c r="E37" s="96">
        <v>513623314</v>
      </c>
      <c r="F37" s="96" t="s">
        <v>308</v>
      </c>
      <c r="G37" s="96" t="s">
        <v>1404</v>
      </c>
      <c r="H37" s="96" t="s">
        <v>1405</v>
      </c>
      <c r="I37" s="96" t="s">
        <v>320</v>
      </c>
      <c r="J37" s="96" t="s">
        <v>753</v>
      </c>
      <c r="K37" s="96" t="s">
        <v>203</v>
      </c>
      <c r="L37" s="96" t="s">
        <v>203</v>
      </c>
      <c r="M37" s="96" t="s">
        <v>324</v>
      </c>
      <c r="N37" s="96" t="s">
        <v>339</v>
      </c>
      <c r="O37" s="96" t="s">
        <v>463</v>
      </c>
      <c r="P37" s="96" t="s">
        <v>337</v>
      </c>
      <c r="Q37" s="96" t="s">
        <v>1313</v>
      </c>
      <c r="R37" s="96" t="s">
        <v>412</v>
      </c>
      <c r="S37" s="96" t="s">
        <v>406</v>
      </c>
      <c r="T37" s="96" t="s">
        <v>1200</v>
      </c>
      <c r="U37" s="97">
        <v>1.37</v>
      </c>
      <c r="V37" s="100">
        <v>45991</v>
      </c>
      <c r="W37" s="98">
        <v>2E-3</v>
      </c>
      <c r="X37" s="98">
        <v>2.4199999999999999E-2</v>
      </c>
      <c r="Y37" s="96" t="s">
        <v>411</v>
      </c>
      <c r="Z37" s="96"/>
      <c r="AA37" s="97">
        <v>1020.266045</v>
      </c>
      <c r="AB37" s="97">
        <v>1</v>
      </c>
      <c r="AC37" s="97">
        <v>109.12</v>
      </c>
      <c r="AD37" s="97"/>
      <c r="AE37" s="97">
        <v>1.1133139999999999</v>
      </c>
      <c r="AF37" s="96"/>
      <c r="AG37" s="96"/>
      <c r="AH37" s="96"/>
      <c r="AI37" s="98">
        <v>3.0000000000000001E-6</v>
      </c>
      <c r="AJ37" s="98">
        <v>8.6000000000000003E-5</v>
      </c>
      <c r="AK37" s="98">
        <v>2.0999999999999999E-5</v>
      </c>
      <c r="AL37" s="106"/>
    </row>
    <row r="38" spans="1:38" ht="15" customHeight="1">
      <c r="A38" s="106"/>
      <c r="B38" s="96">
        <v>286</v>
      </c>
      <c r="C38" s="96">
        <v>1445</v>
      </c>
      <c r="D38" s="96" t="s">
        <v>1406</v>
      </c>
      <c r="E38" s="96">
        <v>520025586</v>
      </c>
      <c r="F38" s="96" t="s">
        <v>308</v>
      </c>
      <c r="G38" s="96" t="s">
        <v>1407</v>
      </c>
      <c r="H38" s="96" t="s">
        <v>1408</v>
      </c>
      <c r="I38" s="96" t="s">
        <v>320</v>
      </c>
      <c r="J38" s="96" t="s">
        <v>753</v>
      </c>
      <c r="K38" s="96" t="s">
        <v>203</v>
      </c>
      <c r="L38" s="96" t="s">
        <v>203</v>
      </c>
      <c r="M38" s="96" t="s">
        <v>332</v>
      </c>
      <c r="N38" s="96" t="s">
        <v>339</v>
      </c>
      <c r="O38" s="96" t="s">
        <v>450</v>
      </c>
      <c r="P38" s="96" t="s">
        <v>338</v>
      </c>
      <c r="Q38" s="96" t="s">
        <v>409</v>
      </c>
      <c r="R38" s="96" t="s">
        <v>409</v>
      </c>
      <c r="S38" s="96" t="s">
        <v>409</v>
      </c>
      <c r="T38" s="96" t="s">
        <v>1200</v>
      </c>
      <c r="U38" s="97">
        <v>3.02</v>
      </c>
      <c r="V38" s="100">
        <v>46934</v>
      </c>
      <c r="W38" s="98">
        <v>3.6999999999999998E-2</v>
      </c>
      <c r="X38" s="98">
        <v>4.7500000000000001E-2</v>
      </c>
      <c r="Y38" s="96" t="s">
        <v>411</v>
      </c>
      <c r="Z38" s="96"/>
      <c r="AA38" s="97">
        <v>1212.1569</v>
      </c>
      <c r="AB38" s="97">
        <v>1</v>
      </c>
      <c r="AC38" s="97">
        <v>110.24</v>
      </c>
      <c r="AD38" s="97"/>
      <c r="AE38" s="97">
        <v>1.3362810000000001</v>
      </c>
      <c r="AF38" s="96"/>
      <c r="AG38" s="96"/>
      <c r="AH38" s="96"/>
      <c r="AI38" s="98">
        <v>9.9999999999999995E-7</v>
      </c>
      <c r="AJ38" s="98">
        <v>1.0399999999999999E-4</v>
      </c>
      <c r="AK38" s="98">
        <v>2.5000000000000001E-5</v>
      </c>
      <c r="AL38" s="106"/>
    </row>
    <row r="39" spans="1:38" ht="15" customHeight="1">
      <c r="A39" s="106"/>
      <c r="B39" s="96">
        <v>286</v>
      </c>
      <c r="C39" s="96">
        <v>1445</v>
      </c>
      <c r="D39" s="96" t="s">
        <v>1376</v>
      </c>
      <c r="E39" s="96">
        <v>520025438</v>
      </c>
      <c r="F39" s="96" t="s">
        <v>308</v>
      </c>
      <c r="G39" s="96" t="s">
        <v>1409</v>
      </c>
      <c r="H39" s="96" t="s">
        <v>1410</v>
      </c>
      <c r="I39" s="96" t="s">
        <v>320</v>
      </c>
      <c r="J39" s="96" t="s">
        <v>753</v>
      </c>
      <c r="K39" s="96" t="s">
        <v>203</v>
      </c>
      <c r="L39" s="96" t="s">
        <v>203</v>
      </c>
      <c r="M39" s="96" t="s">
        <v>324</v>
      </c>
      <c r="N39" s="96" t="s">
        <v>339</v>
      </c>
      <c r="O39" s="96" t="s">
        <v>463</v>
      </c>
      <c r="P39" s="96" t="s">
        <v>338</v>
      </c>
      <c r="Q39" s="96" t="s">
        <v>1328</v>
      </c>
      <c r="R39" s="96" t="s">
        <v>412</v>
      </c>
      <c r="S39" s="96" t="s">
        <v>406</v>
      </c>
      <c r="T39" s="96" t="s">
        <v>1200</v>
      </c>
      <c r="U39" s="97">
        <v>4.3</v>
      </c>
      <c r="V39" s="100">
        <v>47299</v>
      </c>
      <c r="W39" s="98">
        <v>3.6200000000000003E-2</v>
      </c>
      <c r="X39" s="98">
        <v>4.1599999999999998E-2</v>
      </c>
      <c r="Y39" s="96" t="s">
        <v>411</v>
      </c>
      <c r="Z39" s="96"/>
      <c r="AA39" s="97">
        <v>33777.160558000003</v>
      </c>
      <c r="AB39" s="97">
        <v>1</v>
      </c>
      <c r="AC39" s="97">
        <v>102.52</v>
      </c>
      <c r="AD39" s="97"/>
      <c r="AE39" s="97">
        <v>34.628345000000003</v>
      </c>
      <c r="AF39" s="96"/>
      <c r="AG39" s="96"/>
      <c r="AH39" s="96"/>
      <c r="AI39" s="98">
        <v>1.9000000000000001E-5</v>
      </c>
      <c r="AJ39" s="98">
        <v>2.7009999999999998E-3</v>
      </c>
      <c r="AK39" s="98">
        <v>6.5899999999999997E-4</v>
      </c>
      <c r="AL39" s="106"/>
    </row>
    <row r="40" spans="1:38" ht="15" customHeight="1">
      <c r="A40" s="106"/>
      <c r="B40" s="96">
        <v>286</v>
      </c>
      <c r="C40" s="96">
        <v>1445</v>
      </c>
      <c r="D40" s="96" t="s">
        <v>1411</v>
      </c>
      <c r="E40" s="96">
        <v>512025891</v>
      </c>
      <c r="F40" s="96" t="s">
        <v>308</v>
      </c>
      <c r="G40" s="96" t="s">
        <v>1412</v>
      </c>
      <c r="H40" s="96" t="s">
        <v>1413</v>
      </c>
      <c r="I40" s="96" t="s">
        <v>320</v>
      </c>
      <c r="J40" s="96" t="s">
        <v>952</v>
      </c>
      <c r="K40" s="96" t="s">
        <v>203</v>
      </c>
      <c r="L40" s="96" t="s">
        <v>203</v>
      </c>
      <c r="M40" s="96" t="s">
        <v>324</v>
      </c>
      <c r="N40" s="96" t="s">
        <v>339</v>
      </c>
      <c r="O40" s="96" t="s">
        <v>476</v>
      </c>
      <c r="P40" s="96" t="s">
        <v>338</v>
      </c>
      <c r="Q40" s="96" t="s">
        <v>1320</v>
      </c>
      <c r="R40" s="96" t="s">
        <v>412</v>
      </c>
      <c r="S40" s="96" t="s">
        <v>406</v>
      </c>
      <c r="T40" s="96" t="s">
        <v>1200</v>
      </c>
      <c r="U40" s="97">
        <v>1.24</v>
      </c>
      <c r="V40" s="100">
        <v>46400</v>
      </c>
      <c r="W40" s="98">
        <v>3.2500000000000001E-2</v>
      </c>
      <c r="X40" s="98">
        <v>5.5100000000000003E-2</v>
      </c>
      <c r="Y40" s="96" t="s">
        <v>411</v>
      </c>
      <c r="Z40" s="96"/>
      <c r="AA40" s="97">
        <v>13670.070346</v>
      </c>
      <c r="AB40" s="97">
        <v>1</v>
      </c>
      <c r="AC40" s="97">
        <v>98.07</v>
      </c>
      <c r="AD40" s="97"/>
      <c r="AE40" s="97">
        <v>13.406237000000001</v>
      </c>
      <c r="AF40" s="96"/>
      <c r="AG40" s="96"/>
      <c r="AH40" s="96"/>
      <c r="AI40" s="98">
        <v>3.0000000000000001E-5</v>
      </c>
      <c r="AJ40" s="98">
        <v>1.0449999999999999E-3</v>
      </c>
      <c r="AK40" s="98">
        <v>2.5500000000000002E-4</v>
      </c>
      <c r="AL40" s="106"/>
    </row>
    <row r="41" spans="1:38" ht="15" customHeight="1">
      <c r="A41" s="106"/>
      <c r="B41" s="96">
        <v>286</v>
      </c>
      <c r="C41" s="96">
        <v>1445</v>
      </c>
      <c r="D41" s="96" t="s">
        <v>1414</v>
      </c>
      <c r="E41" s="96">
        <v>520037789</v>
      </c>
      <c r="F41" s="96" t="s">
        <v>308</v>
      </c>
      <c r="G41" s="96" t="s">
        <v>1415</v>
      </c>
      <c r="H41" s="96" t="s">
        <v>1416</v>
      </c>
      <c r="I41" s="96" t="s">
        <v>320</v>
      </c>
      <c r="J41" s="96" t="s">
        <v>753</v>
      </c>
      <c r="K41" s="96" t="s">
        <v>203</v>
      </c>
      <c r="L41" s="96" t="s">
        <v>203</v>
      </c>
      <c r="M41" s="96" t="s">
        <v>324</v>
      </c>
      <c r="N41" s="96" t="s">
        <v>339</v>
      </c>
      <c r="O41" s="96" t="s">
        <v>463</v>
      </c>
      <c r="P41" s="96" t="s">
        <v>337</v>
      </c>
      <c r="Q41" s="96" t="s">
        <v>1313</v>
      </c>
      <c r="R41" s="96" t="s">
        <v>412</v>
      </c>
      <c r="S41" s="96" t="s">
        <v>406</v>
      </c>
      <c r="T41" s="96" t="s">
        <v>1200</v>
      </c>
      <c r="U41" s="97">
        <v>4.1399999999999997</v>
      </c>
      <c r="V41" s="100">
        <v>48214</v>
      </c>
      <c r="W41" s="98">
        <v>2.2499999999999999E-2</v>
      </c>
      <c r="X41" s="98">
        <v>3.1E-2</v>
      </c>
      <c r="Y41" s="96" t="s">
        <v>411</v>
      </c>
      <c r="Z41" s="96"/>
      <c r="AA41" s="97">
        <v>34221.389244999998</v>
      </c>
      <c r="AB41" s="97">
        <v>1</v>
      </c>
      <c r="AC41" s="97">
        <v>111.19</v>
      </c>
      <c r="AD41" s="97">
        <v>2.9372099999999999</v>
      </c>
      <c r="AE41" s="97">
        <v>40.987971999999999</v>
      </c>
      <c r="AF41" s="96"/>
      <c r="AG41" s="96"/>
      <c r="AH41" s="96"/>
      <c r="AI41" s="98">
        <v>2.9E-5</v>
      </c>
      <c r="AJ41" s="98">
        <v>3.1970000000000002E-3</v>
      </c>
      <c r="AK41" s="98">
        <v>7.7899999999999996E-4</v>
      </c>
      <c r="AL41" s="106"/>
    </row>
    <row r="42" spans="1:38" ht="15" customHeight="1">
      <c r="A42" s="106"/>
      <c r="B42" s="96">
        <v>286</v>
      </c>
      <c r="C42" s="96">
        <v>1445</v>
      </c>
      <c r="D42" s="96" t="s">
        <v>1417</v>
      </c>
      <c r="E42" s="96">
        <v>513230029</v>
      </c>
      <c r="F42" s="96" t="s">
        <v>308</v>
      </c>
      <c r="G42" s="96" t="s">
        <v>1418</v>
      </c>
      <c r="H42" s="96" t="s">
        <v>1419</v>
      </c>
      <c r="I42" s="96" t="s">
        <v>320</v>
      </c>
      <c r="J42" s="96" t="s">
        <v>952</v>
      </c>
      <c r="K42" s="96" t="s">
        <v>203</v>
      </c>
      <c r="L42" s="96" t="s">
        <v>203</v>
      </c>
      <c r="M42" s="96" t="s">
        <v>324</v>
      </c>
      <c r="N42" s="96" t="s">
        <v>339</v>
      </c>
      <c r="O42" s="96" t="s">
        <v>444</v>
      </c>
      <c r="P42" s="96" t="s">
        <v>338</v>
      </c>
      <c r="Q42" s="96" t="s">
        <v>1357</v>
      </c>
      <c r="R42" s="96" t="s">
        <v>414</v>
      </c>
      <c r="S42" s="96" t="s">
        <v>406</v>
      </c>
      <c r="T42" s="96" t="s">
        <v>1200</v>
      </c>
      <c r="U42" s="97">
        <v>6.23</v>
      </c>
      <c r="V42" s="100">
        <v>48213</v>
      </c>
      <c r="W42" s="98">
        <v>5.3999999999999999E-2</v>
      </c>
      <c r="X42" s="98">
        <v>6.2399999999999997E-2</v>
      </c>
      <c r="Y42" s="96" t="s">
        <v>411</v>
      </c>
      <c r="Z42" s="96"/>
      <c r="AA42" s="97">
        <v>33567.202190999997</v>
      </c>
      <c r="AB42" s="97">
        <v>1</v>
      </c>
      <c r="AC42" s="97">
        <v>95.55</v>
      </c>
      <c r="AD42" s="97"/>
      <c r="AE42" s="97">
        <v>32.073461000000002</v>
      </c>
      <c r="AF42" s="96"/>
      <c r="AG42" s="96"/>
      <c r="AH42" s="96"/>
      <c r="AI42" s="98">
        <v>5.8E-5</v>
      </c>
      <c r="AJ42" s="98">
        <v>2.5019999999999999E-3</v>
      </c>
      <c r="AK42" s="98">
        <v>6.0999999999999997E-4</v>
      </c>
      <c r="AL42" s="106"/>
    </row>
    <row r="43" spans="1:38" ht="15" customHeight="1">
      <c r="A43" s="106"/>
      <c r="B43" s="96">
        <v>286</v>
      </c>
      <c r="C43" s="96">
        <v>1445</v>
      </c>
      <c r="D43" s="96" t="s">
        <v>1346</v>
      </c>
      <c r="E43" s="96">
        <v>520025370</v>
      </c>
      <c r="F43" s="96" t="s">
        <v>308</v>
      </c>
      <c r="G43" s="96" t="s">
        <v>1420</v>
      </c>
      <c r="H43" s="96" t="s">
        <v>1348</v>
      </c>
      <c r="I43" s="96" t="s">
        <v>320</v>
      </c>
      <c r="J43" s="96" t="s">
        <v>952</v>
      </c>
      <c r="K43" s="96" t="s">
        <v>203</v>
      </c>
      <c r="L43" s="96" t="s">
        <v>203</v>
      </c>
      <c r="M43" s="96" t="s">
        <v>326</v>
      </c>
      <c r="N43" s="96" t="s">
        <v>339</v>
      </c>
      <c r="O43" s="96" t="s">
        <v>450</v>
      </c>
      <c r="P43" s="96" t="s">
        <v>338</v>
      </c>
      <c r="Q43" s="96" t="s">
        <v>1332</v>
      </c>
      <c r="R43" s="96" t="s">
        <v>412</v>
      </c>
      <c r="S43" s="96" t="s">
        <v>406</v>
      </c>
      <c r="T43" s="96" t="s">
        <v>1200</v>
      </c>
      <c r="U43" s="97">
        <v>2.5099999999999998</v>
      </c>
      <c r="V43" s="100">
        <v>47376</v>
      </c>
      <c r="W43" s="98">
        <v>2.0400000000000001E-2</v>
      </c>
      <c r="X43" s="98">
        <v>5.5399999999999998E-2</v>
      </c>
      <c r="Y43" s="96" t="s">
        <v>411</v>
      </c>
      <c r="Z43" s="96"/>
      <c r="AA43" s="97">
        <v>2937.0447610000001</v>
      </c>
      <c r="AB43" s="97">
        <v>1</v>
      </c>
      <c r="AC43" s="97">
        <v>92.290700000000001</v>
      </c>
      <c r="AD43" s="97"/>
      <c r="AE43" s="97">
        <v>2.7106180000000002</v>
      </c>
      <c r="AF43" s="96"/>
      <c r="AG43" s="96"/>
      <c r="AH43" s="96"/>
      <c r="AI43" s="98">
        <v>6.0000000000000002E-6</v>
      </c>
      <c r="AJ43" s="98">
        <v>2.1100000000000001E-4</v>
      </c>
      <c r="AK43" s="98">
        <v>5.1E-5</v>
      </c>
      <c r="AL43" s="106"/>
    </row>
    <row r="44" spans="1:38" ht="15" customHeight="1">
      <c r="A44" s="106"/>
      <c r="B44" s="96">
        <v>286</v>
      </c>
      <c r="C44" s="96">
        <v>1445</v>
      </c>
      <c r="D44" s="96" t="s">
        <v>1421</v>
      </c>
      <c r="E44" s="96">
        <v>520026683</v>
      </c>
      <c r="F44" s="96" t="s">
        <v>308</v>
      </c>
      <c r="G44" s="96" t="s">
        <v>1422</v>
      </c>
      <c r="H44" s="96" t="s">
        <v>1423</v>
      </c>
      <c r="I44" s="96" t="s">
        <v>320</v>
      </c>
      <c r="J44" s="96" t="s">
        <v>753</v>
      </c>
      <c r="K44" s="96" t="s">
        <v>203</v>
      </c>
      <c r="L44" s="96" t="s">
        <v>203</v>
      </c>
      <c r="M44" s="96" t="s">
        <v>324</v>
      </c>
      <c r="N44" s="96" t="s">
        <v>339</v>
      </c>
      <c r="O44" s="96" t="s">
        <v>463</v>
      </c>
      <c r="P44" s="96" t="s">
        <v>338</v>
      </c>
      <c r="Q44" s="96" t="s">
        <v>1336</v>
      </c>
      <c r="R44" s="96" t="s">
        <v>414</v>
      </c>
      <c r="S44" s="96" t="s">
        <v>406</v>
      </c>
      <c r="T44" s="96" t="s">
        <v>1200</v>
      </c>
      <c r="U44" s="97">
        <v>5.81</v>
      </c>
      <c r="V44" s="100">
        <v>48218</v>
      </c>
      <c r="W44" s="98">
        <v>9.1999999999999998E-3</v>
      </c>
      <c r="X44" s="98">
        <v>3.5099999999999999E-2</v>
      </c>
      <c r="Y44" s="96" t="s">
        <v>411</v>
      </c>
      <c r="Z44" s="96"/>
      <c r="AA44" s="97">
        <v>94789.397568999993</v>
      </c>
      <c r="AB44" s="97">
        <v>1</v>
      </c>
      <c r="AC44" s="97">
        <v>98.59</v>
      </c>
      <c r="AD44" s="97"/>
      <c r="AE44" s="97">
        <v>93.452866999999998</v>
      </c>
      <c r="AF44" s="96"/>
      <c r="AG44" s="96"/>
      <c r="AH44" s="96"/>
      <c r="AI44" s="98">
        <v>3.6000000000000001E-5</v>
      </c>
      <c r="AJ44" s="98">
        <v>7.2909999999999997E-3</v>
      </c>
      <c r="AK44" s="98">
        <v>1.779E-3</v>
      </c>
      <c r="AL44" s="106"/>
    </row>
    <row r="45" spans="1:38" ht="15" customHeight="1">
      <c r="A45" s="106"/>
      <c r="B45" s="96">
        <v>286</v>
      </c>
      <c r="C45" s="96">
        <v>1445</v>
      </c>
      <c r="D45" s="96" t="s">
        <v>1424</v>
      </c>
      <c r="E45" s="96">
        <v>513775163</v>
      </c>
      <c r="F45" s="96" t="s">
        <v>308</v>
      </c>
      <c r="G45" s="96" t="s">
        <v>1425</v>
      </c>
      <c r="H45" s="96" t="s">
        <v>1426</v>
      </c>
      <c r="I45" s="96" t="s">
        <v>320</v>
      </c>
      <c r="J45" s="96" t="s">
        <v>952</v>
      </c>
      <c r="K45" s="96" t="s">
        <v>203</v>
      </c>
      <c r="L45" s="96" t="s">
        <v>203</v>
      </c>
      <c r="M45" s="96" t="s">
        <v>324</v>
      </c>
      <c r="N45" s="96" t="s">
        <v>339</v>
      </c>
      <c r="O45" s="96" t="s">
        <v>439</v>
      </c>
      <c r="P45" s="96" t="s">
        <v>337</v>
      </c>
      <c r="Q45" s="96" t="s">
        <v>1309</v>
      </c>
      <c r="R45" s="96" t="s">
        <v>414</v>
      </c>
      <c r="S45" s="96" t="s">
        <v>406</v>
      </c>
      <c r="T45" s="96" t="s">
        <v>1200</v>
      </c>
      <c r="U45" s="97">
        <v>3.26</v>
      </c>
      <c r="V45" s="100">
        <v>47238</v>
      </c>
      <c r="W45" s="98">
        <v>7.2499999999999995E-2</v>
      </c>
      <c r="X45" s="98">
        <v>6.3100000000000003E-2</v>
      </c>
      <c r="Y45" s="96" t="s">
        <v>411</v>
      </c>
      <c r="Z45" s="96"/>
      <c r="AA45" s="97">
        <v>28411.755431000001</v>
      </c>
      <c r="AB45" s="97">
        <v>1</v>
      </c>
      <c r="AC45" s="97">
        <v>104.56</v>
      </c>
      <c r="AD45" s="97"/>
      <c r="AE45" s="97">
        <v>29.707331</v>
      </c>
      <c r="AF45" s="96"/>
      <c r="AG45" s="96"/>
      <c r="AH45" s="96"/>
      <c r="AI45" s="98">
        <v>3.8999999999999999E-5</v>
      </c>
      <c r="AJ45" s="98">
        <v>2.317E-3</v>
      </c>
      <c r="AK45" s="98">
        <v>5.6499999999999996E-4</v>
      </c>
      <c r="AL45" s="106"/>
    </row>
    <row r="46" spans="1:38" ht="15" customHeight="1">
      <c r="A46" s="106"/>
      <c r="B46" s="96">
        <v>286</v>
      </c>
      <c r="C46" s="96">
        <v>1445</v>
      </c>
      <c r="D46" s="96" t="s">
        <v>1427</v>
      </c>
      <c r="E46" s="96">
        <v>520031931</v>
      </c>
      <c r="F46" s="96" t="s">
        <v>308</v>
      </c>
      <c r="G46" s="96" t="s">
        <v>1428</v>
      </c>
      <c r="H46" s="96" t="s">
        <v>1429</v>
      </c>
      <c r="I46" s="96" t="s">
        <v>320</v>
      </c>
      <c r="J46" s="96" t="s">
        <v>753</v>
      </c>
      <c r="K46" s="96" t="s">
        <v>203</v>
      </c>
      <c r="L46" s="96" t="s">
        <v>203</v>
      </c>
      <c r="M46" s="96" t="s">
        <v>324</v>
      </c>
      <c r="N46" s="96" t="s">
        <v>339</v>
      </c>
      <c r="O46" s="96" t="s">
        <v>483</v>
      </c>
      <c r="P46" s="96" t="s">
        <v>338</v>
      </c>
      <c r="Q46" s="96" t="s">
        <v>1336</v>
      </c>
      <c r="R46" s="96" t="s">
        <v>414</v>
      </c>
      <c r="S46" s="96" t="s">
        <v>406</v>
      </c>
      <c r="T46" s="96" t="s">
        <v>1200</v>
      </c>
      <c r="U46" s="97">
        <v>3.77</v>
      </c>
      <c r="V46" s="100">
        <v>47635</v>
      </c>
      <c r="W46" s="98">
        <v>1.7000000000000001E-2</v>
      </c>
      <c r="X46" s="98">
        <v>2.5999999999999999E-2</v>
      </c>
      <c r="Y46" s="96" t="s">
        <v>411</v>
      </c>
      <c r="Z46" s="96"/>
      <c r="AA46" s="97">
        <v>18055.059913000001</v>
      </c>
      <c r="AB46" s="97">
        <v>1</v>
      </c>
      <c r="AC46" s="97">
        <v>108.38</v>
      </c>
      <c r="AD46" s="97"/>
      <c r="AE46" s="97">
        <v>19.568072999999998</v>
      </c>
      <c r="AF46" s="96"/>
      <c r="AG46" s="96"/>
      <c r="AH46" s="96"/>
      <c r="AI46" s="98">
        <v>1.4E-5</v>
      </c>
      <c r="AJ46" s="98">
        <v>1.526E-3</v>
      </c>
      <c r="AK46" s="98">
        <v>3.7199999999999999E-4</v>
      </c>
      <c r="AL46" s="106"/>
    </row>
    <row r="47" spans="1:38" ht="15" customHeight="1">
      <c r="A47" s="106"/>
      <c r="B47" s="96">
        <v>286</v>
      </c>
      <c r="C47" s="96">
        <v>1445</v>
      </c>
      <c r="D47" s="96" t="s">
        <v>1385</v>
      </c>
      <c r="E47" s="96">
        <v>520017807</v>
      </c>
      <c r="F47" s="96" t="s">
        <v>308</v>
      </c>
      <c r="G47" s="96" t="s">
        <v>1430</v>
      </c>
      <c r="H47" s="96" t="s">
        <v>1431</v>
      </c>
      <c r="I47" s="96" t="s">
        <v>320</v>
      </c>
      <c r="J47" s="96" t="s">
        <v>952</v>
      </c>
      <c r="K47" s="96" t="s">
        <v>203</v>
      </c>
      <c r="L47" s="96" t="s">
        <v>203</v>
      </c>
      <c r="M47" s="96" t="s">
        <v>324</v>
      </c>
      <c r="N47" s="96" t="s">
        <v>339</v>
      </c>
      <c r="O47" s="96" t="s">
        <v>463</v>
      </c>
      <c r="P47" s="96" t="s">
        <v>337</v>
      </c>
      <c r="Q47" s="96" t="s">
        <v>1305</v>
      </c>
      <c r="R47" s="96" t="s">
        <v>414</v>
      </c>
      <c r="S47" s="96" t="s">
        <v>406</v>
      </c>
      <c r="T47" s="96" t="s">
        <v>1200</v>
      </c>
      <c r="U47" s="97">
        <v>1.58</v>
      </c>
      <c r="V47" s="100">
        <v>46447</v>
      </c>
      <c r="W47" s="98">
        <v>5.0500000000000003E-2</v>
      </c>
      <c r="X47" s="98">
        <v>5.1799999999999999E-2</v>
      </c>
      <c r="Y47" s="96" t="s">
        <v>411</v>
      </c>
      <c r="Z47" s="96"/>
      <c r="AA47" s="97">
        <v>7618.9233249999997</v>
      </c>
      <c r="AB47" s="97">
        <v>1</v>
      </c>
      <c r="AC47" s="97">
        <v>101.58</v>
      </c>
      <c r="AD47" s="97"/>
      <c r="AE47" s="97">
        <v>7.7393020000000003</v>
      </c>
      <c r="AF47" s="96"/>
      <c r="AG47" s="96"/>
      <c r="AH47" s="96"/>
      <c r="AI47" s="98">
        <v>2.6999999999999999E-5</v>
      </c>
      <c r="AJ47" s="98">
        <v>6.0300000000000002E-4</v>
      </c>
      <c r="AK47" s="98">
        <v>1.47E-4</v>
      </c>
      <c r="AL47" s="106"/>
    </row>
    <row r="48" spans="1:38" ht="15" customHeight="1">
      <c r="A48" s="106"/>
      <c r="B48" s="96">
        <v>286</v>
      </c>
      <c r="C48" s="96">
        <v>1445</v>
      </c>
      <c r="D48" s="96" t="s">
        <v>1432</v>
      </c>
      <c r="E48" s="96">
        <v>515327120</v>
      </c>
      <c r="F48" s="96" t="s">
        <v>308</v>
      </c>
      <c r="G48" s="96" t="s">
        <v>1433</v>
      </c>
      <c r="H48" s="96" t="s">
        <v>1434</v>
      </c>
      <c r="I48" s="96" t="s">
        <v>320</v>
      </c>
      <c r="J48" s="96" t="s">
        <v>753</v>
      </c>
      <c r="K48" s="96" t="s">
        <v>203</v>
      </c>
      <c r="L48" s="96" t="s">
        <v>203</v>
      </c>
      <c r="M48" s="96" t="s">
        <v>324</v>
      </c>
      <c r="N48" s="96" t="s">
        <v>339</v>
      </c>
      <c r="O48" s="96" t="s">
        <v>463</v>
      </c>
      <c r="P48" s="96" t="s">
        <v>337</v>
      </c>
      <c r="Q48" s="96" t="s">
        <v>1305</v>
      </c>
      <c r="R48" s="96" t="s">
        <v>414</v>
      </c>
      <c r="S48" s="96" t="s">
        <v>406</v>
      </c>
      <c r="T48" s="96" t="s">
        <v>1200</v>
      </c>
      <c r="U48" s="97">
        <v>3.02</v>
      </c>
      <c r="V48" s="100">
        <v>46752</v>
      </c>
      <c r="W48" s="98">
        <v>2.75E-2</v>
      </c>
      <c r="X48" s="98">
        <v>3.2199999999999999E-2</v>
      </c>
      <c r="Y48" s="96" t="s">
        <v>411</v>
      </c>
      <c r="Z48" s="96"/>
      <c r="AA48" s="97">
        <v>7957.4201499999999</v>
      </c>
      <c r="AB48" s="97">
        <v>1</v>
      </c>
      <c r="AC48" s="97">
        <v>111.38</v>
      </c>
      <c r="AD48" s="97"/>
      <c r="AE48" s="97">
        <v>8.8629739999999995</v>
      </c>
      <c r="AF48" s="96"/>
      <c r="AG48" s="96"/>
      <c r="AH48" s="96"/>
      <c r="AI48" s="98">
        <v>1.4E-5</v>
      </c>
      <c r="AJ48" s="98">
        <v>6.9099999999999999E-4</v>
      </c>
      <c r="AK48" s="98">
        <v>1.6799999999999999E-4</v>
      </c>
      <c r="AL48" s="106"/>
    </row>
    <row r="49" spans="1:38" ht="15" customHeight="1">
      <c r="A49" s="106"/>
      <c r="B49" s="96">
        <v>286</v>
      </c>
      <c r="C49" s="96">
        <v>1445</v>
      </c>
      <c r="D49" s="96" t="s">
        <v>1399</v>
      </c>
      <c r="E49" s="96">
        <v>520032046</v>
      </c>
      <c r="F49" s="96" t="s">
        <v>308</v>
      </c>
      <c r="G49" s="96" t="s">
        <v>1435</v>
      </c>
      <c r="H49" s="96" t="s">
        <v>1436</v>
      </c>
      <c r="I49" s="96" t="s">
        <v>320</v>
      </c>
      <c r="J49" s="96" t="s">
        <v>753</v>
      </c>
      <c r="K49" s="96" t="s">
        <v>203</v>
      </c>
      <c r="L49" s="96" t="s">
        <v>203</v>
      </c>
      <c r="M49" s="96" t="s">
        <v>324</v>
      </c>
      <c r="N49" s="96" t="s">
        <v>339</v>
      </c>
      <c r="O49" s="96" t="s">
        <v>447</v>
      </c>
      <c r="P49" s="96" t="s">
        <v>338</v>
      </c>
      <c r="Q49" s="96" t="s">
        <v>1211</v>
      </c>
      <c r="R49" s="96" t="s">
        <v>414</v>
      </c>
      <c r="S49" s="96" t="s">
        <v>406</v>
      </c>
      <c r="T49" s="96" t="s">
        <v>1200</v>
      </c>
      <c r="U49" s="97">
        <v>3.68</v>
      </c>
      <c r="V49" s="100">
        <v>47950</v>
      </c>
      <c r="W49" s="98">
        <v>1E-3</v>
      </c>
      <c r="X49" s="98">
        <v>2.53E-2</v>
      </c>
      <c r="Y49" s="96" t="s">
        <v>411</v>
      </c>
      <c r="Z49" s="96"/>
      <c r="AA49" s="97">
        <v>106955.020634</v>
      </c>
      <c r="AB49" s="97">
        <v>1</v>
      </c>
      <c r="AC49" s="97">
        <v>100.22</v>
      </c>
      <c r="AD49" s="97"/>
      <c r="AE49" s="97">
        <v>107.190321</v>
      </c>
      <c r="AF49" s="96"/>
      <c r="AG49" s="96"/>
      <c r="AH49" s="96"/>
      <c r="AI49" s="98">
        <v>4.1E-5</v>
      </c>
      <c r="AJ49" s="98">
        <v>8.3619999999999996E-3</v>
      </c>
      <c r="AK49" s="98">
        <v>2.0409999999999998E-3</v>
      </c>
      <c r="AL49" s="106"/>
    </row>
    <row r="50" spans="1:38" ht="15" customHeight="1">
      <c r="A50" s="106"/>
      <c r="B50" s="96">
        <v>286</v>
      </c>
      <c r="C50" s="96">
        <v>1445</v>
      </c>
      <c r="D50" s="96" t="s">
        <v>1298</v>
      </c>
      <c r="E50" s="96">
        <v>510960719</v>
      </c>
      <c r="F50" s="96" t="s">
        <v>308</v>
      </c>
      <c r="G50" s="96" t="s">
        <v>1437</v>
      </c>
      <c r="H50" s="96" t="s">
        <v>1438</v>
      </c>
      <c r="I50" s="96" t="s">
        <v>320</v>
      </c>
      <c r="J50" s="96" t="s">
        <v>753</v>
      </c>
      <c r="K50" s="96" t="s">
        <v>203</v>
      </c>
      <c r="L50" s="96" t="s">
        <v>203</v>
      </c>
      <c r="M50" s="96" t="s">
        <v>324</v>
      </c>
      <c r="N50" s="96" t="s">
        <v>339</v>
      </c>
      <c r="O50" s="96" t="s">
        <v>463</v>
      </c>
      <c r="P50" s="96" t="s">
        <v>338</v>
      </c>
      <c r="Q50" s="96" t="s">
        <v>1439</v>
      </c>
      <c r="R50" s="96" t="s">
        <v>412</v>
      </c>
      <c r="S50" s="96" t="s">
        <v>406</v>
      </c>
      <c r="T50" s="96" t="s">
        <v>1200</v>
      </c>
      <c r="U50" s="97">
        <v>0.75</v>
      </c>
      <c r="V50" s="100">
        <v>45748</v>
      </c>
      <c r="W50" s="98">
        <v>6.4999999999999997E-3</v>
      </c>
      <c r="X50" s="98">
        <v>2.87E-2</v>
      </c>
      <c r="Y50" s="96" t="s">
        <v>411</v>
      </c>
      <c r="Z50" s="96"/>
      <c r="AA50" s="97">
        <v>23819.94873</v>
      </c>
      <c r="AB50" s="97">
        <v>1</v>
      </c>
      <c r="AC50" s="97">
        <v>111.86</v>
      </c>
      <c r="AD50" s="97"/>
      <c r="AE50" s="97">
        <v>26.644994000000001</v>
      </c>
      <c r="AF50" s="96"/>
      <c r="AG50" s="96"/>
      <c r="AH50" s="96"/>
      <c r="AI50" s="98">
        <v>4.3000000000000002E-5</v>
      </c>
      <c r="AJ50" s="98">
        <v>2.078E-3</v>
      </c>
      <c r="AK50" s="98">
        <v>5.0699999999999996E-4</v>
      </c>
      <c r="AL50" s="106"/>
    </row>
    <row r="51" spans="1:38" ht="15" customHeight="1">
      <c r="A51" s="106"/>
      <c r="B51" s="96">
        <v>286</v>
      </c>
      <c r="C51" s="96">
        <v>1445</v>
      </c>
      <c r="D51" s="96" t="s">
        <v>1440</v>
      </c>
      <c r="E51" s="96">
        <v>513992529</v>
      </c>
      <c r="F51" s="96" t="s">
        <v>308</v>
      </c>
      <c r="G51" s="96" t="s">
        <v>1441</v>
      </c>
      <c r="H51" s="96" t="s">
        <v>1442</v>
      </c>
      <c r="I51" s="96" t="s">
        <v>320</v>
      </c>
      <c r="J51" s="96" t="s">
        <v>753</v>
      </c>
      <c r="K51" s="96" t="s">
        <v>203</v>
      </c>
      <c r="L51" s="96" t="s">
        <v>203</v>
      </c>
      <c r="M51" s="96" t="s">
        <v>324</v>
      </c>
      <c r="N51" s="96" t="s">
        <v>339</v>
      </c>
      <c r="O51" s="96" t="s">
        <v>463</v>
      </c>
      <c r="P51" s="96" t="s">
        <v>338</v>
      </c>
      <c r="Q51" s="96" t="s">
        <v>1313</v>
      </c>
      <c r="R51" s="96" t="s">
        <v>412</v>
      </c>
      <c r="S51" s="96" t="s">
        <v>406</v>
      </c>
      <c r="T51" s="96" t="s">
        <v>1200</v>
      </c>
      <c r="U51" s="97">
        <v>7.58</v>
      </c>
      <c r="V51" s="100">
        <v>50140</v>
      </c>
      <c r="W51" s="98">
        <v>0.03</v>
      </c>
      <c r="X51" s="98">
        <v>3.7400000000000003E-2</v>
      </c>
      <c r="Y51" s="96" t="s">
        <v>411</v>
      </c>
      <c r="Z51" s="96"/>
      <c r="AA51" s="97">
        <v>19818.671915999999</v>
      </c>
      <c r="AB51" s="97">
        <v>1</v>
      </c>
      <c r="AC51" s="97">
        <v>97.12</v>
      </c>
      <c r="AD51" s="97"/>
      <c r="AE51" s="97">
        <v>19.247893999999999</v>
      </c>
      <c r="AF51" s="96"/>
      <c r="AG51" s="96"/>
      <c r="AH51" s="96"/>
      <c r="AI51" s="98">
        <v>9.0000000000000006E-5</v>
      </c>
      <c r="AJ51" s="98">
        <v>1.5009999999999999E-3</v>
      </c>
      <c r="AK51" s="98">
        <v>3.6600000000000001E-4</v>
      </c>
      <c r="AL51" s="106"/>
    </row>
    <row r="52" spans="1:38" ht="15" customHeight="1">
      <c r="A52" s="106"/>
      <c r="B52" s="96">
        <v>286</v>
      </c>
      <c r="C52" s="96">
        <v>1445</v>
      </c>
      <c r="D52" s="96" t="s">
        <v>1373</v>
      </c>
      <c r="E52" s="96">
        <v>1476</v>
      </c>
      <c r="F52" s="96" t="s">
        <v>80</v>
      </c>
      <c r="G52" s="96" t="s">
        <v>1443</v>
      </c>
      <c r="H52" s="96" t="s">
        <v>1444</v>
      </c>
      <c r="I52" s="96" t="s">
        <v>320</v>
      </c>
      <c r="J52" s="96" t="s">
        <v>753</v>
      </c>
      <c r="K52" s="96" t="s">
        <v>203</v>
      </c>
      <c r="L52" s="96" t="s">
        <v>298</v>
      </c>
      <c r="M52" s="96" t="s">
        <v>324</v>
      </c>
      <c r="N52" s="96" t="s">
        <v>339</v>
      </c>
      <c r="O52" s="96" t="s">
        <v>446</v>
      </c>
      <c r="P52" s="96" t="s">
        <v>338</v>
      </c>
      <c r="Q52" s="96" t="s">
        <v>409</v>
      </c>
      <c r="R52" s="96" t="s">
        <v>409</v>
      </c>
      <c r="S52" s="96" t="s">
        <v>409</v>
      </c>
      <c r="T52" s="96" t="s">
        <v>1200</v>
      </c>
      <c r="U52" s="97">
        <v>2.35</v>
      </c>
      <c r="V52" s="100">
        <v>45658</v>
      </c>
      <c r="W52" s="98">
        <v>0.06</v>
      </c>
      <c r="X52" s="98">
        <v>9.99</v>
      </c>
      <c r="Y52" s="96" t="s">
        <v>411</v>
      </c>
      <c r="Z52" s="96"/>
      <c r="AA52" s="97">
        <v>2388.9744999999998</v>
      </c>
      <c r="AB52" s="97">
        <v>1</v>
      </c>
      <c r="AC52" s="97">
        <v>12.55</v>
      </c>
      <c r="AD52" s="97"/>
      <c r="AE52" s="97">
        <v>0.29981600000000003</v>
      </c>
      <c r="AF52" s="96"/>
      <c r="AG52" s="96"/>
      <c r="AH52" s="96"/>
      <c r="AI52" s="98">
        <v>2.0000000000000002E-5</v>
      </c>
      <c r="AJ52" s="98">
        <v>2.3E-5</v>
      </c>
      <c r="AK52" s="98">
        <v>5.0000000000000004E-6</v>
      </c>
      <c r="AL52" s="106"/>
    </row>
    <row r="53" spans="1:38" ht="15" customHeight="1">
      <c r="A53" s="106"/>
      <c r="B53" s="96">
        <v>286</v>
      </c>
      <c r="C53" s="96">
        <v>1445</v>
      </c>
      <c r="D53" s="96" t="s">
        <v>1445</v>
      </c>
      <c r="E53" s="96">
        <v>510381601</v>
      </c>
      <c r="F53" s="96" t="s">
        <v>308</v>
      </c>
      <c r="G53" s="96" t="s">
        <v>1446</v>
      </c>
      <c r="H53" s="96" t="s">
        <v>1447</v>
      </c>
      <c r="I53" s="96" t="s">
        <v>320</v>
      </c>
      <c r="J53" s="96" t="s">
        <v>753</v>
      </c>
      <c r="K53" s="96" t="s">
        <v>203</v>
      </c>
      <c r="L53" s="96" t="s">
        <v>203</v>
      </c>
      <c r="M53" s="96" t="s">
        <v>324</v>
      </c>
      <c r="N53" s="96" t="s">
        <v>339</v>
      </c>
      <c r="O53" s="96" t="s">
        <v>446</v>
      </c>
      <c r="P53" s="96" t="s">
        <v>337</v>
      </c>
      <c r="Q53" s="96" t="s">
        <v>1328</v>
      </c>
      <c r="R53" s="96" t="s">
        <v>412</v>
      </c>
      <c r="S53" s="96" t="s">
        <v>406</v>
      </c>
      <c r="T53" s="96" t="s">
        <v>1200</v>
      </c>
      <c r="U53" s="97">
        <v>5.7</v>
      </c>
      <c r="V53" s="100">
        <v>48579</v>
      </c>
      <c r="W53" s="98">
        <v>4.0800000000000003E-2</v>
      </c>
      <c r="X53" s="98">
        <v>4.2999999999999997E-2</v>
      </c>
      <c r="Y53" s="96" t="s">
        <v>411</v>
      </c>
      <c r="Z53" s="96"/>
      <c r="AA53" s="97">
        <v>2230.8692460000002</v>
      </c>
      <c r="AB53" s="97">
        <v>1</v>
      </c>
      <c r="AC53" s="97">
        <v>101.46</v>
      </c>
      <c r="AD53" s="97"/>
      <c r="AE53" s="97">
        <v>2.263439</v>
      </c>
      <c r="AF53" s="96"/>
      <c r="AG53" s="96"/>
      <c r="AH53" s="96"/>
      <c r="AI53" s="98">
        <v>6.0000000000000002E-6</v>
      </c>
      <c r="AJ53" s="98">
        <v>1.76E-4</v>
      </c>
      <c r="AK53" s="98">
        <v>4.3000000000000002E-5</v>
      </c>
      <c r="AL53" s="106"/>
    </row>
    <row r="54" spans="1:38" ht="15" customHeight="1">
      <c r="A54" s="106"/>
      <c r="B54" s="96">
        <v>286</v>
      </c>
      <c r="C54" s="96">
        <v>1445</v>
      </c>
      <c r="D54" s="96" t="s">
        <v>1310</v>
      </c>
      <c r="E54" s="96">
        <v>520017450</v>
      </c>
      <c r="F54" s="96" t="s">
        <v>308</v>
      </c>
      <c r="G54" s="96" t="s">
        <v>1448</v>
      </c>
      <c r="H54" s="96" t="s">
        <v>1449</v>
      </c>
      <c r="I54" s="96" t="s">
        <v>320</v>
      </c>
      <c r="J54" s="96" t="s">
        <v>952</v>
      </c>
      <c r="K54" s="96" t="s">
        <v>203</v>
      </c>
      <c r="L54" s="96" t="s">
        <v>203</v>
      </c>
      <c r="M54" s="96" t="s">
        <v>324</v>
      </c>
      <c r="N54" s="96" t="s">
        <v>339</v>
      </c>
      <c r="O54" s="96" t="s">
        <v>444</v>
      </c>
      <c r="P54" s="96" t="s">
        <v>338</v>
      </c>
      <c r="Q54" s="96" t="s">
        <v>1313</v>
      </c>
      <c r="R54" s="96" t="s">
        <v>412</v>
      </c>
      <c r="S54" s="96" t="s">
        <v>406</v>
      </c>
      <c r="T54" s="96" t="s">
        <v>1200</v>
      </c>
      <c r="U54" s="97">
        <v>4.49</v>
      </c>
      <c r="V54" s="100">
        <v>48579</v>
      </c>
      <c r="W54" s="98">
        <v>1.9400000000000001E-2</v>
      </c>
      <c r="X54" s="98">
        <v>5.5E-2</v>
      </c>
      <c r="Y54" s="96" t="s">
        <v>411</v>
      </c>
      <c r="Z54" s="96"/>
      <c r="AA54" s="97">
        <v>17825.836771999999</v>
      </c>
      <c r="AB54" s="97">
        <v>1</v>
      </c>
      <c r="AC54" s="97">
        <v>85.41</v>
      </c>
      <c r="AD54" s="97"/>
      <c r="AE54" s="97">
        <v>15.225047</v>
      </c>
      <c r="AF54" s="96"/>
      <c r="AG54" s="96"/>
      <c r="AH54" s="96"/>
      <c r="AI54" s="98">
        <v>2.9E-5</v>
      </c>
      <c r="AJ54" s="98">
        <v>1.1869999999999999E-3</v>
      </c>
      <c r="AK54" s="98">
        <v>2.8899999999999998E-4</v>
      </c>
      <c r="AL54" s="106"/>
    </row>
    <row r="55" spans="1:38" ht="15" customHeight="1">
      <c r="A55" s="106"/>
      <c r="B55" s="96">
        <v>286</v>
      </c>
      <c r="C55" s="96">
        <v>1445</v>
      </c>
      <c r="D55" s="96" t="s">
        <v>1399</v>
      </c>
      <c r="E55" s="96">
        <v>520032046</v>
      </c>
      <c r="F55" s="96" t="s">
        <v>308</v>
      </c>
      <c r="G55" s="96" t="s">
        <v>1450</v>
      </c>
      <c r="H55" s="96" t="s">
        <v>1451</v>
      </c>
      <c r="I55" s="96" t="s">
        <v>320</v>
      </c>
      <c r="J55" s="96" t="s">
        <v>753</v>
      </c>
      <c r="K55" s="96" t="s">
        <v>203</v>
      </c>
      <c r="L55" s="96" t="s">
        <v>203</v>
      </c>
      <c r="M55" s="96" t="s">
        <v>324</v>
      </c>
      <c r="N55" s="96" t="s">
        <v>339</v>
      </c>
      <c r="O55" s="96" t="s">
        <v>447</v>
      </c>
      <c r="P55" s="96" t="s">
        <v>338</v>
      </c>
      <c r="Q55" s="96" t="s">
        <v>1211</v>
      </c>
      <c r="R55" s="96" t="s">
        <v>414</v>
      </c>
      <c r="S55" s="96" t="s">
        <v>406</v>
      </c>
      <c r="T55" s="96" t="s">
        <v>1200</v>
      </c>
      <c r="U55" s="97">
        <v>3.17</v>
      </c>
      <c r="V55" s="100">
        <v>46658</v>
      </c>
      <c r="W55" s="98">
        <v>1.2200000000000001E-2</v>
      </c>
      <c r="X55" s="98">
        <v>2.41E-2</v>
      </c>
      <c r="Y55" s="96" t="s">
        <v>411</v>
      </c>
      <c r="Z55" s="96"/>
      <c r="AA55" s="97">
        <v>144307.059392</v>
      </c>
      <c r="AB55" s="97">
        <v>1</v>
      </c>
      <c r="AC55" s="97">
        <v>111.52</v>
      </c>
      <c r="AD55" s="97"/>
      <c r="AE55" s="97">
        <v>160.93123199999999</v>
      </c>
      <c r="AF55" s="96"/>
      <c r="AG55" s="96"/>
      <c r="AH55" s="96"/>
      <c r="AI55" s="98">
        <v>4.6999999999999997E-5</v>
      </c>
      <c r="AJ55" s="98">
        <v>1.2555E-2</v>
      </c>
      <c r="AK55" s="98">
        <v>3.0639999999999999E-3</v>
      </c>
      <c r="AL55" s="106"/>
    </row>
    <row r="56" spans="1:38" ht="15" customHeight="1">
      <c r="A56" s="106"/>
      <c r="B56" s="96">
        <v>286</v>
      </c>
      <c r="C56" s="96">
        <v>1445</v>
      </c>
      <c r="D56" s="96" t="s">
        <v>1452</v>
      </c>
      <c r="E56" s="96">
        <v>514065283</v>
      </c>
      <c r="F56" s="96" t="s">
        <v>308</v>
      </c>
      <c r="G56" s="96" t="s">
        <v>1453</v>
      </c>
      <c r="H56" s="96" t="s">
        <v>1454</v>
      </c>
      <c r="I56" s="96" t="s">
        <v>320</v>
      </c>
      <c r="J56" s="96" t="s">
        <v>952</v>
      </c>
      <c r="K56" s="96" t="s">
        <v>203</v>
      </c>
      <c r="L56" s="96" t="s">
        <v>203</v>
      </c>
      <c r="M56" s="96" t="s">
        <v>324</v>
      </c>
      <c r="N56" s="96" t="s">
        <v>339</v>
      </c>
      <c r="O56" s="96" t="s">
        <v>461</v>
      </c>
      <c r="P56" s="96" t="s">
        <v>337</v>
      </c>
      <c r="Q56" s="96" t="s">
        <v>1332</v>
      </c>
      <c r="R56" s="96" t="s">
        <v>412</v>
      </c>
      <c r="S56" s="96" t="s">
        <v>406</v>
      </c>
      <c r="T56" s="96" t="s">
        <v>1200</v>
      </c>
      <c r="U56" s="97">
        <v>2.14</v>
      </c>
      <c r="V56" s="100">
        <v>47027</v>
      </c>
      <c r="W56" s="98">
        <v>2.1499999999999998E-2</v>
      </c>
      <c r="X56" s="98">
        <v>5.6000000000000001E-2</v>
      </c>
      <c r="Y56" s="96" t="s">
        <v>411</v>
      </c>
      <c r="Z56" s="96"/>
      <c r="AA56" s="97">
        <v>31560.408198000001</v>
      </c>
      <c r="AB56" s="97">
        <v>1</v>
      </c>
      <c r="AC56" s="97">
        <v>93.09</v>
      </c>
      <c r="AD56" s="97">
        <v>1.8532200000000001</v>
      </c>
      <c r="AE56" s="97">
        <v>31.232803000000001</v>
      </c>
      <c r="AF56" s="96"/>
      <c r="AG56" s="96"/>
      <c r="AH56" s="96"/>
      <c r="AI56" s="98">
        <v>3.4E-5</v>
      </c>
      <c r="AJ56" s="98">
        <v>2.4359999999999998E-3</v>
      </c>
      <c r="AK56" s="98">
        <v>5.9400000000000002E-4</v>
      </c>
      <c r="AL56" s="106"/>
    </row>
    <row r="57" spans="1:38" ht="15" customHeight="1">
      <c r="A57" s="106"/>
      <c r="B57" s="96">
        <v>286</v>
      </c>
      <c r="C57" s="96">
        <v>1445</v>
      </c>
      <c r="D57" s="96" t="s">
        <v>1414</v>
      </c>
      <c r="E57" s="96">
        <v>520037789</v>
      </c>
      <c r="F57" s="96" t="s">
        <v>308</v>
      </c>
      <c r="G57" s="96" t="s">
        <v>1455</v>
      </c>
      <c r="H57" s="96" t="s">
        <v>1456</v>
      </c>
      <c r="I57" s="96" t="s">
        <v>320</v>
      </c>
      <c r="J57" s="96" t="s">
        <v>753</v>
      </c>
      <c r="K57" s="96" t="s">
        <v>203</v>
      </c>
      <c r="L57" s="96" t="s">
        <v>203</v>
      </c>
      <c r="M57" s="96" t="s">
        <v>324</v>
      </c>
      <c r="N57" s="96" t="s">
        <v>339</v>
      </c>
      <c r="O57" s="96" t="s">
        <v>463</v>
      </c>
      <c r="P57" s="96" t="s">
        <v>337</v>
      </c>
      <c r="Q57" s="96" t="s">
        <v>1313</v>
      </c>
      <c r="R57" s="96" t="s">
        <v>412</v>
      </c>
      <c r="S57" s="96" t="s">
        <v>406</v>
      </c>
      <c r="T57" s="96" t="s">
        <v>1200</v>
      </c>
      <c r="U57" s="97">
        <v>4.59</v>
      </c>
      <c r="V57" s="100">
        <v>47300</v>
      </c>
      <c r="W57" s="98">
        <v>1.43E-2</v>
      </c>
      <c r="X57" s="98">
        <v>3.1800000000000002E-2</v>
      </c>
      <c r="Y57" s="96" t="s">
        <v>411</v>
      </c>
      <c r="Z57" s="96"/>
      <c r="AA57" s="97">
        <v>76131.440560999996</v>
      </c>
      <c r="AB57" s="97">
        <v>1</v>
      </c>
      <c r="AC57" s="97">
        <v>104.95</v>
      </c>
      <c r="AD57" s="97">
        <v>0.93949499999999997</v>
      </c>
      <c r="AE57" s="97">
        <v>80.839440999999994</v>
      </c>
      <c r="AF57" s="96"/>
      <c r="AG57" s="96"/>
      <c r="AH57" s="96"/>
      <c r="AI57" s="98">
        <v>6.7000000000000002E-5</v>
      </c>
      <c r="AJ57" s="98">
        <v>6.306E-3</v>
      </c>
      <c r="AK57" s="98">
        <v>1.5380000000000001E-3</v>
      </c>
      <c r="AL57" s="106"/>
    </row>
    <row r="58" spans="1:38" ht="15" customHeight="1">
      <c r="A58" s="106"/>
      <c r="B58" s="96">
        <v>286</v>
      </c>
      <c r="C58" s="96">
        <v>1445</v>
      </c>
      <c r="D58" s="96" t="s">
        <v>1427</v>
      </c>
      <c r="E58" s="96">
        <v>520031931</v>
      </c>
      <c r="F58" s="96" t="s">
        <v>308</v>
      </c>
      <c r="G58" s="96" t="s">
        <v>1457</v>
      </c>
      <c r="H58" s="96" t="s">
        <v>1458</v>
      </c>
      <c r="I58" s="96" t="s">
        <v>320</v>
      </c>
      <c r="J58" s="96" t="s">
        <v>952</v>
      </c>
      <c r="K58" s="96" t="s">
        <v>203</v>
      </c>
      <c r="L58" s="96" t="s">
        <v>203</v>
      </c>
      <c r="M58" s="96" t="s">
        <v>324</v>
      </c>
      <c r="N58" s="96" t="s">
        <v>339</v>
      </c>
      <c r="O58" s="96" t="s">
        <v>483</v>
      </c>
      <c r="P58" s="96" t="s">
        <v>338</v>
      </c>
      <c r="Q58" s="96" t="s">
        <v>1336</v>
      </c>
      <c r="R58" s="96" t="s">
        <v>414</v>
      </c>
      <c r="S58" s="96" t="s">
        <v>406</v>
      </c>
      <c r="T58" s="96" t="s">
        <v>1200</v>
      </c>
      <c r="U58" s="97">
        <v>0.9</v>
      </c>
      <c r="V58" s="100">
        <v>45992</v>
      </c>
      <c r="W58" s="98">
        <v>3.6499999999999998E-2</v>
      </c>
      <c r="X58" s="98">
        <v>4.87E-2</v>
      </c>
      <c r="Y58" s="96" t="s">
        <v>411</v>
      </c>
      <c r="Z58" s="96"/>
      <c r="AA58" s="97">
        <v>17064.198676</v>
      </c>
      <c r="AB58" s="97">
        <v>1</v>
      </c>
      <c r="AC58" s="97">
        <v>99.27</v>
      </c>
      <c r="AD58" s="97"/>
      <c r="AE58" s="97">
        <v>16.939630000000001</v>
      </c>
      <c r="AF58" s="96"/>
      <c r="AG58" s="96"/>
      <c r="AH58" s="96"/>
      <c r="AI58" s="98">
        <v>1.5999999999999999E-5</v>
      </c>
      <c r="AJ58" s="98">
        <v>1.3209999999999999E-3</v>
      </c>
      <c r="AK58" s="98">
        <v>3.2200000000000002E-4</v>
      </c>
      <c r="AL58" s="106"/>
    </row>
    <row r="59" spans="1:38" ht="15" customHeight="1">
      <c r="A59" s="106"/>
      <c r="B59" s="96">
        <v>286</v>
      </c>
      <c r="C59" s="96">
        <v>1445</v>
      </c>
      <c r="D59" s="96" t="s">
        <v>1459</v>
      </c>
      <c r="E59" s="96">
        <v>520033424</v>
      </c>
      <c r="F59" s="96" t="s">
        <v>308</v>
      </c>
      <c r="G59" s="96" t="s">
        <v>1460</v>
      </c>
      <c r="H59" s="96" t="s">
        <v>1461</v>
      </c>
      <c r="I59" s="96" t="s">
        <v>320</v>
      </c>
      <c r="J59" s="96" t="s">
        <v>952</v>
      </c>
      <c r="K59" s="96" t="s">
        <v>203</v>
      </c>
      <c r="L59" s="96" t="s">
        <v>203</v>
      </c>
      <c r="M59" s="96" t="s">
        <v>324</v>
      </c>
      <c r="N59" s="96" t="s">
        <v>339</v>
      </c>
      <c r="O59" s="96" t="s">
        <v>446</v>
      </c>
      <c r="P59" s="96" t="s">
        <v>338</v>
      </c>
      <c r="Q59" s="96" t="s">
        <v>1320</v>
      </c>
      <c r="R59" s="96" t="s">
        <v>412</v>
      </c>
      <c r="S59" s="96" t="s">
        <v>406</v>
      </c>
      <c r="T59" s="96" t="s">
        <v>1200</v>
      </c>
      <c r="U59" s="97">
        <v>3.48</v>
      </c>
      <c r="V59" s="100">
        <v>48029</v>
      </c>
      <c r="W59" s="98">
        <v>0.05</v>
      </c>
      <c r="X59" s="98">
        <v>6.1100000000000002E-2</v>
      </c>
      <c r="Y59" s="96" t="s">
        <v>411</v>
      </c>
      <c r="Z59" s="96"/>
      <c r="AA59" s="97">
        <v>12106.559008</v>
      </c>
      <c r="AB59" s="97">
        <v>1</v>
      </c>
      <c r="AC59" s="97">
        <v>96.61</v>
      </c>
      <c r="AD59" s="97"/>
      <c r="AE59" s="97">
        <v>11.696146000000001</v>
      </c>
      <c r="AF59" s="96"/>
      <c r="AG59" s="96"/>
      <c r="AH59" s="96"/>
      <c r="AI59" s="98">
        <v>4.5000000000000003E-5</v>
      </c>
      <c r="AJ59" s="98">
        <v>9.1200000000000005E-4</v>
      </c>
      <c r="AK59" s="98">
        <v>2.22E-4</v>
      </c>
      <c r="AL59" s="106"/>
    </row>
    <row r="60" spans="1:38" ht="15" customHeight="1">
      <c r="A60" s="106"/>
      <c r="B60" s="96">
        <v>286</v>
      </c>
      <c r="C60" s="96">
        <v>1445</v>
      </c>
      <c r="D60" s="96" t="s">
        <v>1462</v>
      </c>
      <c r="E60" s="96">
        <v>520000472</v>
      </c>
      <c r="F60" s="96" t="s">
        <v>308</v>
      </c>
      <c r="G60" s="96" t="s">
        <v>1463</v>
      </c>
      <c r="H60" s="96" t="s">
        <v>1464</v>
      </c>
      <c r="I60" s="96" t="s">
        <v>320</v>
      </c>
      <c r="J60" s="96" t="s">
        <v>753</v>
      </c>
      <c r="K60" s="96" t="s">
        <v>203</v>
      </c>
      <c r="L60" s="96" t="s">
        <v>203</v>
      </c>
      <c r="M60" s="96" t="s">
        <v>324</v>
      </c>
      <c r="N60" s="96" t="s">
        <v>339</v>
      </c>
      <c r="O60" s="96" t="s">
        <v>439</v>
      </c>
      <c r="P60" s="96" t="s">
        <v>338</v>
      </c>
      <c r="Q60" s="96" t="s">
        <v>1301</v>
      </c>
      <c r="R60" s="96" t="s">
        <v>414</v>
      </c>
      <c r="S60" s="96" t="s">
        <v>406</v>
      </c>
      <c r="T60" s="96" t="s">
        <v>1200</v>
      </c>
      <c r="U60" s="97">
        <v>11.01</v>
      </c>
      <c r="V60" s="100">
        <v>49825</v>
      </c>
      <c r="W60" s="98">
        <v>1.2500000000000001E-2</v>
      </c>
      <c r="X60" s="98">
        <v>3.5299999999999998E-2</v>
      </c>
      <c r="Y60" s="96" t="s">
        <v>411</v>
      </c>
      <c r="Z60" s="96"/>
      <c r="AA60" s="97">
        <v>178704.44787999999</v>
      </c>
      <c r="AB60" s="97">
        <v>1</v>
      </c>
      <c r="AC60" s="97">
        <v>87.53</v>
      </c>
      <c r="AD60" s="97"/>
      <c r="AE60" s="97">
        <v>156.42000300000001</v>
      </c>
      <c r="AF60" s="96"/>
      <c r="AG60" s="96"/>
      <c r="AH60" s="96"/>
      <c r="AI60" s="98">
        <v>4.1E-5</v>
      </c>
      <c r="AJ60" s="98">
        <v>1.2203E-2</v>
      </c>
      <c r="AK60" s="98">
        <v>2.9780000000000002E-3</v>
      </c>
      <c r="AL60" s="106"/>
    </row>
    <row r="61" spans="1:38" ht="15" customHeight="1">
      <c r="A61" s="106"/>
      <c r="B61" s="96">
        <v>286</v>
      </c>
      <c r="C61" s="96">
        <v>1445</v>
      </c>
      <c r="D61" s="96" t="s">
        <v>1417</v>
      </c>
      <c r="E61" s="96">
        <v>513230029</v>
      </c>
      <c r="F61" s="96" t="s">
        <v>308</v>
      </c>
      <c r="G61" s="96" t="s">
        <v>1465</v>
      </c>
      <c r="H61" s="96" t="s">
        <v>1466</v>
      </c>
      <c r="I61" s="96" t="s">
        <v>320</v>
      </c>
      <c r="J61" s="96" t="s">
        <v>952</v>
      </c>
      <c r="K61" s="96" t="s">
        <v>203</v>
      </c>
      <c r="L61" s="96" t="s">
        <v>203</v>
      </c>
      <c r="M61" s="96" t="s">
        <v>324</v>
      </c>
      <c r="N61" s="96" t="s">
        <v>339</v>
      </c>
      <c r="O61" s="96" t="s">
        <v>444</v>
      </c>
      <c r="P61" s="96" t="s">
        <v>338</v>
      </c>
      <c r="Q61" s="96" t="s">
        <v>1357</v>
      </c>
      <c r="R61" s="96" t="s">
        <v>414</v>
      </c>
      <c r="S61" s="96" t="s">
        <v>406</v>
      </c>
      <c r="T61" s="96" t="s">
        <v>1200</v>
      </c>
      <c r="U61" s="97">
        <v>5.37</v>
      </c>
      <c r="V61" s="100">
        <v>47573</v>
      </c>
      <c r="W61" s="98">
        <v>2.3800000000000002E-2</v>
      </c>
      <c r="X61" s="98">
        <v>5.96E-2</v>
      </c>
      <c r="Y61" s="96" t="s">
        <v>411</v>
      </c>
      <c r="Z61" s="96"/>
      <c r="AA61" s="97">
        <v>46625.314990999999</v>
      </c>
      <c r="AB61" s="97">
        <v>1</v>
      </c>
      <c r="AC61" s="97">
        <v>83.57</v>
      </c>
      <c r="AD61" s="97"/>
      <c r="AE61" s="97">
        <v>38.964775000000003</v>
      </c>
      <c r="AF61" s="96"/>
      <c r="AG61" s="96"/>
      <c r="AH61" s="96"/>
      <c r="AI61" s="98">
        <v>7.1000000000000005E-5</v>
      </c>
      <c r="AJ61" s="98">
        <v>3.0400000000000002E-3</v>
      </c>
      <c r="AK61" s="98">
        <v>7.4200000000000004E-4</v>
      </c>
      <c r="AL61" s="106"/>
    </row>
    <row r="62" spans="1:38" ht="15" customHeight="1">
      <c r="A62" s="106"/>
      <c r="B62" s="96">
        <v>286</v>
      </c>
      <c r="C62" s="96">
        <v>1445</v>
      </c>
      <c r="D62" s="96" t="s">
        <v>1467</v>
      </c>
      <c r="E62" s="96">
        <v>515334662</v>
      </c>
      <c r="F62" s="96" t="s">
        <v>308</v>
      </c>
      <c r="G62" s="96" t="s">
        <v>1468</v>
      </c>
      <c r="H62" s="96" t="s">
        <v>1469</v>
      </c>
      <c r="I62" s="96" t="s">
        <v>320</v>
      </c>
      <c r="J62" s="96" t="s">
        <v>754</v>
      </c>
      <c r="K62" s="96" t="s">
        <v>203</v>
      </c>
      <c r="L62" s="96" t="s">
        <v>203</v>
      </c>
      <c r="M62" s="96" t="s">
        <v>324</v>
      </c>
      <c r="N62" s="96" t="s">
        <v>339</v>
      </c>
      <c r="O62" s="96" t="s">
        <v>453</v>
      </c>
      <c r="P62" s="96" t="s">
        <v>337</v>
      </c>
      <c r="Q62" s="96" t="s">
        <v>1357</v>
      </c>
      <c r="R62" s="96" t="s">
        <v>414</v>
      </c>
      <c r="S62" s="96" t="s">
        <v>406</v>
      </c>
      <c r="T62" s="96" t="s">
        <v>1200</v>
      </c>
      <c r="U62" s="97">
        <v>3.16</v>
      </c>
      <c r="V62" s="100">
        <v>46995</v>
      </c>
      <c r="W62" s="98">
        <v>4.6899999999999997E-2</v>
      </c>
      <c r="X62" s="98">
        <v>7.5600000000000001E-2</v>
      </c>
      <c r="Y62" s="96" t="s">
        <v>411</v>
      </c>
      <c r="Z62" s="96"/>
      <c r="AA62" s="97">
        <v>65434.542321000001</v>
      </c>
      <c r="AB62" s="97">
        <v>1</v>
      </c>
      <c r="AC62" s="97">
        <v>101.4</v>
      </c>
      <c r="AD62" s="97"/>
      <c r="AE62" s="97">
        <v>66.350624999999994</v>
      </c>
      <c r="AF62" s="96"/>
      <c r="AG62" s="96"/>
      <c r="AH62" s="96"/>
      <c r="AI62" s="98">
        <v>5.3999999999999998E-5</v>
      </c>
      <c r="AJ62" s="98">
        <v>5.176E-3</v>
      </c>
      <c r="AK62" s="98">
        <v>1.263E-3</v>
      </c>
      <c r="AL62" s="106"/>
    </row>
    <row r="63" spans="1:38" ht="15" customHeight="1">
      <c r="A63" s="106"/>
      <c r="B63" s="96">
        <v>286</v>
      </c>
      <c r="C63" s="96">
        <v>1445</v>
      </c>
      <c r="D63" s="96" t="s">
        <v>1203</v>
      </c>
      <c r="E63" s="96">
        <v>520000118</v>
      </c>
      <c r="F63" s="96" t="s">
        <v>308</v>
      </c>
      <c r="G63" s="96" t="s">
        <v>1470</v>
      </c>
      <c r="H63" s="96" t="s">
        <v>1471</v>
      </c>
      <c r="I63" s="96" t="s">
        <v>320</v>
      </c>
      <c r="J63" s="96" t="s">
        <v>753</v>
      </c>
      <c r="K63" s="96" t="s">
        <v>203</v>
      </c>
      <c r="L63" s="96" t="s">
        <v>203</v>
      </c>
      <c r="M63" s="96" t="s">
        <v>324</v>
      </c>
      <c r="N63" s="96" t="s">
        <v>339</v>
      </c>
      <c r="O63" s="96" t="s">
        <v>447</v>
      </c>
      <c r="P63" s="96" t="s">
        <v>338</v>
      </c>
      <c r="Q63" s="96" t="s">
        <v>1211</v>
      </c>
      <c r="R63" s="96" t="s">
        <v>414</v>
      </c>
      <c r="S63" s="96" t="s">
        <v>406</v>
      </c>
      <c r="T63" s="96" t="s">
        <v>1200</v>
      </c>
      <c r="U63" s="97">
        <v>4.16</v>
      </c>
      <c r="V63" s="100">
        <v>48547</v>
      </c>
      <c r="W63" s="98">
        <v>1.3899999999999999E-2</v>
      </c>
      <c r="X63" s="98">
        <v>2.5100000000000001E-2</v>
      </c>
      <c r="Y63" s="96" t="s">
        <v>411</v>
      </c>
      <c r="Z63" s="96"/>
      <c r="AA63" s="97">
        <v>37558.737891999997</v>
      </c>
      <c r="AB63" s="97">
        <v>1</v>
      </c>
      <c r="AC63" s="97">
        <v>101.46</v>
      </c>
      <c r="AD63" s="97"/>
      <c r="AE63" s="97">
        <v>38.107095000000001</v>
      </c>
      <c r="AF63" s="96"/>
      <c r="AG63" s="96"/>
      <c r="AH63" s="96"/>
      <c r="AI63" s="98">
        <v>2.0000000000000002E-5</v>
      </c>
      <c r="AJ63" s="98">
        <v>2.9729999999999999E-3</v>
      </c>
      <c r="AK63" s="98">
        <v>7.2499999999999995E-4</v>
      </c>
      <c r="AL63" s="106"/>
    </row>
    <row r="64" spans="1:38" ht="15" customHeight="1">
      <c r="A64" s="106"/>
      <c r="B64" s="96">
        <v>286</v>
      </c>
      <c r="C64" s="96">
        <v>1445</v>
      </c>
      <c r="D64" s="96" t="s">
        <v>1459</v>
      </c>
      <c r="E64" s="96">
        <v>520033424</v>
      </c>
      <c r="F64" s="96" t="s">
        <v>308</v>
      </c>
      <c r="G64" s="96" t="s">
        <v>1472</v>
      </c>
      <c r="H64" s="96" t="s">
        <v>1473</v>
      </c>
      <c r="I64" s="96" t="s">
        <v>320</v>
      </c>
      <c r="J64" s="96" t="s">
        <v>952</v>
      </c>
      <c r="K64" s="96" t="s">
        <v>203</v>
      </c>
      <c r="L64" s="96" t="s">
        <v>203</v>
      </c>
      <c r="M64" s="96" t="s">
        <v>324</v>
      </c>
      <c r="N64" s="96" t="s">
        <v>339</v>
      </c>
      <c r="O64" s="96" t="s">
        <v>446</v>
      </c>
      <c r="P64" s="96" t="s">
        <v>338</v>
      </c>
      <c r="Q64" s="96" t="s">
        <v>1320</v>
      </c>
      <c r="R64" s="96" t="s">
        <v>412</v>
      </c>
      <c r="S64" s="96" t="s">
        <v>406</v>
      </c>
      <c r="T64" s="96" t="s">
        <v>1200</v>
      </c>
      <c r="U64" s="97">
        <v>0.99</v>
      </c>
      <c r="V64" s="100">
        <v>45838</v>
      </c>
      <c r="W64" s="98">
        <v>3.0300000000000001E-2</v>
      </c>
      <c r="X64" s="98">
        <v>5.7500000000000002E-2</v>
      </c>
      <c r="Y64" s="96" t="s">
        <v>411</v>
      </c>
      <c r="Z64" s="96"/>
      <c r="AA64" s="97">
        <v>3723.5581350000002</v>
      </c>
      <c r="AB64" s="97">
        <v>1</v>
      </c>
      <c r="AC64" s="97">
        <v>97.48</v>
      </c>
      <c r="AD64" s="97"/>
      <c r="AE64" s="97">
        <v>3.629724</v>
      </c>
      <c r="AF64" s="96"/>
      <c r="AG64" s="96"/>
      <c r="AH64" s="96"/>
      <c r="AI64" s="98">
        <v>1.25E-4</v>
      </c>
      <c r="AJ64" s="98">
        <v>2.8299999999999999E-4</v>
      </c>
      <c r="AK64" s="98">
        <v>6.8999999999999997E-5</v>
      </c>
      <c r="AL64" s="106"/>
    </row>
    <row r="65" spans="1:38" ht="15" customHeight="1">
      <c r="A65" s="106"/>
      <c r="B65" s="96">
        <v>286</v>
      </c>
      <c r="C65" s="96">
        <v>1445</v>
      </c>
      <c r="D65" s="96" t="s">
        <v>1474</v>
      </c>
      <c r="E65" s="96">
        <v>1737</v>
      </c>
      <c r="F65" s="96" t="s">
        <v>80</v>
      </c>
      <c r="G65" s="96" t="s">
        <v>1475</v>
      </c>
      <c r="H65" s="96" t="s">
        <v>1476</v>
      </c>
      <c r="I65" s="96" t="s">
        <v>320</v>
      </c>
      <c r="J65" s="96" t="s">
        <v>952</v>
      </c>
      <c r="K65" s="96" t="s">
        <v>203</v>
      </c>
      <c r="L65" s="96" t="s">
        <v>203</v>
      </c>
      <c r="M65" s="96" t="s">
        <v>324</v>
      </c>
      <c r="N65" s="96" t="s">
        <v>339</v>
      </c>
      <c r="O65" s="96" t="s">
        <v>464</v>
      </c>
      <c r="P65" s="96" t="s">
        <v>338</v>
      </c>
      <c r="Q65" s="96" t="s">
        <v>1313</v>
      </c>
      <c r="R65" s="96" t="s">
        <v>412</v>
      </c>
      <c r="S65" s="96" t="s">
        <v>406</v>
      </c>
      <c r="T65" s="96" t="s">
        <v>1200</v>
      </c>
      <c r="U65" s="97">
        <v>0.5</v>
      </c>
      <c r="V65" s="100">
        <v>45657</v>
      </c>
      <c r="W65" s="98">
        <v>3.3799999999999997E-2</v>
      </c>
      <c r="X65" s="98">
        <v>5.79E-2</v>
      </c>
      <c r="Y65" s="96" t="s">
        <v>411</v>
      </c>
      <c r="Z65" s="96"/>
      <c r="AA65" s="97">
        <v>15348.693137</v>
      </c>
      <c r="AB65" s="97">
        <v>1</v>
      </c>
      <c r="AC65" s="97">
        <v>98.86</v>
      </c>
      <c r="AD65" s="97"/>
      <c r="AE65" s="97">
        <v>15.173717999999999</v>
      </c>
      <c r="AF65" s="96"/>
      <c r="AG65" s="96"/>
      <c r="AH65" s="96"/>
      <c r="AI65" s="98">
        <v>7.4999999999999993E-5</v>
      </c>
      <c r="AJ65" s="98">
        <v>1.183E-3</v>
      </c>
      <c r="AK65" s="98">
        <v>2.8800000000000001E-4</v>
      </c>
      <c r="AL65" s="106"/>
    </row>
    <row r="66" spans="1:38" ht="15" customHeight="1">
      <c r="A66" s="106"/>
      <c r="B66" s="96">
        <v>286</v>
      </c>
      <c r="C66" s="96">
        <v>1445</v>
      </c>
      <c r="D66" s="96" t="s">
        <v>1477</v>
      </c>
      <c r="E66" s="96">
        <v>520029935</v>
      </c>
      <c r="F66" s="96" t="s">
        <v>308</v>
      </c>
      <c r="G66" s="96" t="s">
        <v>1478</v>
      </c>
      <c r="H66" s="96" t="s">
        <v>1479</v>
      </c>
      <c r="I66" s="96" t="s">
        <v>320</v>
      </c>
      <c r="J66" s="96" t="s">
        <v>952</v>
      </c>
      <c r="K66" s="96" t="s">
        <v>203</v>
      </c>
      <c r="L66" s="96" t="s">
        <v>203</v>
      </c>
      <c r="M66" s="96" t="s">
        <v>324</v>
      </c>
      <c r="N66" s="96" t="s">
        <v>339</v>
      </c>
      <c r="O66" s="96" t="s">
        <v>447</v>
      </c>
      <c r="P66" s="96" t="s">
        <v>338</v>
      </c>
      <c r="Q66" s="96" t="s">
        <v>1211</v>
      </c>
      <c r="R66" s="96" t="s">
        <v>414</v>
      </c>
      <c r="S66" s="96" t="s">
        <v>406</v>
      </c>
      <c r="T66" s="96" t="s">
        <v>1200</v>
      </c>
      <c r="U66" s="97">
        <v>3.14</v>
      </c>
      <c r="V66" s="100">
        <v>47822</v>
      </c>
      <c r="W66" s="98">
        <v>2.6800000000000001E-2</v>
      </c>
      <c r="X66" s="98">
        <v>5.0999999999999997E-2</v>
      </c>
      <c r="Y66" s="96" t="s">
        <v>411</v>
      </c>
      <c r="Z66" s="96"/>
      <c r="AA66" s="97">
        <v>75022.719333000001</v>
      </c>
      <c r="AB66" s="97">
        <v>1</v>
      </c>
      <c r="AC66" s="97">
        <v>94.27</v>
      </c>
      <c r="AD66" s="97"/>
      <c r="AE66" s="97">
        <v>70.723917</v>
      </c>
      <c r="AF66" s="96"/>
      <c r="AG66" s="96"/>
      <c r="AH66" s="96"/>
      <c r="AI66" s="98">
        <v>3.1999999999999999E-5</v>
      </c>
      <c r="AJ66" s="98">
        <v>5.5170000000000002E-3</v>
      </c>
      <c r="AK66" s="98">
        <v>1.346E-3</v>
      </c>
      <c r="AL66" s="106"/>
    </row>
    <row r="67" spans="1:38" ht="15" customHeight="1">
      <c r="A67" s="106"/>
      <c r="B67" s="96">
        <v>286</v>
      </c>
      <c r="C67" s="96">
        <v>1445</v>
      </c>
      <c r="D67" s="96" t="s">
        <v>1414</v>
      </c>
      <c r="E67" s="96">
        <v>520037789</v>
      </c>
      <c r="F67" s="96" t="s">
        <v>308</v>
      </c>
      <c r="G67" s="96" t="s">
        <v>1480</v>
      </c>
      <c r="H67" s="96" t="s">
        <v>1481</v>
      </c>
      <c r="I67" s="96" t="s">
        <v>320</v>
      </c>
      <c r="J67" s="96" t="s">
        <v>753</v>
      </c>
      <c r="K67" s="96" t="s">
        <v>203</v>
      </c>
      <c r="L67" s="96" t="s">
        <v>203</v>
      </c>
      <c r="M67" s="96" t="s">
        <v>324</v>
      </c>
      <c r="N67" s="96" t="s">
        <v>339</v>
      </c>
      <c r="O67" s="96" t="s">
        <v>463</v>
      </c>
      <c r="P67" s="96" t="s">
        <v>337</v>
      </c>
      <c r="Q67" s="96" t="s">
        <v>1313</v>
      </c>
      <c r="R67" s="96" t="s">
        <v>412</v>
      </c>
      <c r="S67" s="96" t="s">
        <v>406</v>
      </c>
      <c r="T67" s="96" t="s">
        <v>1200</v>
      </c>
      <c r="U67" s="97">
        <v>1.01</v>
      </c>
      <c r="V67" s="100">
        <v>45848</v>
      </c>
      <c r="W67" s="98">
        <v>1.7600000000000001E-2</v>
      </c>
      <c r="X67" s="98">
        <v>2.5399999999999999E-2</v>
      </c>
      <c r="Y67" s="96" t="s">
        <v>411</v>
      </c>
      <c r="Z67" s="96"/>
      <c r="AA67" s="97">
        <v>72526.473125000004</v>
      </c>
      <c r="AB67" s="97">
        <v>1</v>
      </c>
      <c r="AC67" s="97">
        <v>114.44</v>
      </c>
      <c r="AD67" s="97">
        <v>1.0203610000000001</v>
      </c>
      <c r="AE67" s="97">
        <v>84.019655999999998</v>
      </c>
      <c r="AF67" s="96"/>
      <c r="AG67" s="96"/>
      <c r="AH67" s="96"/>
      <c r="AI67" s="98">
        <v>9.3999999999999994E-5</v>
      </c>
      <c r="AJ67" s="98">
        <v>6.5539999999999999E-3</v>
      </c>
      <c r="AK67" s="98">
        <v>1.5989999999999999E-3</v>
      </c>
      <c r="AL67" s="106"/>
    </row>
    <row r="68" spans="1:38" ht="15" customHeight="1">
      <c r="A68" s="106"/>
      <c r="B68" s="96">
        <v>286</v>
      </c>
      <c r="C68" s="96">
        <v>1445</v>
      </c>
      <c r="D68" s="96" t="s">
        <v>1462</v>
      </c>
      <c r="E68" s="96">
        <v>520000472</v>
      </c>
      <c r="F68" s="96" t="s">
        <v>308</v>
      </c>
      <c r="G68" s="96" t="s">
        <v>1482</v>
      </c>
      <c r="H68" s="96" t="s">
        <v>1483</v>
      </c>
      <c r="I68" s="96" t="s">
        <v>320</v>
      </c>
      <c r="J68" s="96" t="s">
        <v>753</v>
      </c>
      <c r="K68" s="96" t="s">
        <v>203</v>
      </c>
      <c r="L68" s="96" t="s">
        <v>203</v>
      </c>
      <c r="M68" s="96" t="s">
        <v>324</v>
      </c>
      <c r="N68" s="96" t="s">
        <v>339</v>
      </c>
      <c r="O68" s="96" t="s">
        <v>439</v>
      </c>
      <c r="P68" s="96" t="s">
        <v>338</v>
      </c>
      <c r="Q68" s="96" t="s">
        <v>1301</v>
      </c>
      <c r="R68" s="96" t="s">
        <v>414</v>
      </c>
      <c r="S68" s="96" t="s">
        <v>406</v>
      </c>
      <c r="T68" s="96" t="s">
        <v>1200</v>
      </c>
      <c r="U68" s="97">
        <v>10.65</v>
      </c>
      <c r="V68" s="100">
        <v>50203</v>
      </c>
      <c r="W68" s="98">
        <v>3.2000000000000001E-2</v>
      </c>
      <c r="X68" s="98">
        <v>3.5200000000000002E-2</v>
      </c>
      <c r="Y68" s="96" t="s">
        <v>411</v>
      </c>
      <c r="Z68" s="96"/>
      <c r="AA68" s="97">
        <v>60659.857965000003</v>
      </c>
      <c r="AB68" s="97">
        <v>1</v>
      </c>
      <c r="AC68" s="97">
        <v>100</v>
      </c>
      <c r="AD68" s="97"/>
      <c r="AE68" s="97">
        <v>60.659857000000002</v>
      </c>
      <c r="AF68" s="96"/>
      <c r="AG68" s="96"/>
      <c r="AH68" s="96"/>
      <c r="AI68" s="98">
        <v>1.9000000000000001E-5</v>
      </c>
      <c r="AJ68" s="98">
        <v>4.7320000000000001E-3</v>
      </c>
      <c r="AK68" s="98">
        <v>1.155E-3</v>
      </c>
      <c r="AL68" s="106"/>
    </row>
    <row r="69" spans="1:38" ht="15" customHeight="1">
      <c r="A69" s="106"/>
      <c r="B69" s="96">
        <v>286</v>
      </c>
      <c r="C69" s="96">
        <v>1445</v>
      </c>
      <c r="D69" s="96" t="s">
        <v>1484</v>
      </c>
      <c r="E69" s="96">
        <v>520036617</v>
      </c>
      <c r="F69" s="96" t="s">
        <v>308</v>
      </c>
      <c r="G69" s="96" t="s">
        <v>1485</v>
      </c>
      <c r="H69" s="96" t="s">
        <v>1486</v>
      </c>
      <c r="I69" s="96" t="s">
        <v>320</v>
      </c>
      <c r="J69" s="96" t="s">
        <v>753</v>
      </c>
      <c r="K69" s="96" t="s">
        <v>203</v>
      </c>
      <c r="L69" s="96" t="s">
        <v>203</v>
      </c>
      <c r="M69" s="96" t="s">
        <v>324</v>
      </c>
      <c r="N69" s="96" t="s">
        <v>339</v>
      </c>
      <c r="O69" s="96" t="s">
        <v>463</v>
      </c>
      <c r="P69" s="96" t="s">
        <v>338</v>
      </c>
      <c r="Q69" s="96" t="s">
        <v>1320</v>
      </c>
      <c r="R69" s="96" t="s">
        <v>412</v>
      </c>
      <c r="S69" s="96" t="s">
        <v>406</v>
      </c>
      <c r="T69" s="96" t="s">
        <v>1200</v>
      </c>
      <c r="U69" s="97">
        <v>4.1399999999999997</v>
      </c>
      <c r="V69" s="100">
        <v>47300</v>
      </c>
      <c r="W69" s="98">
        <v>1.5299999999999999E-2</v>
      </c>
      <c r="X69" s="98">
        <v>3.27E-2</v>
      </c>
      <c r="Y69" s="96" t="s">
        <v>411</v>
      </c>
      <c r="Z69" s="96"/>
      <c r="AA69" s="97">
        <v>17326.203872999999</v>
      </c>
      <c r="AB69" s="97">
        <v>1</v>
      </c>
      <c r="AC69" s="97">
        <v>105.9</v>
      </c>
      <c r="AD69" s="97">
        <v>0.58843199999999996</v>
      </c>
      <c r="AE69" s="97">
        <v>18.936881</v>
      </c>
      <c r="AF69" s="96"/>
      <c r="AG69" s="96"/>
      <c r="AH69" s="96"/>
      <c r="AI69" s="98">
        <v>4.6E-5</v>
      </c>
      <c r="AJ69" s="98">
        <v>1.4760000000000001E-3</v>
      </c>
      <c r="AK69" s="98">
        <v>3.6000000000000002E-4</v>
      </c>
      <c r="AL69" s="106"/>
    </row>
    <row r="70" spans="1:38" ht="15" customHeight="1">
      <c r="A70" s="106"/>
      <c r="B70" s="96">
        <v>286</v>
      </c>
      <c r="C70" s="96">
        <v>1445</v>
      </c>
      <c r="D70" s="96" t="s">
        <v>1197</v>
      </c>
      <c r="E70" s="96">
        <v>520018078</v>
      </c>
      <c r="F70" s="96" t="s">
        <v>308</v>
      </c>
      <c r="G70" s="96" t="s">
        <v>1487</v>
      </c>
      <c r="H70" s="96" t="s">
        <v>1488</v>
      </c>
      <c r="I70" s="96" t="s">
        <v>320</v>
      </c>
      <c r="J70" s="96" t="s">
        <v>753</v>
      </c>
      <c r="K70" s="96" t="s">
        <v>203</v>
      </c>
      <c r="L70" s="96" t="s">
        <v>203</v>
      </c>
      <c r="M70" s="96" t="s">
        <v>324</v>
      </c>
      <c r="N70" s="96" t="s">
        <v>339</v>
      </c>
      <c r="O70" s="96" t="s">
        <v>447</v>
      </c>
      <c r="P70" s="96" t="s">
        <v>338</v>
      </c>
      <c r="Q70" s="96" t="s">
        <v>1332</v>
      </c>
      <c r="R70" s="96" t="s">
        <v>412</v>
      </c>
      <c r="S70" s="96" t="s">
        <v>406</v>
      </c>
      <c r="T70" s="96" t="s">
        <v>1200</v>
      </c>
      <c r="U70" s="97">
        <v>3.65</v>
      </c>
      <c r="V70" s="100">
        <v>46839</v>
      </c>
      <c r="W70" s="98">
        <v>1.4999999999999999E-2</v>
      </c>
      <c r="X70" s="98">
        <v>3.2099999999999997E-2</v>
      </c>
      <c r="Y70" s="96" t="s">
        <v>410</v>
      </c>
      <c r="Z70" s="96"/>
      <c r="AA70" s="97">
        <v>4341.126029</v>
      </c>
      <c r="AB70" s="97">
        <v>1</v>
      </c>
      <c r="AC70" s="97">
        <v>103.49</v>
      </c>
      <c r="AD70" s="97"/>
      <c r="AE70" s="97">
        <v>4.4926310000000003</v>
      </c>
      <c r="AF70" s="96"/>
      <c r="AG70" s="96"/>
      <c r="AH70" s="96"/>
      <c r="AI70" s="98">
        <v>3.0000000000000001E-6</v>
      </c>
      <c r="AJ70" s="98">
        <v>3.5E-4</v>
      </c>
      <c r="AK70" s="98">
        <v>8.5000000000000006E-5</v>
      </c>
      <c r="AL70" s="106"/>
    </row>
    <row r="71" spans="1:38" ht="15" customHeight="1">
      <c r="A71" s="106"/>
      <c r="B71" s="96">
        <v>286</v>
      </c>
      <c r="C71" s="96">
        <v>1445</v>
      </c>
      <c r="D71" s="96" t="s">
        <v>1367</v>
      </c>
      <c r="E71" s="96">
        <v>513141879</v>
      </c>
      <c r="F71" s="96" t="s">
        <v>308</v>
      </c>
      <c r="G71" s="96" t="s">
        <v>1489</v>
      </c>
      <c r="H71" s="96" t="s">
        <v>1490</v>
      </c>
      <c r="I71" s="96" t="s">
        <v>320</v>
      </c>
      <c r="J71" s="96" t="s">
        <v>753</v>
      </c>
      <c r="K71" s="96" t="s">
        <v>203</v>
      </c>
      <c r="L71" s="96" t="s">
        <v>203</v>
      </c>
      <c r="M71" s="96" t="s">
        <v>324</v>
      </c>
      <c r="N71" s="96" t="s">
        <v>339</v>
      </c>
      <c r="O71" s="96" t="s">
        <v>447</v>
      </c>
      <c r="P71" s="96" t="s">
        <v>338</v>
      </c>
      <c r="Q71" s="96" t="s">
        <v>1305</v>
      </c>
      <c r="R71" s="96" t="s">
        <v>414</v>
      </c>
      <c r="S71" s="96" t="s">
        <v>406</v>
      </c>
      <c r="T71" s="96" t="s">
        <v>1200</v>
      </c>
      <c r="U71" s="97">
        <v>0.03</v>
      </c>
      <c r="V71" s="100">
        <v>45485</v>
      </c>
      <c r="W71" s="98">
        <v>2.1999999999999999E-2</v>
      </c>
      <c r="X71" s="98">
        <v>6.8699999999999997E-2</v>
      </c>
      <c r="Y71" s="96" t="s">
        <v>410</v>
      </c>
      <c r="Z71" s="96"/>
      <c r="AA71" s="97">
        <v>17416.559125</v>
      </c>
      <c r="AB71" s="97">
        <v>1</v>
      </c>
      <c r="AC71" s="97">
        <v>115.8</v>
      </c>
      <c r="AD71" s="97"/>
      <c r="AE71" s="97">
        <v>20.168375000000001</v>
      </c>
      <c r="AF71" s="96"/>
      <c r="AG71" s="96"/>
      <c r="AH71" s="96"/>
      <c r="AI71" s="98">
        <v>6.8999999999999997E-5</v>
      </c>
      <c r="AJ71" s="98">
        <v>1.573E-3</v>
      </c>
      <c r="AK71" s="98">
        <v>3.8400000000000001E-4</v>
      </c>
      <c r="AL71" s="106"/>
    </row>
    <row r="72" spans="1:38" ht="15" customHeight="1">
      <c r="A72" s="106"/>
      <c r="B72" s="96">
        <v>286</v>
      </c>
      <c r="C72" s="96">
        <v>1445</v>
      </c>
      <c r="D72" s="96" t="s">
        <v>1491</v>
      </c>
      <c r="E72" s="96">
        <v>520036104</v>
      </c>
      <c r="F72" s="96" t="s">
        <v>308</v>
      </c>
      <c r="G72" s="96" t="s">
        <v>1492</v>
      </c>
      <c r="H72" s="96" t="s">
        <v>1493</v>
      </c>
      <c r="I72" s="96" t="s">
        <v>320</v>
      </c>
      <c r="J72" s="96" t="s">
        <v>952</v>
      </c>
      <c r="K72" s="96" t="s">
        <v>203</v>
      </c>
      <c r="L72" s="96" t="s">
        <v>203</v>
      </c>
      <c r="M72" s="96" t="s">
        <v>324</v>
      </c>
      <c r="N72" s="96" t="s">
        <v>339</v>
      </c>
      <c r="O72" s="96" t="s">
        <v>446</v>
      </c>
      <c r="P72" s="96" t="s">
        <v>337</v>
      </c>
      <c r="Q72" s="96" t="s">
        <v>1328</v>
      </c>
      <c r="R72" s="96" t="s">
        <v>412</v>
      </c>
      <c r="S72" s="96" t="s">
        <v>406</v>
      </c>
      <c r="T72" s="96" t="s">
        <v>1200</v>
      </c>
      <c r="U72" s="97">
        <v>3.54</v>
      </c>
      <c r="V72" s="100">
        <v>47603</v>
      </c>
      <c r="W72" s="98">
        <v>2.8000000000000001E-2</v>
      </c>
      <c r="X72" s="98">
        <v>6.7000000000000004E-2</v>
      </c>
      <c r="Y72" s="96" t="s">
        <v>411</v>
      </c>
      <c r="Z72" s="96"/>
      <c r="AA72" s="97">
        <v>28521.338834999999</v>
      </c>
      <c r="AB72" s="97">
        <v>1</v>
      </c>
      <c r="AC72" s="97">
        <v>87.99</v>
      </c>
      <c r="AD72" s="97"/>
      <c r="AE72" s="97">
        <v>25.095925999999999</v>
      </c>
      <c r="AF72" s="96"/>
      <c r="AG72" s="96"/>
      <c r="AH72" s="96"/>
      <c r="AI72" s="98">
        <v>3.6000000000000001E-5</v>
      </c>
      <c r="AJ72" s="98">
        <v>1.957E-3</v>
      </c>
      <c r="AK72" s="98">
        <v>4.7699999999999999E-4</v>
      </c>
      <c r="AL72" s="106"/>
    </row>
    <row r="73" spans="1:38" ht="15" customHeight="1">
      <c r="A73" s="106"/>
      <c r="B73" s="96">
        <v>286</v>
      </c>
      <c r="C73" s="96">
        <v>1445</v>
      </c>
      <c r="D73" s="96" t="s">
        <v>1314</v>
      </c>
      <c r="E73" s="96">
        <v>513754069</v>
      </c>
      <c r="F73" s="96" t="s">
        <v>308</v>
      </c>
      <c r="G73" s="96" t="s">
        <v>1494</v>
      </c>
      <c r="H73" s="96" t="s">
        <v>1495</v>
      </c>
      <c r="I73" s="96" t="s">
        <v>320</v>
      </c>
      <c r="J73" s="96" t="s">
        <v>952</v>
      </c>
      <c r="K73" s="96" t="s">
        <v>203</v>
      </c>
      <c r="L73" s="96" t="s">
        <v>203</v>
      </c>
      <c r="M73" s="96" t="s">
        <v>324</v>
      </c>
      <c r="N73" s="96" t="s">
        <v>339</v>
      </c>
      <c r="O73" s="96" t="s">
        <v>444</v>
      </c>
      <c r="P73" s="96" t="s">
        <v>338</v>
      </c>
      <c r="Q73" s="96" t="s">
        <v>1332</v>
      </c>
      <c r="R73" s="96" t="s">
        <v>412</v>
      </c>
      <c r="S73" s="96" t="s">
        <v>406</v>
      </c>
      <c r="T73" s="96" t="s">
        <v>1200</v>
      </c>
      <c r="U73" s="97">
        <v>5.29</v>
      </c>
      <c r="V73" s="100">
        <v>47573</v>
      </c>
      <c r="W73" s="98">
        <v>2.64E-2</v>
      </c>
      <c r="X73" s="98">
        <v>5.8299999999999998E-2</v>
      </c>
      <c r="Y73" s="96" t="s">
        <v>411</v>
      </c>
      <c r="Z73" s="96"/>
      <c r="AA73" s="97">
        <v>36012.518392999998</v>
      </c>
      <c r="AB73" s="97">
        <v>1</v>
      </c>
      <c r="AC73" s="97">
        <v>85.64</v>
      </c>
      <c r="AD73" s="97"/>
      <c r="AE73" s="97">
        <v>30.84112</v>
      </c>
      <c r="AF73" s="96"/>
      <c r="AG73" s="96"/>
      <c r="AH73" s="96"/>
      <c r="AI73" s="98">
        <v>2.1999999999999999E-5</v>
      </c>
      <c r="AJ73" s="98">
        <v>2.4060000000000002E-3</v>
      </c>
      <c r="AK73" s="98">
        <v>5.8699999999999996E-4</v>
      </c>
      <c r="AL73" s="106"/>
    </row>
    <row r="74" spans="1:38" ht="15" customHeight="1">
      <c r="A74" s="106"/>
      <c r="B74" s="96">
        <v>286</v>
      </c>
      <c r="C74" s="96">
        <v>1445</v>
      </c>
      <c r="D74" s="96" t="s">
        <v>1496</v>
      </c>
      <c r="E74" s="96">
        <v>510216054</v>
      </c>
      <c r="F74" s="96" t="s">
        <v>308</v>
      </c>
      <c r="G74" s="96" t="s">
        <v>1497</v>
      </c>
      <c r="H74" s="96" t="s">
        <v>1498</v>
      </c>
      <c r="I74" s="96" t="s">
        <v>320</v>
      </c>
      <c r="J74" s="96" t="s">
        <v>753</v>
      </c>
      <c r="K74" s="96" t="s">
        <v>203</v>
      </c>
      <c r="L74" s="96" t="s">
        <v>203</v>
      </c>
      <c r="M74" s="96" t="s">
        <v>324</v>
      </c>
      <c r="N74" s="96" t="s">
        <v>339</v>
      </c>
      <c r="O74" s="96" t="s">
        <v>439</v>
      </c>
      <c r="P74" s="96" t="s">
        <v>337</v>
      </c>
      <c r="Q74" s="96" t="s">
        <v>1332</v>
      </c>
      <c r="R74" s="96" t="s">
        <v>412</v>
      </c>
      <c r="S74" s="96" t="s">
        <v>406</v>
      </c>
      <c r="T74" s="96" t="s">
        <v>1200</v>
      </c>
      <c r="U74" s="97">
        <v>3.31</v>
      </c>
      <c r="V74" s="100">
        <v>47817</v>
      </c>
      <c r="W74" s="98">
        <v>1.23E-2</v>
      </c>
      <c r="X74" s="98">
        <v>2.87E-2</v>
      </c>
      <c r="Y74" s="96" t="s">
        <v>411</v>
      </c>
      <c r="Z74" s="96"/>
      <c r="AA74" s="97">
        <v>60071.589608000002</v>
      </c>
      <c r="AB74" s="97">
        <v>1</v>
      </c>
      <c r="AC74" s="97">
        <v>108.38</v>
      </c>
      <c r="AD74" s="97"/>
      <c r="AE74" s="97">
        <v>65.105587999999997</v>
      </c>
      <c r="AF74" s="96"/>
      <c r="AG74" s="96"/>
      <c r="AH74" s="96"/>
      <c r="AI74" s="98">
        <v>5.3000000000000001E-5</v>
      </c>
      <c r="AJ74" s="98">
        <v>5.0790000000000002E-3</v>
      </c>
      <c r="AK74" s="98">
        <v>1.2390000000000001E-3</v>
      </c>
      <c r="AL74" s="106"/>
    </row>
    <row r="75" spans="1:38" ht="15" customHeight="1">
      <c r="A75" s="106"/>
      <c r="B75" s="96">
        <v>286</v>
      </c>
      <c r="C75" s="96">
        <v>1445</v>
      </c>
      <c r="D75" s="96" t="s">
        <v>1499</v>
      </c>
      <c r="E75" s="96">
        <v>520027830</v>
      </c>
      <c r="F75" s="96" t="s">
        <v>308</v>
      </c>
      <c r="G75" s="96" t="s">
        <v>1500</v>
      </c>
      <c r="H75" s="96" t="s">
        <v>1501</v>
      </c>
      <c r="I75" s="96" t="s">
        <v>320</v>
      </c>
      <c r="J75" s="96" t="s">
        <v>952</v>
      </c>
      <c r="K75" s="96" t="s">
        <v>203</v>
      </c>
      <c r="L75" s="96" t="s">
        <v>203</v>
      </c>
      <c r="M75" s="96" t="s">
        <v>324</v>
      </c>
      <c r="N75" s="96" t="s">
        <v>339</v>
      </c>
      <c r="O75" s="96" t="s">
        <v>455</v>
      </c>
      <c r="P75" s="96" t="s">
        <v>338</v>
      </c>
      <c r="Q75" s="96" t="s">
        <v>1313</v>
      </c>
      <c r="R75" s="96" t="s">
        <v>412</v>
      </c>
      <c r="S75" s="96" t="s">
        <v>406</v>
      </c>
      <c r="T75" s="96" t="s">
        <v>1200</v>
      </c>
      <c r="U75" s="97">
        <v>7.81</v>
      </c>
      <c r="V75" s="100">
        <v>49308</v>
      </c>
      <c r="W75" s="98">
        <v>2.4E-2</v>
      </c>
      <c r="X75" s="98">
        <v>5.8400000000000001E-2</v>
      </c>
      <c r="Y75" s="96" t="s">
        <v>411</v>
      </c>
      <c r="Z75" s="96"/>
      <c r="AA75" s="97">
        <v>58187.638312000003</v>
      </c>
      <c r="AB75" s="97">
        <v>1</v>
      </c>
      <c r="AC75" s="97">
        <v>76.87</v>
      </c>
      <c r="AD75" s="97"/>
      <c r="AE75" s="97">
        <v>44.728836999999999</v>
      </c>
      <c r="AF75" s="96"/>
      <c r="AG75" s="96"/>
      <c r="AH75" s="96"/>
      <c r="AI75" s="98">
        <v>7.8999999999999996E-5</v>
      </c>
      <c r="AJ75" s="98">
        <v>3.4889999999999999E-3</v>
      </c>
      <c r="AK75" s="98">
        <v>8.5099999999999998E-4</v>
      </c>
      <c r="AL75" s="106"/>
    </row>
    <row r="76" spans="1:38" ht="15" customHeight="1">
      <c r="A76" s="106"/>
      <c r="B76" s="96">
        <v>286</v>
      </c>
      <c r="C76" s="96">
        <v>1445</v>
      </c>
      <c r="D76" s="96" t="s">
        <v>1484</v>
      </c>
      <c r="E76" s="96">
        <v>520036617</v>
      </c>
      <c r="F76" s="96" t="s">
        <v>308</v>
      </c>
      <c r="G76" s="96" t="s">
        <v>1502</v>
      </c>
      <c r="H76" s="96" t="s">
        <v>1486</v>
      </c>
      <c r="I76" s="96" t="s">
        <v>320</v>
      </c>
      <c r="J76" s="96" t="s">
        <v>753</v>
      </c>
      <c r="K76" s="96" t="s">
        <v>203</v>
      </c>
      <c r="L76" s="96" t="s">
        <v>203</v>
      </c>
      <c r="M76" s="96" t="s">
        <v>326</v>
      </c>
      <c r="N76" s="96" t="s">
        <v>339</v>
      </c>
      <c r="O76" s="96" t="s">
        <v>463</v>
      </c>
      <c r="P76" s="96" t="s">
        <v>338</v>
      </c>
      <c r="Q76" s="96" t="s">
        <v>1320</v>
      </c>
      <c r="R76" s="96" t="s">
        <v>412</v>
      </c>
      <c r="S76" s="96" t="s">
        <v>406</v>
      </c>
      <c r="T76" s="96" t="s">
        <v>1200</v>
      </c>
      <c r="U76" s="97">
        <v>4.1399999999999997</v>
      </c>
      <c r="V76" s="100">
        <v>47300</v>
      </c>
      <c r="W76" s="98">
        <v>1.5299999999999999E-2</v>
      </c>
      <c r="X76" s="98">
        <v>3.2800000000000003E-2</v>
      </c>
      <c r="Y76" s="96" t="s">
        <v>411</v>
      </c>
      <c r="Z76" s="96"/>
      <c r="AA76" s="97">
        <v>1003.173072</v>
      </c>
      <c r="AB76" s="97">
        <v>1</v>
      </c>
      <c r="AC76" s="97">
        <v>105.87130000000001</v>
      </c>
      <c r="AD76" s="97"/>
      <c r="AE76" s="97">
        <v>1.0620719999999999</v>
      </c>
      <c r="AF76" s="96"/>
      <c r="AG76" s="96"/>
      <c r="AH76" s="96"/>
      <c r="AI76" s="98">
        <v>1.9999999999999999E-6</v>
      </c>
      <c r="AJ76" s="98">
        <v>8.2000000000000001E-5</v>
      </c>
      <c r="AK76" s="98">
        <v>2.0000000000000002E-5</v>
      </c>
      <c r="AL76" s="106"/>
    </row>
    <row r="77" spans="1:38" ht="15" customHeight="1">
      <c r="A77" s="106"/>
      <c r="B77" s="96">
        <v>286</v>
      </c>
      <c r="C77" s="96">
        <v>1445</v>
      </c>
      <c r="D77" s="96" t="s">
        <v>1314</v>
      </c>
      <c r="E77" s="96">
        <v>513754069</v>
      </c>
      <c r="F77" s="96" t="s">
        <v>308</v>
      </c>
      <c r="G77" s="96" t="s">
        <v>1503</v>
      </c>
      <c r="H77" s="96" t="s">
        <v>1504</v>
      </c>
      <c r="I77" s="96" t="s">
        <v>320</v>
      </c>
      <c r="J77" s="96" t="s">
        <v>952</v>
      </c>
      <c r="K77" s="96" t="s">
        <v>203</v>
      </c>
      <c r="L77" s="96" t="s">
        <v>203</v>
      </c>
      <c r="M77" s="96" t="s">
        <v>324</v>
      </c>
      <c r="N77" s="96" t="s">
        <v>339</v>
      </c>
      <c r="O77" s="96" t="s">
        <v>444</v>
      </c>
      <c r="P77" s="96" t="s">
        <v>338</v>
      </c>
      <c r="Q77" s="96" t="s">
        <v>1305</v>
      </c>
      <c r="R77" s="96" t="s">
        <v>414</v>
      </c>
      <c r="S77" s="96" t="s">
        <v>406</v>
      </c>
      <c r="T77" s="96" t="s">
        <v>1200</v>
      </c>
      <c r="U77" s="97">
        <v>6.93</v>
      </c>
      <c r="V77" s="100">
        <v>48304</v>
      </c>
      <c r="W77" s="98">
        <v>2.5000000000000001E-2</v>
      </c>
      <c r="X77" s="98">
        <v>6.1800000000000001E-2</v>
      </c>
      <c r="Y77" s="96" t="s">
        <v>411</v>
      </c>
      <c r="Z77" s="96"/>
      <c r="AA77" s="97">
        <v>34254.770384000003</v>
      </c>
      <c r="AB77" s="97">
        <v>1</v>
      </c>
      <c r="AC77" s="97">
        <v>78.709999999999994</v>
      </c>
      <c r="AD77" s="97"/>
      <c r="AE77" s="97">
        <v>26.961929000000001</v>
      </c>
      <c r="AF77" s="96"/>
      <c r="AG77" s="96"/>
      <c r="AH77" s="96"/>
      <c r="AI77" s="98">
        <v>2.5000000000000001E-5</v>
      </c>
      <c r="AJ77" s="98">
        <v>2.1029999999999998E-3</v>
      </c>
      <c r="AK77" s="98">
        <v>5.13E-4</v>
      </c>
      <c r="AL77" s="106"/>
    </row>
    <row r="78" spans="1:38" ht="15" customHeight="1">
      <c r="A78" s="106"/>
      <c r="B78" s="96">
        <v>286</v>
      </c>
      <c r="C78" s="96">
        <v>1445</v>
      </c>
      <c r="D78" s="96" t="s">
        <v>1505</v>
      </c>
      <c r="E78" s="96">
        <v>520010869</v>
      </c>
      <c r="F78" s="96" t="s">
        <v>308</v>
      </c>
      <c r="G78" s="96" t="s">
        <v>1506</v>
      </c>
      <c r="H78" s="96" t="s">
        <v>1507</v>
      </c>
      <c r="I78" s="96" t="s">
        <v>320</v>
      </c>
      <c r="J78" s="96" t="s">
        <v>753</v>
      </c>
      <c r="K78" s="96" t="s">
        <v>203</v>
      </c>
      <c r="L78" s="96" t="s">
        <v>203</v>
      </c>
      <c r="M78" s="96" t="s">
        <v>324</v>
      </c>
      <c r="N78" s="96" t="s">
        <v>339</v>
      </c>
      <c r="O78" s="96" t="s">
        <v>476</v>
      </c>
      <c r="P78" s="96" t="s">
        <v>338</v>
      </c>
      <c r="Q78" s="96" t="s">
        <v>1199</v>
      </c>
      <c r="R78" s="96" t="s">
        <v>412</v>
      </c>
      <c r="S78" s="96" t="s">
        <v>406</v>
      </c>
      <c r="T78" s="96" t="s">
        <v>1200</v>
      </c>
      <c r="U78" s="97">
        <v>11.71</v>
      </c>
      <c r="V78" s="100">
        <v>56249</v>
      </c>
      <c r="W78" s="98">
        <v>2.07E-2</v>
      </c>
      <c r="X78" s="98">
        <v>3.2599999999999997E-2</v>
      </c>
      <c r="Y78" s="96" t="s">
        <v>411</v>
      </c>
      <c r="Z78" s="96"/>
      <c r="AA78" s="97">
        <v>235163.95802200001</v>
      </c>
      <c r="AB78" s="97">
        <v>1</v>
      </c>
      <c r="AC78" s="97">
        <v>97.32</v>
      </c>
      <c r="AD78" s="97"/>
      <c r="AE78" s="97">
        <v>228.86156299999999</v>
      </c>
      <c r="AF78" s="96"/>
      <c r="AG78" s="96"/>
      <c r="AH78" s="96"/>
      <c r="AI78" s="98">
        <v>5.1E-5</v>
      </c>
      <c r="AJ78" s="98">
        <v>1.7854999999999999E-2</v>
      </c>
      <c r="AK78" s="98">
        <v>4.3579999999999999E-3</v>
      </c>
      <c r="AL78" s="106"/>
    </row>
    <row r="79" spans="1:38" ht="15" customHeight="1">
      <c r="A79" s="106"/>
      <c r="B79" s="96">
        <v>286</v>
      </c>
      <c r="C79" s="96">
        <v>1445</v>
      </c>
      <c r="D79" s="96" t="s">
        <v>1508</v>
      </c>
      <c r="E79" s="96">
        <v>511134298</v>
      </c>
      <c r="F79" s="96" t="s">
        <v>308</v>
      </c>
      <c r="G79" s="96" t="s">
        <v>1509</v>
      </c>
      <c r="H79" s="96" t="s">
        <v>1510</v>
      </c>
      <c r="I79" s="96" t="s">
        <v>320</v>
      </c>
      <c r="J79" s="96" t="s">
        <v>952</v>
      </c>
      <c r="K79" s="96" t="s">
        <v>203</v>
      </c>
      <c r="L79" s="96" t="s">
        <v>203</v>
      </c>
      <c r="M79" s="96" t="s">
        <v>326</v>
      </c>
      <c r="N79" s="96" t="s">
        <v>339</v>
      </c>
      <c r="O79" s="96" t="s">
        <v>463</v>
      </c>
      <c r="P79" s="96" t="s">
        <v>337</v>
      </c>
      <c r="Q79" s="96" t="s">
        <v>1320</v>
      </c>
      <c r="R79" s="96" t="s">
        <v>412</v>
      </c>
      <c r="S79" s="96" t="s">
        <v>406</v>
      </c>
      <c r="T79" s="96" t="s">
        <v>1200</v>
      </c>
      <c r="U79" s="97">
        <v>2.8</v>
      </c>
      <c r="V79" s="100">
        <v>47483</v>
      </c>
      <c r="W79" s="98">
        <v>1.9E-2</v>
      </c>
      <c r="X79" s="98">
        <v>6.0499999999999998E-2</v>
      </c>
      <c r="Y79" s="96" t="s">
        <v>411</v>
      </c>
      <c r="Z79" s="96"/>
      <c r="AA79" s="97">
        <v>1778.6313319999999</v>
      </c>
      <c r="AB79" s="97">
        <v>1</v>
      </c>
      <c r="AC79" s="97">
        <v>89.248500000000007</v>
      </c>
      <c r="AD79" s="97"/>
      <c r="AE79" s="97">
        <v>1.5874010000000001</v>
      </c>
      <c r="AF79" s="96"/>
      <c r="AG79" s="96"/>
      <c r="AH79" s="96"/>
      <c r="AI79" s="98">
        <v>5.0000000000000004E-6</v>
      </c>
      <c r="AJ79" s="98">
        <v>1.2300000000000001E-4</v>
      </c>
      <c r="AK79" s="98">
        <v>3.0000000000000001E-5</v>
      </c>
      <c r="AL79" s="106"/>
    </row>
    <row r="80" spans="1:38" ht="15" customHeight="1">
      <c r="A80" s="106"/>
      <c r="B80" s="96">
        <v>286</v>
      </c>
      <c r="C80" s="96">
        <v>1445</v>
      </c>
      <c r="D80" s="96" t="s">
        <v>1511</v>
      </c>
      <c r="E80" s="96">
        <v>513765859</v>
      </c>
      <c r="F80" s="96" t="s">
        <v>308</v>
      </c>
      <c r="G80" s="96" t="s">
        <v>1512</v>
      </c>
      <c r="H80" s="96" t="s">
        <v>1513</v>
      </c>
      <c r="I80" s="96" t="s">
        <v>320</v>
      </c>
      <c r="J80" s="96" t="s">
        <v>753</v>
      </c>
      <c r="K80" s="96" t="s">
        <v>203</v>
      </c>
      <c r="L80" s="96" t="s">
        <v>203</v>
      </c>
      <c r="M80" s="96" t="s">
        <v>324</v>
      </c>
      <c r="N80" s="96" t="s">
        <v>339</v>
      </c>
      <c r="O80" s="96" t="s">
        <v>463</v>
      </c>
      <c r="P80" s="96" t="s">
        <v>337</v>
      </c>
      <c r="Q80" s="96" t="s">
        <v>1313</v>
      </c>
      <c r="R80" s="96" t="s">
        <v>412</v>
      </c>
      <c r="S80" s="96" t="s">
        <v>406</v>
      </c>
      <c r="T80" s="96" t="s">
        <v>1200</v>
      </c>
      <c r="U80" s="97">
        <v>1.41</v>
      </c>
      <c r="V80" s="100">
        <v>46356</v>
      </c>
      <c r="W80" s="98">
        <v>1.6E-2</v>
      </c>
      <c r="X80" s="98">
        <v>2.6599999999999999E-2</v>
      </c>
      <c r="Y80" s="96" t="s">
        <v>411</v>
      </c>
      <c r="Z80" s="96"/>
      <c r="AA80" s="97">
        <v>2576.8901289999999</v>
      </c>
      <c r="AB80" s="97">
        <v>1</v>
      </c>
      <c r="AC80" s="97">
        <v>113.63</v>
      </c>
      <c r="AD80" s="97"/>
      <c r="AE80" s="97">
        <v>2.9281199999999998</v>
      </c>
      <c r="AF80" s="96"/>
      <c r="AG80" s="96"/>
      <c r="AH80" s="96"/>
      <c r="AI80" s="98">
        <v>6.0000000000000002E-6</v>
      </c>
      <c r="AJ80" s="98">
        <v>2.2800000000000001E-4</v>
      </c>
      <c r="AK80" s="98">
        <v>5.5000000000000002E-5</v>
      </c>
      <c r="AL80" s="106"/>
    </row>
    <row r="81" spans="1:38" ht="15" customHeight="1">
      <c r="A81" s="106"/>
      <c r="B81" s="96">
        <v>286</v>
      </c>
      <c r="C81" s="96">
        <v>1445</v>
      </c>
      <c r="D81" s="96" t="s">
        <v>1514</v>
      </c>
      <c r="E81" s="96">
        <v>520043027</v>
      </c>
      <c r="F81" s="96" t="s">
        <v>308</v>
      </c>
      <c r="G81" s="96" t="s">
        <v>1515</v>
      </c>
      <c r="H81" s="96" t="s">
        <v>1516</v>
      </c>
      <c r="I81" s="96" t="s">
        <v>320</v>
      </c>
      <c r="J81" s="96" t="s">
        <v>754</v>
      </c>
      <c r="K81" s="96" t="s">
        <v>203</v>
      </c>
      <c r="L81" s="96" t="s">
        <v>203</v>
      </c>
      <c r="M81" s="96" t="s">
        <v>324</v>
      </c>
      <c r="N81" s="96" t="s">
        <v>339</v>
      </c>
      <c r="O81" s="96" t="s">
        <v>445</v>
      </c>
      <c r="P81" s="96" t="s">
        <v>338</v>
      </c>
      <c r="Q81" s="96" t="s">
        <v>1313</v>
      </c>
      <c r="R81" s="96" t="s">
        <v>412</v>
      </c>
      <c r="S81" s="96" t="s">
        <v>406</v>
      </c>
      <c r="T81" s="96" t="s">
        <v>1200</v>
      </c>
      <c r="U81" s="97">
        <v>5.16</v>
      </c>
      <c r="V81" s="100">
        <v>49490</v>
      </c>
      <c r="W81" s="98">
        <v>2.6700000000000002E-2</v>
      </c>
      <c r="X81" s="98">
        <v>5.9900000000000002E-2</v>
      </c>
      <c r="Y81" s="96" t="s">
        <v>411</v>
      </c>
      <c r="Z81" s="96"/>
      <c r="AA81" s="97">
        <v>13737.164314</v>
      </c>
      <c r="AB81" s="97">
        <v>1</v>
      </c>
      <c r="AC81" s="97">
        <v>97.08</v>
      </c>
      <c r="AD81" s="97"/>
      <c r="AE81" s="97">
        <v>13.336039</v>
      </c>
      <c r="AF81" s="96"/>
      <c r="AG81" s="96"/>
      <c r="AH81" s="96"/>
      <c r="AI81" s="98">
        <v>8.7000000000000001E-5</v>
      </c>
      <c r="AJ81" s="98">
        <v>1.0399999999999999E-3</v>
      </c>
      <c r="AK81" s="98">
        <v>2.5300000000000002E-4</v>
      </c>
      <c r="AL81" s="106"/>
    </row>
    <row r="82" spans="1:38" ht="15" customHeight="1">
      <c r="A82" s="106"/>
      <c r="B82" s="96">
        <v>286</v>
      </c>
      <c r="C82" s="96">
        <v>1445</v>
      </c>
      <c r="D82" s="96" t="s">
        <v>1517</v>
      </c>
      <c r="E82" s="96">
        <v>510560188</v>
      </c>
      <c r="F82" s="96" t="s">
        <v>308</v>
      </c>
      <c r="G82" s="96" t="s">
        <v>1518</v>
      </c>
      <c r="H82" s="96" t="s">
        <v>1519</v>
      </c>
      <c r="I82" s="96" t="s">
        <v>320</v>
      </c>
      <c r="J82" s="96" t="s">
        <v>952</v>
      </c>
      <c r="K82" s="96" t="s">
        <v>203</v>
      </c>
      <c r="L82" s="96" t="s">
        <v>203</v>
      </c>
      <c r="M82" s="96" t="s">
        <v>324</v>
      </c>
      <c r="N82" s="96" t="s">
        <v>339</v>
      </c>
      <c r="O82" s="96" t="s">
        <v>464</v>
      </c>
      <c r="P82" s="96" t="s">
        <v>338</v>
      </c>
      <c r="Q82" s="96" t="s">
        <v>1520</v>
      </c>
      <c r="R82" s="96" t="s">
        <v>414</v>
      </c>
      <c r="S82" s="96" t="s">
        <v>406</v>
      </c>
      <c r="T82" s="96" t="s">
        <v>1200</v>
      </c>
      <c r="U82" s="97">
        <v>2.79</v>
      </c>
      <c r="V82" s="100">
        <v>46645</v>
      </c>
      <c r="W82" s="98">
        <v>2.3E-2</v>
      </c>
      <c r="X82" s="98">
        <v>5.6500000000000002E-2</v>
      </c>
      <c r="Y82" s="96" t="s">
        <v>411</v>
      </c>
      <c r="Z82" s="96"/>
      <c r="AA82" s="97">
        <v>48703.567552</v>
      </c>
      <c r="AB82" s="97">
        <v>1</v>
      </c>
      <c r="AC82" s="97">
        <v>92.02</v>
      </c>
      <c r="AD82" s="97"/>
      <c r="AE82" s="97">
        <v>44.817022000000001</v>
      </c>
      <c r="AF82" s="96"/>
      <c r="AG82" s="96"/>
      <c r="AH82" s="96"/>
      <c r="AI82" s="98">
        <v>6.3E-5</v>
      </c>
      <c r="AJ82" s="98">
        <v>3.496E-3</v>
      </c>
      <c r="AK82" s="98">
        <v>8.5300000000000003E-4</v>
      </c>
      <c r="AL82" s="106"/>
    </row>
    <row r="83" spans="1:38" ht="15" customHeight="1">
      <c r="A83" s="106"/>
      <c r="B83" s="96">
        <v>286</v>
      </c>
      <c r="C83" s="96">
        <v>1445</v>
      </c>
      <c r="D83" s="96" t="s">
        <v>1417</v>
      </c>
      <c r="E83" s="96">
        <v>513230029</v>
      </c>
      <c r="F83" s="96" t="s">
        <v>308</v>
      </c>
      <c r="G83" s="96" t="s">
        <v>1521</v>
      </c>
      <c r="H83" s="96" t="s">
        <v>1522</v>
      </c>
      <c r="I83" s="96" t="s">
        <v>320</v>
      </c>
      <c r="J83" s="96" t="s">
        <v>952</v>
      </c>
      <c r="K83" s="96" t="s">
        <v>203</v>
      </c>
      <c r="L83" s="96" t="s">
        <v>203</v>
      </c>
      <c r="M83" s="96" t="s">
        <v>324</v>
      </c>
      <c r="N83" s="96" t="s">
        <v>339</v>
      </c>
      <c r="O83" s="96" t="s">
        <v>444</v>
      </c>
      <c r="P83" s="96" t="s">
        <v>338</v>
      </c>
      <c r="Q83" s="96" t="s">
        <v>1357</v>
      </c>
      <c r="R83" s="96" t="s">
        <v>414</v>
      </c>
      <c r="S83" s="96" t="s">
        <v>406</v>
      </c>
      <c r="T83" s="96" t="s">
        <v>1200</v>
      </c>
      <c r="U83" s="97">
        <v>6.73</v>
      </c>
      <c r="V83" s="100">
        <v>48579</v>
      </c>
      <c r="W83" s="98">
        <v>6.0699999999999997E-2</v>
      </c>
      <c r="X83" s="98">
        <v>6.4199999999999993E-2</v>
      </c>
      <c r="Y83" s="96" t="s">
        <v>411</v>
      </c>
      <c r="Z83" s="96"/>
      <c r="AA83" s="97">
        <v>17825.836771999999</v>
      </c>
      <c r="AB83" s="97">
        <v>1</v>
      </c>
      <c r="AC83" s="97">
        <v>98.77</v>
      </c>
      <c r="AD83" s="97"/>
      <c r="AE83" s="97">
        <v>17.606577999999999</v>
      </c>
      <c r="AF83" s="96"/>
      <c r="AG83" s="96"/>
      <c r="AH83" s="96"/>
      <c r="AI83" s="98">
        <v>8.3999999999999995E-5</v>
      </c>
      <c r="AJ83" s="98">
        <v>1.3730000000000001E-3</v>
      </c>
      <c r="AK83" s="98">
        <v>3.3500000000000001E-4</v>
      </c>
      <c r="AL83" s="106"/>
    </row>
    <row r="84" spans="1:38" ht="15" customHeight="1">
      <c r="A84" s="106"/>
      <c r="B84" s="96">
        <v>286</v>
      </c>
      <c r="C84" s="96">
        <v>1445</v>
      </c>
      <c r="D84" s="96" t="s">
        <v>1354</v>
      </c>
      <c r="E84" s="96">
        <v>513893123</v>
      </c>
      <c r="F84" s="96" t="s">
        <v>308</v>
      </c>
      <c r="G84" s="96" t="s">
        <v>1523</v>
      </c>
      <c r="H84" s="96" t="s">
        <v>1396</v>
      </c>
      <c r="I84" s="96" t="s">
        <v>320</v>
      </c>
      <c r="J84" s="96" t="s">
        <v>753</v>
      </c>
      <c r="K84" s="96" t="s">
        <v>203</v>
      </c>
      <c r="L84" s="96" t="s">
        <v>203</v>
      </c>
      <c r="M84" s="96" t="s">
        <v>326</v>
      </c>
      <c r="N84" s="96" t="s">
        <v>339</v>
      </c>
      <c r="O84" s="96" t="s">
        <v>442</v>
      </c>
      <c r="P84" s="96" t="s">
        <v>338</v>
      </c>
      <c r="Q84" s="96" t="s">
        <v>1357</v>
      </c>
      <c r="R84" s="96" t="s">
        <v>414</v>
      </c>
      <c r="S84" s="96" t="s">
        <v>406</v>
      </c>
      <c r="T84" s="96" t="s">
        <v>1200</v>
      </c>
      <c r="U84" s="97">
        <v>3.22</v>
      </c>
      <c r="V84" s="100">
        <v>48060</v>
      </c>
      <c r="W84" s="98">
        <v>0.01</v>
      </c>
      <c r="X84" s="98">
        <v>3.6200000000000003E-2</v>
      </c>
      <c r="Y84" s="96" t="s">
        <v>411</v>
      </c>
      <c r="Z84" s="96"/>
      <c r="AA84" s="97">
        <v>2410.0695310000001</v>
      </c>
      <c r="AB84" s="97">
        <v>1</v>
      </c>
      <c r="AC84" s="97">
        <v>102.3857</v>
      </c>
      <c r="AD84" s="97"/>
      <c r="AE84" s="97">
        <v>2.4675660000000001</v>
      </c>
      <c r="AF84" s="96"/>
      <c r="AG84" s="96"/>
      <c r="AH84" s="96"/>
      <c r="AI84" s="98">
        <v>9.9999999999999995E-7</v>
      </c>
      <c r="AJ84" s="98">
        <v>1.92E-4</v>
      </c>
      <c r="AK84" s="98">
        <v>4.6E-5</v>
      </c>
      <c r="AL84" s="106"/>
    </row>
    <row r="85" spans="1:38" ht="15" customHeight="1">
      <c r="A85" s="106"/>
      <c r="B85" s="96">
        <v>286</v>
      </c>
      <c r="C85" s="96">
        <v>1445</v>
      </c>
      <c r="D85" s="96" t="s">
        <v>1524</v>
      </c>
      <c r="E85" s="96">
        <v>513257873</v>
      </c>
      <c r="F85" s="96" t="s">
        <v>308</v>
      </c>
      <c r="G85" s="96" t="s">
        <v>1525</v>
      </c>
      <c r="H85" s="96" t="s">
        <v>1526</v>
      </c>
      <c r="I85" s="96" t="s">
        <v>320</v>
      </c>
      <c r="J85" s="96" t="s">
        <v>753</v>
      </c>
      <c r="K85" s="96" t="s">
        <v>203</v>
      </c>
      <c r="L85" s="96" t="s">
        <v>203</v>
      </c>
      <c r="M85" s="96" t="s">
        <v>324</v>
      </c>
      <c r="N85" s="96" t="s">
        <v>339</v>
      </c>
      <c r="O85" s="96" t="s">
        <v>463</v>
      </c>
      <c r="P85" s="96" t="s">
        <v>338</v>
      </c>
      <c r="Q85" s="96" t="s">
        <v>1320</v>
      </c>
      <c r="R85" s="96" t="s">
        <v>412</v>
      </c>
      <c r="S85" s="96" t="s">
        <v>406</v>
      </c>
      <c r="T85" s="96" t="s">
        <v>1200</v>
      </c>
      <c r="U85" s="97">
        <v>5.66</v>
      </c>
      <c r="V85" s="100">
        <v>48304</v>
      </c>
      <c r="W85" s="98">
        <v>9.7000000000000003E-3</v>
      </c>
      <c r="X85" s="98">
        <v>3.8100000000000002E-2</v>
      </c>
      <c r="Y85" s="96" t="s">
        <v>411</v>
      </c>
      <c r="Z85" s="96"/>
      <c r="AA85" s="97">
        <v>2860.7120749999999</v>
      </c>
      <c r="AB85" s="97">
        <v>1</v>
      </c>
      <c r="AC85" s="97">
        <v>95.73</v>
      </c>
      <c r="AD85" s="97"/>
      <c r="AE85" s="97">
        <v>2.738559</v>
      </c>
      <c r="AF85" s="96"/>
      <c r="AG85" s="96"/>
      <c r="AH85" s="96"/>
      <c r="AI85" s="98">
        <v>6.9999999999999999E-6</v>
      </c>
      <c r="AJ85" s="98">
        <v>2.13E-4</v>
      </c>
      <c r="AK85" s="98">
        <v>5.1999999999999997E-5</v>
      </c>
      <c r="AL85" s="106"/>
    </row>
    <row r="86" spans="1:38" ht="15" customHeight="1">
      <c r="A86" s="106"/>
      <c r="B86" s="96">
        <v>286</v>
      </c>
      <c r="C86" s="96">
        <v>1445</v>
      </c>
      <c r="D86" s="96" t="s">
        <v>1462</v>
      </c>
      <c r="E86" s="96">
        <v>520000472</v>
      </c>
      <c r="F86" s="96" t="s">
        <v>308</v>
      </c>
      <c r="G86" s="96" t="s">
        <v>1527</v>
      </c>
      <c r="H86" s="96" t="s">
        <v>1528</v>
      </c>
      <c r="I86" s="96" t="s">
        <v>320</v>
      </c>
      <c r="J86" s="96" t="s">
        <v>753</v>
      </c>
      <c r="K86" s="96" t="s">
        <v>203</v>
      </c>
      <c r="L86" s="96" t="s">
        <v>203</v>
      </c>
      <c r="M86" s="96" t="s">
        <v>324</v>
      </c>
      <c r="N86" s="96" t="s">
        <v>339</v>
      </c>
      <c r="O86" s="96" t="s">
        <v>439</v>
      </c>
      <c r="P86" s="96" t="s">
        <v>338</v>
      </c>
      <c r="Q86" s="96" t="s">
        <v>1301</v>
      </c>
      <c r="R86" s="96" t="s">
        <v>414</v>
      </c>
      <c r="S86" s="96" t="s">
        <v>406</v>
      </c>
      <c r="T86" s="96" t="s">
        <v>1200</v>
      </c>
      <c r="U86" s="97">
        <v>5.98</v>
      </c>
      <c r="V86" s="100">
        <v>48111</v>
      </c>
      <c r="W86" s="98">
        <v>2.3900000000000001E-2</v>
      </c>
      <c r="X86" s="98">
        <v>3.0200000000000001E-2</v>
      </c>
      <c r="Y86" s="96" t="s">
        <v>411</v>
      </c>
      <c r="Z86" s="96"/>
      <c r="AA86" s="97">
        <v>114174.242808</v>
      </c>
      <c r="AB86" s="97">
        <v>1</v>
      </c>
      <c r="AC86" s="97">
        <v>109.95</v>
      </c>
      <c r="AD86" s="97"/>
      <c r="AE86" s="97">
        <v>125.53457899999999</v>
      </c>
      <c r="AF86" s="96"/>
      <c r="AG86" s="96"/>
      <c r="AH86" s="96"/>
      <c r="AI86" s="98">
        <v>2.9E-5</v>
      </c>
      <c r="AJ86" s="98">
        <v>9.7940000000000006E-3</v>
      </c>
      <c r="AK86" s="98">
        <v>2.3900000000000002E-3</v>
      </c>
      <c r="AL86" s="106"/>
    </row>
    <row r="87" spans="1:38" ht="15" customHeight="1">
      <c r="A87" s="106"/>
      <c r="B87" s="96">
        <v>286</v>
      </c>
      <c r="C87" s="96">
        <v>1445</v>
      </c>
      <c r="D87" s="96" t="s">
        <v>1529</v>
      </c>
      <c r="E87" s="96">
        <v>520003781</v>
      </c>
      <c r="F87" s="96" t="s">
        <v>308</v>
      </c>
      <c r="G87" s="96" t="s">
        <v>1530</v>
      </c>
      <c r="H87" s="96" t="s">
        <v>1531</v>
      </c>
      <c r="I87" s="96" t="s">
        <v>320</v>
      </c>
      <c r="J87" s="96" t="s">
        <v>952</v>
      </c>
      <c r="K87" s="96" t="s">
        <v>203</v>
      </c>
      <c r="L87" s="96" t="s">
        <v>203</v>
      </c>
      <c r="M87" s="96" t="s">
        <v>324</v>
      </c>
      <c r="N87" s="96" t="s">
        <v>339</v>
      </c>
      <c r="O87" s="96" t="s">
        <v>458</v>
      </c>
      <c r="P87" s="96" t="s">
        <v>338</v>
      </c>
      <c r="Q87" s="96" t="s">
        <v>1301</v>
      </c>
      <c r="R87" s="96" t="s">
        <v>414</v>
      </c>
      <c r="S87" s="96" t="s">
        <v>406</v>
      </c>
      <c r="T87" s="96" t="s">
        <v>1200</v>
      </c>
      <c r="U87" s="97">
        <v>6.44</v>
      </c>
      <c r="V87" s="100">
        <v>50221</v>
      </c>
      <c r="W87" s="98">
        <v>1.9E-2</v>
      </c>
      <c r="X87" s="98">
        <v>5.5800000000000002E-2</v>
      </c>
      <c r="Y87" s="96" t="s">
        <v>411</v>
      </c>
      <c r="Z87" s="96"/>
      <c r="AA87" s="97">
        <v>53162.448241999999</v>
      </c>
      <c r="AB87" s="97">
        <v>1</v>
      </c>
      <c r="AC87" s="97">
        <v>78.97</v>
      </c>
      <c r="AD87" s="97"/>
      <c r="AE87" s="97">
        <v>41.982385000000001</v>
      </c>
      <c r="AF87" s="96"/>
      <c r="AG87" s="96"/>
      <c r="AH87" s="96"/>
      <c r="AI87" s="98">
        <v>5.1999999999999997E-5</v>
      </c>
      <c r="AJ87" s="98">
        <v>3.2750000000000001E-3</v>
      </c>
      <c r="AK87" s="98">
        <v>7.9900000000000001E-4</v>
      </c>
      <c r="AL87" s="106"/>
    </row>
    <row r="88" spans="1:38" ht="15" customHeight="1">
      <c r="A88" s="106"/>
      <c r="B88" s="96">
        <v>286</v>
      </c>
      <c r="C88" s="96">
        <v>1445</v>
      </c>
      <c r="D88" s="96" t="s">
        <v>1517</v>
      </c>
      <c r="E88" s="96">
        <v>510560188</v>
      </c>
      <c r="F88" s="96" t="s">
        <v>308</v>
      </c>
      <c r="G88" s="96" t="s">
        <v>1532</v>
      </c>
      <c r="H88" s="96" t="s">
        <v>1533</v>
      </c>
      <c r="I88" s="96" t="s">
        <v>320</v>
      </c>
      <c r="J88" s="96" t="s">
        <v>753</v>
      </c>
      <c r="K88" s="96" t="s">
        <v>203</v>
      </c>
      <c r="L88" s="96" t="s">
        <v>203</v>
      </c>
      <c r="M88" s="96" t="s">
        <v>324</v>
      </c>
      <c r="N88" s="96" t="s">
        <v>339</v>
      </c>
      <c r="O88" s="96" t="s">
        <v>464</v>
      </c>
      <c r="P88" s="96" t="s">
        <v>338</v>
      </c>
      <c r="Q88" s="96" t="s">
        <v>1520</v>
      </c>
      <c r="R88" s="96" t="s">
        <v>414</v>
      </c>
      <c r="S88" s="96" t="s">
        <v>406</v>
      </c>
      <c r="T88" s="96" t="s">
        <v>1200</v>
      </c>
      <c r="U88" s="97">
        <v>5.36</v>
      </c>
      <c r="V88" s="100">
        <v>47937</v>
      </c>
      <c r="W88" s="98">
        <v>1.54E-2</v>
      </c>
      <c r="X88" s="98">
        <v>4.02E-2</v>
      </c>
      <c r="Y88" s="96" t="s">
        <v>411</v>
      </c>
      <c r="Z88" s="96"/>
      <c r="AA88" s="97">
        <v>3179.8946919999998</v>
      </c>
      <c r="AB88" s="97">
        <v>1</v>
      </c>
      <c r="AC88" s="97">
        <v>97.3</v>
      </c>
      <c r="AD88" s="97"/>
      <c r="AE88" s="97">
        <v>3.0940370000000001</v>
      </c>
      <c r="AF88" s="96"/>
      <c r="AG88" s="96"/>
      <c r="AH88" s="96"/>
      <c r="AI88" s="98">
        <v>5.0000000000000004E-6</v>
      </c>
      <c r="AJ88" s="98">
        <v>2.41E-4</v>
      </c>
      <c r="AK88" s="98">
        <v>5.8E-5</v>
      </c>
      <c r="AL88" s="106"/>
    </row>
    <row r="89" spans="1:38" ht="15" customHeight="1">
      <c r="A89" s="106"/>
      <c r="B89" s="96">
        <v>286</v>
      </c>
      <c r="C89" s="96">
        <v>1445</v>
      </c>
      <c r="D89" s="96" t="s">
        <v>1517</v>
      </c>
      <c r="E89" s="96">
        <v>510560188</v>
      </c>
      <c r="F89" s="96" t="s">
        <v>308</v>
      </c>
      <c r="G89" s="96" t="s">
        <v>1534</v>
      </c>
      <c r="H89" s="96" t="s">
        <v>1535</v>
      </c>
      <c r="I89" s="96" t="s">
        <v>320</v>
      </c>
      <c r="J89" s="96" t="s">
        <v>753</v>
      </c>
      <c r="K89" s="96" t="s">
        <v>203</v>
      </c>
      <c r="L89" s="96" t="s">
        <v>203</v>
      </c>
      <c r="M89" s="96" t="s">
        <v>324</v>
      </c>
      <c r="N89" s="96" t="s">
        <v>339</v>
      </c>
      <c r="O89" s="96" t="s">
        <v>464</v>
      </c>
      <c r="P89" s="96" t="s">
        <v>338</v>
      </c>
      <c r="Q89" s="96" t="s">
        <v>1520</v>
      </c>
      <c r="R89" s="96" t="s">
        <v>414</v>
      </c>
      <c r="S89" s="96" t="s">
        <v>406</v>
      </c>
      <c r="T89" s="96" t="s">
        <v>1200</v>
      </c>
      <c r="U89" s="97">
        <v>0.99</v>
      </c>
      <c r="V89" s="100">
        <v>45838</v>
      </c>
      <c r="W89" s="98">
        <v>1.2200000000000001E-2</v>
      </c>
      <c r="X89" s="98">
        <v>3.1600000000000003E-2</v>
      </c>
      <c r="Y89" s="96" t="s">
        <v>411</v>
      </c>
      <c r="Z89" s="96"/>
      <c r="AA89" s="97">
        <v>973.16376700000001</v>
      </c>
      <c r="AB89" s="97">
        <v>1</v>
      </c>
      <c r="AC89" s="97">
        <v>111.42</v>
      </c>
      <c r="AD89" s="97"/>
      <c r="AE89" s="97">
        <v>1.0842989999999999</v>
      </c>
      <c r="AF89" s="96"/>
      <c r="AG89" s="96"/>
      <c r="AH89" s="96"/>
      <c r="AI89" s="98">
        <v>3.9999999999999998E-6</v>
      </c>
      <c r="AJ89" s="98">
        <v>8.3999999999999995E-5</v>
      </c>
      <c r="AK89" s="98">
        <v>2.0000000000000002E-5</v>
      </c>
      <c r="AL89" s="106"/>
    </row>
    <row r="90" spans="1:38" ht="15" customHeight="1">
      <c r="A90" s="106"/>
      <c r="B90" s="96">
        <v>286</v>
      </c>
      <c r="C90" s="96">
        <v>1445</v>
      </c>
      <c r="D90" s="96" t="s">
        <v>1399</v>
      </c>
      <c r="E90" s="96">
        <v>520032046</v>
      </c>
      <c r="F90" s="96" t="s">
        <v>308</v>
      </c>
      <c r="G90" s="96" t="s">
        <v>1536</v>
      </c>
      <c r="H90" s="96" t="s">
        <v>1537</v>
      </c>
      <c r="I90" s="96" t="s">
        <v>320</v>
      </c>
      <c r="J90" s="96" t="s">
        <v>753</v>
      </c>
      <c r="K90" s="96" t="s">
        <v>203</v>
      </c>
      <c r="L90" s="96" t="s">
        <v>203</v>
      </c>
      <c r="M90" s="96" t="s">
        <v>324</v>
      </c>
      <c r="N90" s="96" t="s">
        <v>339</v>
      </c>
      <c r="O90" s="96" t="s">
        <v>447</v>
      </c>
      <c r="P90" s="96" t="s">
        <v>338</v>
      </c>
      <c r="Q90" s="96" t="s">
        <v>1305</v>
      </c>
      <c r="R90" s="96" t="s">
        <v>414</v>
      </c>
      <c r="S90" s="96" t="s">
        <v>406</v>
      </c>
      <c r="T90" s="96" t="s">
        <v>1200</v>
      </c>
      <c r="U90" s="97">
        <v>1.96</v>
      </c>
      <c r="V90" s="100">
        <v>46197</v>
      </c>
      <c r="W90" s="98">
        <v>1.89E-2</v>
      </c>
      <c r="X90" s="98">
        <v>2.81E-2</v>
      </c>
      <c r="Y90" s="96" t="s">
        <v>410</v>
      </c>
      <c r="Z90" s="96"/>
      <c r="AA90" s="97">
        <v>3229.4925870000002</v>
      </c>
      <c r="AB90" s="97">
        <v>1</v>
      </c>
      <c r="AC90" s="97">
        <v>111.58</v>
      </c>
      <c r="AD90" s="97"/>
      <c r="AE90" s="97">
        <v>3.6034670000000002</v>
      </c>
      <c r="AF90" s="96"/>
      <c r="AG90" s="96"/>
      <c r="AH90" s="96"/>
      <c r="AI90" s="98">
        <v>7.9999999999999996E-6</v>
      </c>
      <c r="AJ90" s="98">
        <v>2.81E-4</v>
      </c>
      <c r="AK90" s="98">
        <v>6.7999999999999999E-5</v>
      </c>
      <c r="AL90" s="106"/>
    </row>
    <row r="91" spans="1:38" ht="15" customHeight="1">
      <c r="A91" s="106"/>
      <c r="B91" s="96">
        <v>286</v>
      </c>
      <c r="C91" s="96">
        <v>1445</v>
      </c>
      <c r="D91" s="96" t="s">
        <v>1452</v>
      </c>
      <c r="E91" s="96">
        <v>514065283</v>
      </c>
      <c r="F91" s="96" t="s">
        <v>308</v>
      </c>
      <c r="G91" s="96" t="s">
        <v>1538</v>
      </c>
      <c r="H91" s="96" t="s">
        <v>1539</v>
      </c>
      <c r="I91" s="96" t="s">
        <v>320</v>
      </c>
      <c r="J91" s="96" t="s">
        <v>952</v>
      </c>
      <c r="K91" s="96" t="s">
        <v>203</v>
      </c>
      <c r="L91" s="96" t="s">
        <v>203</v>
      </c>
      <c r="M91" s="96" t="s">
        <v>324</v>
      </c>
      <c r="N91" s="96" t="s">
        <v>339</v>
      </c>
      <c r="O91" s="96" t="s">
        <v>461</v>
      </c>
      <c r="P91" s="96" t="s">
        <v>337</v>
      </c>
      <c r="Q91" s="96" t="s">
        <v>1332</v>
      </c>
      <c r="R91" s="96" t="s">
        <v>412</v>
      </c>
      <c r="S91" s="96" t="s">
        <v>406</v>
      </c>
      <c r="T91" s="96" t="s">
        <v>1200</v>
      </c>
      <c r="U91" s="97">
        <v>1.81</v>
      </c>
      <c r="V91" s="100">
        <v>46631</v>
      </c>
      <c r="W91" s="98">
        <v>2.3E-2</v>
      </c>
      <c r="X91" s="98">
        <v>5.3199999999999997E-2</v>
      </c>
      <c r="Y91" s="96" t="s">
        <v>411</v>
      </c>
      <c r="Z91" s="96"/>
      <c r="AA91" s="97">
        <v>43673.856828000004</v>
      </c>
      <c r="AB91" s="97">
        <v>1</v>
      </c>
      <c r="AC91" s="97">
        <v>95.57</v>
      </c>
      <c r="AD91" s="97"/>
      <c r="AE91" s="97">
        <v>41.739103999999998</v>
      </c>
      <c r="AF91" s="96"/>
      <c r="AG91" s="96"/>
      <c r="AH91" s="96"/>
      <c r="AI91" s="98">
        <v>5.1999999999999997E-5</v>
      </c>
      <c r="AJ91" s="98">
        <v>3.2560000000000002E-3</v>
      </c>
      <c r="AK91" s="98">
        <v>7.94E-4</v>
      </c>
      <c r="AL91" s="106"/>
    </row>
    <row r="92" spans="1:38" ht="15" customHeight="1">
      <c r="A92" s="106"/>
      <c r="B92" s="96">
        <v>286</v>
      </c>
      <c r="C92" s="96">
        <v>1445</v>
      </c>
      <c r="D92" s="96" t="s">
        <v>1333</v>
      </c>
      <c r="E92" s="96">
        <v>520024126</v>
      </c>
      <c r="F92" s="96" t="s">
        <v>308</v>
      </c>
      <c r="G92" s="96" t="s">
        <v>1540</v>
      </c>
      <c r="H92" s="96" t="s">
        <v>1541</v>
      </c>
      <c r="I92" s="96" t="s">
        <v>320</v>
      </c>
      <c r="J92" s="96" t="s">
        <v>753</v>
      </c>
      <c r="K92" s="96" t="s">
        <v>203</v>
      </c>
      <c r="L92" s="96" t="s">
        <v>203</v>
      </c>
      <c r="M92" s="96" t="s">
        <v>324</v>
      </c>
      <c r="N92" s="96" t="s">
        <v>339</v>
      </c>
      <c r="O92" s="96" t="s">
        <v>463</v>
      </c>
      <c r="P92" s="96" t="s">
        <v>337</v>
      </c>
      <c r="Q92" s="96" t="s">
        <v>1313</v>
      </c>
      <c r="R92" s="96" t="s">
        <v>412</v>
      </c>
      <c r="S92" s="96" t="s">
        <v>406</v>
      </c>
      <c r="T92" s="96" t="s">
        <v>1200</v>
      </c>
      <c r="U92" s="97">
        <v>2.4</v>
      </c>
      <c r="V92" s="100">
        <v>46934</v>
      </c>
      <c r="W92" s="98">
        <v>3.6999999999999998E-2</v>
      </c>
      <c r="X92" s="98">
        <v>2.7900000000000001E-2</v>
      </c>
      <c r="Y92" s="96" t="s">
        <v>411</v>
      </c>
      <c r="Z92" s="96"/>
      <c r="AA92" s="97">
        <v>2739.0857700000001</v>
      </c>
      <c r="AB92" s="97">
        <v>1</v>
      </c>
      <c r="AC92" s="97">
        <v>116.16</v>
      </c>
      <c r="AD92" s="97"/>
      <c r="AE92" s="97">
        <v>3.1817220000000002</v>
      </c>
      <c r="AF92" s="96"/>
      <c r="AG92" s="96"/>
      <c r="AH92" s="96"/>
      <c r="AI92" s="98">
        <v>9.0000000000000002E-6</v>
      </c>
      <c r="AJ92" s="98">
        <v>2.4800000000000001E-4</v>
      </c>
      <c r="AK92" s="98">
        <v>6.0000000000000002E-5</v>
      </c>
      <c r="AL92" s="106"/>
    </row>
    <row r="93" spans="1:38" ht="15" customHeight="1">
      <c r="A93" s="106"/>
      <c r="B93" s="96">
        <v>286</v>
      </c>
      <c r="C93" s="96">
        <v>1445</v>
      </c>
      <c r="D93" s="96" t="s">
        <v>1529</v>
      </c>
      <c r="E93" s="96">
        <v>520003781</v>
      </c>
      <c r="F93" s="96" t="s">
        <v>308</v>
      </c>
      <c r="G93" s="96" t="s">
        <v>1542</v>
      </c>
      <c r="H93" s="96" t="s">
        <v>1543</v>
      </c>
      <c r="I93" s="96" t="s">
        <v>320</v>
      </c>
      <c r="J93" s="96" t="s">
        <v>952</v>
      </c>
      <c r="K93" s="96" t="s">
        <v>203</v>
      </c>
      <c r="L93" s="96" t="s">
        <v>203</v>
      </c>
      <c r="M93" s="96" t="s">
        <v>324</v>
      </c>
      <c r="N93" s="96" t="s">
        <v>339</v>
      </c>
      <c r="O93" s="96" t="s">
        <v>458</v>
      </c>
      <c r="P93" s="96" t="s">
        <v>338</v>
      </c>
      <c r="Q93" s="96" t="s">
        <v>1301</v>
      </c>
      <c r="R93" s="96" t="s">
        <v>414</v>
      </c>
      <c r="S93" s="96" t="s">
        <v>406</v>
      </c>
      <c r="T93" s="96" t="s">
        <v>1200</v>
      </c>
      <c r="U93" s="97">
        <v>1.94</v>
      </c>
      <c r="V93" s="100">
        <v>46568</v>
      </c>
      <c r="W93" s="98">
        <v>2.6100000000000002E-2</v>
      </c>
      <c r="X93" s="98">
        <v>4.8099999999999997E-2</v>
      </c>
      <c r="Y93" s="96" t="s">
        <v>411</v>
      </c>
      <c r="Z93" s="96"/>
      <c r="AA93" s="97">
        <v>42056.368664000001</v>
      </c>
      <c r="AB93" s="97">
        <v>1</v>
      </c>
      <c r="AC93" s="97">
        <v>95.99</v>
      </c>
      <c r="AD93" s="97"/>
      <c r="AE93" s="97">
        <v>40.369908000000002</v>
      </c>
      <c r="AF93" s="96"/>
      <c r="AG93" s="96"/>
      <c r="AH93" s="96"/>
      <c r="AI93" s="98">
        <v>1.16E-4</v>
      </c>
      <c r="AJ93" s="98">
        <v>3.1489999999999999E-3</v>
      </c>
      <c r="AK93" s="98">
        <v>7.6800000000000002E-4</v>
      </c>
      <c r="AL93" s="106"/>
    </row>
    <row r="94" spans="1:38" ht="15" customHeight="1">
      <c r="A94" s="106"/>
      <c r="B94" s="96">
        <v>286</v>
      </c>
      <c r="C94" s="96">
        <v>1445</v>
      </c>
      <c r="D94" s="96" t="s">
        <v>1445</v>
      </c>
      <c r="E94" s="96">
        <v>510381601</v>
      </c>
      <c r="F94" s="96" t="s">
        <v>308</v>
      </c>
      <c r="G94" s="96" t="s">
        <v>1544</v>
      </c>
      <c r="H94" s="96" t="s">
        <v>1545</v>
      </c>
      <c r="I94" s="96" t="s">
        <v>320</v>
      </c>
      <c r="J94" s="96" t="s">
        <v>952</v>
      </c>
      <c r="K94" s="96" t="s">
        <v>203</v>
      </c>
      <c r="L94" s="96" t="s">
        <v>203</v>
      </c>
      <c r="M94" s="96" t="s">
        <v>324</v>
      </c>
      <c r="N94" s="96" t="s">
        <v>339</v>
      </c>
      <c r="O94" s="96" t="s">
        <v>446</v>
      </c>
      <c r="P94" s="96" t="s">
        <v>337</v>
      </c>
      <c r="Q94" s="96" t="s">
        <v>1328</v>
      </c>
      <c r="R94" s="96" t="s">
        <v>412</v>
      </c>
      <c r="S94" s="96" t="s">
        <v>406</v>
      </c>
      <c r="T94" s="96" t="s">
        <v>1200</v>
      </c>
      <c r="U94" s="97">
        <v>2.09</v>
      </c>
      <c r="V94" s="100">
        <v>47133</v>
      </c>
      <c r="W94" s="98">
        <v>4.2999999999999997E-2</v>
      </c>
      <c r="X94" s="98">
        <v>5.8900000000000001E-2</v>
      </c>
      <c r="Y94" s="96" t="s">
        <v>411</v>
      </c>
      <c r="Z94" s="96"/>
      <c r="AA94" s="97">
        <v>36999.596730999998</v>
      </c>
      <c r="AB94" s="97">
        <v>1</v>
      </c>
      <c r="AC94" s="97">
        <v>98.86</v>
      </c>
      <c r="AD94" s="97"/>
      <c r="AE94" s="97">
        <v>36.577801000000001</v>
      </c>
      <c r="AF94" s="96"/>
      <c r="AG94" s="96"/>
      <c r="AH94" s="96"/>
      <c r="AI94" s="98">
        <v>3.6000000000000001E-5</v>
      </c>
      <c r="AJ94" s="98">
        <v>2.8530000000000001E-3</v>
      </c>
      <c r="AK94" s="98">
        <v>6.96E-4</v>
      </c>
      <c r="AL94" s="106"/>
    </row>
    <row r="95" spans="1:38" ht="15" customHeight="1">
      <c r="A95" s="106"/>
      <c r="B95" s="96">
        <v>286</v>
      </c>
      <c r="C95" s="96">
        <v>1445</v>
      </c>
      <c r="D95" s="96" t="s">
        <v>1546</v>
      </c>
      <c r="E95" s="96">
        <v>511930125</v>
      </c>
      <c r="F95" s="96" t="s">
        <v>308</v>
      </c>
      <c r="G95" s="96" t="s">
        <v>1547</v>
      </c>
      <c r="H95" s="96" t="s">
        <v>1548</v>
      </c>
      <c r="I95" s="96" t="s">
        <v>320</v>
      </c>
      <c r="J95" s="96" t="s">
        <v>753</v>
      </c>
      <c r="K95" s="96" t="s">
        <v>203</v>
      </c>
      <c r="L95" s="96" t="s">
        <v>203</v>
      </c>
      <c r="M95" s="96" t="s">
        <v>324</v>
      </c>
      <c r="N95" s="96" t="s">
        <v>339</v>
      </c>
      <c r="O95" s="96" t="s">
        <v>483</v>
      </c>
      <c r="P95" s="96" t="s">
        <v>337</v>
      </c>
      <c r="Q95" s="96" t="s">
        <v>1320</v>
      </c>
      <c r="R95" s="96" t="s">
        <v>412</v>
      </c>
      <c r="S95" s="96" t="s">
        <v>406</v>
      </c>
      <c r="T95" s="96" t="s">
        <v>1200</v>
      </c>
      <c r="U95" s="97">
        <v>0.01</v>
      </c>
      <c r="V95" s="100">
        <v>45478</v>
      </c>
      <c r="W95" s="98">
        <v>1.9800000000000002E-2</v>
      </c>
      <c r="X95" s="98">
        <v>5.5500000000000001E-2</v>
      </c>
      <c r="Y95" s="96" t="s">
        <v>411</v>
      </c>
      <c r="Z95" s="96"/>
      <c r="AA95" s="97">
        <v>1015.748978</v>
      </c>
      <c r="AB95" s="97">
        <v>1</v>
      </c>
      <c r="AC95" s="97">
        <v>114.69</v>
      </c>
      <c r="AD95" s="97"/>
      <c r="AE95" s="97">
        <v>1.1649620000000001</v>
      </c>
      <c r="AF95" s="96"/>
      <c r="AG95" s="96"/>
      <c r="AH95" s="96"/>
      <c r="AI95" s="98">
        <v>6.0000000000000002E-6</v>
      </c>
      <c r="AJ95" s="98">
        <v>9.0000000000000006E-5</v>
      </c>
      <c r="AK95" s="98">
        <v>2.1999999999999999E-5</v>
      </c>
      <c r="AL95" s="106"/>
    </row>
    <row r="96" spans="1:38" ht="15" customHeight="1">
      <c r="A96" s="106"/>
      <c r="B96" s="96">
        <v>286</v>
      </c>
      <c r="C96" s="96">
        <v>1445</v>
      </c>
      <c r="D96" s="96" t="s">
        <v>1197</v>
      </c>
      <c r="E96" s="96">
        <v>520018078</v>
      </c>
      <c r="F96" s="96" t="s">
        <v>308</v>
      </c>
      <c r="G96" s="96" t="s">
        <v>1549</v>
      </c>
      <c r="H96" s="96" t="s">
        <v>1550</v>
      </c>
      <c r="I96" s="96" t="s">
        <v>320</v>
      </c>
      <c r="J96" s="96" t="s">
        <v>753</v>
      </c>
      <c r="K96" s="96" t="s">
        <v>203</v>
      </c>
      <c r="L96" s="96" t="s">
        <v>203</v>
      </c>
      <c r="M96" s="96" t="s">
        <v>324</v>
      </c>
      <c r="N96" s="96" t="s">
        <v>339</v>
      </c>
      <c r="O96" s="96" t="s">
        <v>447</v>
      </c>
      <c r="P96" s="96" t="s">
        <v>338</v>
      </c>
      <c r="Q96" s="96" t="s">
        <v>1211</v>
      </c>
      <c r="R96" s="96" t="s">
        <v>414</v>
      </c>
      <c r="S96" s="96" t="s">
        <v>406</v>
      </c>
      <c r="T96" s="96" t="s">
        <v>1200</v>
      </c>
      <c r="U96" s="97">
        <v>1.99</v>
      </c>
      <c r="V96" s="100">
        <v>46203</v>
      </c>
      <c r="W96" s="98">
        <v>8.3000000000000001E-3</v>
      </c>
      <c r="X96" s="98">
        <v>2.1000000000000001E-2</v>
      </c>
      <c r="Y96" s="96" t="s">
        <v>411</v>
      </c>
      <c r="Z96" s="96"/>
      <c r="AA96" s="97">
        <v>51694.926638999998</v>
      </c>
      <c r="AB96" s="97">
        <v>1</v>
      </c>
      <c r="AC96" s="97">
        <v>110.75</v>
      </c>
      <c r="AD96" s="97"/>
      <c r="AE96" s="97">
        <v>57.252130999999999</v>
      </c>
      <c r="AF96" s="96"/>
      <c r="AG96" s="96"/>
      <c r="AH96" s="96"/>
      <c r="AI96" s="98">
        <v>3.3000000000000003E-5</v>
      </c>
      <c r="AJ96" s="98">
        <v>4.4660000000000004E-3</v>
      </c>
      <c r="AK96" s="98">
        <v>1.09E-3</v>
      </c>
      <c r="AL96" s="106"/>
    </row>
    <row r="97" spans="1:38" ht="15" customHeight="1">
      <c r="A97" s="106"/>
      <c r="B97" s="96">
        <v>286</v>
      </c>
      <c r="C97" s="96">
        <v>1445</v>
      </c>
      <c r="D97" s="96" t="s">
        <v>1551</v>
      </c>
      <c r="E97" s="96">
        <v>511659401</v>
      </c>
      <c r="F97" s="96" t="s">
        <v>308</v>
      </c>
      <c r="G97" s="96" t="s">
        <v>1552</v>
      </c>
      <c r="H97" s="96" t="s">
        <v>1553</v>
      </c>
      <c r="I97" s="96" t="s">
        <v>320</v>
      </c>
      <c r="J97" s="96" t="s">
        <v>753</v>
      </c>
      <c r="K97" s="96" t="s">
        <v>203</v>
      </c>
      <c r="L97" s="96" t="s">
        <v>203</v>
      </c>
      <c r="M97" s="96" t="s">
        <v>324</v>
      </c>
      <c r="N97" s="96" t="s">
        <v>339</v>
      </c>
      <c r="O97" s="96" t="s">
        <v>463</v>
      </c>
      <c r="P97" s="96" t="s">
        <v>338</v>
      </c>
      <c r="Q97" s="96" t="s">
        <v>1313</v>
      </c>
      <c r="R97" s="96" t="s">
        <v>412</v>
      </c>
      <c r="S97" s="96" t="s">
        <v>406</v>
      </c>
      <c r="T97" s="96" t="s">
        <v>1200</v>
      </c>
      <c r="U97" s="97">
        <v>5.13</v>
      </c>
      <c r="V97" s="100">
        <v>49551</v>
      </c>
      <c r="W97" s="98">
        <v>6.4999999999999997E-3</v>
      </c>
      <c r="X97" s="98">
        <v>3.4000000000000002E-2</v>
      </c>
      <c r="Y97" s="96" t="s">
        <v>411</v>
      </c>
      <c r="Z97" s="96"/>
      <c r="AA97" s="97">
        <v>1338.24047</v>
      </c>
      <c r="AB97" s="97">
        <v>1</v>
      </c>
      <c r="AC97" s="97">
        <v>98.12</v>
      </c>
      <c r="AD97" s="97"/>
      <c r="AE97" s="97">
        <v>1.3130809999999999</v>
      </c>
      <c r="AF97" s="96"/>
      <c r="AG97" s="96"/>
      <c r="AH97" s="96"/>
      <c r="AI97" s="98">
        <v>0</v>
      </c>
      <c r="AJ97" s="98">
        <v>1.02E-4</v>
      </c>
      <c r="AK97" s="98">
        <v>2.5000000000000001E-5</v>
      </c>
      <c r="AL97" s="106"/>
    </row>
    <row r="98" spans="1:38" ht="15" customHeight="1">
      <c r="A98" s="106"/>
      <c r="B98" s="96">
        <v>286</v>
      </c>
      <c r="C98" s="96">
        <v>1445</v>
      </c>
      <c r="D98" s="96" t="s">
        <v>1496</v>
      </c>
      <c r="E98" s="96">
        <v>510216054</v>
      </c>
      <c r="F98" s="96" t="s">
        <v>308</v>
      </c>
      <c r="G98" s="96" t="s">
        <v>1554</v>
      </c>
      <c r="H98" s="96" t="s">
        <v>1555</v>
      </c>
      <c r="I98" s="96" t="s">
        <v>320</v>
      </c>
      <c r="J98" s="96" t="s">
        <v>952</v>
      </c>
      <c r="K98" s="96" t="s">
        <v>203</v>
      </c>
      <c r="L98" s="96" t="s">
        <v>203</v>
      </c>
      <c r="M98" s="96" t="s">
        <v>324</v>
      </c>
      <c r="N98" s="96" t="s">
        <v>339</v>
      </c>
      <c r="O98" s="96" t="s">
        <v>439</v>
      </c>
      <c r="P98" s="96" t="s">
        <v>337</v>
      </c>
      <c r="Q98" s="96" t="s">
        <v>1332</v>
      </c>
      <c r="R98" s="96" t="s">
        <v>412</v>
      </c>
      <c r="S98" s="96" t="s">
        <v>406</v>
      </c>
      <c r="T98" s="96" t="s">
        <v>1200</v>
      </c>
      <c r="U98" s="97">
        <v>6.81</v>
      </c>
      <c r="V98" s="100">
        <v>49460</v>
      </c>
      <c r="W98" s="98">
        <v>5.8599999999999999E-2</v>
      </c>
      <c r="X98" s="98">
        <v>6.1100000000000002E-2</v>
      </c>
      <c r="Y98" s="96" t="s">
        <v>411</v>
      </c>
      <c r="Z98" s="96"/>
      <c r="AA98" s="97">
        <v>32086.50619</v>
      </c>
      <c r="AB98" s="97">
        <v>1</v>
      </c>
      <c r="AC98" s="97">
        <v>100.02</v>
      </c>
      <c r="AD98" s="97"/>
      <c r="AE98" s="97">
        <v>32.092922999999999</v>
      </c>
      <c r="AF98" s="96"/>
      <c r="AG98" s="96"/>
      <c r="AH98" s="96"/>
      <c r="AI98" s="98">
        <v>1.6000000000000001E-4</v>
      </c>
      <c r="AJ98" s="98">
        <v>2.503E-3</v>
      </c>
      <c r="AK98" s="98">
        <v>6.11E-4</v>
      </c>
      <c r="AL98" s="106"/>
    </row>
    <row r="99" spans="1:38" ht="15" customHeight="1">
      <c r="A99" s="106"/>
      <c r="B99" s="96">
        <v>286</v>
      </c>
      <c r="C99" s="96">
        <v>1445</v>
      </c>
      <c r="D99" s="96" t="s">
        <v>1411</v>
      </c>
      <c r="E99" s="96">
        <v>512025891</v>
      </c>
      <c r="F99" s="96" t="s">
        <v>308</v>
      </c>
      <c r="G99" s="96" t="s">
        <v>1556</v>
      </c>
      <c r="H99" s="96" t="s">
        <v>1557</v>
      </c>
      <c r="I99" s="96" t="s">
        <v>320</v>
      </c>
      <c r="J99" s="96" t="s">
        <v>753</v>
      </c>
      <c r="K99" s="96" t="s">
        <v>203</v>
      </c>
      <c r="L99" s="96" t="s">
        <v>203</v>
      </c>
      <c r="M99" s="96" t="s">
        <v>324</v>
      </c>
      <c r="N99" s="96" t="s">
        <v>339</v>
      </c>
      <c r="O99" s="96" t="s">
        <v>476</v>
      </c>
      <c r="P99" s="96" t="s">
        <v>338</v>
      </c>
      <c r="Q99" s="96" t="s">
        <v>1320</v>
      </c>
      <c r="R99" s="96" t="s">
        <v>412</v>
      </c>
      <c r="S99" s="96" t="s">
        <v>406</v>
      </c>
      <c r="T99" s="96" t="s">
        <v>1200</v>
      </c>
      <c r="U99" s="97">
        <v>1.28</v>
      </c>
      <c r="V99" s="100">
        <v>46407</v>
      </c>
      <c r="W99" s="98">
        <v>1.8499999999999999E-2</v>
      </c>
      <c r="X99" s="98">
        <v>2.9600000000000001E-2</v>
      </c>
      <c r="Y99" s="96" t="s">
        <v>411</v>
      </c>
      <c r="Z99" s="96"/>
      <c r="AA99" s="97">
        <v>24273.639500000001</v>
      </c>
      <c r="AB99" s="97">
        <v>1</v>
      </c>
      <c r="AC99" s="97">
        <v>110.73</v>
      </c>
      <c r="AD99" s="97"/>
      <c r="AE99" s="97">
        <v>26.878201000000001</v>
      </c>
      <c r="AF99" s="96"/>
      <c r="AG99" s="96"/>
      <c r="AH99" s="96"/>
      <c r="AI99" s="98">
        <v>3.8999999999999999E-5</v>
      </c>
      <c r="AJ99" s="98">
        <v>2.0969999999999999E-3</v>
      </c>
      <c r="AK99" s="98">
        <v>5.1099999999999995E-4</v>
      </c>
      <c r="AL99" s="106"/>
    </row>
    <row r="100" spans="1:38" ht="15" customHeight="1">
      <c r="A100" s="106"/>
      <c r="B100" s="96">
        <v>286</v>
      </c>
      <c r="C100" s="96">
        <v>1445</v>
      </c>
      <c r="D100" s="96" t="s">
        <v>1558</v>
      </c>
      <c r="E100" s="96">
        <v>510459928</v>
      </c>
      <c r="F100" s="96" t="s">
        <v>308</v>
      </c>
      <c r="G100" s="96" t="s">
        <v>1559</v>
      </c>
      <c r="H100" s="96" t="s">
        <v>1560</v>
      </c>
      <c r="I100" s="96" t="s">
        <v>320</v>
      </c>
      <c r="J100" s="96" t="s">
        <v>952</v>
      </c>
      <c r="K100" s="96" t="s">
        <v>203</v>
      </c>
      <c r="L100" s="96" t="s">
        <v>203</v>
      </c>
      <c r="M100" s="96" t="s">
        <v>324</v>
      </c>
      <c r="N100" s="96" t="s">
        <v>339</v>
      </c>
      <c r="O100" s="96" t="s">
        <v>439</v>
      </c>
      <c r="P100" s="96" t="s">
        <v>337</v>
      </c>
      <c r="Q100" s="96" t="s">
        <v>1309</v>
      </c>
      <c r="R100" s="96" t="s">
        <v>414</v>
      </c>
      <c r="S100" s="96" t="s">
        <v>406</v>
      </c>
      <c r="T100" s="96" t="s">
        <v>1200</v>
      </c>
      <c r="U100" s="97">
        <v>4.5199999999999996</v>
      </c>
      <c r="V100" s="100">
        <v>49125</v>
      </c>
      <c r="W100" s="98">
        <v>6.7699999999999996E-2</v>
      </c>
      <c r="X100" s="98">
        <v>6.5000000000000002E-2</v>
      </c>
      <c r="Y100" s="96" t="s">
        <v>411</v>
      </c>
      <c r="Z100" s="96"/>
      <c r="AA100" s="97">
        <v>47075.805260000001</v>
      </c>
      <c r="AB100" s="97">
        <v>1</v>
      </c>
      <c r="AC100" s="97">
        <v>101.65</v>
      </c>
      <c r="AD100" s="97"/>
      <c r="AE100" s="97">
        <v>47.852556</v>
      </c>
      <c r="AF100" s="96"/>
      <c r="AG100" s="96"/>
      <c r="AH100" s="96"/>
      <c r="AI100" s="98">
        <v>6.2000000000000003E-5</v>
      </c>
      <c r="AJ100" s="98">
        <v>3.7330000000000002E-3</v>
      </c>
      <c r="AK100" s="98">
        <v>9.1100000000000003E-4</v>
      </c>
      <c r="AL100" s="106"/>
    </row>
    <row r="101" spans="1:38" ht="15" customHeight="1">
      <c r="A101" s="106"/>
      <c r="B101" s="96">
        <v>286</v>
      </c>
      <c r="C101" s="96">
        <v>1445</v>
      </c>
      <c r="D101" s="96" t="s">
        <v>1411</v>
      </c>
      <c r="E101" s="96">
        <v>512025891</v>
      </c>
      <c r="F101" s="96" t="s">
        <v>308</v>
      </c>
      <c r="G101" s="96" t="s">
        <v>1561</v>
      </c>
      <c r="H101" s="96" t="s">
        <v>1562</v>
      </c>
      <c r="I101" s="96" t="s">
        <v>320</v>
      </c>
      <c r="J101" s="96" t="s">
        <v>753</v>
      </c>
      <c r="K101" s="96" t="s">
        <v>203</v>
      </c>
      <c r="L101" s="96" t="s">
        <v>203</v>
      </c>
      <c r="M101" s="96" t="s">
        <v>324</v>
      </c>
      <c r="N101" s="96" t="s">
        <v>339</v>
      </c>
      <c r="O101" s="96" t="s">
        <v>476</v>
      </c>
      <c r="P101" s="96" t="s">
        <v>338</v>
      </c>
      <c r="Q101" s="96" t="s">
        <v>1320</v>
      </c>
      <c r="R101" s="96" t="s">
        <v>412</v>
      </c>
      <c r="S101" s="96" t="s">
        <v>406</v>
      </c>
      <c r="T101" s="96" t="s">
        <v>1200</v>
      </c>
      <c r="U101" s="97">
        <v>1.92</v>
      </c>
      <c r="V101" s="100">
        <v>46888</v>
      </c>
      <c r="W101" s="98">
        <v>3.2000000000000001E-2</v>
      </c>
      <c r="X101" s="98">
        <v>3.3300000000000003E-2</v>
      </c>
      <c r="Y101" s="96" t="s">
        <v>411</v>
      </c>
      <c r="Z101" s="96"/>
      <c r="AA101" s="97">
        <v>50449.156912999999</v>
      </c>
      <c r="AB101" s="97">
        <v>1</v>
      </c>
      <c r="AC101" s="97">
        <v>105.65</v>
      </c>
      <c r="AD101" s="97"/>
      <c r="AE101" s="97">
        <v>53.299534000000001</v>
      </c>
      <c r="AF101" s="96"/>
      <c r="AG101" s="96"/>
      <c r="AH101" s="96"/>
      <c r="AI101" s="98">
        <v>6.3999999999999997E-5</v>
      </c>
      <c r="AJ101" s="98">
        <v>4.1580000000000002E-3</v>
      </c>
      <c r="AK101" s="98">
        <v>1.0139999999999999E-3</v>
      </c>
      <c r="AL101" s="106"/>
    </row>
    <row r="102" spans="1:38" ht="15" customHeight="1">
      <c r="A102" s="106"/>
      <c r="B102" s="96">
        <v>286</v>
      </c>
      <c r="C102" s="96">
        <v>1445</v>
      </c>
      <c r="D102" s="96" t="s">
        <v>1197</v>
      </c>
      <c r="E102" s="96">
        <v>520018078</v>
      </c>
      <c r="F102" s="96" t="s">
        <v>308</v>
      </c>
      <c r="G102" s="96" t="s">
        <v>1563</v>
      </c>
      <c r="H102" s="96" t="s">
        <v>1564</v>
      </c>
      <c r="I102" s="96" t="s">
        <v>320</v>
      </c>
      <c r="J102" s="96" t="s">
        <v>753</v>
      </c>
      <c r="K102" s="96" t="s">
        <v>203</v>
      </c>
      <c r="L102" s="96" t="s">
        <v>203</v>
      </c>
      <c r="M102" s="96" t="s">
        <v>324</v>
      </c>
      <c r="N102" s="96" t="s">
        <v>339</v>
      </c>
      <c r="O102" s="96" t="s">
        <v>447</v>
      </c>
      <c r="P102" s="96" t="s">
        <v>338</v>
      </c>
      <c r="Q102" s="96" t="s">
        <v>1199</v>
      </c>
      <c r="R102" s="96" t="s">
        <v>412</v>
      </c>
      <c r="S102" s="96" t="s">
        <v>406</v>
      </c>
      <c r="T102" s="96" t="s">
        <v>1200</v>
      </c>
      <c r="U102" s="97">
        <v>5.39</v>
      </c>
      <c r="V102" s="100">
        <v>47447</v>
      </c>
      <c r="W102" s="98">
        <v>1E-3</v>
      </c>
      <c r="X102" s="98">
        <v>2.58E-2</v>
      </c>
      <c r="Y102" s="96" t="s">
        <v>411</v>
      </c>
      <c r="Z102" s="96"/>
      <c r="AA102" s="97">
        <v>78433.681798000005</v>
      </c>
      <c r="AB102" s="97">
        <v>1</v>
      </c>
      <c r="AC102" s="97">
        <v>97.13</v>
      </c>
      <c r="AD102" s="97"/>
      <c r="AE102" s="97">
        <v>76.182635000000005</v>
      </c>
      <c r="AF102" s="96"/>
      <c r="AG102" s="96"/>
      <c r="AH102" s="96"/>
      <c r="AI102" s="98">
        <v>3.1000000000000001E-5</v>
      </c>
      <c r="AJ102" s="98">
        <v>5.9430000000000004E-3</v>
      </c>
      <c r="AK102" s="98">
        <v>1.4499999999999999E-3</v>
      </c>
      <c r="AL102" s="106"/>
    </row>
    <row r="103" spans="1:38" ht="15" customHeight="1">
      <c r="A103" s="106"/>
      <c r="B103" s="96">
        <v>286</v>
      </c>
      <c r="C103" s="96">
        <v>1445</v>
      </c>
      <c r="D103" s="96" t="s">
        <v>1565</v>
      </c>
      <c r="E103" s="96">
        <v>520033234</v>
      </c>
      <c r="F103" s="96" t="s">
        <v>308</v>
      </c>
      <c r="G103" s="96" t="s">
        <v>1566</v>
      </c>
      <c r="H103" s="96" t="s">
        <v>1567</v>
      </c>
      <c r="I103" s="96" t="s">
        <v>320</v>
      </c>
      <c r="J103" s="96" t="s">
        <v>753</v>
      </c>
      <c r="K103" s="96" t="s">
        <v>203</v>
      </c>
      <c r="L103" s="96" t="s">
        <v>203</v>
      </c>
      <c r="M103" s="96" t="s">
        <v>324</v>
      </c>
      <c r="N103" s="96" t="s">
        <v>339</v>
      </c>
      <c r="O103" s="96" t="s">
        <v>464</v>
      </c>
      <c r="P103" s="96" t="s">
        <v>337</v>
      </c>
      <c r="Q103" s="96" t="s">
        <v>1309</v>
      </c>
      <c r="R103" s="96" t="s">
        <v>414</v>
      </c>
      <c r="S103" s="96" t="s">
        <v>406</v>
      </c>
      <c r="T103" s="96" t="s">
        <v>1200</v>
      </c>
      <c r="U103" s="97">
        <v>4.32</v>
      </c>
      <c r="V103" s="100">
        <v>48121</v>
      </c>
      <c r="W103" s="98">
        <v>1.7899999999999999E-2</v>
      </c>
      <c r="X103" s="98">
        <v>6.0499999999999998E-2</v>
      </c>
      <c r="Y103" s="96" t="s">
        <v>411</v>
      </c>
      <c r="Z103" s="96"/>
      <c r="AA103" s="97">
        <v>28415.055143000001</v>
      </c>
      <c r="AB103" s="97">
        <v>1</v>
      </c>
      <c r="AC103" s="97">
        <v>94.42</v>
      </c>
      <c r="AD103" s="97"/>
      <c r="AE103" s="97">
        <v>26.829495000000001</v>
      </c>
      <c r="AF103" s="96"/>
      <c r="AG103" s="96"/>
      <c r="AH103" s="96"/>
      <c r="AI103" s="98">
        <v>4.0000000000000003E-5</v>
      </c>
      <c r="AJ103" s="98">
        <v>2.0929999999999998E-3</v>
      </c>
      <c r="AK103" s="98">
        <v>5.1000000000000004E-4</v>
      </c>
      <c r="AL103" s="106"/>
    </row>
    <row r="104" spans="1:38" ht="15" customHeight="1">
      <c r="A104" s="106"/>
      <c r="B104" s="96">
        <v>286</v>
      </c>
      <c r="C104" s="96">
        <v>1445</v>
      </c>
      <c r="D104" s="96" t="s">
        <v>1354</v>
      </c>
      <c r="E104" s="96">
        <v>513893123</v>
      </c>
      <c r="F104" s="96" t="s">
        <v>308</v>
      </c>
      <c r="G104" s="96" t="s">
        <v>1568</v>
      </c>
      <c r="H104" s="96" t="s">
        <v>1569</v>
      </c>
      <c r="I104" s="96" t="s">
        <v>320</v>
      </c>
      <c r="J104" s="96" t="s">
        <v>753</v>
      </c>
      <c r="K104" s="96" t="s">
        <v>203</v>
      </c>
      <c r="L104" s="96" t="s">
        <v>203</v>
      </c>
      <c r="M104" s="96" t="s">
        <v>324</v>
      </c>
      <c r="N104" s="96" t="s">
        <v>339</v>
      </c>
      <c r="O104" s="96" t="s">
        <v>442</v>
      </c>
      <c r="P104" s="96" t="s">
        <v>338</v>
      </c>
      <c r="Q104" s="96" t="s">
        <v>1357</v>
      </c>
      <c r="R104" s="96" t="s">
        <v>414</v>
      </c>
      <c r="S104" s="96" t="s">
        <v>406</v>
      </c>
      <c r="T104" s="96" t="s">
        <v>1200</v>
      </c>
      <c r="U104" s="97">
        <v>0.65</v>
      </c>
      <c r="V104" s="100">
        <v>46053</v>
      </c>
      <c r="W104" s="98">
        <v>0.01</v>
      </c>
      <c r="X104" s="98">
        <v>3.2500000000000001E-2</v>
      </c>
      <c r="Y104" s="96" t="s">
        <v>411</v>
      </c>
      <c r="Z104" s="96"/>
      <c r="AA104" s="97">
        <v>4224.7040630000001</v>
      </c>
      <c r="AB104" s="97">
        <v>1</v>
      </c>
      <c r="AC104" s="97">
        <v>111.26</v>
      </c>
      <c r="AD104" s="97"/>
      <c r="AE104" s="97">
        <v>4.7004049999999999</v>
      </c>
      <c r="AF104" s="96"/>
      <c r="AG104" s="96"/>
      <c r="AH104" s="96"/>
      <c r="AI104" s="98">
        <v>9.0000000000000002E-6</v>
      </c>
      <c r="AJ104" s="98">
        <v>3.6600000000000001E-4</v>
      </c>
      <c r="AK104" s="98">
        <v>8.8999999999999995E-5</v>
      </c>
      <c r="AL104" s="106"/>
    </row>
    <row r="105" spans="1:38" ht="15" customHeight="1">
      <c r="A105" s="106"/>
      <c r="B105" s="96">
        <v>286</v>
      </c>
      <c r="C105" s="96">
        <v>1445</v>
      </c>
      <c r="D105" s="96" t="s">
        <v>1570</v>
      </c>
      <c r="E105" s="96">
        <v>512719485</v>
      </c>
      <c r="F105" s="96" t="s">
        <v>308</v>
      </c>
      <c r="G105" s="96" t="s">
        <v>1571</v>
      </c>
      <c r="H105" s="96" t="s">
        <v>1572</v>
      </c>
      <c r="I105" s="96" t="s">
        <v>320</v>
      </c>
      <c r="J105" s="96" t="s">
        <v>952</v>
      </c>
      <c r="K105" s="96" t="s">
        <v>203</v>
      </c>
      <c r="L105" s="96" t="s">
        <v>203</v>
      </c>
      <c r="M105" s="96" t="s">
        <v>324</v>
      </c>
      <c r="N105" s="96" t="s">
        <v>339</v>
      </c>
      <c r="O105" s="96" t="s">
        <v>463</v>
      </c>
      <c r="P105" s="96" t="s">
        <v>337</v>
      </c>
      <c r="Q105" s="96" t="s">
        <v>1520</v>
      </c>
      <c r="R105" s="96" t="s">
        <v>414</v>
      </c>
      <c r="S105" s="96" t="s">
        <v>406</v>
      </c>
      <c r="T105" s="96" t="s">
        <v>1200</v>
      </c>
      <c r="U105" s="97">
        <v>5.56</v>
      </c>
      <c r="V105" s="100">
        <v>48395</v>
      </c>
      <c r="W105" s="98">
        <v>5.4800000000000001E-2</v>
      </c>
      <c r="X105" s="98">
        <v>6.3299999999999995E-2</v>
      </c>
      <c r="Y105" s="96" t="s">
        <v>411</v>
      </c>
      <c r="Z105" s="96"/>
      <c r="AA105" s="97">
        <v>25364.472271999999</v>
      </c>
      <c r="AB105" s="97">
        <v>1</v>
      </c>
      <c r="AC105" s="97">
        <v>95.98</v>
      </c>
      <c r="AD105" s="97"/>
      <c r="AE105" s="97">
        <v>24.344819999999999</v>
      </c>
      <c r="AF105" s="96"/>
      <c r="AG105" s="96"/>
      <c r="AH105" s="96"/>
      <c r="AI105" s="98">
        <v>8.3999999999999995E-5</v>
      </c>
      <c r="AJ105" s="98">
        <v>1.8990000000000001E-3</v>
      </c>
      <c r="AK105" s="98">
        <v>4.6299999999999998E-4</v>
      </c>
      <c r="AL105" s="106"/>
    </row>
    <row r="106" spans="1:38" ht="15" customHeight="1">
      <c r="A106" s="106"/>
      <c r="B106" s="96">
        <v>286</v>
      </c>
      <c r="C106" s="96">
        <v>1445</v>
      </c>
      <c r="D106" s="96" t="s">
        <v>1364</v>
      </c>
      <c r="E106" s="96">
        <v>513821488</v>
      </c>
      <c r="F106" s="96" t="s">
        <v>308</v>
      </c>
      <c r="G106" s="96" t="s">
        <v>1573</v>
      </c>
      <c r="H106" s="96" t="s">
        <v>1574</v>
      </c>
      <c r="I106" s="96" t="s">
        <v>320</v>
      </c>
      <c r="J106" s="96" t="s">
        <v>753</v>
      </c>
      <c r="K106" s="96" t="s">
        <v>203</v>
      </c>
      <c r="L106" s="96" t="s">
        <v>203</v>
      </c>
      <c r="M106" s="96" t="s">
        <v>324</v>
      </c>
      <c r="N106" s="96" t="s">
        <v>339</v>
      </c>
      <c r="O106" s="96" t="s">
        <v>463</v>
      </c>
      <c r="P106" s="96" t="s">
        <v>337</v>
      </c>
      <c r="Q106" s="96" t="s">
        <v>1313</v>
      </c>
      <c r="R106" s="96" t="s">
        <v>412</v>
      </c>
      <c r="S106" s="96" t="s">
        <v>406</v>
      </c>
      <c r="T106" s="96" t="s">
        <v>1200</v>
      </c>
      <c r="U106" s="97">
        <v>0.22</v>
      </c>
      <c r="V106" s="100">
        <v>45555</v>
      </c>
      <c r="W106" s="98">
        <v>0.04</v>
      </c>
      <c r="X106" s="98">
        <v>2.1999999999999999E-2</v>
      </c>
      <c r="Y106" s="96" t="s">
        <v>411</v>
      </c>
      <c r="Z106" s="96"/>
      <c r="AA106" s="97">
        <v>3913.9952210000001</v>
      </c>
      <c r="AB106" s="97">
        <v>1</v>
      </c>
      <c r="AC106" s="97">
        <v>115.01</v>
      </c>
      <c r="AD106" s="97"/>
      <c r="AE106" s="97">
        <v>4.5014849999999997</v>
      </c>
      <c r="AF106" s="96"/>
      <c r="AG106" s="96"/>
      <c r="AH106" s="96"/>
      <c r="AI106" s="98">
        <v>4.8000000000000001E-5</v>
      </c>
      <c r="AJ106" s="98">
        <v>3.5100000000000002E-4</v>
      </c>
      <c r="AK106" s="98">
        <v>8.5000000000000006E-5</v>
      </c>
      <c r="AL106" s="106"/>
    </row>
    <row r="107" spans="1:38" ht="15" customHeight="1">
      <c r="A107" s="106"/>
      <c r="B107" s="96">
        <v>286</v>
      </c>
      <c r="C107" s="96">
        <v>1445</v>
      </c>
      <c r="D107" s="96" t="s">
        <v>1496</v>
      </c>
      <c r="E107" s="96">
        <v>510216054</v>
      </c>
      <c r="F107" s="96" t="s">
        <v>308</v>
      </c>
      <c r="G107" s="96" t="s">
        <v>1575</v>
      </c>
      <c r="H107" s="96" t="s">
        <v>1576</v>
      </c>
      <c r="I107" s="96" t="s">
        <v>320</v>
      </c>
      <c r="J107" s="96" t="s">
        <v>952</v>
      </c>
      <c r="K107" s="96" t="s">
        <v>203</v>
      </c>
      <c r="L107" s="96" t="s">
        <v>203</v>
      </c>
      <c r="M107" s="96" t="s">
        <v>324</v>
      </c>
      <c r="N107" s="96" t="s">
        <v>339</v>
      </c>
      <c r="O107" s="96" t="s">
        <v>439</v>
      </c>
      <c r="P107" s="96" t="s">
        <v>337</v>
      </c>
      <c r="Q107" s="96" t="s">
        <v>1332</v>
      </c>
      <c r="R107" s="96" t="s">
        <v>412</v>
      </c>
      <c r="S107" s="96" t="s">
        <v>406</v>
      </c>
      <c r="T107" s="96" t="s">
        <v>1200</v>
      </c>
      <c r="U107" s="97">
        <v>4.04</v>
      </c>
      <c r="V107" s="100">
        <v>48182</v>
      </c>
      <c r="W107" s="98">
        <v>2.4299999999999999E-2</v>
      </c>
      <c r="X107" s="98">
        <v>5.6099999999999997E-2</v>
      </c>
      <c r="Y107" s="96" t="s">
        <v>411</v>
      </c>
      <c r="Z107" s="96"/>
      <c r="AA107" s="97">
        <v>94139.721399999995</v>
      </c>
      <c r="AB107" s="97">
        <v>1</v>
      </c>
      <c r="AC107" s="97">
        <v>88.44</v>
      </c>
      <c r="AD107" s="97"/>
      <c r="AE107" s="97">
        <v>83.257169000000005</v>
      </c>
      <c r="AF107" s="96"/>
      <c r="AG107" s="96"/>
      <c r="AH107" s="96"/>
      <c r="AI107" s="98">
        <v>6.3999999999999997E-5</v>
      </c>
      <c r="AJ107" s="98">
        <v>6.4949999999999999E-3</v>
      </c>
      <c r="AK107" s="98">
        <v>1.585E-3</v>
      </c>
      <c r="AL107" s="106"/>
    </row>
    <row r="108" spans="1:38" ht="15" customHeight="1">
      <c r="A108" s="106"/>
      <c r="B108" s="96">
        <v>286</v>
      </c>
      <c r="C108" s="96">
        <v>1445</v>
      </c>
      <c r="D108" s="96" t="s">
        <v>1302</v>
      </c>
      <c r="E108" s="96">
        <v>513623314</v>
      </c>
      <c r="F108" s="96" t="s">
        <v>308</v>
      </c>
      <c r="G108" s="96" t="s">
        <v>1577</v>
      </c>
      <c r="H108" s="96" t="s">
        <v>1578</v>
      </c>
      <c r="I108" s="96" t="s">
        <v>320</v>
      </c>
      <c r="J108" s="96" t="s">
        <v>753</v>
      </c>
      <c r="K108" s="96" t="s">
        <v>203</v>
      </c>
      <c r="L108" s="96" t="s">
        <v>203</v>
      </c>
      <c r="M108" s="96" t="s">
        <v>324</v>
      </c>
      <c r="N108" s="96" t="s">
        <v>339</v>
      </c>
      <c r="O108" s="96" t="s">
        <v>463</v>
      </c>
      <c r="P108" s="96" t="s">
        <v>337</v>
      </c>
      <c r="Q108" s="96" t="s">
        <v>1313</v>
      </c>
      <c r="R108" s="96" t="s">
        <v>412</v>
      </c>
      <c r="S108" s="96" t="s">
        <v>406</v>
      </c>
      <c r="T108" s="96" t="s">
        <v>1200</v>
      </c>
      <c r="U108" s="97">
        <v>5.59</v>
      </c>
      <c r="V108" s="100">
        <v>47667</v>
      </c>
      <c r="W108" s="98">
        <v>2.5999999999999999E-2</v>
      </c>
      <c r="X108" s="98">
        <v>3.1800000000000002E-2</v>
      </c>
      <c r="Y108" s="96" t="s">
        <v>411</v>
      </c>
      <c r="Z108" s="96"/>
      <c r="AA108" s="97">
        <v>37024.165289999997</v>
      </c>
      <c r="AB108" s="97">
        <v>1</v>
      </c>
      <c r="AC108" s="97">
        <v>98.8</v>
      </c>
      <c r="AD108" s="97"/>
      <c r="AE108" s="97">
        <v>36.579875000000001</v>
      </c>
      <c r="AF108" s="96"/>
      <c r="AG108" s="96"/>
      <c r="AH108" s="96"/>
      <c r="AI108" s="98">
        <v>6.8999999999999997E-5</v>
      </c>
      <c r="AJ108" s="98">
        <v>2.8530000000000001E-3</v>
      </c>
      <c r="AK108" s="98">
        <v>6.96E-4</v>
      </c>
      <c r="AL108" s="106"/>
    </row>
    <row r="109" spans="1:38" ht="15" customHeight="1">
      <c r="A109" s="106"/>
      <c r="B109" s="96">
        <v>286</v>
      </c>
      <c r="C109" s="96">
        <v>1445</v>
      </c>
      <c r="D109" s="96" t="s">
        <v>1298</v>
      </c>
      <c r="E109" s="96">
        <v>510960719</v>
      </c>
      <c r="F109" s="96" t="s">
        <v>308</v>
      </c>
      <c r="G109" s="96" t="s">
        <v>1579</v>
      </c>
      <c r="H109" s="96" t="s">
        <v>1580</v>
      </c>
      <c r="I109" s="96" t="s">
        <v>320</v>
      </c>
      <c r="J109" s="96" t="s">
        <v>753</v>
      </c>
      <c r="K109" s="96" t="s">
        <v>203</v>
      </c>
      <c r="L109" s="96" t="s">
        <v>203</v>
      </c>
      <c r="M109" s="96" t="s">
        <v>324</v>
      </c>
      <c r="N109" s="96" t="s">
        <v>339</v>
      </c>
      <c r="O109" s="96" t="s">
        <v>463</v>
      </c>
      <c r="P109" s="96" t="s">
        <v>338</v>
      </c>
      <c r="Q109" s="96" t="s">
        <v>1439</v>
      </c>
      <c r="R109" s="96" t="s">
        <v>412</v>
      </c>
      <c r="S109" s="96" t="s">
        <v>406</v>
      </c>
      <c r="T109" s="96" t="s">
        <v>1200</v>
      </c>
      <c r="U109" s="97">
        <v>10.57</v>
      </c>
      <c r="V109" s="100">
        <v>51503</v>
      </c>
      <c r="W109" s="98">
        <v>1.6899999999999998E-2</v>
      </c>
      <c r="X109" s="98">
        <v>3.7999999999999999E-2</v>
      </c>
      <c r="Y109" s="96" t="s">
        <v>411</v>
      </c>
      <c r="Z109" s="96"/>
      <c r="AA109" s="97">
        <v>213910.041268</v>
      </c>
      <c r="AB109" s="97">
        <v>1</v>
      </c>
      <c r="AC109" s="97">
        <v>89.8</v>
      </c>
      <c r="AD109" s="97"/>
      <c r="AE109" s="97">
        <v>192.091217</v>
      </c>
      <c r="AF109" s="96"/>
      <c r="AG109" s="96"/>
      <c r="AH109" s="96"/>
      <c r="AI109" s="98">
        <v>4.8999999999999998E-5</v>
      </c>
      <c r="AJ109" s="98">
        <v>1.4985999999999999E-2</v>
      </c>
      <c r="AK109" s="98">
        <v>3.6570000000000001E-3</v>
      </c>
      <c r="AL109" s="106"/>
    </row>
    <row r="110" spans="1:38" ht="15" customHeight="1">
      <c r="A110" s="106"/>
      <c r="B110" s="96">
        <v>286</v>
      </c>
      <c r="C110" s="96">
        <v>1445</v>
      </c>
      <c r="D110" s="96" t="s">
        <v>1379</v>
      </c>
      <c r="E110" s="96">
        <v>510454333</v>
      </c>
      <c r="F110" s="96" t="s">
        <v>308</v>
      </c>
      <c r="G110" s="96" t="s">
        <v>1581</v>
      </c>
      <c r="H110" s="96" t="s">
        <v>1582</v>
      </c>
      <c r="I110" s="96" t="s">
        <v>320</v>
      </c>
      <c r="J110" s="96" t="s">
        <v>952</v>
      </c>
      <c r="K110" s="96" t="s">
        <v>203</v>
      </c>
      <c r="L110" s="96" t="s">
        <v>203</v>
      </c>
      <c r="M110" s="96" t="s">
        <v>324</v>
      </c>
      <c r="N110" s="96" t="s">
        <v>339</v>
      </c>
      <c r="O110" s="96" t="s">
        <v>476</v>
      </c>
      <c r="P110" s="96" t="s">
        <v>338</v>
      </c>
      <c r="Q110" s="96" t="s">
        <v>1320</v>
      </c>
      <c r="R110" s="96" t="s">
        <v>412</v>
      </c>
      <c r="S110" s="96" t="s">
        <v>406</v>
      </c>
      <c r="T110" s="96" t="s">
        <v>1200</v>
      </c>
      <c r="U110" s="97">
        <v>1.45</v>
      </c>
      <c r="V110" s="100">
        <v>46386</v>
      </c>
      <c r="W110" s="98">
        <v>2.8000000000000001E-2</v>
      </c>
      <c r="X110" s="98">
        <v>5.3400000000000003E-2</v>
      </c>
      <c r="Y110" s="96" t="s">
        <v>411</v>
      </c>
      <c r="Z110" s="96"/>
      <c r="AA110" s="97">
        <v>7939.6318979999996</v>
      </c>
      <c r="AB110" s="97">
        <v>1</v>
      </c>
      <c r="AC110" s="97">
        <v>96.53</v>
      </c>
      <c r="AD110" s="97"/>
      <c r="AE110" s="97">
        <v>7.6641260000000004</v>
      </c>
      <c r="AF110" s="96"/>
      <c r="AG110" s="96"/>
      <c r="AH110" s="96"/>
      <c r="AI110" s="98">
        <v>3.0000000000000001E-5</v>
      </c>
      <c r="AJ110" s="98">
        <v>5.9699999999999998E-4</v>
      </c>
      <c r="AK110" s="98">
        <v>1.45E-4</v>
      </c>
      <c r="AL110" s="106"/>
    </row>
    <row r="111" spans="1:38" ht="15" customHeight="1">
      <c r="A111" s="106"/>
      <c r="B111" s="96">
        <v>286</v>
      </c>
      <c r="C111" s="96">
        <v>1445</v>
      </c>
      <c r="D111" s="96" t="s">
        <v>1302</v>
      </c>
      <c r="E111" s="96">
        <v>513623314</v>
      </c>
      <c r="F111" s="96" t="s">
        <v>308</v>
      </c>
      <c r="G111" s="96" t="s">
        <v>1583</v>
      </c>
      <c r="H111" s="96" t="s">
        <v>1584</v>
      </c>
      <c r="I111" s="96" t="s">
        <v>320</v>
      </c>
      <c r="J111" s="96" t="s">
        <v>952</v>
      </c>
      <c r="K111" s="96" t="s">
        <v>203</v>
      </c>
      <c r="L111" s="96" t="s">
        <v>203</v>
      </c>
      <c r="M111" s="96" t="s">
        <v>324</v>
      </c>
      <c r="N111" s="96" t="s">
        <v>339</v>
      </c>
      <c r="O111" s="96" t="s">
        <v>463</v>
      </c>
      <c r="P111" s="96" t="s">
        <v>337</v>
      </c>
      <c r="Q111" s="96" t="s">
        <v>1332</v>
      </c>
      <c r="R111" s="96" t="s">
        <v>412</v>
      </c>
      <c r="S111" s="96" t="s">
        <v>406</v>
      </c>
      <c r="T111" s="96" t="s">
        <v>1200</v>
      </c>
      <c r="U111" s="97">
        <v>4.54</v>
      </c>
      <c r="V111" s="100">
        <v>47421</v>
      </c>
      <c r="W111" s="98">
        <v>2.0899999999999998E-2</v>
      </c>
      <c r="X111" s="98">
        <v>5.5399999999999998E-2</v>
      </c>
      <c r="Y111" s="96" t="s">
        <v>411</v>
      </c>
      <c r="Z111" s="96"/>
      <c r="AA111" s="97">
        <v>16394.767915</v>
      </c>
      <c r="AB111" s="97">
        <v>1</v>
      </c>
      <c r="AC111" s="97">
        <v>86.21</v>
      </c>
      <c r="AD111" s="97"/>
      <c r="AE111" s="97">
        <v>14.133929</v>
      </c>
      <c r="AF111" s="96"/>
      <c r="AG111" s="96"/>
      <c r="AH111" s="96"/>
      <c r="AI111" s="98">
        <v>8.6000000000000003E-5</v>
      </c>
      <c r="AJ111" s="98">
        <v>1.1019999999999999E-3</v>
      </c>
      <c r="AK111" s="98">
        <v>2.6899999999999998E-4</v>
      </c>
      <c r="AL111" s="106"/>
    </row>
    <row r="112" spans="1:38" ht="15" customHeight="1">
      <c r="A112" s="106"/>
      <c r="B112" s="96">
        <v>286</v>
      </c>
      <c r="C112" s="96">
        <v>1445</v>
      </c>
      <c r="D112" s="96" t="s">
        <v>1585</v>
      </c>
      <c r="E112" s="96"/>
      <c r="F112" s="96" t="s">
        <v>308</v>
      </c>
      <c r="G112" s="96" t="s">
        <v>1586</v>
      </c>
      <c r="H112" s="96" t="s">
        <v>1587</v>
      </c>
      <c r="I112" s="96" t="s">
        <v>320</v>
      </c>
      <c r="J112" s="96" t="s">
        <v>753</v>
      </c>
      <c r="K112" s="96" t="s">
        <v>203</v>
      </c>
      <c r="L112" s="96" t="s">
        <v>203</v>
      </c>
      <c r="M112" s="96" t="s">
        <v>324</v>
      </c>
      <c r="N112" s="96" t="s">
        <v>339</v>
      </c>
      <c r="O112" s="96" t="s">
        <v>464</v>
      </c>
      <c r="P112" s="96" t="s">
        <v>338</v>
      </c>
      <c r="Q112" s="96" t="s">
        <v>1520</v>
      </c>
      <c r="R112" s="96" t="s">
        <v>414</v>
      </c>
      <c r="S112" s="96" t="s">
        <v>406</v>
      </c>
      <c r="T112" s="96" t="s">
        <v>1200</v>
      </c>
      <c r="U112" s="97">
        <v>4.28</v>
      </c>
      <c r="V112" s="100">
        <v>47938</v>
      </c>
      <c r="W112" s="98">
        <v>4.3E-3</v>
      </c>
      <c r="X112" s="98">
        <v>4.48E-2</v>
      </c>
      <c r="Y112" s="96" t="s">
        <v>411</v>
      </c>
      <c r="Z112" s="96"/>
      <c r="AA112" s="97">
        <v>1575.047206</v>
      </c>
      <c r="AB112" s="97">
        <v>1</v>
      </c>
      <c r="AC112" s="97">
        <v>93.5</v>
      </c>
      <c r="AD112" s="97"/>
      <c r="AE112" s="97">
        <v>1.472669</v>
      </c>
      <c r="AF112" s="96"/>
      <c r="AG112" s="96"/>
      <c r="AH112" s="96"/>
      <c r="AI112" s="98">
        <v>1.9999999999999999E-6</v>
      </c>
      <c r="AJ112" s="98">
        <v>1.1400000000000001E-4</v>
      </c>
      <c r="AK112" s="98">
        <v>2.8E-5</v>
      </c>
      <c r="AL112" s="106"/>
    </row>
    <row r="113" spans="1:38" ht="15" customHeight="1">
      <c r="A113" s="106"/>
      <c r="B113" s="96">
        <v>286</v>
      </c>
      <c r="C113" s="96">
        <v>1445</v>
      </c>
      <c r="D113" s="96" t="s">
        <v>1414</v>
      </c>
      <c r="E113" s="96">
        <v>520037789</v>
      </c>
      <c r="F113" s="96" t="s">
        <v>308</v>
      </c>
      <c r="G113" s="96" t="s">
        <v>1588</v>
      </c>
      <c r="H113" s="96" t="s">
        <v>1589</v>
      </c>
      <c r="I113" s="96" t="s">
        <v>320</v>
      </c>
      <c r="J113" s="96" t="s">
        <v>753</v>
      </c>
      <c r="K113" s="96" t="s">
        <v>203</v>
      </c>
      <c r="L113" s="96" t="s">
        <v>203</v>
      </c>
      <c r="M113" s="96" t="s">
        <v>324</v>
      </c>
      <c r="N113" s="96" t="s">
        <v>339</v>
      </c>
      <c r="O113" s="96" t="s">
        <v>463</v>
      </c>
      <c r="P113" s="96" t="s">
        <v>337</v>
      </c>
      <c r="Q113" s="96" t="s">
        <v>1313</v>
      </c>
      <c r="R113" s="96" t="s">
        <v>412</v>
      </c>
      <c r="S113" s="96" t="s">
        <v>406</v>
      </c>
      <c r="T113" s="96" t="s">
        <v>1200</v>
      </c>
      <c r="U113" s="97">
        <v>6.29</v>
      </c>
      <c r="V113" s="100">
        <v>50041</v>
      </c>
      <c r="W113" s="98">
        <v>3.61E-2</v>
      </c>
      <c r="X113" s="98">
        <v>3.6999999999999998E-2</v>
      </c>
      <c r="Y113" s="96" t="s">
        <v>411</v>
      </c>
      <c r="Z113" s="96"/>
      <c r="AA113" s="97">
        <v>73299.960389999993</v>
      </c>
      <c r="AB113" s="97">
        <v>1</v>
      </c>
      <c r="AC113" s="97">
        <v>103.82</v>
      </c>
      <c r="AD113" s="97">
        <v>0.77924400000000005</v>
      </c>
      <c r="AE113" s="97">
        <v>76.879261999999997</v>
      </c>
      <c r="AF113" s="96"/>
      <c r="AG113" s="96"/>
      <c r="AH113" s="96"/>
      <c r="AI113" s="98">
        <v>6.7999999999999999E-5</v>
      </c>
      <c r="AJ113" s="98">
        <v>5.9969999999999997E-3</v>
      </c>
      <c r="AK113" s="98">
        <v>1.4630000000000001E-3</v>
      </c>
      <c r="AL113" s="106"/>
    </row>
    <row r="114" spans="1:38" ht="15" customHeight="1">
      <c r="A114" s="106"/>
      <c r="B114" s="96">
        <v>286</v>
      </c>
      <c r="C114" s="96">
        <v>1445</v>
      </c>
      <c r="D114" s="96" t="s">
        <v>1590</v>
      </c>
      <c r="E114" s="96">
        <v>1154</v>
      </c>
      <c r="F114" s="96" t="s">
        <v>80</v>
      </c>
      <c r="G114" s="96" t="s">
        <v>1591</v>
      </c>
      <c r="H114" s="96" t="s">
        <v>1592</v>
      </c>
      <c r="I114" s="96" t="s">
        <v>320</v>
      </c>
      <c r="J114" s="96" t="s">
        <v>753</v>
      </c>
      <c r="K114" s="96" t="s">
        <v>203</v>
      </c>
      <c r="L114" s="96" t="s">
        <v>203</v>
      </c>
      <c r="M114" s="96" t="s">
        <v>324</v>
      </c>
      <c r="N114" s="96" t="s">
        <v>339</v>
      </c>
      <c r="O114" s="96" t="s">
        <v>450</v>
      </c>
      <c r="P114" s="96" t="s">
        <v>338</v>
      </c>
      <c r="Q114" s="96" t="s">
        <v>409</v>
      </c>
      <c r="R114" s="96" t="s">
        <v>409</v>
      </c>
      <c r="S114" s="96" t="s">
        <v>409</v>
      </c>
      <c r="T114" s="96" t="s">
        <v>1200</v>
      </c>
      <c r="U114" s="97">
        <v>1.45</v>
      </c>
      <c r="V114" s="100">
        <v>45657</v>
      </c>
      <c r="W114" s="98">
        <v>6.8000000000000005E-2</v>
      </c>
      <c r="X114" s="98">
        <v>9.99</v>
      </c>
      <c r="Y114" s="96" t="s">
        <v>411</v>
      </c>
      <c r="Z114" s="96"/>
      <c r="AA114" s="97">
        <v>1641.8960910000001</v>
      </c>
      <c r="AB114" s="97">
        <v>1</v>
      </c>
      <c r="AC114" s="97">
        <v>24.03</v>
      </c>
      <c r="AD114" s="97"/>
      <c r="AE114" s="97">
        <v>0.39454699999999998</v>
      </c>
      <c r="AF114" s="96"/>
      <c r="AG114" s="96"/>
      <c r="AH114" s="96"/>
      <c r="AI114" s="98">
        <v>3.0000000000000001E-6</v>
      </c>
      <c r="AJ114" s="98">
        <v>3.0000000000000001E-5</v>
      </c>
      <c r="AK114" s="98">
        <v>6.9999999999999999E-6</v>
      </c>
      <c r="AL114" s="106"/>
    </row>
    <row r="115" spans="1:38" ht="15" customHeight="1">
      <c r="A115" s="106"/>
      <c r="B115" s="96">
        <v>286</v>
      </c>
      <c r="C115" s="96">
        <v>1445</v>
      </c>
      <c r="D115" s="96" t="s">
        <v>1337</v>
      </c>
      <c r="E115" s="96">
        <v>520028010</v>
      </c>
      <c r="F115" s="96" t="s">
        <v>308</v>
      </c>
      <c r="G115" s="96" t="s">
        <v>1593</v>
      </c>
      <c r="H115" s="96" t="s">
        <v>1594</v>
      </c>
      <c r="I115" s="96" t="s">
        <v>320</v>
      </c>
      <c r="J115" s="96" t="s">
        <v>952</v>
      </c>
      <c r="K115" s="96" t="s">
        <v>203</v>
      </c>
      <c r="L115" s="96" t="s">
        <v>203</v>
      </c>
      <c r="M115" s="96" t="s">
        <v>324</v>
      </c>
      <c r="N115" s="96" t="s">
        <v>339</v>
      </c>
      <c r="O115" s="96" t="s">
        <v>450</v>
      </c>
      <c r="P115" s="96" t="s">
        <v>338</v>
      </c>
      <c r="Q115" s="96" t="s">
        <v>1320</v>
      </c>
      <c r="R115" s="96" t="s">
        <v>412</v>
      </c>
      <c r="S115" s="96" t="s">
        <v>406</v>
      </c>
      <c r="T115" s="96" t="s">
        <v>1200</v>
      </c>
      <c r="U115" s="97">
        <v>1.25</v>
      </c>
      <c r="V115" s="100">
        <v>46295</v>
      </c>
      <c r="W115" s="98">
        <v>3.5999999999999997E-2</v>
      </c>
      <c r="X115" s="98">
        <v>5.0799999999999998E-2</v>
      </c>
      <c r="Y115" s="96" t="s">
        <v>411</v>
      </c>
      <c r="Z115" s="96"/>
      <c r="AA115" s="97">
        <v>11765.052411999999</v>
      </c>
      <c r="AB115" s="97">
        <v>1</v>
      </c>
      <c r="AC115" s="97">
        <v>99.16</v>
      </c>
      <c r="AD115" s="97"/>
      <c r="AE115" s="97">
        <v>11.666225000000001</v>
      </c>
      <c r="AF115" s="96"/>
      <c r="AG115" s="96"/>
      <c r="AH115" s="96"/>
      <c r="AI115" s="98">
        <v>3.8000000000000002E-5</v>
      </c>
      <c r="AJ115" s="98">
        <v>9.1E-4</v>
      </c>
      <c r="AK115" s="98">
        <v>2.22E-4</v>
      </c>
      <c r="AL115" s="106"/>
    </row>
    <row r="116" spans="1:38" ht="15" customHeight="1">
      <c r="A116" s="106"/>
      <c r="B116" s="96">
        <v>286</v>
      </c>
      <c r="C116" s="96">
        <v>1445</v>
      </c>
      <c r="D116" s="96" t="s">
        <v>1399</v>
      </c>
      <c r="E116" s="96">
        <v>520032046</v>
      </c>
      <c r="F116" s="96" t="s">
        <v>308</v>
      </c>
      <c r="G116" s="96" t="s">
        <v>1595</v>
      </c>
      <c r="H116" s="96" t="s">
        <v>1596</v>
      </c>
      <c r="I116" s="96" t="s">
        <v>320</v>
      </c>
      <c r="J116" s="96" t="s">
        <v>952</v>
      </c>
      <c r="K116" s="96" t="s">
        <v>203</v>
      </c>
      <c r="L116" s="96" t="s">
        <v>203</v>
      </c>
      <c r="M116" s="96" t="s">
        <v>324</v>
      </c>
      <c r="N116" s="96" t="s">
        <v>339</v>
      </c>
      <c r="O116" s="96" t="s">
        <v>447</v>
      </c>
      <c r="P116" s="96" t="s">
        <v>338</v>
      </c>
      <c r="Q116" s="96" t="s">
        <v>1211</v>
      </c>
      <c r="R116" s="96" t="s">
        <v>414</v>
      </c>
      <c r="S116" s="96" t="s">
        <v>406</v>
      </c>
      <c r="T116" s="96" t="s">
        <v>1200</v>
      </c>
      <c r="U116" s="97">
        <v>3.49</v>
      </c>
      <c r="V116" s="100">
        <v>47950</v>
      </c>
      <c r="W116" s="98">
        <v>2.7400000000000001E-2</v>
      </c>
      <c r="X116" s="98">
        <v>5.0200000000000002E-2</v>
      </c>
      <c r="Y116" s="96" t="s">
        <v>411</v>
      </c>
      <c r="Z116" s="96"/>
      <c r="AA116" s="97">
        <v>56894.133433000003</v>
      </c>
      <c r="AB116" s="97">
        <v>1</v>
      </c>
      <c r="AC116" s="97">
        <v>93.09</v>
      </c>
      <c r="AD116" s="97"/>
      <c r="AE116" s="97">
        <v>52.962747999999998</v>
      </c>
      <c r="AF116" s="96"/>
      <c r="AG116" s="96"/>
      <c r="AH116" s="96"/>
      <c r="AI116" s="98">
        <v>3.6999999999999998E-5</v>
      </c>
      <c r="AJ116" s="98">
        <v>4.1320000000000003E-3</v>
      </c>
      <c r="AK116" s="98">
        <v>1.008E-3</v>
      </c>
      <c r="AL116" s="106"/>
    </row>
    <row r="117" spans="1:38" ht="15" customHeight="1">
      <c r="A117" s="106"/>
      <c r="B117" s="96">
        <v>286</v>
      </c>
      <c r="C117" s="96">
        <v>1445</v>
      </c>
      <c r="D117" s="96" t="s">
        <v>1597</v>
      </c>
      <c r="E117" s="96">
        <v>520020116</v>
      </c>
      <c r="F117" s="96" t="s">
        <v>308</v>
      </c>
      <c r="G117" s="96" t="s">
        <v>1598</v>
      </c>
      <c r="H117" s="96" t="s">
        <v>1599</v>
      </c>
      <c r="I117" s="96" t="s">
        <v>320</v>
      </c>
      <c r="J117" s="96" t="s">
        <v>753</v>
      </c>
      <c r="K117" s="96" t="s">
        <v>203</v>
      </c>
      <c r="L117" s="96" t="s">
        <v>203</v>
      </c>
      <c r="M117" s="96" t="s">
        <v>324</v>
      </c>
      <c r="N117" s="96" t="s">
        <v>339</v>
      </c>
      <c r="O117" s="96" t="s">
        <v>463</v>
      </c>
      <c r="P117" s="96" t="s">
        <v>337</v>
      </c>
      <c r="Q117" s="96" t="s">
        <v>1328</v>
      </c>
      <c r="R117" s="96" t="s">
        <v>412</v>
      </c>
      <c r="S117" s="96" t="s">
        <v>406</v>
      </c>
      <c r="T117" s="96" t="s">
        <v>1200</v>
      </c>
      <c r="U117" s="97">
        <v>3.45</v>
      </c>
      <c r="V117" s="100">
        <v>47483</v>
      </c>
      <c r="W117" s="98">
        <v>2.7E-2</v>
      </c>
      <c r="X117" s="98">
        <v>3.4200000000000001E-2</v>
      </c>
      <c r="Y117" s="96" t="s">
        <v>411</v>
      </c>
      <c r="Z117" s="96"/>
      <c r="AA117" s="97">
        <v>31305.894259000001</v>
      </c>
      <c r="AB117" s="97">
        <v>1</v>
      </c>
      <c r="AC117" s="97">
        <v>102.95</v>
      </c>
      <c r="AD117" s="97"/>
      <c r="AE117" s="97">
        <v>32.229418000000003</v>
      </c>
      <c r="AF117" s="96"/>
      <c r="AG117" s="96"/>
      <c r="AH117" s="96"/>
      <c r="AI117" s="98">
        <v>7.1000000000000005E-5</v>
      </c>
      <c r="AJ117" s="98">
        <v>2.5140000000000002E-3</v>
      </c>
      <c r="AK117" s="98">
        <v>6.1300000000000005E-4</v>
      </c>
      <c r="AL117" s="106"/>
    </row>
    <row r="118" spans="1:38" ht="15" customHeight="1">
      <c r="A118" s="106"/>
      <c r="B118" s="96">
        <v>286</v>
      </c>
      <c r="C118" s="96">
        <v>1445</v>
      </c>
      <c r="D118" s="96" t="s">
        <v>1600</v>
      </c>
      <c r="E118" s="96">
        <v>520043795</v>
      </c>
      <c r="F118" s="96" t="s">
        <v>308</v>
      </c>
      <c r="G118" s="96" t="s">
        <v>1601</v>
      </c>
      <c r="H118" s="96" t="s">
        <v>1602</v>
      </c>
      <c r="I118" s="96" t="s">
        <v>320</v>
      </c>
      <c r="J118" s="96" t="s">
        <v>952</v>
      </c>
      <c r="K118" s="96" t="s">
        <v>203</v>
      </c>
      <c r="L118" s="96" t="s">
        <v>203</v>
      </c>
      <c r="M118" s="96" t="s">
        <v>324</v>
      </c>
      <c r="N118" s="96" t="s">
        <v>339</v>
      </c>
      <c r="O118" s="96" t="s">
        <v>477</v>
      </c>
      <c r="P118" s="96" t="s">
        <v>338</v>
      </c>
      <c r="Q118" s="96" t="s">
        <v>1357</v>
      </c>
      <c r="R118" s="96" t="s">
        <v>414</v>
      </c>
      <c r="S118" s="96" t="s">
        <v>406</v>
      </c>
      <c r="T118" s="96" t="s">
        <v>1200</v>
      </c>
      <c r="U118" s="97">
        <v>3.36</v>
      </c>
      <c r="V118" s="100">
        <v>47462</v>
      </c>
      <c r="W118" s="98">
        <v>2.1100000000000001E-2</v>
      </c>
      <c r="X118" s="98">
        <v>5.5E-2</v>
      </c>
      <c r="Y118" s="96" t="s">
        <v>411</v>
      </c>
      <c r="Z118" s="96"/>
      <c r="AA118" s="97">
        <v>16944.911121000001</v>
      </c>
      <c r="AB118" s="97">
        <v>1</v>
      </c>
      <c r="AC118" s="97">
        <v>89.64</v>
      </c>
      <c r="AD118" s="97"/>
      <c r="AE118" s="97">
        <v>15.189418</v>
      </c>
      <c r="AF118" s="96"/>
      <c r="AG118" s="96"/>
      <c r="AH118" s="96"/>
      <c r="AI118" s="98">
        <v>3.0000000000000001E-5</v>
      </c>
      <c r="AJ118" s="98">
        <v>1.1850000000000001E-3</v>
      </c>
      <c r="AK118" s="98">
        <v>2.8899999999999998E-4</v>
      </c>
      <c r="AL118" s="106"/>
    </row>
    <row r="119" spans="1:38" ht="15" customHeight="1">
      <c r="A119" s="106"/>
      <c r="B119" s="96">
        <v>286</v>
      </c>
      <c r="C119" s="96">
        <v>1445</v>
      </c>
      <c r="D119" s="96" t="s">
        <v>1603</v>
      </c>
      <c r="E119" s="96">
        <v>520043878</v>
      </c>
      <c r="F119" s="96" t="s">
        <v>308</v>
      </c>
      <c r="G119" s="96" t="s">
        <v>1604</v>
      </c>
      <c r="H119" s="96" t="s">
        <v>1605</v>
      </c>
      <c r="I119" s="96" t="s">
        <v>320</v>
      </c>
      <c r="J119" s="96" t="s">
        <v>952</v>
      </c>
      <c r="K119" s="96" t="s">
        <v>203</v>
      </c>
      <c r="L119" s="96" t="s">
        <v>203</v>
      </c>
      <c r="M119" s="96" t="s">
        <v>324</v>
      </c>
      <c r="N119" s="96" t="s">
        <v>339</v>
      </c>
      <c r="O119" s="96" t="s">
        <v>439</v>
      </c>
      <c r="P119" s="96" t="s">
        <v>338</v>
      </c>
      <c r="Q119" s="96" t="s">
        <v>1520</v>
      </c>
      <c r="R119" s="96" t="s">
        <v>414</v>
      </c>
      <c r="S119" s="96" t="s">
        <v>406</v>
      </c>
      <c r="T119" s="96" t="s">
        <v>1200</v>
      </c>
      <c r="U119" s="97">
        <v>1.66</v>
      </c>
      <c r="V119" s="100">
        <v>46660</v>
      </c>
      <c r="W119" s="98">
        <v>3.2899999999999999E-2</v>
      </c>
      <c r="X119" s="98">
        <v>5.4199999999999998E-2</v>
      </c>
      <c r="Y119" s="96" t="s">
        <v>411</v>
      </c>
      <c r="Z119" s="96"/>
      <c r="AA119" s="97">
        <v>25627.967003000002</v>
      </c>
      <c r="AB119" s="97">
        <v>1</v>
      </c>
      <c r="AC119" s="97">
        <v>97.48</v>
      </c>
      <c r="AD119" s="97"/>
      <c r="AE119" s="97">
        <v>24.982142</v>
      </c>
      <c r="AF119" s="96"/>
      <c r="AG119" s="96"/>
      <c r="AH119" s="96"/>
      <c r="AI119" s="98">
        <v>5.1999999999999997E-5</v>
      </c>
      <c r="AJ119" s="98">
        <v>1.949E-3</v>
      </c>
      <c r="AK119" s="98">
        <v>4.75E-4</v>
      </c>
      <c r="AL119" s="106"/>
    </row>
    <row r="120" spans="1:38" ht="15" customHeight="1">
      <c r="A120" s="106"/>
      <c r="B120" s="96">
        <v>286</v>
      </c>
      <c r="C120" s="96">
        <v>1445</v>
      </c>
      <c r="D120" s="96" t="s">
        <v>1414</v>
      </c>
      <c r="E120" s="96">
        <v>520037789</v>
      </c>
      <c r="F120" s="96" t="s">
        <v>308</v>
      </c>
      <c r="G120" s="96" t="s">
        <v>1606</v>
      </c>
      <c r="H120" s="96" t="s">
        <v>1607</v>
      </c>
      <c r="I120" s="96" t="s">
        <v>320</v>
      </c>
      <c r="J120" s="96" t="s">
        <v>753</v>
      </c>
      <c r="K120" s="96" t="s">
        <v>203</v>
      </c>
      <c r="L120" s="96" t="s">
        <v>203</v>
      </c>
      <c r="M120" s="96" t="s">
        <v>324</v>
      </c>
      <c r="N120" s="96" t="s">
        <v>339</v>
      </c>
      <c r="O120" s="96" t="s">
        <v>463</v>
      </c>
      <c r="P120" s="96" t="s">
        <v>337</v>
      </c>
      <c r="Q120" s="96" t="s">
        <v>1313</v>
      </c>
      <c r="R120" s="96" t="s">
        <v>412</v>
      </c>
      <c r="S120" s="96" t="s">
        <v>406</v>
      </c>
      <c r="T120" s="96" t="s">
        <v>1200</v>
      </c>
      <c r="U120" s="97">
        <v>2.58</v>
      </c>
      <c r="V120" s="100">
        <v>46478</v>
      </c>
      <c r="W120" s="98">
        <v>2.35E-2</v>
      </c>
      <c r="X120" s="98">
        <v>2.5700000000000001E-2</v>
      </c>
      <c r="Y120" s="96" t="s">
        <v>411</v>
      </c>
      <c r="Z120" s="96"/>
      <c r="AA120" s="97">
        <v>48864.773630999996</v>
      </c>
      <c r="AB120" s="97">
        <v>1</v>
      </c>
      <c r="AC120" s="97">
        <v>114.98</v>
      </c>
      <c r="AD120" s="97"/>
      <c r="AE120" s="97">
        <v>56.184716000000002</v>
      </c>
      <c r="AF120" s="96"/>
      <c r="AG120" s="96"/>
      <c r="AH120" s="96"/>
      <c r="AI120" s="98">
        <v>5.1999999999999997E-5</v>
      </c>
      <c r="AJ120" s="98">
        <v>4.3829999999999997E-3</v>
      </c>
      <c r="AK120" s="98">
        <v>1.0690000000000001E-3</v>
      </c>
      <c r="AL120" s="106"/>
    </row>
    <row r="121" spans="1:38" ht="15" customHeight="1">
      <c r="A121" s="106"/>
      <c r="B121" s="96">
        <v>286</v>
      </c>
      <c r="C121" s="96">
        <v>1445</v>
      </c>
      <c r="D121" s="96" t="s">
        <v>1608</v>
      </c>
      <c r="E121" s="96">
        <v>510609761</v>
      </c>
      <c r="F121" s="96" t="s">
        <v>308</v>
      </c>
      <c r="G121" s="96" t="s">
        <v>1609</v>
      </c>
      <c r="H121" s="96" t="s">
        <v>1610</v>
      </c>
      <c r="I121" s="96" t="s">
        <v>320</v>
      </c>
      <c r="J121" s="96" t="s">
        <v>952</v>
      </c>
      <c r="K121" s="96" t="s">
        <v>203</v>
      </c>
      <c r="L121" s="96" t="s">
        <v>203</v>
      </c>
      <c r="M121" s="96" t="s">
        <v>324</v>
      </c>
      <c r="N121" s="96" t="s">
        <v>339</v>
      </c>
      <c r="O121" s="96" t="s">
        <v>446</v>
      </c>
      <c r="P121" s="96" t="s">
        <v>338</v>
      </c>
      <c r="Q121" s="96" t="s">
        <v>1328</v>
      </c>
      <c r="R121" s="96" t="s">
        <v>412</v>
      </c>
      <c r="S121" s="96" t="s">
        <v>406</v>
      </c>
      <c r="T121" s="96" t="s">
        <v>1200</v>
      </c>
      <c r="U121" s="97">
        <v>0.08</v>
      </c>
      <c r="V121" s="100">
        <v>45505</v>
      </c>
      <c r="W121" s="98">
        <v>3.4200000000000001E-2</v>
      </c>
      <c r="X121" s="98">
        <v>6.3399999999999998E-2</v>
      </c>
      <c r="Y121" s="96" t="s">
        <v>411</v>
      </c>
      <c r="Z121" s="96"/>
      <c r="AA121" s="97">
        <v>5561.6610719999999</v>
      </c>
      <c r="AB121" s="97">
        <v>1</v>
      </c>
      <c r="AC121" s="97">
        <v>101.18</v>
      </c>
      <c r="AD121" s="97"/>
      <c r="AE121" s="97">
        <v>5.6272880000000001</v>
      </c>
      <c r="AF121" s="96"/>
      <c r="AG121" s="96"/>
      <c r="AH121" s="96"/>
      <c r="AI121" s="98">
        <v>2.4000000000000001E-5</v>
      </c>
      <c r="AJ121" s="98">
        <v>4.3899999999999999E-4</v>
      </c>
      <c r="AK121" s="98">
        <v>1.07E-4</v>
      </c>
      <c r="AL121" s="106"/>
    </row>
    <row r="122" spans="1:38" ht="15" customHeight="1">
      <c r="A122" s="106"/>
      <c r="B122" s="96">
        <v>286</v>
      </c>
      <c r="C122" s="96">
        <v>1445</v>
      </c>
      <c r="D122" s="96" t="s">
        <v>1611</v>
      </c>
      <c r="E122" s="96">
        <v>520001736</v>
      </c>
      <c r="F122" s="96" t="s">
        <v>308</v>
      </c>
      <c r="G122" s="96" t="s">
        <v>1612</v>
      </c>
      <c r="H122" s="96" t="s">
        <v>1613</v>
      </c>
      <c r="I122" s="96" t="s">
        <v>320</v>
      </c>
      <c r="J122" s="96" t="s">
        <v>952</v>
      </c>
      <c r="K122" s="96" t="s">
        <v>203</v>
      </c>
      <c r="L122" s="96" t="s">
        <v>203</v>
      </c>
      <c r="M122" s="96" t="s">
        <v>324</v>
      </c>
      <c r="N122" s="96" t="s">
        <v>339</v>
      </c>
      <c r="O122" s="96" t="s">
        <v>463</v>
      </c>
      <c r="P122" s="96" t="s">
        <v>338</v>
      </c>
      <c r="Q122" s="96" t="s">
        <v>1313</v>
      </c>
      <c r="R122" s="96" t="s">
        <v>412</v>
      </c>
      <c r="S122" s="96" t="s">
        <v>406</v>
      </c>
      <c r="T122" s="96" t="s">
        <v>1200</v>
      </c>
      <c r="U122" s="97">
        <v>5.38</v>
      </c>
      <c r="V122" s="100">
        <v>49125</v>
      </c>
      <c r="W122" s="98">
        <v>2.5499999999999998E-2</v>
      </c>
      <c r="X122" s="98">
        <v>6.1400000000000003E-2</v>
      </c>
      <c r="Y122" s="96" t="s">
        <v>411</v>
      </c>
      <c r="Z122" s="96"/>
      <c r="AA122" s="97">
        <v>75215.359863999998</v>
      </c>
      <c r="AB122" s="97">
        <v>1</v>
      </c>
      <c r="AC122" s="97">
        <v>82.82</v>
      </c>
      <c r="AD122" s="97"/>
      <c r="AE122" s="97">
        <v>62.293360999999997</v>
      </c>
      <c r="AF122" s="96"/>
      <c r="AG122" s="96"/>
      <c r="AH122" s="96"/>
      <c r="AI122" s="98">
        <v>4.3000000000000002E-5</v>
      </c>
      <c r="AJ122" s="98">
        <v>4.8599999999999997E-3</v>
      </c>
      <c r="AK122" s="98">
        <v>1.186E-3</v>
      </c>
      <c r="AL122" s="106"/>
    </row>
    <row r="123" spans="1:38" ht="15" customHeight="1">
      <c r="A123" s="106"/>
      <c r="B123" s="96">
        <v>286</v>
      </c>
      <c r="C123" s="96">
        <v>1445</v>
      </c>
      <c r="D123" s="96" t="s">
        <v>1358</v>
      </c>
      <c r="E123" s="96">
        <v>520022732</v>
      </c>
      <c r="F123" s="96" t="s">
        <v>308</v>
      </c>
      <c r="G123" s="96" t="s">
        <v>1614</v>
      </c>
      <c r="H123" s="96" t="s">
        <v>1615</v>
      </c>
      <c r="I123" s="96" t="s">
        <v>320</v>
      </c>
      <c r="J123" s="96" t="s">
        <v>952</v>
      </c>
      <c r="K123" s="96" t="s">
        <v>203</v>
      </c>
      <c r="L123" s="96" t="s">
        <v>203</v>
      </c>
      <c r="M123" s="96" t="s">
        <v>324</v>
      </c>
      <c r="N123" s="96" t="s">
        <v>339</v>
      </c>
      <c r="O123" s="96" t="s">
        <v>474</v>
      </c>
      <c r="P123" s="96" t="s">
        <v>337</v>
      </c>
      <c r="Q123" s="96" t="s">
        <v>1313</v>
      </c>
      <c r="R123" s="96" t="s">
        <v>412</v>
      </c>
      <c r="S123" s="96" t="s">
        <v>406</v>
      </c>
      <c r="T123" s="96" t="s">
        <v>1200</v>
      </c>
      <c r="U123" s="97">
        <v>3.47</v>
      </c>
      <c r="V123" s="100">
        <v>47715</v>
      </c>
      <c r="W123" s="98">
        <v>3.5200000000000002E-2</v>
      </c>
      <c r="X123" s="98">
        <v>5.4399999999999997E-2</v>
      </c>
      <c r="Y123" s="96" t="s">
        <v>411</v>
      </c>
      <c r="Z123" s="96"/>
      <c r="AA123" s="97">
        <v>59336.691978000003</v>
      </c>
      <c r="AB123" s="97">
        <v>1</v>
      </c>
      <c r="AC123" s="97">
        <v>95.05</v>
      </c>
      <c r="AD123" s="97"/>
      <c r="AE123" s="97">
        <v>56.399524999999997</v>
      </c>
      <c r="AF123" s="96"/>
      <c r="AG123" s="96"/>
      <c r="AH123" s="96"/>
      <c r="AI123" s="98">
        <v>7.7000000000000001E-5</v>
      </c>
      <c r="AJ123" s="98">
        <v>4.4000000000000003E-3</v>
      </c>
      <c r="AK123" s="98">
        <v>1.0740000000000001E-3</v>
      </c>
      <c r="AL123" s="106"/>
    </row>
    <row r="124" spans="1:38" ht="15" customHeight="1">
      <c r="A124" s="106"/>
      <c r="B124" s="96">
        <v>286</v>
      </c>
      <c r="C124" s="96">
        <v>1445</v>
      </c>
      <c r="D124" s="96" t="s">
        <v>1302</v>
      </c>
      <c r="E124" s="96">
        <v>513623314</v>
      </c>
      <c r="F124" s="96" t="s">
        <v>308</v>
      </c>
      <c r="G124" s="96" t="s">
        <v>1616</v>
      </c>
      <c r="H124" s="96" t="s">
        <v>1617</v>
      </c>
      <c r="I124" s="96" t="s">
        <v>320</v>
      </c>
      <c r="J124" s="96" t="s">
        <v>753</v>
      </c>
      <c r="K124" s="96" t="s">
        <v>203</v>
      </c>
      <c r="L124" s="96" t="s">
        <v>203</v>
      </c>
      <c r="M124" s="96" t="s">
        <v>324</v>
      </c>
      <c r="N124" s="96" t="s">
        <v>339</v>
      </c>
      <c r="O124" s="96" t="s">
        <v>463</v>
      </c>
      <c r="P124" s="96" t="s">
        <v>337</v>
      </c>
      <c r="Q124" s="96" t="s">
        <v>1313</v>
      </c>
      <c r="R124" s="96" t="s">
        <v>412</v>
      </c>
      <c r="S124" s="96" t="s">
        <v>406</v>
      </c>
      <c r="T124" s="96" t="s">
        <v>1200</v>
      </c>
      <c r="U124" s="97">
        <v>3.91</v>
      </c>
      <c r="V124" s="100">
        <v>47202</v>
      </c>
      <c r="W124" s="98">
        <v>7.7999999999999996E-3</v>
      </c>
      <c r="X124" s="98">
        <v>2.86E-2</v>
      </c>
      <c r="Y124" s="96" t="s">
        <v>411</v>
      </c>
      <c r="Z124" s="96"/>
      <c r="AA124" s="97">
        <v>26673.740845</v>
      </c>
      <c r="AB124" s="97">
        <v>1</v>
      </c>
      <c r="AC124" s="97">
        <v>104.07</v>
      </c>
      <c r="AD124" s="97"/>
      <c r="AE124" s="97">
        <v>27.759361999999999</v>
      </c>
      <c r="AF124" s="96"/>
      <c r="AG124" s="96"/>
      <c r="AH124" s="96"/>
      <c r="AI124" s="98">
        <v>6.7000000000000002E-5</v>
      </c>
      <c r="AJ124" s="98">
        <v>2.1649999999999998E-3</v>
      </c>
      <c r="AK124" s="98">
        <v>5.2800000000000004E-4</v>
      </c>
      <c r="AL124" s="106"/>
    </row>
    <row r="125" spans="1:38" ht="15" customHeight="1">
      <c r="A125" s="106"/>
      <c r="B125" s="96">
        <v>286</v>
      </c>
      <c r="C125" s="96">
        <v>1445</v>
      </c>
      <c r="D125" s="96" t="s">
        <v>1565</v>
      </c>
      <c r="E125" s="96">
        <v>520033234</v>
      </c>
      <c r="F125" s="96" t="s">
        <v>308</v>
      </c>
      <c r="G125" s="96" t="s">
        <v>1618</v>
      </c>
      <c r="H125" s="96" t="s">
        <v>1619</v>
      </c>
      <c r="I125" s="96" t="s">
        <v>320</v>
      </c>
      <c r="J125" s="96" t="s">
        <v>753</v>
      </c>
      <c r="K125" s="96" t="s">
        <v>203</v>
      </c>
      <c r="L125" s="96" t="s">
        <v>203</v>
      </c>
      <c r="M125" s="96" t="s">
        <v>324</v>
      </c>
      <c r="N125" s="96" t="s">
        <v>339</v>
      </c>
      <c r="O125" s="96" t="s">
        <v>464</v>
      </c>
      <c r="P125" s="96" t="s">
        <v>337</v>
      </c>
      <c r="Q125" s="96" t="s">
        <v>1520</v>
      </c>
      <c r="R125" s="96" t="s">
        <v>414</v>
      </c>
      <c r="S125" s="96" t="s">
        <v>406</v>
      </c>
      <c r="T125" s="96" t="s">
        <v>1200</v>
      </c>
      <c r="U125" s="97">
        <v>2.85</v>
      </c>
      <c r="V125" s="100">
        <v>46843</v>
      </c>
      <c r="W125" s="98">
        <v>1.3299999999999999E-2</v>
      </c>
      <c r="X125" s="98">
        <v>3.0499999999999999E-2</v>
      </c>
      <c r="Y125" s="96" t="s">
        <v>411</v>
      </c>
      <c r="Z125" s="96"/>
      <c r="AA125" s="97">
        <v>989.69280300000003</v>
      </c>
      <c r="AB125" s="97">
        <v>1</v>
      </c>
      <c r="AC125" s="97">
        <v>108.67</v>
      </c>
      <c r="AD125" s="97"/>
      <c r="AE125" s="97">
        <v>1.075499</v>
      </c>
      <c r="AF125" s="96"/>
      <c r="AG125" s="96"/>
      <c r="AH125" s="96"/>
      <c r="AI125" s="98">
        <v>1.9999999999999999E-6</v>
      </c>
      <c r="AJ125" s="98">
        <v>8.2999999999999998E-5</v>
      </c>
      <c r="AK125" s="98">
        <v>2.0000000000000002E-5</v>
      </c>
      <c r="AL125" s="106"/>
    </row>
    <row r="126" spans="1:38" ht="15" customHeight="1">
      <c r="A126" s="106"/>
      <c r="B126" s="96">
        <v>286</v>
      </c>
      <c r="C126" s="96">
        <v>1445</v>
      </c>
      <c r="D126" s="96" t="s">
        <v>1399</v>
      </c>
      <c r="E126" s="96">
        <v>520032046</v>
      </c>
      <c r="F126" s="96" t="s">
        <v>308</v>
      </c>
      <c r="G126" s="96" t="s">
        <v>1620</v>
      </c>
      <c r="H126" s="96" t="s">
        <v>1621</v>
      </c>
      <c r="I126" s="96" t="s">
        <v>320</v>
      </c>
      <c r="J126" s="96" t="s">
        <v>753</v>
      </c>
      <c r="K126" s="96" t="s">
        <v>203</v>
      </c>
      <c r="L126" s="96" t="s">
        <v>203</v>
      </c>
      <c r="M126" s="96" t="s">
        <v>324</v>
      </c>
      <c r="N126" s="96" t="s">
        <v>339</v>
      </c>
      <c r="O126" s="96" t="s">
        <v>447</v>
      </c>
      <c r="P126" s="96" t="s">
        <v>338</v>
      </c>
      <c r="Q126" s="96" t="s">
        <v>1211</v>
      </c>
      <c r="R126" s="96" t="s">
        <v>414</v>
      </c>
      <c r="S126" s="96" t="s">
        <v>406</v>
      </c>
      <c r="T126" s="96" t="s">
        <v>1200</v>
      </c>
      <c r="U126" s="97">
        <v>4.66</v>
      </c>
      <c r="V126" s="100">
        <v>48742</v>
      </c>
      <c r="W126" s="98">
        <v>2.06E-2</v>
      </c>
      <c r="X126" s="98">
        <v>2.58E-2</v>
      </c>
      <c r="Y126" s="96" t="s">
        <v>411</v>
      </c>
      <c r="Z126" s="96"/>
      <c r="AA126" s="97">
        <v>154310.168236</v>
      </c>
      <c r="AB126" s="97">
        <v>1</v>
      </c>
      <c r="AC126" s="97">
        <v>100.67</v>
      </c>
      <c r="AD126" s="97"/>
      <c r="AE126" s="97">
        <v>155.34404599999999</v>
      </c>
      <c r="AF126" s="96"/>
      <c r="AG126" s="96"/>
      <c r="AH126" s="96"/>
      <c r="AI126" s="98">
        <v>8.5000000000000006E-5</v>
      </c>
      <c r="AJ126" s="98">
        <v>1.2119E-2</v>
      </c>
      <c r="AK126" s="98">
        <v>2.9580000000000001E-3</v>
      </c>
      <c r="AL126" s="106"/>
    </row>
    <row r="127" spans="1:38" ht="15" customHeight="1">
      <c r="A127" s="106"/>
      <c r="B127" s="96">
        <v>286</v>
      </c>
      <c r="C127" s="96">
        <v>1445</v>
      </c>
      <c r="D127" s="96" t="s">
        <v>1385</v>
      </c>
      <c r="E127" s="96">
        <v>520017807</v>
      </c>
      <c r="F127" s="96" t="s">
        <v>308</v>
      </c>
      <c r="G127" s="96" t="s">
        <v>1622</v>
      </c>
      <c r="H127" s="96" t="s">
        <v>1623</v>
      </c>
      <c r="I127" s="96" t="s">
        <v>320</v>
      </c>
      <c r="J127" s="96" t="s">
        <v>753</v>
      </c>
      <c r="K127" s="96" t="s">
        <v>203</v>
      </c>
      <c r="L127" s="96" t="s">
        <v>203</v>
      </c>
      <c r="M127" s="96" t="s">
        <v>324</v>
      </c>
      <c r="N127" s="96" t="s">
        <v>339</v>
      </c>
      <c r="O127" s="96" t="s">
        <v>463</v>
      </c>
      <c r="P127" s="96" t="s">
        <v>337</v>
      </c>
      <c r="Q127" s="96" t="s">
        <v>1336</v>
      </c>
      <c r="R127" s="96" t="s">
        <v>414</v>
      </c>
      <c r="S127" s="96" t="s">
        <v>406</v>
      </c>
      <c r="T127" s="96" t="s">
        <v>1200</v>
      </c>
      <c r="U127" s="97">
        <v>2.57</v>
      </c>
      <c r="V127" s="100">
        <v>46522</v>
      </c>
      <c r="W127" s="98">
        <v>1.5800000000000002E-2</v>
      </c>
      <c r="X127" s="98">
        <v>2.6100000000000002E-2</v>
      </c>
      <c r="Y127" s="96" t="s">
        <v>411</v>
      </c>
      <c r="Z127" s="96"/>
      <c r="AA127" s="97">
        <v>46710.482055</v>
      </c>
      <c r="AB127" s="97">
        <v>1</v>
      </c>
      <c r="AC127" s="97">
        <v>111.97</v>
      </c>
      <c r="AD127" s="97"/>
      <c r="AE127" s="97">
        <v>52.301726000000002</v>
      </c>
      <c r="AF127" s="96"/>
      <c r="AG127" s="96"/>
      <c r="AH127" s="96"/>
      <c r="AI127" s="98">
        <v>1.08E-4</v>
      </c>
      <c r="AJ127" s="98">
        <v>4.0800000000000003E-3</v>
      </c>
      <c r="AK127" s="98">
        <v>9.9500000000000001E-4</v>
      </c>
      <c r="AL127" s="106"/>
    </row>
    <row r="128" spans="1:38" ht="15" customHeight="1">
      <c r="A128" s="106"/>
      <c r="B128" s="96">
        <v>286</v>
      </c>
      <c r="C128" s="96">
        <v>1445</v>
      </c>
      <c r="D128" s="96" t="s">
        <v>1197</v>
      </c>
      <c r="E128" s="96">
        <v>520018078</v>
      </c>
      <c r="F128" s="96" t="s">
        <v>308</v>
      </c>
      <c r="G128" s="96" t="s">
        <v>1624</v>
      </c>
      <c r="H128" s="96" t="s">
        <v>1625</v>
      </c>
      <c r="I128" s="96" t="s">
        <v>320</v>
      </c>
      <c r="J128" s="96" t="s">
        <v>952</v>
      </c>
      <c r="K128" s="96" t="s">
        <v>203</v>
      </c>
      <c r="L128" s="96" t="s">
        <v>203</v>
      </c>
      <c r="M128" s="96" t="s">
        <v>324</v>
      </c>
      <c r="N128" s="96" t="s">
        <v>339</v>
      </c>
      <c r="O128" s="96" t="s">
        <v>447</v>
      </c>
      <c r="P128" s="96" t="s">
        <v>338</v>
      </c>
      <c r="Q128" s="96" t="s">
        <v>1211</v>
      </c>
      <c r="R128" s="96" t="s">
        <v>414</v>
      </c>
      <c r="S128" s="96" t="s">
        <v>406</v>
      </c>
      <c r="T128" s="96" t="s">
        <v>1200</v>
      </c>
      <c r="U128" s="97">
        <v>3.36</v>
      </c>
      <c r="V128" s="100">
        <v>47608</v>
      </c>
      <c r="W128" s="98">
        <v>2.76E-2</v>
      </c>
      <c r="X128" s="98">
        <v>0.05</v>
      </c>
      <c r="Y128" s="96" t="s">
        <v>411</v>
      </c>
      <c r="Z128" s="96"/>
      <c r="AA128" s="97">
        <v>42924.614947000002</v>
      </c>
      <c r="AB128" s="97">
        <v>1</v>
      </c>
      <c r="AC128" s="97">
        <v>93.41</v>
      </c>
      <c r="AD128" s="97"/>
      <c r="AE128" s="97">
        <v>40.095882000000003</v>
      </c>
      <c r="AF128" s="96"/>
      <c r="AG128" s="96"/>
      <c r="AH128" s="96"/>
      <c r="AI128" s="98">
        <v>3.1999999999999999E-5</v>
      </c>
      <c r="AJ128" s="98">
        <v>3.1280000000000001E-3</v>
      </c>
      <c r="AK128" s="98">
        <v>7.6300000000000001E-4</v>
      </c>
      <c r="AL128" s="106"/>
    </row>
    <row r="129" spans="1:38" ht="15" customHeight="1">
      <c r="A129" s="106"/>
      <c r="B129" s="96">
        <v>286</v>
      </c>
      <c r="C129" s="96">
        <v>1445</v>
      </c>
      <c r="D129" s="96" t="s">
        <v>1340</v>
      </c>
      <c r="E129" s="96">
        <v>520036658</v>
      </c>
      <c r="F129" s="96" t="s">
        <v>308</v>
      </c>
      <c r="G129" s="96" t="s">
        <v>1626</v>
      </c>
      <c r="H129" s="96" t="s">
        <v>1627</v>
      </c>
      <c r="I129" s="96" t="s">
        <v>320</v>
      </c>
      <c r="J129" s="96" t="s">
        <v>754</v>
      </c>
      <c r="K129" s="96" t="s">
        <v>203</v>
      </c>
      <c r="L129" s="96" t="s">
        <v>203</v>
      </c>
      <c r="M129" s="96" t="s">
        <v>324</v>
      </c>
      <c r="N129" s="96" t="s">
        <v>339</v>
      </c>
      <c r="O129" s="96" t="s">
        <v>439</v>
      </c>
      <c r="P129" s="96" t="s">
        <v>338</v>
      </c>
      <c r="Q129" s="96" t="s">
        <v>1320</v>
      </c>
      <c r="R129" s="96" t="s">
        <v>412</v>
      </c>
      <c r="S129" s="96" t="s">
        <v>406</v>
      </c>
      <c r="T129" s="96" t="s">
        <v>1200</v>
      </c>
      <c r="U129" s="97">
        <v>0.73</v>
      </c>
      <c r="V129" s="100">
        <v>45930</v>
      </c>
      <c r="W129" s="98">
        <v>4.7E-2</v>
      </c>
      <c r="X129" s="98">
        <v>7.8E-2</v>
      </c>
      <c r="Y129" s="96" t="s">
        <v>411</v>
      </c>
      <c r="Z129" s="96"/>
      <c r="AA129" s="97">
        <v>35125.052941000002</v>
      </c>
      <c r="AB129" s="97">
        <v>1</v>
      </c>
      <c r="AC129" s="97">
        <v>102.06</v>
      </c>
      <c r="AD129" s="97"/>
      <c r="AE129" s="97">
        <v>35.848629000000003</v>
      </c>
      <c r="AF129" s="96"/>
      <c r="AG129" s="96"/>
      <c r="AH129" s="96"/>
      <c r="AI129" s="98">
        <v>9.5000000000000005E-5</v>
      </c>
      <c r="AJ129" s="98">
        <v>2.7959999999999999E-3</v>
      </c>
      <c r="AK129" s="98">
        <v>6.8199999999999999E-4</v>
      </c>
      <c r="AL129" s="106"/>
    </row>
    <row r="130" spans="1:38" ht="15" customHeight="1">
      <c r="A130" s="106"/>
      <c r="B130" s="96">
        <v>286</v>
      </c>
      <c r="C130" s="96">
        <v>1445</v>
      </c>
      <c r="D130" s="96" t="s">
        <v>1417</v>
      </c>
      <c r="E130" s="96">
        <v>513230029</v>
      </c>
      <c r="F130" s="96" t="s">
        <v>308</v>
      </c>
      <c r="G130" s="96" t="s">
        <v>1628</v>
      </c>
      <c r="H130" s="96" t="s">
        <v>1629</v>
      </c>
      <c r="I130" s="96" t="s">
        <v>320</v>
      </c>
      <c r="J130" s="96" t="s">
        <v>952</v>
      </c>
      <c r="K130" s="96" t="s">
        <v>203</v>
      </c>
      <c r="L130" s="96" t="s">
        <v>203</v>
      </c>
      <c r="M130" s="96" t="s">
        <v>324</v>
      </c>
      <c r="N130" s="96" t="s">
        <v>339</v>
      </c>
      <c r="O130" s="96" t="s">
        <v>444</v>
      </c>
      <c r="P130" s="96" t="s">
        <v>338</v>
      </c>
      <c r="Q130" s="96" t="s">
        <v>1357</v>
      </c>
      <c r="R130" s="96" t="s">
        <v>414</v>
      </c>
      <c r="S130" s="96" t="s">
        <v>406</v>
      </c>
      <c r="T130" s="96" t="s">
        <v>1200</v>
      </c>
      <c r="U130" s="97">
        <v>4.76</v>
      </c>
      <c r="V130" s="100">
        <v>47452</v>
      </c>
      <c r="W130" s="98">
        <v>5.1700000000000003E-2</v>
      </c>
      <c r="X130" s="98">
        <v>5.8700000000000002E-2</v>
      </c>
      <c r="Y130" s="96" t="s">
        <v>411</v>
      </c>
      <c r="Z130" s="96"/>
      <c r="AA130" s="97">
        <v>31558.646085</v>
      </c>
      <c r="AB130" s="97">
        <v>1</v>
      </c>
      <c r="AC130" s="97">
        <v>97.58</v>
      </c>
      <c r="AD130" s="97"/>
      <c r="AE130" s="97">
        <v>30.794926</v>
      </c>
      <c r="AF130" s="96"/>
      <c r="AG130" s="96"/>
      <c r="AH130" s="96"/>
      <c r="AI130" s="98">
        <v>5.1E-5</v>
      </c>
      <c r="AJ130" s="98">
        <v>2.4020000000000001E-3</v>
      </c>
      <c r="AK130" s="98">
        <v>5.8600000000000004E-4</v>
      </c>
      <c r="AL130" s="106"/>
    </row>
    <row r="131" spans="1:38" ht="15" customHeight="1">
      <c r="A131" s="106"/>
      <c r="B131" s="96">
        <v>286</v>
      </c>
      <c r="C131" s="96">
        <v>1445</v>
      </c>
      <c r="D131" s="96" t="s">
        <v>1551</v>
      </c>
      <c r="E131" s="96">
        <v>511659401</v>
      </c>
      <c r="F131" s="96" t="s">
        <v>308</v>
      </c>
      <c r="G131" s="96" t="s">
        <v>1630</v>
      </c>
      <c r="H131" s="96" t="s">
        <v>1631</v>
      </c>
      <c r="I131" s="96" t="s">
        <v>320</v>
      </c>
      <c r="J131" s="96" t="s">
        <v>753</v>
      </c>
      <c r="K131" s="96" t="s">
        <v>203</v>
      </c>
      <c r="L131" s="96" t="s">
        <v>203</v>
      </c>
      <c r="M131" s="96" t="s">
        <v>324</v>
      </c>
      <c r="N131" s="96" t="s">
        <v>339</v>
      </c>
      <c r="O131" s="96" t="s">
        <v>463</v>
      </c>
      <c r="P131" s="96" t="s">
        <v>338</v>
      </c>
      <c r="Q131" s="96" t="s">
        <v>1313</v>
      </c>
      <c r="R131" s="96" t="s">
        <v>412</v>
      </c>
      <c r="S131" s="96" t="s">
        <v>406</v>
      </c>
      <c r="T131" s="96" t="s">
        <v>1200</v>
      </c>
      <c r="U131" s="97">
        <v>2.44</v>
      </c>
      <c r="V131" s="100">
        <v>47177</v>
      </c>
      <c r="W131" s="98">
        <v>2.3400000000000001E-2</v>
      </c>
      <c r="X131" s="98">
        <v>2.75E-2</v>
      </c>
      <c r="Y131" s="96" t="s">
        <v>411</v>
      </c>
      <c r="Z131" s="96"/>
      <c r="AA131" s="97">
        <v>77661.720039000007</v>
      </c>
      <c r="AB131" s="97">
        <v>1</v>
      </c>
      <c r="AC131" s="97">
        <v>113.08</v>
      </c>
      <c r="AD131" s="97"/>
      <c r="AE131" s="97">
        <v>87.819873000000001</v>
      </c>
      <c r="AF131" s="96"/>
      <c r="AG131" s="96"/>
      <c r="AH131" s="96"/>
      <c r="AI131" s="98">
        <v>3.6000000000000001E-5</v>
      </c>
      <c r="AJ131" s="98">
        <v>6.8510000000000003E-3</v>
      </c>
      <c r="AK131" s="98">
        <v>1.6720000000000001E-3</v>
      </c>
      <c r="AL131" s="106"/>
    </row>
    <row r="132" spans="1:38" ht="15" customHeight="1">
      <c r="A132" s="106"/>
      <c r="B132" s="96">
        <v>286</v>
      </c>
      <c r="C132" s="96">
        <v>1445</v>
      </c>
      <c r="D132" s="96" t="s">
        <v>1632</v>
      </c>
      <c r="E132" s="96">
        <v>520034257</v>
      </c>
      <c r="F132" s="96" t="s">
        <v>308</v>
      </c>
      <c r="G132" s="96" t="s">
        <v>1633</v>
      </c>
      <c r="H132" s="96" t="s">
        <v>1634</v>
      </c>
      <c r="I132" s="96" t="s">
        <v>320</v>
      </c>
      <c r="J132" s="96" t="s">
        <v>753</v>
      </c>
      <c r="K132" s="96" t="s">
        <v>203</v>
      </c>
      <c r="L132" s="96" t="s">
        <v>203</v>
      </c>
      <c r="M132" s="96" t="s">
        <v>326</v>
      </c>
      <c r="N132" s="96" t="s">
        <v>339</v>
      </c>
      <c r="O132" s="96" t="s">
        <v>450</v>
      </c>
      <c r="P132" s="96" t="s">
        <v>338</v>
      </c>
      <c r="Q132" s="96" t="s">
        <v>1520</v>
      </c>
      <c r="R132" s="96" t="s">
        <v>414</v>
      </c>
      <c r="S132" s="96" t="s">
        <v>406</v>
      </c>
      <c r="T132" s="96" t="s">
        <v>1200</v>
      </c>
      <c r="U132" s="97">
        <v>3.21</v>
      </c>
      <c r="V132" s="100">
        <v>46944</v>
      </c>
      <c r="W132" s="98">
        <v>3.73E-2</v>
      </c>
      <c r="X132" s="98">
        <v>3.7100000000000001E-2</v>
      </c>
      <c r="Y132" s="96" t="s">
        <v>411</v>
      </c>
      <c r="Z132" s="96"/>
      <c r="AA132" s="97">
        <v>850.61256600000002</v>
      </c>
      <c r="AB132" s="97">
        <v>1</v>
      </c>
      <c r="AC132" s="97">
        <v>107.03</v>
      </c>
      <c r="AD132" s="97"/>
      <c r="AE132" s="97">
        <v>0.91041000000000005</v>
      </c>
      <c r="AF132" s="96"/>
      <c r="AG132" s="96"/>
      <c r="AH132" s="96"/>
      <c r="AI132" s="98">
        <v>1.9999999999999999E-6</v>
      </c>
      <c r="AJ132" s="98">
        <v>7.1000000000000005E-5</v>
      </c>
      <c r="AK132" s="98">
        <v>1.7E-5</v>
      </c>
      <c r="AL132" s="106"/>
    </row>
    <row r="133" spans="1:38" ht="15" customHeight="1">
      <c r="A133" s="106"/>
      <c r="B133" s="96">
        <v>286</v>
      </c>
      <c r="C133" s="96">
        <v>1445</v>
      </c>
      <c r="D133" s="96" t="s">
        <v>1364</v>
      </c>
      <c r="E133" s="96">
        <v>513821488</v>
      </c>
      <c r="F133" s="96" t="s">
        <v>308</v>
      </c>
      <c r="G133" s="96" t="s">
        <v>1635</v>
      </c>
      <c r="H133" s="96" t="s">
        <v>1636</v>
      </c>
      <c r="I133" s="96" t="s">
        <v>320</v>
      </c>
      <c r="J133" s="96" t="s">
        <v>753</v>
      </c>
      <c r="K133" s="96" t="s">
        <v>203</v>
      </c>
      <c r="L133" s="96" t="s">
        <v>203</v>
      </c>
      <c r="M133" s="96" t="s">
        <v>324</v>
      </c>
      <c r="N133" s="96" t="s">
        <v>339</v>
      </c>
      <c r="O133" s="96" t="s">
        <v>463</v>
      </c>
      <c r="P133" s="96" t="s">
        <v>337</v>
      </c>
      <c r="Q133" s="96" t="s">
        <v>1313</v>
      </c>
      <c r="R133" s="96" t="s">
        <v>412</v>
      </c>
      <c r="S133" s="96" t="s">
        <v>406</v>
      </c>
      <c r="T133" s="96" t="s">
        <v>1200</v>
      </c>
      <c r="U133" s="97">
        <v>6.45</v>
      </c>
      <c r="V133" s="100">
        <v>49207</v>
      </c>
      <c r="W133" s="98">
        <v>2.5000000000000001E-2</v>
      </c>
      <c r="X133" s="98">
        <v>3.5900000000000001E-2</v>
      </c>
      <c r="Y133" s="96" t="s">
        <v>411</v>
      </c>
      <c r="Z133" s="96"/>
      <c r="AA133" s="97">
        <v>67141.721881000005</v>
      </c>
      <c r="AB133" s="97">
        <v>1</v>
      </c>
      <c r="AC133" s="97">
        <v>106.83</v>
      </c>
      <c r="AD133" s="97"/>
      <c r="AE133" s="97">
        <v>71.727501000000004</v>
      </c>
      <c r="AF133" s="96"/>
      <c r="AG133" s="96"/>
      <c r="AH133" s="96"/>
      <c r="AI133" s="98">
        <v>7.4999999999999993E-5</v>
      </c>
      <c r="AJ133" s="98">
        <v>5.5960000000000003E-3</v>
      </c>
      <c r="AK133" s="98">
        <v>1.3649999999999999E-3</v>
      </c>
      <c r="AL133" s="106"/>
    </row>
    <row r="134" spans="1:38" ht="15" customHeight="1">
      <c r="A134" s="106"/>
      <c r="B134" s="96">
        <v>286</v>
      </c>
      <c r="C134" s="96">
        <v>1445</v>
      </c>
      <c r="D134" s="96" t="s">
        <v>1517</v>
      </c>
      <c r="E134" s="96">
        <v>510560188</v>
      </c>
      <c r="F134" s="96" t="s">
        <v>308</v>
      </c>
      <c r="G134" s="96" t="s">
        <v>1637</v>
      </c>
      <c r="H134" s="96" t="s">
        <v>1638</v>
      </c>
      <c r="I134" s="96" t="s">
        <v>320</v>
      </c>
      <c r="J134" s="96" t="s">
        <v>753</v>
      </c>
      <c r="K134" s="96" t="s">
        <v>203</v>
      </c>
      <c r="L134" s="96" t="s">
        <v>203</v>
      </c>
      <c r="M134" s="96" t="s">
        <v>324</v>
      </c>
      <c r="N134" s="96" t="s">
        <v>339</v>
      </c>
      <c r="O134" s="96" t="s">
        <v>464</v>
      </c>
      <c r="P134" s="96" t="s">
        <v>338</v>
      </c>
      <c r="Q134" s="96" t="s">
        <v>1520</v>
      </c>
      <c r="R134" s="96" t="s">
        <v>414</v>
      </c>
      <c r="S134" s="96" t="s">
        <v>406</v>
      </c>
      <c r="T134" s="96" t="s">
        <v>1200</v>
      </c>
      <c r="U134" s="97">
        <v>3.61</v>
      </c>
      <c r="V134" s="100">
        <v>47406</v>
      </c>
      <c r="W134" s="98">
        <v>0.04</v>
      </c>
      <c r="X134" s="98">
        <v>3.6400000000000002E-2</v>
      </c>
      <c r="Y134" s="96" t="s">
        <v>411</v>
      </c>
      <c r="Z134" s="96"/>
      <c r="AA134" s="97">
        <v>23246.280853</v>
      </c>
      <c r="AB134" s="97">
        <v>1</v>
      </c>
      <c r="AC134" s="97">
        <v>104.8</v>
      </c>
      <c r="AD134" s="97"/>
      <c r="AE134" s="97">
        <v>24.362102</v>
      </c>
      <c r="AF134" s="96"/>
      <c r="AG134" s="96"/>
      <c r="AH134" s="96"/>
      <c r="AI134" s="98">
        <v>7.2999999999999999E-5</v>
      </c>
      <c r="AJ134" s="98">
        <v>1.9E-3</v>
      </c>
      <c r="AK134" s="98">
        <v>4.6299999999999998E-4</v>
      </c>
      <c r="AL134" s="106"/>
    </row>
    <row r="135" spans="1:38" ht="15" customHeight="1">
      <c r="A135" s="106"/>
      <c r="B135" s="96">
        <v>286</v>
      </c>
      <c r="C135" s="96">
        <v>1445</v>
      </c>
      <c r="D135" s="96" t="s">
        <v>1467</v>
      </c>
      <c r="E135" s="96">
        <v>515334662</v>
      </c>
      <c r="F135" s="96" t="s">
        <v>308</v>
      </c>
      <c r="G135" s="96" t="s">
        <v>1639</v>
      </c>
      <c r="H135" s="96" t="s">
        <v>1640</v>
      </c>
      <c r="I135" s="96" t="s">
        <v>320</v>
      </c>
      <c r="J135" s="96" t="s">
        <v>754</v>
      </c>
      <c r="K135" s="96" t="s">
        <v>203</v>
      </c>
      <c r="L135" s="96" t="s">
        <v>203</v>
      </c>
      <c r="M135" s="96" t="s">
        <v>324</v>
      </c>
      <c r="N135" s="96" t="s">
        <v>339</v>
      </c>
      <c r="O135" s="96" t="s">
        <v>453</v>
      </c>
      <c r="P135" s="96" t="s">
        <v>337</v>
      </c>
      <c r="Q135" s="96" t="s">
        <v>1357</v>
      </c>
      <c r="R135" s="96" t="s">
        <v>414</v>
      </c>
      <c r="S135" s="96" t="s">
        <v>406</v>
      </c>
      <c r="T135" s="96" t="s">
        <v>1200</v>
      </c>
      <c r="U135" s="97">
        <v>3.02</v>
      </c>
      <c r="V135" s="100">
        <v>46995</v>
      </c>
      <c r="W135" s="98">
        <v>4.6899999999999997E-2</v>
      </c>
      <c r="X135" s="98">
        <v>7.7100000000000002E-2</v>
      </c>
      <c r="Y135" s="96" t="s">
        <v>411</v>
      </c>
      <c r="Z135" s="96"/>
      <c r="AA135" s="97">
        <v>66665.092155000006</v>
      </c>
      <c r="AB135" s="97">
        <v>1</v>
      </c>
      <c r="AC135" s="97">
        <v>99.55</v>
      </c>
      <c r="AD135" s="97"/>
      <c r="AE135" s="97">
        <v>66.365099000000001</v>
      </c>
      <c r="AF135" s="96"/>
      <c r="AG135" s="96"/>
      <c r="AH135" s="96"/>
      <c r="AI135" s="98">
        <v>4.6999999999999997E-5</v>
      </c>
      <c r="AJ135" s="98">
        <v>5.1770000000000002E-3</v>
      </c>
      <c r="AK135" s="98">
        <v>1.263E-3</v>
      </c>
      <c r="AL135" s="106"/>
    </row>
    <row r="136" spans="1:38" ht="15" customHeight="1">
      <c r="A136" s="106"/>
      <c r="B136" s="96">
        <v>286</v>
      </c>
      <c r="C136" s="96">
        <v>1445</v>
      </c>
      <c r="D136" s="96" t="s">
        <v>1462</v>
      </c>
      <c r="E136" s="96">
        <v>520000472</v>
      </c>
      <c r="F136" s="96" t="s">
        <v>308</v>
      </c>
      <c r="G136" s="96" t="s">
        <v>1641</v>
      </c>
      <c r="H136" s="96" t="s">
        <v>1642</v>
      </c>
      <c r="I136" s="96" t="s">
        <v>320</v>
      </c>
      <c r="J136" s="96" t="s">
        <v>753</v>
      </c>
      <c r="K136" s="96" t="s">
        <v>203</v>
      </c>
      <c r="L136" s="96" t="s">
        <v>203</v>
      </c>
      <c r="M136" s="96" t="s">
        <v>324</v>
      </c>
      <c r="N136" s="96" t="s">
        <v>339</v>
      </c>
      <c r="O136" s="96" t="s">
        <v>439</v>
      </c>
      <c r="P136" s="96" t="s">
        <v>338</v>
      </c>
      <c r="Q136" s="96" t="s">
        <v>1301</v>
      </c>
      <c r="R136" s="96" t="s">
        <v>414</v>
      </c>
      <c r="S136" s="96" t="s">
        <v>406</v>
      </c>
      <c r="T136" s="96" t="s">
        <v>1200</v>
      </c>
      <c r="U136" s="97">
        <v>3.63</v>
      </c>
      <c r="V136" s="100">
        <v>47220</v>
      </c>
      <c r="W136" s="98">
        <v>3.85E-2</v>
      </c>
      <c r="X136" s="98">
        <v>2.4899999999999999E-2</v>
      </c>
      <c r="Y136" s="96" t="s">
        <v>411</v>
      </c>
      <c r="Z136" s="96"/>
      <c r="AA136" s="97">
        <v>72470.475533999997</v>
      </c>
      <c r="AB136" s="97">
        <v>1</v>
      </c>
      <c r="AC136" s="97">
        <v>121.05</v>
      </c>
      <c r="AD136" s="97"/>
      <c r="AE136" s="97">
        <v>87.72551</v>
      </c>
      <c r="AF136" s="96"/>
      <c r="AG136" s="96"/>
      <c r="AH136" s="96"/>
      <c r="AI136" s="98">
        <v>2.8E-5</v>
      </c>
      <c r="AJ136" s="98">
        <v>6.8440000000000003E-3</v>
      </c>
      <c r="AK136" s="98">
        <v>1.67E-3</v>
      </c>
      <c r="AL136" s="106"/>
    </row>
    <row r="137" spans="1:38" ht="15" customHeight="1">
      <c r="A137" s="106"/>
      <c r="B137" s="96">
        <v>286</v>
      </c>
      <c r="C137" s="96">
        <v>1445</v>
      </c>
      <c r="D137" s="96" t="s">
        <v>1597</v>
      </c>
      <c r="E137" s="96">
        <v>520020116</v>
      </c>
      <c r="F137" s="96" t="s">
        <v>308</v>
      </c>
      <c r="G137" s="96" t="s">
        <v>1643</v>
      </c>
      <c r="H137" s="96" t="s">
        <v>1644</v>
      </c>
      <c r="I137" s="96" t="s">
        <v>320</v>
      </c>
      <c r="J137" s="96" t="s">
        <v>753</v>
      </c>
      <c r="K137" s="96" t="s">
        <v>203</v>
      </c>
      <c r="L137" s="96" t="s">
        <v>203</v>
      </c>
      <c r="M137" s="96" t="s">
        <v>326</v>
      </c>
      <c r="N137" s="96" t="s">
        <v>339</v>
      </c>
      <c r="O137" s="96" t="s">
        <v>463</v>
      </c>
      <c r="P137" s="96" t="s">
        <v>337</v>
      </c>
      <c r="Q137" s="96" t="s">
        <v>1324</v>
      </c>
      <c r="R137" s="96" t="s">
        <v>412</v>
      </c>
      <c r="S137" s="96" t="s">
        <v>406</v>
      </c>
      <c r="T137" s="96" t="s">
        <v>1200</v>
      </c>
      <c r="U137" s="97">
        <v>2.25</v>
      </c>
      <c r="V137" s="100">
        <v>47118</v>
      </c>
      <c r="W137" s="98">
        <v>3.3000000000000002E-2</v>
      </c>
      <c r="X137" s="98">
        <v>4.1300000000000003E-2</v>
      </c>
      <c r="Y137" s="96" t="s">
        <v>411</v>
      </c>
      <c r="Z137" s="96"/>
      <c r="AA137" s="97">
        <v>15616.171715</v>
      </c>
      <c r="AB137" s="97">
        <v>1</v>
      </c>
      <c r="AC137" s="97">
        <v>111.5496</v>
      </c>
      <c r="AD137" s="97"/>
      <c r="AE137" s="97">
        <v>17.419774</v>
      </c>
      <c r="AF137" s="96"/>
      <c r="AG137" s="96"/>
      <c r="AH137" s="96"/>
      <c r="AI137" s="98">
        <v>2.5999999999999998E-5</v>
      </c>
      <c r="AJ137" s="98">
        <v>1.359E-3</v>
      </c>
      <c r="AK137" s="98">
        <v>3.3100000000000002E-4</v>
      </c>
      <c r="AL137" s="106"/>
    </row>
    <row r="138" spans="1:38" ht="15" customHeight="1">
      <c r="A138" s="106"/>
      <c r="B138" s="96">
        <v>286</v>
      </c>
      <c r="C138" s="96">
        <v>1445</v>
      </c>
      <c r="D138" s="96" t="s">
        <v>1645</v>
      </c>
      <c r="E138" s="96">
        <v>1630</v>
      </c>
      <c r="F138" s="96" t="s">
        <v>80</v>
      </c>
      <c r="G138" s="96" t="s">
        <v>1646</v>
      </c>
      <c r="H138" s="96" t="s">
        <v>1647</v>
      </c>
      <c r="I138" s="96" t="s">
        <v>320</v>
      </c>
      <c r="J138" s="96" t="s">
        <v>952</v>
      </c>
      <c r="K138" s="96" t="s">
        <v>203</v>
      </c>
      <c r="L138" s="96" t="s">
        <v>203</v>
      </c>
      <c r="M138" s="96" t="s">
        <v>324</v>
      </c>
      <c r="N138" s="96" t="s">
        <v>339</v>
      </c>
      <c r="O138" s="96" t="s">
        <v>464</v>
      </c>
      <c r="P138" s="96" t="s">
        <v>338</v>
      </c>
      <c r="Q138" s="96" t="s">
        <v>1320</v>
      </c>
      <c r="R138" s="96" t="s">
        <v>412</v>
      </c>
      <c r="S138" s="96" t="s">
        <v>406</v>
      </c>
      <c r="T138" s="96" t="s">
        <v>1200</v>
      </c>
      <c r="U138" s="97">
        <v>1.39</v>
      </c>
      <c r="V138" s="100">
        <v>45991</v>
      </c>
      <c r="W138" s="98">
        <v>3.95E-2</v>
      </c>
      <c r="X138" s="98">
        <v>6.1100000000000002E-2</v>
      </c>
      <c r="Y138" s="96" t="s">
        <v>411</v>
      </c>
      <c r="Z138" s="96"/>
      <c r="AA138" s="97">
        <v>20677.970655000001</v>
      </c>
      <c r="AB138" s="97">
        <v>1</v>
      </c>
      <c r="AC138" s="97">
        <v>97.55</v>
      </c>
      <c r="AD138" s="97"/>
      <c r="AE138" s="97">
        <v>20.17136</v>
      </c>
      <c r="AF138" s="96"/>
      <c r="AG138" s="96"/>
      <c r="AH138" s="96"/>
      <c r="AI138" s="98">
        <v>6.4999999999999994E-5</v>
      </c>
      <c r="AJ138" s="98">
        <v>1.573E-3</v>
      </c>
      <c r="AK138" s="98">
        <v>3.8400000000000001E-4</v>
      </c>
      <c r="AL138" s="106"/>
    </row>
    <row r="139" spans="1:38" ht="15" customHeight="1">
      <c r="A139" s="106"/>
      <c r="B139" s="96">
        <v>286</v>
      </c>
      <c r="C139" s="96">
        <v>1445</v>
      </c>
      <c r="D139" s="96" t="s">
        <v>1648</v>
      </c>
      <c r="E139" s="96">
        <v>515846558</v>
      </c>
      <c r="F139" s="96" t="s">
        <v>308</v>
      </c>
      <c r="G139" s="96" t="s">
        <v>1649</v>
      </c>
      <c r="H139" s="96" t="s">
        <v>1650</v>
      </c>
      <c r="I139" s="96" t="s">
        <v>320</v>
      </c>
      <c r="J139" s="96" t="s">
        <v>753</v>
      </c>
      <c r="K139" s="96" t="s">
        <v>203</v>
      </c>
      <c r="L139" s="96" t="s">
        <v>203</v>
      </c>
      <c r="M139" s="96" t="s">
        <v>324</v>
      </c>
      <c r="N139" s="96" t="s">
        <v>339</v>
      </c>
      <c r="O139" s="96" t="s">
        <v>450</v>
      </c>
      <c r="P139" s="96" t="s">
        <v>337</v>
      </c>
      <c r="Q139" s="96" t="s">
        <v>1320</v>
      </c>
      <c r="R139" s="96" t="s">
        <v>412</v>
      </c>
      <c r="S139" s="96" t="s">
        <v>406</v>
      </c>
      <c r="T139" s="96" t="s">
        <v>1200</v>
      </c>
      <c r="U139" s="97">
        <v>4.38</v>
      </c>
      <c r="V139" s="100">
        <v>48852</v>
      </c>
      <c r="W139" s="98">
        <v>7.4999999999999997E-3</v>
      </c>
      <c r="X139" s="98">
        <v>3.9199999999999999E-2</v>
      </c>
      <c r="Y139" s="96" t="s">
        <v>411</v>
      </c>
      <c r="Z139" s="96"/>
      <c r="AA139" s="97">
        <v>21548.295024999999</v>
      </c>
      <c r="AB139" s="97">
        <v>1</v>
      </c>
      <c r="AC139" s="97">
        <v>96.11</v>
      </c>
      <c r="AD139" s="97"/>
      <c r="AE139" s="97">
        <v>20.710066000000001</v>
      </c>
      <c r="AF139" s="96"/>
      <c r="AG139" s="96"/>
      <c r="AH139" s="96"/>
      <c r="AI139" s="98">
        <v>2.0000000000000002E-5</v>
      </c>
      <c r="AJ139" s="98">
        <v>1.6149999999999999E-3</v>
      </c>
      <c r="AK139" s="98">
        <v>3.9399999999999998E-4</v>
      </c>
      <c r="AL139" s="106"/>
    </row>
    <row r="140" spans="1:38" ht="15" customHeight="1">
      <c r="A140" s="106"/>
      <c r="B140" s="96">
        <v>286</v>
      </c>
      <c r="C140" s="96">
        <v>1445</v>
      </c>
      <c r="D140" s="96" t="s">
        <v>1597</v>
      </c>
      <c r="E140" s="96">
        <v>520020116</v>
      </c>
      <c r="F140" s="96" t="s">
        <v>308</v>
      </c>
      <c r="G140" s="96" t="s">
        <v>1651</v>
      </c>
      <c r="H140" s="96" t="s">
        <v>1652</v>
      </c>
      <c r="I140" s="96" t="s">
        <v>320</v>
      </c>
      <c r="J140" s="96" t="s">
        <v>753</v>
      </c>
      <c r="K140" s="96" t="s">
        <v>203</v>
      </c>
      <c r="L140" s="96" t="s">
        <v>203</v>
      </c>
      <c r="M140" s="96" t="s">
        <v>324</v>
      </c>
      <c r="N140" s="96" t="s">
        <v>339</v>
      </c>
      <c r="O140" s="96" t="s">
        <v>463</v>
      </c>
      <c r="P140" s="96" t="s">
        <v>337</v>
      </c>
      <c r="Q140" s="96" t="s">
        <v>1328</v>
      </c>
      <c r="R140" s="96" t="s">
        <v>412</v>
      </c>
      <c r="S140" s="96" t="s">
        <v>406</v>
      </c>
      <c r="T140" s="96" t="s">
        <v>1200</v>
      </c>
      <c r="U140" s="97">
        <v>3.03</v>
      </c>
      <c r="V140" s="100">
        <v>46752</v>
      </c>
      <c r="W140" s="98">
        <v>1.7999999999999999E-2</v>
      </c>
      <c r="X140" s="98">
        <v>3.0200000000000001E-2</v>
      </c>
      <c r="Y140" s="96" t="s">
        <v>411</v>
      </c>
      <c r="Z140" s="96"/>
      <c r="AA140" s="97">
        <v>21218.798201000001</v>
      </c>
      <c r="AB140" s="97">
        <v>1</v>
      </c>
      <c r="AC140" s="97">
        <v>110.52</v>
      </c>
      <c r="AD140" s="97"/>
      <c r="AE140" s="97">
        <v>23.451015000000002</v>
      </c>
      <c r="AF140" s="96"/>
      <c r="AG140" s="96"/>
      <c r="AH140" s="96"/>
      <c r="AI140" s="98">
        <v>2.5999999999999998E-5</v>
      </c>
      <c r="AJ140" s="98">
        <v>1.8289999999999999E-3</v>
      </c>
      <c r="AK140" s="98">
        <v>4.46E-4</v>
      </c>
      <c r="AL140" s="106"/>
    </row>
    <row r="141" spans="1:38" ht="15" customHeight="1">
      <c r="A141" s="106"/>
      <c r="B141" s="96">
        <v>286</v>
      </c>
      <c r="C141" s="96">
        <v>1445</v>
      </c>
      <c r="D141" s="96" t="s">
        <v>1653</v>
      </c>
      <c r="E141" s="96">
        <v>1628</v>
      </c>
      <c r="F141" s="96" t="s">
        <v>80</v>
      </c>
      <c r="G141" s="96" t="s">
        <v>1654</v>
      </c>
      <c r="H141" s="96" t="s">
        <v>1655</v>
      </c>
      <c r="I141" s="96" t="s">
        <v>320</v>
      </c>
      <c r="J141" s="96" t="s">
        <v>952</v>
      </c>
      <c r="K141" s="96" t="s">
        <v>203</v>
      </c>
      <c r="L141" s="96" t="s">
        <v>203</v>
      </c>
      <c r="M141" s="96" t="s">
        <v>324</v>
      </c>
      <c r="N141" s="96" t="s">
        <v>339</v>
      </c>
      <c r="O141" s="96" t="s">
        <v>464</v>
      </c>
      <c r="P141" s="96" t="s">
        <v>338</v>
      </c>
      <c r="Q141" s="96" t="s">
        <v>1320</v>
      </c>
      <c r="R141" s="96" t="s">
        <v>412</v>
      </c>
      <c r="S141" s="96" t="s">
        <v>406</v>
      </c>
      <c r="T141" s="96" t="s">
        <v>1200</v>
      </c>
      <c r="U141" s="97">
        <v>0.42</v>
      </c>
      <c r="V141" s="100">
        <v>45627</v>
      </c>
      <c r="W141" s="98">
        <v>3.9E-2</v>
      </c>
      <c r="X141" s="98">
        <v>5.8999999999999997E-2</v>
      </c>
      <c r="Y141" s="96" t="s">
        <v>411</v>
      </c>
      <c r="Z141" s="96"/>
      <c r="AA141" s="97">
        <v>7049.3683600000004</v>
      </c>
      <c r="AB141" s="97">
        <v>1</v>
      </c>
      <c r="AC141" s="97">
        <v>99.53</v>
      </c>
      <c r="AD141" s="97"/>
      <c r="AE141" s="97">
        <v>7.0162360000000001</v>
      </c>
      <c r="AF141" s="96"/>
      <c r="AG141" s="96"/>
      <c r="AH141" s="96"/>
      <c r="AI141" s="98">
        <v>1.8E-5</v>
      </c>
      <c r="AJ141" s="98">
        <v>5.4699999999999996E-4</v>
      </c>
      <c r="AK141" s="98">
        <v>1.3300000000000001E-4</v>
      </c>
      <c r="AL141" s="106"/>
    </row>
    <row r="142" spans="1:38" ht="15" customHeight="1">
      <c r="A142" s="106"/>
      <c r="B142" s="96">
        <v>286</v>
      </c>
      <c r="C142" s="96">
        <v>1445</v>
      </c>
      <c r="D142" s="96" t="s">
        <v>1645</v>
      </c>
      <c r="E142" s="96">
        <v>1630</v>
      </c>
      <c r="F142" s="96" t="s">
        <v>80</v>
      </c>
      <c r="G142" s="96" t="s">
        <v>1656</v>
      </c>
      <c r="H142" s="96" t="s">
        <v>1657</v>
      </c>
      <c r="I142" s="96" t="s">
        <v>320</v>
      </c>
      <c r="J142" s="96" t="s">
        <v>952</v>
      </c>
      <c r="K142" s="96" t="s">
        <v>203</v>
      </c>
      <c r="L142" s="96" t="s">
        <v>203</v>
      </c>
      <c r="M142" s="96" t="s">
        <v>324</v>
      </c>
      <c r="N142" s="96" t="s">
        <v>339</v>
      </c>
      <c r="O142" s="96" t="s">
        <v>464</v>
      </c>
      <c r="P142" s="96" t="s">
        <v>338</v>
      </c>
      <c r="Q142" s="96" t="s">
        <v>1313</v>
      </c>
      <c r="R142" s="96" t="s">
        <v>412</v>
      </c>
      <c r="S142" s="96" t="s">
        <v>406</v>
      </c>
      <c r="T142" s="96" t="s">
        <v>1200</v>
      </c>
      <c r="U142" s="97">
        <v>3.2</v>
      </c>
      <c r="V142" s="100">
        <v>46798</v>
      </c>
      <c r="W142" s="98">
        <v>5.8999999999999997E-2</v>
      </c>
      <c r="X142" s="98">
        <v>6.4399999999999999E-2</v>
      </c>
      <c r="Y142" s="96" t="s">
        <v>411</v>
      </c>
      <c r="Z142" s="96"/>
      <c r="AA142" s="97">
        <v>45709.723684999997</v>
      </c>
      <c r="AB142" s="97">
        <v>1</v>
      </c>
      <c r="AC142" s="97">
        <v>100.64</v>
      </c>
      <c r="AD142" s="97"/>
      <c r="AE142" s="97">
        <v>46.002265000000001</v>
      </c>
      <c r="AF142" s="96"/>
      <c r="AG142" s="96"/>
      <c r="AH142" s="96"/>
      <c r="AI142" s="98">
        <v>6.9999999999999994E-5</v>
      </c>
      <c r="AJ142" s="98">
        <v>3.5890000000000002E-3</v>
      </c>
      <c r="AK142" s="98">
        <v>8.7600000000000004E-4</v>
      </c>
      <c r="AL142" s="106"/>
    </row>
    <row r="143" spans="1:38" ht="15" customHeight="1">
      <c r="A143" s="106"/>
      <c r="B143" s="96">
        <v>286</v>
      </c>
      <c r="C143" s="96">
        <v>1445</v>
      </c>
      <c r="D143" s="96" t="s">
        <v>1658</v>
      </c>
      <c r="E143" s="96">
        <v>520038506</v>
      </c>
      <c r="F143" s="96" t="s">
        <v>308</v>
      </c>
      <c r="G143" s="96" t="s">
        <v>1659</v>
      </c>
      <c r="H143" s="96" t="s">
        <v>1660</v>
      </c>
      <c r="I143" s="96" t="s">
        <v>320</v>
      </c>
      <c r="J143" s="96" t="s">
        <v>952</v>
      </c>
      <c r="K143" s="96" t="s">
        <v>203</v>
      </c>
      <c r="L143" s="96" t="s">
        <v>203</v>
      </c>
      <c r="M143" s="96" t="s">
        <v>324</v>
      </c>
      <c r="N143" s="96" t="s">
        <v>339</v>
      </c>
      <c r="O143" s="96" t="s">
        <v>463</v>
      </c>
      <c r="P143" s="96" t="s">
        <v>337</v>
      </c>
      <c r="Q143" s="96" t="s">
        <v>1305</v>
      </c>
      <c r="R143" s="96" t="s">
        <v>414</v>
      </c>
      <c r="S143" s="96" t="s">
        <v>406</v>
      </c>
      <c r="T143" s="96" t="s">
        <v>1200</v>
      </c>
      <c r="U143" s="97">
        <v>1.56</v>
      </c>
      <c r="V143" s="100">
        <v>46446</v>
      </c>
      <c r="W143" s="98">
        <v>6.7400000000000002E-2</v>
      </c>
      <c r="X143" s="98">
        <v>6.4100000000000004E-2</v>
      </c>
      <c r="Y143" s="96" t="s">
        <v>411</v>
      </c>
      <c r="Z143" s="96"/>
      <c r="AA143" s="97">
        <v>4476.3335749999997</v>
      </c>
      <c r="AB143" s="97">
        <v>1</v>
      </c>
      <c r="AC143" s="97">
        <v>101.32</v>
      </c>
      <c r="AD143" s="97"/>
      <c r="AE143" s="97">
        <v>4.5354210000000004</v>
      </c>
      <c r="AF143" s="96"/>
      <c r="AG143" s="96"/>
      <c r="AH143" s="96"/>
      <c r="AI143" s="98">
        <v>3.9999999999999998E-6</v>
      </c>
      <c r="AJ143" s="98">
        <v>3.5300000000000002E-4</v>
      </c>
      <c r="AK143" s="98">
        <v>8.6000000000000003E-5</v>
      </c>
      <c r="AL143" s="106"/>
    </row>
    <row r="144" spans="1:38" ht="15" customHeight="1">
      <c r="A144" s="106"/>
      <c r="B144" s="96">
        <v>286</v>
      </c>
      <c r="C144" s="96">
        <v>1445</v>
      </c>
      <c r="D144" s="96" t="s">
        <v>1421</v>
      </c>
      <c r="E144" s="96">
        <v>520026683</v>
      </c>
      <c r="F144" s="96" t="s">
        <v>308</v>
      </c>
      <c r="G144" s="96" t="s">
        <v>1661</v>
      </c>
      <c r="H144" s="96" t="s">
        <v>1662</v>
      </c>
      <c r="I144" s="96" t="s">
        <v>320</v>
      </c>
      <c r="J144" s="96" t="s">
        <v>753</v>
      </c>
      <c r="K144" s="96" t="s">
        <v>203</v>
      </c>
      <c r="L144" s="96" t="s">
        <v>203</v>
      </c>
      <c r="M144" s="96" t="s">
        <v>324</v>
      </c>
      <c r="N144" s="96" t="s">
        <v>339</v>
      </c>
      <c r="O144" s="96" t="s">
        <v>463</v>
      </c>
      <c r="P144" s="96" t="s">
        <v>338</v>
      </c>
      <c r="Q144" s="96" t="s">
        <v>1336</v>
      </c>
      <c r="R144" s="96" t="s">
        <v>414</v>
      </c>
      <c r="S144" s="96" t="s">
        <v>406</v>
      </c>
      <c r="T144" s="96" t="s">
        <v>1200</v>
      </c>
      <c r="U144" s="97">
        <v>2.4300000000000002</v>
      </c>
      <c r="V144" s="100">
        <v>46936</v>
      </c>
      <c r="W144" s="98">
        <v>3.2000000000000001E-2</v>
      </c>
      <c r="X144" s="98">
        <v>2.81E-2</v>
      </c>
      <c r="Y144" s="96" t="s">
        <v>411</v>
      </c>
      <c r="Z144" s="96"/>
      <c r="AA144" s="97">
        <v>75476.605609000006</v>
      </c>
      <c r="AB144" s="97">
        <v>1</v>
      </c>
      <c r="AC144" s="97">
        <v>114.34</v>
      </c>
      <c r="AD144" s="97">
        <v>28.504909000000001</v>
      </c>
      <c r="AE144" s="97">
        <v>114.80485899999999</v>
      </c>
      <c r="AF144" s="96"/>
      <c r="AG144" s="96"/>
      <c r="AH144" s="96"/>
      <c r="AI144" s="98">
        <v>7.1000000000000005E-5</v>
      </c>
      <c r="AJ144" s="98">
        <v>8.9560000000000004E-3</v>
      </c>
      <c r="AK144" s="98">
        <v>2.1849999999999999E-3</v>
      </c>
      <c r="AL144" s="106"/>
    </row>
    <row r="145" spans="1:38" ht="15" customHeight="1">
      <c r="A145" s="106"/>
      <c r="B145" s="96">
        <v>286</v>
      </c>
      <c r="C145" s="96">
        <v>1445</v>
      </c>
      <c r="D145" s="96" t="s">
        <v>1203</v>
      </c>
      <c r="E145" s="96">
        <v>520000118</v>
      </c>
      <c r="F145" s="96" t="s">
        <v>308</v>
      </c>
      <c r="G145" s="96" t="s">
        <v>1663</v>
      </c>
      <c r="H145" s="96" t="s">
        <v>1664</v>
      </c>
      <c r="I145" s="96" t="s">
        <v>320</v>
      </c>
      <c r="J145" s="96" t="s">
        <v>753</v>
      </c>
      <c r="K145" s="96" t="s">
        <v>203</v>
      </c>
      <c r="L145" s="96" t="s">
        <v>203</v>
      </c>
      <c r="M145" s="96" t="s">
        <v>324</v>
      </c>
      <c r="N145" s="96" t="s">
        <v>339</v>
      </c>
      <c r="O145" s="96" t="s">
        <v>447</v>
      </c>
      <c r="P145" s="96" t="s">
        <v>338</v>
      </c>
      <c r="Q145" s="96" t="s">
        <v>1211</v>
      </c>
      <c r="R145" s="96" t="s">
        <v>414</v>
      </c>
      <c r="S145" s="96" t="s">
        <v>406</v>
      </c>
      <c r="T145" s="96" t="s">
        <v>1200</v>
      </c>
      <c r="U145" s="97">
        <v>2.29</v>
      </c>
      <c r="V145" s="100">
        <v>46872</v>
      </c>
      <c r="W145" s="98">
        <v>6.0000000000000001E-3</v>
      </c>
      <c r="X145" s="98">
        <v>2.1600000000000001E-2</v>
      </c>
      <c r="Y145" s="96" t="s">
        <v>411</v>
      </c>
      <c r="Z145" s="96"/>
      <c r="AA145" s="97">
        <v>68216.223178</v>
      </c>
      <c r="AB145" s="97">
        <v>1</v>
      </c>
      <c r="AC145" s="97">
        <v>110.68</v>
      </c>
      <c r="AD145" s="97"/>
      <c r="AE145" s="97">
        <v>75.501715000000004</v>
      </c>
      <c r="AF145" s="96"/>
      <c r="AG145" s="96"/>
      <c r="AH145" s="96"/>
      <c r="AI145" s="98">
        <v>7.6000000000000004E-5</v>
      </c>
      <c r="AJ145" s="98">
        <v>5.8900000000000003E-3</v>
      </c>
      <c r="AK145" s="98">
        <v>1.4369999999999999E-3</v>
      </c>
      <c r="AL145" s="106"/>
    </row>
    <row r="146" spans="1:38" ht="15" customHeight="1">
      <c r="A146" s="106"/>
      <c r="B146" s="96">
        <v>286</v>
      </c>
      <c r="C146" s="96">
        <v>1445</v>
      </c>
      <c r="D146" s="96" t="s">
        <v>1432</v>
      </c>
      <c r="E146" s="96">
        <v>515327120</v>
      </c>
      <c r="F146" s="96" t="s">
        <v>308</v>
      </c>
      <c r="G146" s="96" t="s">
        <v>1665</v>
      </c>
      <c r="H146" s="96" t="s">
        <v>1666</v>
      </c>
      <c r="I146" s="96" t="s">
        <v>320</v>
      </c>
      <c r="J146" s="96" t="s">
        <v>753</v>
      </c>
      <c r="K146" s="96" t="s">
        <v>203</v>
      </c>
      <c r="L146" s="96" t="s">
        <v>203</v>
      </c>
      <c r="M146" s="96" t="s">
        <v>326</v>
      </c>
      <c r="N146" s="96" t="s">
        <v>339</v>
      </c>
      <c r="O146" s="96" t="s">
        <v>463</v>
      </c>
      <c r="P146" s="96" t="s">
        <v>337</v>
      </c>
      <c r="Q146" s="96" t="s">
        <v>1357</v>
      </c>
      <c r="R146" s="96" t="s">
        <v>414</v>
      </c>
      <c r="S146" s="96" t="s">
        <v>406</v>
      </c>
      <c r="T146" s="96" t="s">
        <v>1200</v>
      </c>
      <c r="U146" s="97">
        <v>4.4400000000000004</v>
      </c>
      <c r="V146" s="100">
        <v>47483</v>
      </c>
      <c r="W146" s="98">
        <v>8.5000000000000006E-3</v>
      </c>
      <c r="X146" s="98">
        <v>4.1200000000000001E-2</v>
      </c>
      <c r="Y146" s="96" t="s">
        <v>411</v>
      </c>
      <c r="Z146" s="96"/>
      <c r="AA146" s="97">
        <v>1205.034615</v>
      </c>
      <c r="AB146" s="97">
        <v>1</v>
      </c>
      <c r="AC146" s="97">
        <v>99.869399999999999</v>
      </c>
      <c r="AD146" s="97"/>
      <c r="AE146" s="97">
        <v>1.20346</v>
      </c>
      <c r="AF146" s="96"/>
      <c r="AG146" s="96"/>
      <c r="AH146" s="96"/>
      <c r="AI146" s="98">
        <v>9.9999999999999995E-7</v>
      </c>
      <c r="AJ146" s="98">
        <v>9.2999999999999997E-5</v>
      </c>
      <c r="AK146" s="98">
        <v>2.1999999999999999E-5</v>
      </c>
      <c r="AL146" s="106"/>
    </row>
    <row r="147" spans="1:38" ht="15" customHeight="1">
      <c r="A147" s="106"/>
      <c r="B147" s="96">
        <v>286</v>
      </c>
      <c r="C147" s="96">
        <v>1445</v>
      </c>
      <c r="D147" s="96" t="s">
        <v>1524</v>
      </c>
      <c r="E147" s="96">
        <v>513257873</v>
      </c>
      <c r="F147" s="96" t="s">
        <v>308</v>
      </c>
      <c r="G147" s="96" t="s">
        <v>1667</v>
      </c>
      <c r="H147" s="96" t="s">
        <v>1668</v>
      </c>
      <c r="I147" s="96" t="s">
        <v>320</v>
      </c>
      <c r="J147" s="96" t="s">
        <v>753</v>
      </c>
      <c r="K147" s="96" t="s">
        <v>203</v>
      </c>
      <c r="L147" s="96" t="s">
        <v>203</v>
      </c>
      <c r="M147" s="96" t="s">
        <v>324</v>
      </c>
      <c r="N147" s="96" t="s">
        <v>339</v>
      </c>
      <c r="O147" s="96" t="s">
        <v>463</v>
      </c>
      <c r="P147" s="96" t="s">
        <v>338</v>
      </c>
      <c r="Q147" s="96" t="s">
        <v>1332</v>
      </c>
      <c r="R147" s="96" t="s">
        <v>412</v>
      </c>
      <c r="S147" s="96" t="s">
        <v>406</v>
      </c>
      <c r="T147" s="96" t="s">
        <v>1200</v>
      </c>
      <c r="U147" s="97">
        <v>1.96</v>
      </c>
      <c r="V147" s="100">
        <v>46477</v>
      </c>
      <c r="W147" s="98">
        <v>1.4E-2</v>
      </c>
      <c r="X147" s="98">
        <v>2.63E-2</v>
      </c>
      <c r="Y147" s="96" t="s">
        <v>411</v>
      </c>
      <c r="Z147" s="96"/>
      <c r="AA147" s="97">
        <v>17874.211814999999</v>
      </c>
      <c r="AB147" s="97">
        <v>1</v>
      </c>
      <c r="AC147" s="97">
        <v>111.84</v>
      </c>
      <c r="AD147" s="97"/>
      <c r="AE147" s="97">
        <v>19.990518000000002</v>
      </c>
      <c r="AF147" s="96"/>
      <c r="AG147" s="96"/>
      <c r="AH147" s="96"/>
      <c r="AI147" s="98">
        <v>2.1999999999999999E-5</v>
      </c>
      <c r="AJ147" s="98">
        <v>1.5590000000000001E-3</v>
      </c>
      <c r="AK147" s="98">
        <v>3.8000000000000002E-4</v>
      </c>
      <c r="AL147" s="106"/>
    </row>
    <row r="148" spans="1:38" ht="15" customHeight="1">
      <c r="A148" s="106"/>
      <c r="B148" s="96">
        <v>286</v>
      </c>
      <c r="C148" s="96">
        <v>1445</v>
      </c>
      <c r="D148" s="96" t="s">
        <v>1669</v>
      </c>
      <c r="E148" s="96">
        <v>511344186</v>
      </c>
      <c r="F148" s="96" t="s">
        <v>308</v>
      </c>
      <c r="G148" s="96" t="s">
        <v>1670</v>
      </c>
      <c r="H148" s="96" t="s">
        <v>1671</v>
      </c>
      <c r="I148" s="96" t="s">
        <v>320</v>
      </c>
      <c r="J148" s="96" t="s">
        <v>952</v>
      </c>
      <c r="K148" s="96" t="s">
        <v>203</v>
      </c>
      <c r="L148" s="96" t="s">
        <v>203</v>
      </c>
      <c r="M148" s="96" t="s">
        <v>324</v>
      </c>
      <c r="N148" s="96" t="s">
        <v>339</v>
      </c>
      <c r="O148" s="96" t="s">
        <v>474</v>
      </c>
      <c r="P148" s="96" t="s">
        <v>338</v>
      </c>
      <c r="Q148" s="96" t="s">
        <v>1357</v>
      </c>
      <c r="R148" s="96" t="s">
        <v>414</v>
      </c>
      <c r="S148" s="96" t="s">
        <v>406</v>
      </c>
      <c r="T148" s="96" t="s">
        <v>1200</v>
      </c>
      <c r="U148" s="97">
        <v>3.79</v>
      </c>
      <c r="V148" s="100">
        <v>48396</v>
      </c>
      <c r="W148" s="98">
        <v>3.9399999999999998E-2</v>
      </c>
      <c r="X148" s="98">
        <v>5.6500000000000002E-2</v>
      </c>
      <c r="Y148" s="96" t="s">
        <v>411</v>
      </c>
      <c r="Z148" s="96"/>
      <c r="AA148" s="97">
        <v>2810.9394649999999</v>
      </c>
      <c r="AB148" s="97">
        <v>1</v>
      </c>
      <c r="AC148" s="97">
        <v>94.05</v>
      </c>
      <c r="AD148" s="97">
        <v>0.17568300000000001</v>
      </c>
      <c r="AE148" s="97">
        <v>2.8193709999999998</v>
      </c>
      <c r="AF148" s="96"/>
      <c r="AG148" s="96"/>
      <c r="AH148" s="96"/>
      <c r="AI148" s="98">
        <v>1.7E-5</v>
      </c>
      <c r="AJ148" s="98">
        <v>2.1900000000000001E-4</v>
      </c>
      <c r="AK148" s="98">
        <v>5.3000000000000001E-5</v>
      </c>
      <c r="AL148" s="106"/>
    </row>
    <row r="149" spans="1:38" ht="15" customHeight="1">
      <c r="A149" s="106"/>
      <c r="B149" s="96">
        <v>286</v>
      </c>
      <c r="C149" s="96">
        <v>1445</v>
      </c>
      <c r="D149" s="96" t="s">
        <v>1672</v>
      </c>
      <c r="E149" s="96">
        <v>1146</v>
      </c>
      <c r="F149" s="96" t="s">
        <v>80</v>
      </c>
      <c r="G149" s="96" t="s">
        <v>1673</v>
      </c>
      <c r="H149" s="96" t="s">
        <v>1674</v>
      </c>
      <c r="I149" s="96" t="s">
        <v>320</v>
      </c>
      <c r="J149" s="96" t="s">
        <v>754</v>
      </c>
      <c r="K149" s="96" t="s">
        <v>203</v>
      </c>
      <c r="L149" s="96" t="s">
        <v>203</v>
      </c>
      <c r="M149" s="96" t="s">
        <v>324</v>
      </c>
      <c r="N149" s="96" t="s">
        <v>339</v>
      </c>
      <c r="O149" s="96" t="s">
        <v>479</v>
      </c>
      <c r="P149" s="96" t="s">
        <v>338</v>
      </c>
      <c r="Q149" s="96" t="s">
        <v>1332</v>
      </c>
      <c r="R149" s="96" t="s">
        <v>412</v>
      </c>
      <c r="S149" s="96" t="s">
        <v>406</v>
      </c>
      <c r="T149" s="96" t="s">
        <v>1200</v>
      </c>
      <c r="U149" s="97">
        <v>0.98</v>
      </c>
      <c r="V149" s="100">
        <v>46023</v>
      </c>
      <c r="W149" s="98">
        <v>3.3700000000000001E-2</v>
      </c>
      <c r="X149" s="98">
        <v>6.4399999999999999E-2</v>
      </c>
      <c r="Y149" s="96" t="s">
        <v>411</v>
      </c>
      <c r="Z149" s="96"/>
      <c r="AA149" s="97">
        <v>11615.105487000001</v>
      </c>
      <c r="AB149" s="97">
        <v>1</v>
      </c>
      <c r="AC149" s="97">
        <v>103.29</v>
      </c>
      <c r="AD149" s="97"/>
      <c r="AE149" s="97">
        <v>11.997242</v>
      </c>
      <c r="AF149" s="96"/>
      <c r="AG149" s="96"/>
      <c r="AH149" s="96"/>
      <c r="AI149" s="98">
        <v>8.2000000000000001E-5</v>
      </c>
      <c r="AJ149" s="98">
        <v>9.3599999999999998E-4</v>
      </c>
      <c r="AK149" s="98">
        <v>2.2800000000000001E-4</v>
      </c>
      <c r="AL149" s="106"/>
    </row>
    <row r="150" spans="1:38" ht="15" customHeight="1">
      <c r="A150" s="106"/>
      <c r="B150" s="96">
        <v>286</v>
      </c>
      <c r="C150" s="96">
        <v>1445</v>
      </c>
      <c r="D150" s="96" t="s">
        <v>1675</v>
      </c>
      <c r="E150" s="96">
        <v>520043720</v>
      </c>
      <c r="F150" s="96" t="s">
        <v>308</v>
      </c>
      <c r="G150" s="96" t="s">
        <v>1676</v>
      </c>
      <c r="H150" s="96" t="s">
        <v>1677</v>
      </c>
      <c r="I150" s="96" t="s">
        <v>320</v>
      </c>
      <c r="J150" s="96" t="s">
        <v>952</v>
      </c>
      <c r="K150" s="96" t="s">
        <v>203</v>
      </c>
      <c r="L150" s="96" t="s">
        <v>203</v>
      </c>
      <c r="M150" s="96" t="s">
        <v>324</v>
      </c>
      <c r="N150" s="96" t="s">
        <v>339</v>
      </c>
      <c r="O150" s="96" t="s">
        <v>464</v>
      </c>
      <c r="P150" s="96" t="s">
        <v>337</v>
      </c>
      <c r="Q150" s="96" t="s">
        <v>1336</v>
      </c>
      <c r="R150" s="96" t="s">
        <v>414</v>
      </c>
      <c r="S150" s="96" t="s">
        <v>406</v>
      </c>
      <c r="T150" s="96" t="s">
        <v>1200</v>
      </c>
      <c r="U150" s="97">
        <v>5.9</v>
      </c>
      <c r="V150" s="100">
        <v>48122</v>
      </c>
      <c r="W150" s="98">
        <v>2.8000000000000001E-2</v>
      </c>
      <c r="X150" s="98">
        <v>6.3E-2</v>
      </c>
      <c r="Y150" s="96" t="s">
        <v>411</v>
      </c>
      <c r="Z150" s="96"/>
      <c r="AA150" s="97">
        <v>28530.045694</v>
      </c>
      <c r="AB150" s="97">
        <v>1</v>
      </c>
      <c r="AC150" s="97">
        <v>82.49</v>
      </c>
      <c r="AD150" s="97"/>
      <c r="AE150" s="97">
        <v>23.534434000000001</v>
      </c>
      <c r="AF150" s="96"/>
      <c r="AG150" s="96"/>
      <c r="AH150" s="96"/>
      <c r="AI150" s="98">
        <v>5.1E-5</v>
      </c>
      <c r="AJ150" s="98">
        <v>1.836E-3</v>
      </c>
      <c r="AK150" s="98">
        <v>4.4799999999999999E-4</v>
      </c>
      <c r="AL150" s="106"/>
    </row>
    <row r="151" spans="1:38" ht="15" customHeight="1">
      <c r="A151" s="106"/>
      <c r="B151" s="96">
        <v>286</v>
      </c>
      <c r="C151" s="96">
        <v>1445</v>
      </c>
      <c r="D151" s="96" t="s">
        <v>1203</v>
      </c>
      <c r="E151" s="96">
        <v>520000118</v>
      </c>
      <c r="F151" s="96" t="s">
        <v>308</v>
      </c>
      <c r="G151" s="96" t="s">
        <v>1678</v>
      </c>
      <c r="H151" s="96" t="s">
        <v>1679</v>
      </c>
      <c r="I151" s="96" t="s">
        <v>320</v>
      </c>
      <c r="J151" s="96" t="s">
        <v>753</v>
      </c>
      <c r="K151" s="96" t="s">
        <v>203</v>
      </c>
      <c r="L151" s="96" t="s">
        <v>203</v>
      </c>
      <c r="M151" s="96" t="s">
        <v>324</v>
      </c>
      <c r="N151" s="96" t="s">
        <v>339</v>
      </c>
      <c r="O151" s="96" t="s">
        <v>447</v>
      </c>
      <c r="P151" s="96" t="s">
        <v>338</v>
      </c>
      <c r="Q151" s="96" t="s">
        <v>1332</v>
      </c>
      <c r="R151" s="96" t="s">
        <v>412</v>
      </c>
      <c r="S151" s="96" t="s">
        <v>406</v>
      </c>
      <c r="T151" s="96" t="s">
        <v>1200</v>
      </c>
      <c r="U151" s="97">
        <v>3.65</v>
      </c>
      <c r="V151" s="100">
        <v>46825</v>
      </c>
      <c r="W151" s="98">
        <v>8.3999999999999995E-3</v>
      </c>
      <c r="X151" s="98">
        <v>3.3399999999999999E-2</v>
      </c>
      <c r="Y151" s="96" t="s">
        <v>410</v>
      </c>
      <c r="Z151" s="96"/>
      <c r="AA151" s="97">
        <v>3536.4677569999999</v>
      </c>
      <c r="AB151" s="97">
        <v>1</v>
      </c>
      <c r="AC151" s="97">
        <v>101.16</v>
      </c>
      <c r="AD151" s="97"/>
      <c r="AE151" s="97">
        <v>3.5774900000000001</v>
      </c>
      <c r="AF151" s="96"/>
      <c r="AG151" s="96"/>
      <c r="AH151" s="96"/>
      <c r="AI151" s="98">
        <v>7.9999999999999996E-6</v>
      </c>
      <c r="AJ151" s="98">
        <v>2.7900000000000001E-4</v>
      </c>
      <c r="AK151" s="98">
        <v>6.7999999999999999E-5</v>
      </c>
      <c r="AL151" s="106"/>
    </row>
    <row r="152" spans="1:38" ht="15" customHeight="1">
      <c r="A152" s="106"/>
      <c r="B152" s="96">
        <v>286</v>
      </c>
      <c r="C152" s="96">
        <v>1445</v>
      </c>
      <c r="D152" s="96" t="s">
        <v>1333</v>
      </c>
      <c r="E152" s="96">
        <v>520024126</v>
      </c>
      <c r="F152" s="96" t="s">
        <v>308</v>
      </c>
      <c r="G152" s="96" t="s">
        <v>1680</v>
      </c>
      <c r="H152" s="96" t="s">
        <v>1681</v>
      </c>
      <c r="I152" s="96" t="s">
        <v>320</v>
      </c>
      <c r="J152" s="96" t="s">
        <v>753</v>
      </c>
      <c r="K152" s="96" t="s">
        <v>203</v>
      </c>
      <c r="L152" s="96" t="s">
        <v>203</v>
      </c>
      <c r="M152" s="96" t="s">
        <v>324</v>
      </c>
      <c r="N152" s="96" t="s">
        <v>339</v>
      </c>
      <c r="O152" s="96" t="s">
        <v>463</v>
      </c>
      <c r="P152" s="96" t="s">
        <v>337</v>
      </c>
      <c r="Q152" s="96" t="s">
        <v>1336</v>
      </c>
      <c r="R152" s="96" t="s">
        <v>414</v>
      </c>
      <c r="S152" s="96" t="s">
        <v>406</v>
      </c>
      <c r="T152" s="96" t="s">
        <v>1200</v>
      </c>
      <c r="U152" s="97">
        <v>6.06</v>
      </c>
      <c r="V152" s="100">
        <v>48852</v>
      </c>
      <c r="W152" s="98">
        <v>3.5000000000000001E-3</v>
      </c>
      <c r="X152" s="98">
        <v>3.6600000000000001E-2</v>
      </c>
      <c r="Y152" s="96" t="s">
        <v>411</v>
      </c>
      <c r="Z152" s="96"/>
      <c r="AA152" s="97">
        <v>128966.92717700001</v>
      </c>
      <c r="AB152" s="97">
        <v>1</v>
      </c>
      <c r="AC152" s="97">
        <v>90.9</v>
      </c>
      <c r="AD152" s="97"/>
      <c r="AE152" s="97">
        <v>117.230936</v>
      </c>
      <c r="AF152" s="96"/>
      <c r="AG152" s="96"/>
      <c r="AH152" s="96"/>
      <c r="AI152" s="98">
        <v>3.6999999999999998E-5</v>
      </c>
      <c r="AJ152" s="98">
        <v>9.1459999999999996E-3</v>
      </c>
      <c r="AK152" s="98">
        <v>2.232E-3</v>
      </c>
      <c r="AL152" s="106"/>
    </row>
    <row r="153" spans="1:38" ht="15" customHeight="1">
      <c r="A153" s="106"/>
      <c r="B153" s="96">
        <v>286</v>
      </c>
      <c r="C153" s="96">
        <v>1445</v>
      </c>
      <c r="D153" s="96" t="s">
        <v>1314</v>
      </c>
      <c r="E153" s="96">
        <v>513754069</v>
      </c>
      <c r="F153" s="96" t="s">
        <v>308</v>
      </c>
      <c r="G153" s="96" t="s">
        <v>1682</v>
      </c>
      <c r="H153" s="96" t="s">
        <v>1683</v>
      </c>
      <c r="I153" s="96" t="s">
        <v>320</v>
      </c>
      <c r="J153" s="96" t="s">
        <v>753</v>
      </c>
      <c r="K153" s="96" t="s">
        <v>203</v>
      </c>
      <c r="L153" s="96" t="s">
        <v>203</v>
      </c>
      <c r="M153" s="96" t="s">
        <v>324</v>
      </c>
      <c r="N153" s="96" t="s">
        <v>339</v>
      </c>
      <c r="O153" s="96" t="s">
        <v>444</v>
      </c>
      <c r="P153" s="96" t="s">
        <v>338</v>
      </c>
      <c r="Q153" s="96" t="s">
        <v>1332</v>
      </c>
      <c r="R153" s="96" t="s">
        <v>412</v>
      </c>
      <c r="S153" s="96" t="s">
        <v>406</v>
      </c>
      <c r="T153" s="96" t="s">
        <v>1200</v>
      </c>
      <c r="U153" s="97">
        <v>1.06</v>
      </c>
      <c r="V153" s="100">
        <v>45869</v>
      </c>
      <c r="W153" s="98">
        <v>2.4799999999999999E-2</v>
      </c>
      <c r="X153" s="98">
        <v>2.7799999999999998E-2</v>
      </c>
      <c r="Y153" s="96" t="s">
        <v>411</v>
      </c>
      <c r="Z153" s="96"/>
      <c r="AA153" s="97">
        <v>2905.3832229999998</v>
      </c>
      <c r="AB153" s="97">
        <v>1</v>
      </c>
      <c r="AC153" s="97">
        <v>114.58</v>
      </c>
      <c r="AD153" s="97"/>
      <c r="AE153" s="97">
        <v>3.3289879999999998</v>
      </c>
      <c r="AF153" s="96"/>
      <c r="AG153" s="96"/>
      <c r="AH153" s="96"/>
      <c r="AI153" s="98">
        <v>6.0000000000000002E-6</v>
      </c>
      <c r="AJ153" s="98">
        <v>2.5900000000000001E-4</v>
      </c>
      <c r="AK153" s="98">
        <v>6.3E-5</v>
      </c>
      <c r="AL153" s="106"/>
    </row>
    <row r="154" spans="1:38" ht="15" customHeight="1">
      <c r="A154" s="106"/>
      <c r="B154" s="96">
        <v>286</v>
      </c>
      <c r="C154" s="96">
        <v>1445</v>
      </c>
      <c r="D154" s="96" t="s">
        <v>1340</v>
      </c>
      <c r="E154" s="96">
        <v>520036658</v>
      </c>
      <c r="F154" s="96" t="s">
        <v>308</v>
      </c>
      <c r="G154" s="96" t="s">
        <v>1684</v>
      </c>
      <c r="H154" s="96" t="s">
        <v>1685</v>
      </c>
      <c r="I154" s="96" t="s">
        <v>320</v>
      </c>
      <c r="J154" s="96" t="s">
        <v>952</v>
      </c>
      <c r="K154" s="96" t="s">
        <v>203</v>
      </c>
      <c r="L154" s="96" t="s">
        <v>203</v>
      </c>
      <c r="M154" s="96" t="s">
        <v>324</v>
      </c>
      <c r="N154" s="96" t="s">
        <v>339</v>
      </c>
      <c r="O154" s="96" t="s">
        <v>439</v>
      </c>
      <c r="P154" s="96" t="s">
        <v>338</v>
      </c>
      <c r="Q154" s="96" t="s">
        <v>1320</v>
      </c>
      <c r="R154" s="96" t="s">
        <v>412</v>
      </c>
      <c r="S154" s="96" t="s">
        <v>406</v>
      </c>
      <c r="T154" s="96" t="s">
        <v>1200</v>
      </c>
      <c r="U154" s="97">
        <v>4.71</v>
      </c>
      <c r="V154" s="100">
        <v>48482</v>
      </c>
      <c r="W154" s="98">
        <v>5.7500000000000002E-2</v>
      </c>
      <c r="X154" s="98">
        <v>6.7699999999999996E-2</v>
      </c>
      <c r="Y154" s="96" t="s">
        <v>411</v>
      </c>
      <c r="Z154" s="96"/>
      <c r="AA154" s="97">
        <v>38118.139745</v>
      </c>
      <c r="AB154" s="97">
        <v>1</v>
      </c>
      <c r="AC154" s="97">
        <v>97.35</v>
      </c>
      <c r="AD154" s="97"/>
      <c r="AE154" s="97">
        <v>37.108009000000003</v>
      </c>
      <c r="AF154" s="96"/>
      <c r="AG154" s="96"/>
      <c r="AH154" s="96"/>
      <c r="AI154" s="98">
        <v>7.2000000000000002E-5</v>
      </c>
      <c r="AJ154" s="98">
        <v>2.895E-3</v>
      </c>
      <c r="AK154" s="98">
        <v>7.0600000000000003E-4</v>
      </c>
      <c r="AL154" s="106"/>
    </row>
    <row r="155" spans="1:38" ht="15" customHeight="1">
      <c r="A155" s="106"/>
      <c r="B155" s="96">
        <v>286</v>
      </c>
      <c r="C155" s="96">
        <v>1445</v>
      </c>
      <c r="D155" s="96" t="s">
        <v>1511</v>
      </c>
      <c r="E155" s="96">
        <v>513765859</v>
      </c>
      <c r="F155" s="96" t="s">
        <v>308</v>
      </c>
      <c r="G155" s="96" t="s">
        <v>1686</v>
      </c>
      <c r="H155" s="96" t="s">
        <v>1687</v>
      </c>
      <c r="I155" s="96" t="s">
        <v>320</v>
      </c>
      <c r="J155" s="96" t="s">
        <v>753</v>
      </c>
      <c r="K155" s="96" t="s">
        <v>203</v>
      </c>
      <c r="L155" s="96" t="s">
        <v>203</v>
      </c>
      <c r="M155" s="96" t="s">
        <v>324</v>
      </c>
      <c r="N155" s="96" t="s">
        <v>339</v>
      </c>
      <c r="O155" s="96" t="s">
        <v>463</v>
      </c>
      <c r="P155" s="96" t="s">
        <v>337</v>
      </c>
      <c r="Q155" s="96" t="s">
        <v>1313</v>
      </c>
      <c r="R155" s="96" t="s">
        <v>412</v>
      </c>
      <c r="S155" s="96" t="s">
        <v>406</v>
      </c>
      <c r="T155" s="96" t="s">
        <v>1200</v>
      </c>
      <c r="U155" s="97">
        <v>2.4900000000000002</v>
      </c>
      <c r="V155" s="100">
        <v>47057</v>
      </c>
      <c r="W155" s="98">
        <v>1.4200000000000001E-2</v>
      </c>
      <c r="X155" s="98">
        <v>2.5100000000000001E-2</v>
      </c>
      <c r="Y155" s="96" t="s">
        <v>411</v>
      </c>
      <c r="Z155" s="96"/>
      <c r="AA155" s="97">
        <v>45534.434838000001</v>
      </c>
      <c r="AB155" s="97">
        <v>1</v>
      </c>
      <c r="AC155" s="97">
        <v>110.8</v>
      </c>
      <c r="AD155" s="97"/>
      <c r="AE155" s="97">
        <v>50.452153000000003</v>
      </c>
      <c r="AF155" s="96"/>
      <c r="AG155" s="96"/>
      <c r="AH155" s="96"/>
      <c r="AI155" s="98">
        <v>3.8000000000000002E-5</v>
      </c>
      <c r="AJ155" s="98">
        <v>3.9360000000000003E-3</v>
      </c>
      <c r="AK155" s="98">
        <v>9.6000000000000002E-4</v>
      </c>
      <c r="AL155" s="106"/>
    </row>
    <row r="156" spans="1:38" ht="15" customHeight="1">
      <c r="A156" s="106"/>
      <c r="B156" s="96">
        <v>286</v>
      </c>
      <c r="C156" s="96">
        <v>1445</v>
      </c>
      <c r="D156" s="96" t="s">
        <v>1565</v>
      </c>
      <c r="E156" s="96">
        <v>520033234</v>
      </c>
      <c r="F156" s="96" t="s">
        <v>308</v>
      </c>
      <c r="G156" s="96" t="s">
        <v>1688</v>
      </c>
      <c r="H156" s="96" t="s">
        <v>1689</v>
      </c>
      <c r="I156" s="96" t="s">
        <v>320</v>
      </c>
      <c r="J156" s="96" t="s">
        <v>753</v>
      </c>
      <c r="K156" s="96" t="s">
        <v>203</v>
      </c>
      <c r="L156" s="96" t="s">
        <v>203</v>
      </c>
      <c r="M156" s="96" t="s">
        <v>324</v>
      </c>
      <c r="N156" s="96" t="s">
        <v>339</v>
      </c>
      <c r="O156" s="96" t="s">
        <v>464</v>
      </c>
      <c r="P156" s="96" t="s">
        <v>337</v>
      </c>
      <c r="Q156" s="96" t="s">
        <v>1309</v>
      </c>
      <c r="R156" s="96" t="s">
        <v>414</v>
      </c>
      <c r="S156" s="96" t="s">
        <v>406</v>
      </c>
      <c r="T156" s="96" t="s">
        <v>1200</v>
      </c>
      <c r="U156" s="97">
        <v>2.46</v>
      </c>
      <c r="V156" s="100">
        <v>46934</v>
      </c>
      <c r="W156" s="98">
        <v>3.2800000000000003E-2</v>
      </c>
      <c r="X156" s="98">
        <v>5.8000000000000003E-2</v>
      </c>
      <c r="Y156" s="96" t="s">
        <v>411</v>
      </c>
      <c r="Z156" s="96"/>
      <c r="AA156" s="97">
        <v>56076.719506000001</v>
      </c>
      <c r="AB156" s="97">
        <v>1</v>
      </c>
      <c r="AC156" s="97">
        <v>108.4</v>
      </c>
      <c r="AD156" s="97"/>
      <c r="AE156" s="97">
        <v>60.787163</v>
      </c>
      <c r="AF156" s="96"/>
      <c r="AG156" s="96"/>
      <c r="AH156" s="96"/>
      <c r="AI156" s="98">
        <v>4.0000000000000003E-5</v>
      </c>
      <c r="AJ156" s="98">
        <v>4.7419999999999997E-3</v>
      </c>
      <c r="AK156" s="98">
        <v>1.157E-3</v>
      </c>
      <c r="AL156" s="106"/>
    </row>
    <row r="157" spans="1:38" ht="15" customHeight="1">
      <c r="A157" s="106"/>
      <c r="B157" s="96">
        <v>286</v>
      </c>
      <c r="C157" s="96">
        <v>1445</v>
      </c>
      <c r="D157" s="96" t="s">
        <v>1511</v>
      </c>
      <c r="E157" s="96">
        <v>513765859</v>
      </c>
      <c r="F157" s="96" t="s">
        <v>308</v>
      </c>
      <c r="G157" s="96" t="s">
        <v>1690</v>
      </c>
      <c r="H157" s="96" t="s">
        <v>1687</v>
      </c>
      <c r="I157" s="96" t="s">
        <v>320</v>
      </c>
      <c r="J157" s="96" t="s">
        <v>753</v>
      </c>
      <c r="K157" s="96" t="s">
        <v>203</v>
      </c>
      <c r="L157" s="96" t="s">
        <v>203</v>
      </c>
      <c r="M157" s="96" t="s">
        <v>326</v>
      </c>
      <c r="N157" s="96" t="s">
        <v>339</v>
      </c>
      <c r="O157" s="96" t="s">
        <v>463</v>
      </c>
      <c r="P157" s="96" t="s">
        <v>337</v>
      </c>
      <c r="Q157" s="96" t="s">
        <v>1313</v>
      </c>
      <c r="R157" s="96" t="s">
        <v>412</v>
      </c>
      <c r="S157" s="96" t="s">
        <v>406</v>
      </c>
      <c r="T157" s="96" t="s">
        <v>1200</v>
      </c>
      <c r="U157" s="97">
        <v>2.4900000000000002</v>
      </c>
      <c r="V157" s="100">
        <v>47057</v>
      </c>
      <c r="W157" s="98">
        <v>1.4200000000000001E-2</v>
      </c>
      <c r="X157" s="98">
        <v>2.9899999999999999E-2</v>
      </c>
      <c r="Y157" s="96" t="s">
        <v>411</v>
      </c>
      <c r="Z157" s="96"/>
      <c r="AA157" s="97">
        <v>2469.1628930000002</v>
      </c>
      <c r="AB157" s="97">
        <v>1</v>
      </c>
      <c r="AC157" s="97">
        <v>109.5226</v>
      </c>
      <c r="AD157" s="97"/>
      <c r="AE157" s="97">
        <v>2.704291</v>
      </c>
      <c r="AF157" s="96"/>
      <c r="AG157" s="96"/>
      <c r="AH157" s="96"/>
      <c r="AI157" s="98">
        <v>1.9999999999999999E-6</v>
      </c>
      <c r="AJ157" s="98">
        <v>2.1000000000000001E-4</v>
      </c>
      <c r="AK157" s="98">
        <v>5.1E-5</v>
      </c>
      <c r="AL157" s="106"/>
    </row>
    <row r="158" spans="1:38" ht="15" customHeight="1">
      <c r="A158" s="106"/>
      <c r="B158" s="96">
        <v>286</v>
      </c>
      <c r="C158" s="96">
        <v>1445</v>
      </c>
      <c r="D158" s="96" t="s">
        <v>1691</v>
      </c>
      <c r="E158" s="96">
        <v>510706153</v>
      </c>
      <c r="F158" s="96" t="s">
        <v>308</v>
      </c>
      <c r="G158" s="96" t="s">
        <v>1692</v>
      </c>
      <c r="H158" s="96" t="s">
        <v>1693</v>
      </c>
      <c r="I158" s="96" t="s">
        <v>320</v>
      </c>
      <c r="J158" s="96" t="s">
        <v>952</v>
      </c>
      <c r="K158" s="96" t="s">
        <v>203</v>
      </c>
      <c r="L158" s="96" t="s">
        <v>203</v>
      </c>
      <c r="M158" s="96" t="s">
        <v>324</v>
      </c>
      <c r="N158" s="96" t="s">
        <v>339</v>
      </c>
      <c r="O158" s="96" t="s">
        <v>477</v>
      </c>
      <c r="P158" s="96" t="s">
        <v>338</v>
      </c>
      <c r="Q158" s="96" t="s">
        <v>1336</v>
      </c>
      <c r="R158" s="96" t="s">
        <v>414</v>
      </c>
      <c r="S158" s="96" t="s">
        <v>406</v>
      </c>
      <c r="T158" s="96" t="s">
        <v>1200</v>
      </c>
      <c r="U158" s="97">
        <v>2.75</v>
      </c>
      <c r="V158" s="100">
        <v>46843</v>
      </c>
      <c r="W158" s="98">
        <v>4.4499999999999998E-2</v>
      </c>
      <c r="X158" s="98">
        <v>5.1499999999999997E-2</v>
      </c>
      <c r="Y158" s="96" t="s">
        <v>411</v>
      </c>
      <c r="Z158" s="96"/>
      <c r="AA158" s="97">
        <v>34210.632899999997</v>
      </c>
      <c r="AB158" s="97">
        <v>1</v>
      </c>
      <c r="AC158" s="97">
        <v>99.43</v>
      </c>
      <c r="AD158" s="97"/>
      <c r="AE158" s="97">
        <v>34.015631999999997</v>
      </c>
      <c r="AF158" s="96"/>
      <c r="AG158" s="96"/>
      <c r="AH158" s="96"/>
      <c r="AI158" s="98">
        <v>1.21E-4</v>
      </c>
      <c r="AJ158" s="98">
        <v>2.653E-3</v>
      </c>
      <c r="AK158" s="98">
        <v>6.4700000000000001E-4</v>
      </c>
      <c r="AL158" s="106"/>
    </row>
    <row r="159" spans="1:38" ht="15" customHeight="1">
      <c r="A159" s="106"/>
      <c r="B159" s="96">
        <v>286</v>
      </c>
      <c r="C159" s="96">
        <v>1445</v>
      </c>
      <c r="D159" s="96" t="s">
        <v>1565</v>
      </c>
      <c r="E159" s="96">
        <v>520033234</v>
      </c>
      <c r="F159" s="96" t="s">
        <v>308</v>
      </c>
      <c r="G159" s="96" t="s">
        <v>1694</v>
      </c>
      <c r="H159" s="96" t="s">
        <v>1695</v>
      </c>
      <c r="I159" s="96" t="s">
        <v>320</v>
      </c>
      <c r="J159" s="96" t="s">
        <v>952</v>
      </c>
      <c r="K159" s="96" t="s">
        <v>203</v>
      </c>
      <c r="L159" s="96" t="s">
        <v>203</v>
      </c>
      <c r="M159" s="96" t="s">
        <v>324</v>
      </c>
      <c r="N159" s="96" t="s">
        <v>339</v>
      </c>
      <c r="O159" s="96" t="s">
        <v>464</v>
      </c>
      <c r="P159" s="96" t="s">
        <v>337</v>
      </c>
      <c r="Q159" s="96" t="s">
        <v>1309</v>
      </c>
      <c r="R159" s="96" t="s">
        <v>414</v>
      </c>
      <c r="S159" s="96" t="s">
        <v>406</v>
      </c>
      <c r="T159" s="96" t="s">
        <v>1200</v>
      </c>
      <c r="U159" s="97">
        <v>4.0999999999999996</v>
      </c>
      <c r="V159" s="100">
        <v>47299</v>
      </c>
      <c r="W159" s="98">
        <v>5.5E-2</v>
      </c>
      <c r="X159" s="98">
        <v>8.0199999999999994E-2</v>
      </c>
      <c r="Y159" s="96" t="s">
        <v>411</v>
      </c>
      <c r="Z159" s="96"/>
      <c r="AA159" s="97">
        <v>27823.279066999999</v>
      </c>
      <c r="AB159" s="97">
        <v>1</v>
      </c>
      <c r="AC159" s="97">
        <v>90.7</v>
      </c>
      <c r="AD159" s="97"/>
      <c r="AE159" s="97">
        <v>25.235714000000002</v>
      </c>
      <c r="AF159" s="96"/>
      <c r="AG159" s="96"/>
      <c r="AH159" s="96"/>
      <c r="AI159" s="98">
        <v>4.8000000000000001E-5</v>
      </c>
      <c r="AJ159" s="98">
        <v>1.9680000000000001E-3</v>
      </c>
      <c r="AK159" s="98">
        <v>4.8000000000000001E-4</v>
      </c>
      <c r="AL159" s="106"/>
    </row>
    <row r="160" spans="1:38" ht="15" customHeight="1">
      <c r="A160" s="106"/>
      <c r="B160" s="96">
        <v>286</v>
      </c>
      <c r="C160" s="96">
        <v>1445</v>
      </c>
      <c r="D160" s="96" t="s">
        <v>1197</v>
      </c>
      <c r="E160" s="96">
        <v>520018078</v>
      </c>
      <c r="F160" s="96" t="s">
        <v>308</v>
      </c>
      <c r="G160" s="96" t="s">
        <v>1696</v>
      </c>
      <c r="H160" s="96" t="s">
        <v>1697</v>
      </c>
      <c r="I160" s="96" t="s">
        <v>320</v>
      </c>
      <c r="J160" s="96" t="s">
        <v>754</v>
      </c>
      <c r="K160" s="96" t="s">
        <v>203</v>
      </c>
      <c r="L160" s="96" t="s">
        <v>203</v>
      </c>
      <c r="M160" s="96" t="s">
        <v>324</v>
      </c>
      <c r="N160" s="96" t="s">
        <v>339</v>
      </c>
      <c r="O160" s="96" t="s">
        <v>447</v>
      </c>
      <c r="P160" s="96" t="s">
        <v>338</v>
      </c>
      <c r="Q160" s="96" t="s">
        <v>1698</v>
      </c>
      <c r="R160" s="96" t="s">
        <v>432</v>
      </c>
      <c r="S160" s="96" t="s">
        <v>406</v>
      </c>
      <c r="T160" s="96" t="s">
        <v>1201</v>
      </c>
      <c r="U160" s="97">
        <v>3.32</v>
      </c>
      <c r="V160" s="100">
        <v>46861</v>
      </c>
      <c r="W160" s="98">
        <v>7.1290000000000006E-2</v>
      </c>
      <c r="X160" s="98">
        <v>7.8E-2</v>
      </c>
      <c r="Y160" s="96" t="s">
        <v>410</v>
      </c>
      <c r="Z160" s="96"/>
      <c r="AA160" s="97">
        <v>566.86160900000004</v>
      </c>
      <c r="AB160" s="97">
        <v>3.7589999999999999</v>
      </c>
      <c r="AC160" s="97">
        <v>100.9426</v>
      </c>
      <c r="AD160" s="97"/>
      <c r="AE160" s="97">
        <v>2.150919</v>
      </c>
      <c r="AF160" s="96"/>
      <c r="AG160" s="96"/>
      <c r="AH160" s="96"/>
      <c r="AI160" s="98">
        <v>9.9999999999999995E-7</v>
      </c>
      <c r="AJ160" s="98">
        <v>1.6699999999999999E-4</v>
      </c>
      <c r="AK160" s="98">
        <v>4.0000000000000003E-5</v>
      </c>
      <c r="AL160" s="106"/>
    </row>
    <row r="161" spans="1:38" ht="15" customHeight="1">
      <c r="A161" s="106"/>
      <c r="B161" s="96">
        <v>286</v>
      </c>
      <c r="C161" s="96">
        <v>1445</v>
      </c>
      <c r="D161" s="96" t="s">
        <v>1699</v>
      </c>
      <c r="E161" s="96">
        <v>511809071</v>
      </c>
      <c r="F161" s="96" t="s">
        <v>308</v>
      </c>
      <c r="G161" s="96" t="s">
        <v>1700</v>
      </c>
      <c r="H161" s="96" t="s">
        <v>1701</v>
      </c>
      <c r="I161" s="96" t="s">
        <v>320</v>
      </c>
      <c r="J161" s="96" t="s">
        <v>952</v>
      </c>
      <c r="K161" s="96" t="s">
        <v>203</v>
      </c>
      <c r="L161" s="96" t="s">
        <v>203</v>
      </c>
      <c r="M161" s="96" t="s">
        <v>324</v>
      </c>
      <c r="N161" s="96" t="s">
        <v>339</v>
      </c>
      <c r="O161" s="96" t="s">
        <v>461</v>
      </c>
      <c r="P161" s="96" t="s">
        <v>338</v>
      </c>
      <c r="Q161" s="96" t="s">
        <v>1332</v>
      </c>
      <c r="R161" s="96" t="s">
        <v>412</v>
      </c>
      <c r="S161" s="96" t="s">
        <v>406</v>
      </c>
      <c r="T161" s="96" t="s">
        <v>1200</v>
      </c>
      <c r="U161" s="97">
        <v>3</v>
      </c>
      <c r="V161" s="100">
        <v>47889</v>
      </c>
      <c r="W161" s="98">
        <v>4.6800000000000001E-2</v>
      </c>
      <c r="X161" s="98">
        <v>5.7700000000000001E-2</v>
      </c>
      <c r="Y161" s="96" t="s">
        <v>411</v>
      </c>
      <c r="Z161" s="96"/>
      <c r="AA161" s="97">
        <v>30353.060336999999</v>
      </c>
      <c r="AB161" s="97">
        <v>1</v>
      </c>
      <c r="AC161" s="97">
        <v>97.78</v>
      </c>
      <c r="AD161" s="97"/>
      <c r="AE161" s="97">
        <v>29.679221999999999</v>
      </c>
      <c r="AF161" s="96"/>
      <c r="AG161" s="96"/>
      <c r="AH161" s="96"/>
      <c r="AI161" s="98">
        <v>6.8999999999999997E-5</v>
      </c>
      <c r="AJ161" s="98">
        <v>2.3149999999999998E-3</v>
      </c>
      <c r="AK161" s="98">
        <v>5.6499999999999996E-4</v>
      </c>
      <c r="AL161" s="106"/>
    </row>
    <row r="162" spans="1:38" ht="15" customHeight="1">
      <c r="A162" s="106"/>
      <c r="B162" s="96">
        <v>286</v>
      </c>
      <c r="C162" s="96">
        <v>1445</v>
      </c>
      <c r="D162" s="96" t="s">
        <v>1645</v>
      </c>
      <c r="E162" s="96">
        <v>1630</v>
      </c>
      <c r="F162" s="96" t="s">
        <v>80</v>
      </c>
      <c r="G162" s="96" t="s">
        <v>1702</v>
      </c>
      <c r="H162" s="96" t="s">
        <v>1703</v>
      </c>
      <c r="I162" s="96" t="s">
        <v>320</v>
      </c>
      <c r="J162" s="96" t="s">
        <v>952</v>
      </c>
      <c r="K162" s="96" t="s">
        <v>203</v>
      </c>
      <c r="L162" s="96" t="s">
        <v>203</v>
      </c>
      <c r="M162" s="96" t="s">
        <v>324</v>
      </c>
      <c r="N162" s="96" t="s">
        <v>339</v>
      </c>
      <c r="O162" s="96" t="s">
        <v>464</v>
      </c>
      <c r="P162" s="96" t="s">
        <v>338</v>
      </c>
      <c r="Q162" s="96" t="s">
        <v>1320</v>
      </c>
      <c r="R162" s="96" t="s">
        <v>412</v>
      </c>
      <c r="S162" s="96" t="s">
        <v>406</v>
      </c>
      <c r="T162" s="96" t="s">
        <v>1200</v>
      </c>
      <c r="U162" s="97">
        <v>2.61</v>
      </c>
      <c r="V162" s="100">
        <v>46873</v>
      </c>
      <c r="W162" s="98">
        <v>5.7500000000000002E-2</v>
      </c>
      <c r="X162" s="98">
        <v>7.0800000000000002E-2</v>
      </c>
      <c r="Y162" s="96" t="s">
        <v>411</v>
      </c>
      <c r="Z162" s="96"/>
      <c r="AA162" s="97">
        <v>35079.384323999999</v>
      </c>
      <c r="AB162" s="97">
        <v>1</v>
      </c>
      <c r="AC162" s="97">
        <v>97.94</v>
      </c>
      <c r="AD162" s="97"/>
      <c r="AE162" s="97">
        <v>34.356749000000001</v>
      </c>
      <c r="AF162" s="96"/>
      <c r="AG162" s="96"/>
      <c r="AH162" s="96"/>
      <c r="AI162" s="98">
        <v>3.8000000000000002E-5</v>
      </c>
      <c r="AJ162" s="98">
        <v>2.6800000000000001E-3</v>
      </c>
      <c r="AK162" s="98">
        <v>6.5399999999999996E-4</v>
      </c>
      <c r="AL162" s="106"/>
    </row>
    <row r="163" spans="1:38" ht="15" customHeight="1">
      <c r="A163" s="106"/>
      <c r="B163" s="96">
        <v>286</v>
      </c>
      <c r="C163" s="96">
        <v>1445</v>
      </c>
      <c r="D163" s="96" t="s">
        <v>1704</v>
      </c>
      <c r="E163" s="96">
        <v>513834200</v>
      </c>
      <c r="F163" s="96" t="s">
        <v>308</v>
      </c>
      <c r="G163" s="96" t="s">
        <v>1705</v>
      </c>
      <c r="H163" s="96" t="s">
        <v>1706</v>
      </c>
      <c r="I163" s="96" t="s">
        <v>320</v>
      </c>
      <c r="J163" s="96" t="s">
        <v>952</v>
      </c>
      <c r="K163" s="96" t="s">
        <v>203</v>
      </c>
      <c r="L163" s="96" t="s">
        <v>203</v>
      </c>
      <c r="M163" s="96" t="s">
        <v>324</v>
      </c>
      <c r="N163" s="96" t="s">
        <v>339</v>
      </c>
      <c r="O163" s="96" t="s">
        <v>444</v>
      </c>
      <c r="P163" s="96" t="s">
        <v>338</v>
      </c>
      <c r="Q163" s="96" t="s">
        <v>1305</v>
      </c>
      <c r="R163" s="96" t="s">
        <v>414</v>
      </c>
      <c r="S163" s="96" t="s">
        <v>406</v>
      </c>
      <c r="T163" s="96" t="s">
        <v>1200</v>
      </c>
      <c r="U163" s="97">
        <v>6.67</v>
      </c>
      <c r="V163" s="100">
        <v>48213</v>
      </c>
      <c r="W163" s="98">
        <v>3.0499999999999999E-2</v>
      </c>
      <c r="X163" s="98">
        <v>6.0499999999999998E-2</v>
      </c>
      <c r="Y163" s="96" t="s">
        <v>411</v>
      </c>
      <c r="Z163" s="96"/>
      <c r="AA163" s="97">
        <v>16332.241282000001</v>
      </c>
      <c r="AB163" s="97">
        <v>1</v>
      </c>
      <c r="AC163" s="97">
        <v>82.6</v>
      </c>
      <c r="AD163" s="97"/>
      <c r="AE163" s="97">
        <v>13.490430999999999</v>
      </c>
      <c r="AF163" s="96"/>
      <c r="AG163" s="96"/>
      <c r="AH163" s="96"/>
      <c r="AI163" s="98">
        <v>2.3E-5</v>
      </c>
      <c r="AJ163" s="98">
        <v>1.052E-3</v>
      </c>
      <c r="AK163" s="98">
        <v>2.5599999999999999E-4</v>
      </c>
      <c r="AL163" s="106"/>
    </row>
    <row r="164" spans="1:38" ht="15" customHeight="1">
      <c r="A164" s="106"/>
      <c r="B164" s="96">
        <v>286</v>
      </c>
      <c r="C164" s="96">
        <v>1445</v>
      </c>
      <c r="D164" s="96" t="s">
        <v>1707</v>
      </c>
      <c r="E164" s="96">
        <v>512096793</v>
      </c>
      <c r="F164" s="96" t="s">
        <v>308</v>
      </c>
      <c r="G164" s="96" t="s">
        <v>1708</v>
      </c>
      <c r="H164" s="96" t="s">
        <v>1709</v>
      </c>
      <c r="I164" s="96" t="s">
        <v>320</v>
      </c>
      <c r="J164" s="96" t="s">
        <v>753</v>
      </c>
      <c r="K164" s="96" t="s">
        <v>203</v>
      </c>
      <c r="L164" s="96" t="s">
        <v>203</v>
      </c>
      <c r="M164" s="96" t="s">
        <v>324</v>
      </c>
      <c r="N164" s="96" t="s">
        <v>339</v>
      </c>
      <c r="O164" s="96" t="s">
        <v>463</v>
      </c>
      <c r="P164" s="96" t="s">
        <v>338</v>
      </c>
      <c r="Q164" s="96" t="s">
        <v>1520</v>
      </c>
      <c r="R164" s="96" t="s">
        <v>414</v>
      </c>
      <c r="S164" s="96" t="s">
        <v>406</v>
      </c>
      <c r="T164" s="96" t="s">
        <v>1200</v>
      </c>
      <c r="U164" s="97">
        <v>1.95</v>
      </c>
      <c r="V164" s="100">
        <v>46568</v>
      </c>
      <c r="W164" s="98">
        <v>2.8500000000000001E-2</v>
      </c>
      <c r="X164" s="98">
        <v>2.7900000000000001E-2</v>
      </c>
      <c r="Y164" s="96" t="s">
        <v>411</v>
      </c>
      <c r="Z164" s="96"/>
      <c r="AA164" s="97">
        <v>724.61170800000002</v>
      </c>
      <c r="AB164" s="97">
        <v>1</v>
      </c>
      <c r="AC164" s="97">
        <v>113.71</v>
      </c>
      <c r="AD164" s="97"/>
      <c r="AE164" s="97">
        <v>0.82395499999999999</v>
      </c>
      <c r="AF164" s="96"/>
      <c r="AG164" s="96"/>
      <c r="AH164" s="96"/>
      <c r="AI164" s="98">
        <v>5.0000000000000004E-6</v>
      </c>
      <c r="AJ164" s="98">
        <v>6.3999999999999997E-5</v>
      </c>
      <c r="AK164" s="98">
        <v>1.5E-5</v>
      </c>
      <c r="AL164" s="106"/>
    </row>
    <row r="165" spans="1:38" ht="15" customHeight="1">
      <c r="A165" s="106"/>
      <c r="B165" s="96">
        <v>286</v>
      </c>
      <c r="C165" s="96">
        <v>1445</v>
      </c>
      <c r="D165" s="96" t="s">
        <v>1710</v>
      </c>
      <c r="E165" s="96">
        <v>520034372</v>
      </c>
      <c r="F165" s="96" t="s">
        <v>308</v>
      </c>
      <c r="G165" s="96" t="s">
        <v>1711</v>
      </c>
      <c r="H165" s="96" t="s">
        <v>1712</v>
      </c>
      <c r="I165" s="96" t="s">
        <v>320</v>
      </c>
      <c r="J165" s="96" t="s">
        <v>952</v>
      </c>
      <c r="K165" s="96" t="s">
        <v>203</v>
      </c>
      <c r="L165" s="96" t="s">
        <v>203</v>
      </c>
      <c r="M165" s="96" t="s">
        <v>324</v>
      </c>
      <c r="N165" s="96" t="s">
        <v>339</v>
      </c>
      <c r="O165" s="96" t="s">
        <v>476</v>
      </c>
      <c r="P165" s="96" t="s">
        <v>338</v>
      </c>
      <c r="Q165" s="96" t="s">
        <v>1313</v>
      </c>
      <c r="R165" s="96" t="s">
        <v>412</v>
      </c>
      <c r="S165" s="96" t="s">
        <v>406</v>
      </c>
      <c r="T165" s="96" t="s">
        <v>1200</v>
      </c>
      <c r="U165" s="97">
        <v>3.41</v>
      </c>
      <c r="V165" s="100">
        <v>48202</v>
      </c>
      <c r="W165" s="98">
        <v>4.5600000000000002E-2</v>
      </c>
      <c r="X165" s="98">
        <v>5.7099999999999998E-2</v>
      </c>
      <c r="Y165" s="96" t="s">
        <v>411</v>
      </c>
      <c r="Z165" s="96"/>
      <c r="AA165" s="97">
        <v>28646.753344000001</v>
      </c>
      <c r="AB165" s="97">
        <v>1</v>
      </c>
      <c r="AC165" s="97">
        <v>96.7</v>
      </c>
      <c r="AD165" s="97"/>
      <c r="AE165" s="97">
        <v>27.701409999999999</v>
      </c>
      <c r="AF165" s="96"/>
      <c r="AG165" s="96"/>
      <c r="AH165" s="96"/>
      <c r="AI165" s="98">
        <v>5.8999999999999998E-5</v>
      </c>
      <c r="AJ165" s="98">
        <v>2.1610000000000002E-3</v>
      </c>
      <c r="AK165" s="98">
        <v>5.2700000000000002E-4</v>
      </c>
      <c r="AL165" s="106"/>
    </row>
    <row r="166" spans="1:38" ht="15" customHeight="1">
      <c r="A166" s="106"/>
      <c r="B166" s="96">
        <v>286</v>
      </c>
      <c r="C166" s="96">
        <v>1445</v>
      </c>
      <c r="D166" s="96" t="s">
        <v>1333</v>
      </c>
      <c r="E166" s="96">
        <v>520024126</v>
      </c>
      <c r="F166" s="96" t="s">
        <v>308</v>
      </c>
      <c r="G166" s="96" t="s">
        <v>1713</v>
      </c>
      <c r="H166" s="96" t="s">
        <v>1714</v>
      </c>
      <c r="I166" s="96" t="s">
        <v>320</v>
      </c>
      <c r="J166" s="96" t="s">
        <v>753</v>
      </c>
      <c r="K166" s="96" t="s">
        <v>203</v>
      </c>
      <c r="L166" s="96" t="s">
        <v>203</v>
      </c>
      <c r="M166" s="96" t="s">
        <v>324</v>
      </c>
      <c r="N166" s="96" t="s">
        <v>339</v>
      </c>
      <c r="O166" s="96" t="s">
        <v>463</v>
      </c>
      <c r="P166" s="96" t="s">
        <v>337</v>
      </c>
      <c r="Q166" s="96" t="s">
        <v>1313</v>
      </c>
      <c r="R166" s="96" t="s">
        <v>412</v>
      </c>
      <c r="S166" s="96" t="s">
        <v>406</v>
      </c>
      <c r="T166" s="96" t="s">
        <v>1200</v>
      </c>
      <c r="U166" s="97">
        <v>3.69</v>
      </c>
      <c r="V166" s="100">
        <v>47483</v>
      </c>
      <c r="W166" s="98">
        <v>2.81E-2</v>
      </c>
      <c r="X166" s="98">
        <v>3.0599999999999999E-2</v>
      </c>
      <c r="Y166" s="96" t="s">
        <v>411</v>
      </c>
      <c r="Z166" s="96"/>
      <c r="AA166" s="97">
        <v>75859.552962000002</v>
      </c>
      <c r="AB166" s="97">
        <v>1</v>
      </c>
      <c r="AC166" s="97">
        <v>113.93</v>
      </c>
      <c r="AD166" s="97"/>
      <c r="AE166" s="97">
        <v>86.426788000000002</v>
      </c>
      <c r="AF166" s="96"/>
      <c r="AG166" s="96"/>
      <c r="AH166" s="96"/>
      <c r="AI166" s="98">
        <v>5.5000000000000002E-5</v>
      </c>
      <c r="AJ166" s="98">
        <v>6.7429999999999999E-3</v>
      </c>
      <c r="AK166" s="98">
        <v>1.645E-3</v>
      </c>
      <c r="AL166" s="106"/>
    </row>
    <row r="167" spans="1:38" ht="15" customHeight="1">
      <c r="A167" s="106"/>
      <c r="B167" s="96">
        <v>286</v>
      </c>
      <c r="C167" s="96">
        <v>1445</v>
      </c>
      <c r="D167" s="96" t="s">
        <v>1361</v>
      </c>
      <c r="E167" s="96">
        <v>512764408</v>
      </c>
      <c r="F167" s="96" t="s">
        <v>308</v>
      </c>
      <c r="G167" s="96" t="s">
        <v>1715</v>
      </c>
      <c r="H167" s="96" t="s">
        <v>1363</v>
      </c>
      <c r="I167" s="96" t="s">
        <v>320</v>
      </c>
      <c r="J167" s="96" t="s">
        <v>952</v>
      </c>
      <c r="K167" s="96" t="s">
        <v>203</v>
      </c>
      <c r="L167" s="96" t="s">
        <v>203</v>
      </c>
      <c r="M167" s="96" t="s">
        <v>326</v>
      </c>
      <c r="N167" s="96" t="s">
        <v>339</v>
      </c>
      <c r="O167" s="96" t="s">
        <v>442</v>
      </c>
      <c r="P167" s="96" t="s">
        <v>338</v>
      </c>
      <c r="Q167" s="96" t="s">
        <v>1309</v>
      </c>
      <c r="R167" s="96" t="s">
        <v>414</v>
      </c>
      <c r="S167" s="96" t="s">
        <v>406</v>
      </c>
      <c r="T167" s="96" t="s">
        <v>1200</v>
      </c>
      <c r="U167" s="97">
        <v>1.19</v>
      </c>
      <c r="V167" s="100">
        <v>46295</v>
      </c>
      <c r="W167" s="98">
        <v>6.9000000000000006E-2</v>
      </c>
      <c r="X167" s="98">
        <v>7.0499999999999993E-2</v>
      </c>
      <c r="Y167" s="96" t="s">
        <v>411</v>
      </c>
      <c r="Z167" s="96"/>
      <c r="AA167" s="97">
        <v>1134.1503250000001</v>
      </c>
      <c r="AB167" s="97">
        <v>1</v>
      </c>
      <c r="AC167" s="97">
        <v>101.87</v>
      </c>
      <c r="AD167" s="97"/>
      <c r="AE167" s="97">
        <v>1.1553580000000001</v>
      </c>
      <c r="AF167" s="96"/>
      <c r="AG167" s="96"/>
      <c r="AH167" s="96"/>
      <c r="AI167" s="98">
        <v>3.0000000000000001E-6</v>
      </c>
      <c r="AJ167" s="98">
        <v>9.0000000000000006E-5</v>
      </c>
      <c r="AK167" s="98">
        <v>2.1999999999999999E-5</v>
      </c>
      <c r="AL167" s="106"/>
    </row>
    <row r="168" spans="1:38" ht="15" customHeight="1">
      <c r="A168" s="106"/>
      <c r="B168" s="96">
        <v>286</v>
      </c>
      <c r="C168" s="96">
        <v>1445</v>
      </c>
      <c r="D168" s="96" t="s">
        <v>1385</v>
      </c>
      <c r="E168" s="96">
        <v>520017807</v>
      </c>
      <c r="F168" s="96" t="s">
        <v>308</v>
      </c>
      <c r="G168" s="96" t="s">
        <v>1716</v>
      </c>
      <c r="H168" s="96" t="s">
        <v>1717</v>
      </c>
      <c r="I168" s="96" t="s">
        <v>320</v>
      </c>
      <c r="J168" s="96" t="s">
        <v>753</v>
      </c>
      <c r="K168" s="96" t="s">
        <v>203</v>
      </c>
      <c r="L168" s="96" t="s">
        <v>203</v>
      </c>
      <c r="M168" s="96" t="s">
        <v>324</v>
      </c>
      <c r="N168" s="96" t="s">
        <v>339</v>
      </c>
      <c r="O168" s="96" t="s">
        <v>463</v>
      </c>
      <c r="P168" s="96" t="s">
        <v>337</v>
      </c>
      <c r="Q168" s="96" t="s">
        <v>1305</v>
      </c>
      <c r="R168" s="96" t="s">
        <v>414</v>
      </c>
      <c r="S168" s="96" t="s">
        <v>406</v>
      </c>
      <c r="T168" s="96" t="s">
        <v>1200</v>
      </c>
      <c r="U168" s="97">
        <v>5.98</v>
      </c>
      <c r="V168" s="100">
        <v>49765</v>
      </c>
      <c r="W168" s="98">
        <v>1.4999999999999999E-2</v>
      </c>
      <c r="X168" s="98">
        <v>3.6600000000000001E-2</v>
      </c>
      <c r="Y168" s="96" t="s">
        <v>411</v>
      </c>
      <c r="Z168" s="96"/>
      <c r="AA168" s="97">
        <v>1597.3823669999999</v>
      </c>
      <c r="AB168" s="97">
        <v>1</v>
      </c>
      <c r="AC168" s="97">
        <v>96.78</v>
      </c>
      <c r="AD168" s="97"/>
      <c r="AE168" s="97">
        <v>1.545946</v>
      </c>
      <c r="AF168" s="96"/>
      <c r="AG168" s="96"/>
      <c r="AH168" s="96"/>
      <c r="AI168" s="98">
        <v>6.0000000000000002E-6</v>
      </c>
      <c r="AJ168" s="98">
        <v>1.2E-4</v>
      </c>
      <c r="AK168" s="98">
        <v>2.9E-5</v>
      </c>
      <c r="AL168" s="106"/>
    </row>
    <row r="169" spans="1:38" ht="15" customHeight="1">
      <c r="A169" s="106"/>
      <c r="B169" s="96">
        <v>286</v>
      </c>
      <c r="C169" s="96">
        <v>1445</v>
      </c>
      <c r="D169" s="96" t="s">
        <v>1718</v>
      </c>
      <c r="E169" s="96">
        <v>511996803</v>
      </c>
      <c r="F169" s="96" t="s">
        <v>308</v>
      </c>
      <c r="G169" s="96" t="s">
        <v>1719</v>
      </c>
      <c r="H169" s="96" t="s">
        <v>1720</v>
      </c>
      <c r="I169" s="96" t="s">
        <v>320</v>
      </c>
      <c r="J169" s="96" t="s">
        <v>952</v>
      </c>
      <c r="K169" s="96" t="s">
        <v>203</v>
      </c>
      <c r="L169" s="96" t="s">
        <v>203</v>
      </c>
      <c r="M169" s="96" t="s">
        <v>324</v>
      </c>
      <c r="N169" s="96" t="s">
        <v>339</v>
      </c>
      <c r="O169" s="96" t="s">
        <v>446</v>
      </c>
      <c r="P169" s="96" t="s">
        <v>338</v>
      </c>
      <c r="Q169" s="96" t="s">
        <v>1309</v>
      </c>
      <c r="R169" s="96" t="s">
        <v>414</v>
      </c>
      <c r="S169" s="96" t="s">
        <v>406</v>
      </c>
      <c r="T169" s="96" t="s">
        <v>1200</v>
      </c>
      <c r="U169" s="97">
        <v>2.4900000000000002</v>
      </c>
      <c r="V169" s="100">
        <v>46752</v>
      </c>
      <c r="W169" s="98">
        <v>4.53E-2</v>
      </c>
      <c r="X169" s="98">
        <v>6.2600000000000003E-2</v>
      </c>
      <c r="Y169" s="96" t="s">
        <v>411</v>
      </c>
      <c r="Z169" s="96"/>
      <c r="AA169" s="97">
        <v>14261.010247</v>
      </c>
      <c r="AB169" s="97">
        <v>1</v>
      </c>
      <c r="AC169" s="97">
        <v>96.1</v>
      </c>
      <c r="AD169" s="97"/>
      <c r="AE169" s="97">
        <v>13.704829999999999</v>
      </c>
      <c r="AF169" s="96"/>
      <c r="AG169" s="96"/>
      <c r="AH169" s="96"/>
      <c r="AI169" s="98">
        <v>2.0000000000000002E-5</v>
      </c>
      <c r="AJ169" s="98">
        <v>1.0690000000000001E-3</v>
      </c>
      <c r="AK169" s="98">
        <v>2.5999999999999998E-4</v>
      </c>
      <c r="AL169" s="106"/>
    </row>
    <row r="170" spans="1:38" ht="15" customHeight="1">
      <c r="A170" s="106"/>
      <c r="B170" s="96">
        <v>286</v>
      </c>
      <c r="C170" s="96">
        <v>1445</v>
      </c>
      <c r="D170" s="96" t="s">
        <v>1197</v>
      </c>
      <c r="E170" s="96">
        <v>520018078</v>
      </c>
      <c r="F170" s="96" t="s">
        <v>308</v>
      </c>
      <c r="G170" s="96" t="s">
        <v>1721</v>
      </c>
      <c r="H170" s="96" t="s">
        <v>1722</v>
      </c>
      <c r="I170" s="96" t="s">
        <v>320</v>
      </c>
      <c r="J170" s="96" t="s">
        <v>753</v>
      </c>
      <c r="K170" s="96" t="s">
        <v>203</v>
      </c>
      <c r="L170" s="96" t="s">
        <v>203</v>
      </c>
      <c r="M170" s="96" t="s">
        <v>324</v>
      </c>
      <c r="N170" s="96" t="s">
        <v>339</v>
      </c>
      <c r="O170" s="96" t="s">
        <v>447</v>
      </c>
      <c r="P170" s="96" t="s">
        <v>338</v>
      </c>
      <c r="Q170" s="96" t="s">
        <v>1199</v>
      </c>
      <c r="R170" s="96" t="s">
        <v>412</v>
      </c>
      <c r="S170" s="96" t="s">
        <v>406</v>
      </c>
      <c r="T170" s="96" t="s">
        <v>1200</v>
      </c>
      <c r="U170" s="97">
        <v>3.4</v>
      </c>
      <c r="V170" s="100">
        <v>46716</v>
      </c>
      <c r="W170" s="98">
        <v>1E-3</v>
      </c>
      <c r="X170" s="98">
        <v>2.3599999999999999E-2</v>
      </c>
      <c r="Y170" s="96" t="s">
        <v>411</v>
      </c>
      <c r="Z170" s="96"/>
      <c r="AA170" s="97">
        <v>139754.560295</v>
      </c>
      <c r="AB170" s="97">
        <v>1</v>
      </c>
      <c r="AC170" s="97">
        <v>102.72</v>
      </c>
      <c r="AD170" s="97"/>
      <c r="AE170" s="97">
        <v>143.55588399999999</v>
      </c>
      <c r="AF170" s="96"/>
      <c r="AG170" s="96"/>
      <c r="AH170" s="96"/>
      <c r="AI170" s="98">
        <v>4.3999999999999999E-5</v>
      </c>
      <c r="AJ170" s="98">
        <v>1.12E-2</v>
      </c>
      <c r="AK170" s="98">
        <v>2.7330000000000002E-3</v>
      </c>
      <c r="AL170" s="106"/>
    </row>
    <row r="171" spans="1:38" ht="15" customHeight="1">
      <c r="A171" s="106"/>
      <c r="B171" s="96">
        <v>286</v>
      </c>
      <c r="C171" s="96">
        <v>1445</v>
      </c>
      <c r="D171" s="96" t="s">
        <v>1474</v>
      </c>
      <c r="E171" s="96">
        <v>1737</v>
      </c>
      <c r="F171" s="96" t="s">
        <v>80</v>
      </c>
      <c r="G171" s="96" t="s">
        <v>1723</v>
      </c>
      <c r="H171" s="96" t="s">
        <v>1724</v>
      </c>
      <c r="I171" s="96" t="s">
        <v>320</v>
      </c>
      <c r="J171" s="96" t="s">
        <v>952</v>
      </c>
      <c r="K171" s="96" t="s">
        <v>203</v>
      </c>
      <c r="L171" s="96" t="s">
        <v>203</v>
      </c>
      <c r="M171" s="96" t="s">
        <v>324</v>
      </c>
      <c r="N171" s="96" t="s">
        <v>339</v>
      </c>
      <c r="O171" s="96" t="s">
        <v>464</v>
      </c>
      <c r="P171" s="96" t="s">
        <v>338</v>
      </c>
      <c r="Q171" s="96" t="s">
        <v>1313</v>
      </c>
      <c r="R171" s="96" t="s">
        <v>412</v>
      </c>
      <c r="S171" s="96" t="s">
        <v>406</v>
      </c>
      <c r="T171" s="96" t="s">
        <v>1200</v>
      </c>
      <c r="U171" s="97">
        <v>2.38</v>
      </c>
      <c r="V171" s="100">
        <v>46752</v>
      </c>
      <c r="W171" s="98">
        <v>3.49E-2</v>
      </c>
      <c r="X171" s="98">
        <v>6.9800000000000001E-2</v>
      </c>
      <c r="Y171" s="96" t="s">
        <v>411</v>
      </c>
      <c r="Z171" s="96"/>
      <c r="AA171" s="97">
        <v>48052.050757999998</v>
      </c>
      <c r="AB171" s="97">
        <v>1</v>
      </c>
      <c r="AC171" s="97">
        <v>92.43</v>
      </c>
      <c r="AD171" s="97"/>
      <c r="AE171" s="97">
        <v>44.41451</v>
      </c>
      <c r="AF171" s="96"/>
      <c r="AG171" s="96"/>
      <c r="AH171" s="96"/>
      <c r="AI171" s="98">
        <v>5.0000000000000002E-5</v>
      </c>
      <c r="AJ171" s="98">
        <v>3.4650000000000002E-3</v>
      </c>
      <c r="AK171" s="98">
        <v>8.4500000000000005E-4</v>
      </c>
      <c r="AL171" s="106"/>
    </row>
    <row r="172" spans="1:38" ht="15" customHeight="1">
      <c r="A172" s="106"/>
      <c r="B172" s="96">
        <v>286</v>
      </c>
      <c r="C172" s="96">
        <v>1445</v>
      </c>
      <c r="D172" s="96" t="s">
        <v>1725</v>
      </c>
      <c r="E172" s="96">
        <v>1665</v>
      </c>
      <c r="F172" s="96" t="s">
        <v>80</v>
      </c>
      <c r="G172" s="96" t="s">
        <v>1726</v>
      </c>
      <c r="H172" s="96" t="s">
        <v>1727</v>
      </c>
      <c r="I172" s="96" t="s">
        <v>320</v>
      </c>
      <c r="J172" s="96" t="s">
        <v>952</v>
      </c>
      <c r="K172" s="96" t="s">
        <v>203</v>
      </c>
      <c r="L172" s="96" t="s">
        <v>203</v>
      </c>
      <c r="M172" s="96" t="s">
        <v>324</v>
      </c>
      <c r="N172" s="96" t="s">
        <v>339</v>
      </c>
      <c r="O172" s="96" t="s">
        <v>464</v>
      </c>
      <c r="P172" s="96" t="s">
        <v>338</v>
      </c>
      <c r="Q172" s="96" t="s">
        <v>1332</v>
      </c>
      <c r="R172" s="96" t="s">
        <v>412</v>
      </c>
      <c r="S172" s="96" t="s">
        <v>406</v>
      </c>
      <c r="T172" s="96" t="s">
        <v>1200</v>
      </c>
      <c r="U172" s="97">
        <v>3.67</v>
      </c>
      <c r="V172" s="100">
        <v>48502</v>
      </c>
      <c r="W172" s="98">
        <v>4.4999999999999998E-2</v>
      </c>
      <c r="X172" s="98">
        <v>6.9699999999999998E-2</v>
      </c>
      <c r="Y172" s="96" t="s">
        <v>411</v>
      </c>
      <c r="Z172" s="96"/>
      <c r="AA172" s="97">
        <v>3540.2026049999999</v>
      </c>
      <c r="AB172" s="97">
        <v>1</v>
      </c>
      <c r="AC172" s="97">
        <v>92.67</v>
      </c>
      <c r="AD172" s="97"/>
      <c r="AE172" s="97">
        <v>3.2807050000000002</v>
      </c>
      <c r="AF172" s="96"/>
      <c r="AG172" s="96"/>
      <c r="AH172" s="96"/>
      <c r="AI172" s="98">
        <v>3.0000000000000001E-6</v>
      </c>
      <c r="AJ172" s="98">
        <v>2.5500000000000002E-4</v>
      </c>
      <c r="AK172" s="98">
        <v>6.2000000000000003E-5</v>
      </c>
      <c r="AL172" s="106"/>
    </row>
    <row r="173" spans="1:38" ht="15" customHeight="1">
      <c r="A173" s="106"/>
      <c r="B173" s="96">
        <v>286</v>
      </c>
      <c r="C173" s="96">
        <v>1445</v>
      </c>
      <c r="D173" s="96" t="s">
        <v>1417</v>
      </c>
      <c r="E173" s="96">
        <v>513230029</v>
      </c>
      <c r="F173" s="96" t="s">
        <v>308</v>
      </c>
      <c r="G173" s="96" t="s">
        <v>1728</v>
      </c>
      <c r="H173" s="96" t="s">
        <v>1729</v>
      </c>
      <c r="I173" s="96" t="s">
        <v>320</v>
      </c>
      <c r="J173" s="96" t="s">
        <v>952</v>
      </c>
      <c r="K173" s="96" t="s">
        <v>203</v>
      </c>
      <c r="L173" s="96" t="s">
        <v>203</v>
      </c>
      <c r="M173" s="96" t="s">
        <v>324</v>
      </c>
      <c r="N173" s="96" t="s">
        <v>339</v>
      </c>
      <c r="O173" s="96" t="s">
        <v>444</v>
      </c>
      <c r="P173" s="96" t="s">
        <v>338</v>
      </c>
      <c r="Q173" s="96" t="s">
        <v>1357</v>
      </c>
      <c r="R173" s="96" t="s">
        <v>414</v>
      </c>
      <c r="S173" s="96" t="s">
        <v>406</v>
      </c>
      <c r="T173" s="96" t="s">
        <v>1200</v>
      </c>
      <c r="U173" s="97">
        <v>2.38</v>
      </c>
      <c r="V173" s="100">
        <v>46387</v>
      </c>
      <c r="W173" s="98">
        <v>4.1000000000000002E-2</v>
      </c>
      <c r="X173" s="98">
        <v>5.4699999999999999E-2</v>
      </c>
      <c r="Y173" s="96" t="s">
        <v>411</v>
      </c>
      <c r="Z173" s="96"/>
      <c r="AA173" s="97">
        <v>39247.611145000003</v>
      </c>
      <c r="AB173" s="97">
        <v>1</v>
      </c>
      <c r="AC173" s="97">
        <v>98.89</v>
      </c>
      <c r="AD173" s="97"/>
      <c r="AE173" s="97">
        <v>38.811962000000001</v>
      </c>
      <c r="AF173" s="96"/>
      <c r="AG173" s="96"/>
      <c r="AH173" s="96"/>
      <c r="AI173" s="98">
        <v>5.5000000000000002E-5</v>
      </c>
      <c r="AJ173" s="98">
        <v>3.0279999999999999E-3</v>
      </c>
      <c r="AK173" s="98">
        <v>7.3899999999999997E-4</v>
      </c>
      <c r="AL173" s="106"/>
    </row>
    <row r="174" spans="1:38" ht="15" customHeight="1">
      <c r="A174" s="106"/>
      <c r="B174" s="96">
        <v>286</v>
      </c>
      <c r="C174" s="96">
        <v>1445</v>
      </c>
      <c r="D174" s="96" t="s">
        <v>1427</v>
      </c>
      <c r="E174" s="96">
        <v>520031931</v>
      </c>
      <c r="F174" s="96" t="s">
        <v>308</v>
      </c>
      <c r="G174" s="96" t="s">
        <v>1730</v>
      </c>
      <c r="H174" s="96" t="s">
        <v>1731</v>
      </c>
      <c r="I174" s="96" t="s">
        <v>320</v>
      </c>
      <c r="J174" s="96" t="s">
        <v>753</v>
      </c>
      <c r="K174" s="96" t="s">
        <v>203</v>
      </c>
      <c r="L174" s="96" t="s">
        <v>203</v>
      </c>
      <c r="M174" s="96" t="s">
        <v>324</v>
      </c>
      <c r="N174" s="96" t="s">
        <v>339</v>
      </c>
      <c r="O174" s="96" t="s">
        <v>483</v>
      </c>
      <c r="P174" s="96" t="s">
        <v>338</v>
      </c>
      <c r="Q174" s="96" t="s">
        <v>1336</v>
      </c>
      <c r="R174" s="96" t="s">
        <v>414</v>
      </c>
      <c r="S174" s="96" t="s">
        <v>406</v>
      </c>
      <c r="T174" s="96" t="s">
        <v>1200</v>
      </c>
      <c r="U174" s="97">
        <v>8.61</v>
      </c>
      <c r="V174" s="100">
        <v>49461</v>
      </c>
      <c r="W174" s="98">
        <v>5.7999999999999996E-3</v>
      </c>
      <c r="X174" s="98">
        <v>3.3500000000000002E-2</v>
      </c>
      <c r="Y174" s="96" t="s">
        <v>411</v>
      </c>
      <c r="Z174" s="96"/>
      <c r="AA174" s="97">
        <v>21391.004126</v>
      </c>
      <c r="AB174" s="97">
        <v>1</v>
      </c>
      <c r="AC174" s="97">
        <v>87.7</v>
      </c>
      <c r="AD174" s="97"/>
      <c r="AE174" s="97">
        <v>18.759910000000001</v>
      </c>
      <c r="AF174" s="96"/>
      <c r="AG174" s="96"/>
      <c r="AH174" s="96"/>
      <c r="AI174" s="98">
        <v>4.3999999999999999E-5</v>
      </c>
      <c r="AJ174" s="98">
        <v>1.4630000000000001E-3</v>
      </c>
      <c r="AK174" s="98">
        <v>3.57E-4</v>
      </c>
      <c r="AL174" s="106"/>
    </row>
    <row r="175" spans="1:38" ht="15" customHeight="1">
      <c r="A175" s="106"/>
      <c r="B175" s="96">
        <v>286</v>
      </c>
      <c r="C175" s="96">
        <v>1445</v>
      </c>
      <c r="D175" s="96" t="s">
        <v>1306</v>
      </c>
      <c r="E175" s="96">
        <v>520044322</v>
      </c>
      <c r="F175" s="96" t="s">
        <v>308</v>
      </c>
      <c r="G175" s="96" t="s">
        <v>1732</v>
      </c>
      <c r="H175" s="96" t="s">
        <v>1308</v>
      </c>
      <c r="I175" s="96" t="s">
        <v>320</v>
      </c>
      <c r="J175" s="96" t="s">
        <v>952</v>
      </c>
      <c r="K175" s="96" t="s">
        <v>203</v>
      </c>
      <c r="L175" s="96" t="s">
        <v>203</v>
      </c>
      <c r="M175" s="96" t="s">
        <v>326</v>
      </c>
      <c r="N175" s="96" t="s">
        <v>339</v>
      </c>
      <c r="O175" s="96" t="s">
        <v>453</v>
      </c>
      <c r="P175" s="96" t="s">
        <v>338</v>
      </c>
      <c r="Q175" s="96" t="s">
        <v>1309</v>
      </c>
      <c r="R175" s="96" t="s">
        <v>414</v>
      </c>
      <c r="S175" s="96" t="s">
        <v>406</v>
      </c>
      <c r="T175" s="96" t="s">
        <v>1200</v>
      </c>
      <c r="U175" s="97">
        <v>4.07</v>
      </c>
      <c r="V175" s="100">
        <v>48152</v>
      </c>
      <c r="W175" s="98">
        <v>6.5199999999999994E-2</v>
      </c>
      <c r="X175" s="98">
        <v>6.9199999999999998E-2</v>
      </c>
      <c r="Y175" s="96" t="s">
        <v>411</v>
      </c>
      <c r="Z175" s="96"/>
      <c r="AA175" s="97">
        <v>41038.886700000003</v>
      </c>
      <c r="AB175" s="97">
        <v>1</v>
      </c>
      <c r="AC175" s="97">
        <v>99.921300000000002</v>
      </c>
      <c r="AD175" s="97"/>
      <c r="AE175" s="97">
        <v>41.006571999999998</v>
      </c>
      <c r="AF175" s="96"/>
      <c r="AG175" s="96"/>
      <c r="AH175" s="96"/>
      <c r="AI175" s="98">
        <v>3.0000000000000001E-5</v>
      </c>
      <c r="AJ175" s="98">
        <v>3.199E-3</v>
      </c>
      <c r="AK175" s="98">
        <v>7.7999999999999999E-4</v>
      </c>
      <c r="AL175" s="106"/>
    </row>
    <row r="176" spans="1:38" ht="15" customHeight="1">
      <c r="A176" s="106"/>
      <c r="B176" s="96">
        <v>286</v>
      </c>
      <c r="C176" s="96">
        <v>1445</v>
      </c>
      <c r="D176" s="96" t="s">
        <v>1477</v>
      </c>
      <c r="E176" s="96">
        <v>520029935</v>
      </c>
      <c r="F176" s="96" t="s">
        <v>308</v>
      </c>
      <c r="G176" s="96" t="s">
        <v>1733</v>
      </c>
      <c r="H176" s="96" t="s">
        <v>1734</v>
      </c>
      <c r="I176" s="96" t="s">
        <v>320</v>
      </c>
      <c r="J176" s="96" t="s">
        <v>753</v>
      </c>
      <c r="K176" s="96" t="s">
        <v>203</v>
      </c>
      <c r="L176" s="96" t="s">
        <v>203</v>
      </c>
      <c r="M176" s="96" t="s">
        <v>324</v>
      </c>
      <c r="N176" s="96" t="s">
        <v>339</v>
      </c>
      <c r="O176" s="96" t="s">
        <v>447</v>
      </c>
      <c r="P176" s="96" t="s">
        <v>338</v>
      </c>
      <c r="Q176" s="96" t="s">
        <v>1305</v>
      </c>
      <c r="R176" s="96" t="s">
        <v>414</v>
      </c>
      <c r="S176" s="96" t="s">
        <v>406</v>
      </c>
      <c r="T176" s="96" t="s">
        <v>1200</v>
      </c>
      <c r="U176" s="97">
        <v>4.12</v>
      </c>
      <c r="V176" s="100">
        <v>47087</v>
      </c>
      <c r="W176" s="98">
        <v>3.1699999999999999E-2</v>
      </c>
      <c r="X176" s="98">
        <v>3.5900000000000001E-2</v>
      </c>
      <c r="Y176" s="96" t="s">
        <v>410</v>
      </c>
      <c r="Z176" s="96"/>
      <c r="AA176" s="97">
        <v>2653.9112909999999</v>
      </c>
      <c r="AB176" s="97">
        <v>1</v>
      </c>
      <c r="AC176" s="97">
        <v>105.55</v>
      </c>
      <c r="AD176" s="97"/>
      <c r="AE176" s="97">
        <v>2.8012030000000001</v>
      </c>
      <c r="AF176" s="96"/>
      <c r="AG176" s="96"/>
      <c r="AH176" s="96"/>
      <c r="AI176" s="98">
        <v>3.0000000000000001E-6</v>
      </c>
      <c r="AJ176" s="98">
        <v>2.1800000000000001E-4</v>
      </c>
      <c r="AK176" s="98">
        <v>5.3000000000000001E-5</v>
      </c>
      <c r="AL176" s="106"/>
    </row>
    <row r="177" spans="1:38" ht="15" customHeight="1">
      <c r="A177" s="106"/>
      <c r="B177" s="96">
        <v>286</v>
      </c>
      <c r="C177" s="96">
        <v>1445</v>
      </c>
      <c r="D177" s="96" t="s">
        <v>1735</v>
      </c>
      <c r="E177" s="96">
        <v>550010003</v>
      </c>
      <c r="F177" s="96" t="s">
        <v>309</v>
      </c>
      <c r="G177" s="96" t="s">
        <v>1736</v>
      </c>
      <c r="H177" s="96" t="s">
        <v>1737</v>
      </c>
      <c r="I177" s="96" t="s">
        <v>320</v>
      </c>
      <c r="J177" s="96" t="s">
        <v>952</v>
      </c>
      <c r="K177" s="96" t="s">
        <v>203</v>
      </c>
      <c r="L177" s="96" t="s">
        <v>203</v>
      </c>
      <c r="M177" s="96" t="s">
        <v>324</v>
      </c>
      <c r="N177" s="96" t="s">
        <v>339</v>
      </c>
      <c r="O177" s="96" t="s">
        <v>453</v>
      </c>
      <c r="P177" s="96" t="s">
        <v>338</v>
      </c>
      <c r="Q177" s="96" t="s">
        <v>1313</v>
      </c>
      <c r="R177" s="96" t="s">
        <v>412</v>
      </c>
      <c r="S177" s="96" t="s">
        <v>406</v>
      </c>
      <c r="T177" s="96" t="s">
        <v>1200</v>
      </c>
      <c r="U177" s="97">
        <v>3.49</v>
      </c>
      <c r="V177" s="100">
        <v>47766</v>
      </c>
      <c r="W177" s="98">
        <v>2.24E-2</v>
      </c>
      <c r="X177" s="98">
        <v>5.5199999999999999E-2</v>
      </c>
      <c r="Y177" s="96" t="s">
        <v>411</v>
      </c>
      <c r="Z177" s="96"/>
      <c r="AA177" s="97">
        <v>22542.298685999998</v>
      </c>
      <c r="AB177" s="97">
        <v>1</v>
      </c>
      <c r="AC177" s="97">
        <v>89.89</v>
      </c>
      <c r="AD177" s="97"/>
      <c r="AE177" s="97">
        <v>20.263272000000001</v>
      </c>
      <c r="AF177" s="96"/>
      <c r="AG177" s="96"/>
      <c r="AH177" s="96"/>
      <c r="AI177" s="98">
        <v>3.8000000000000002E-5</v>
      </c>
      <c r="AJ177" s="98">
        <v>1.58E-3</v>
      </c>
      <c r="AK177" s="98">
        <v>3.8499999999999998E-4</v>
      </c>
      <c r="AL177" s="106"/>
    </row>
    <row r="178" spans="1:38" ht="15" customHeight="1">
      <c r="A178" s="106"/>
      <c r="B178" s="96">
        <v>286</v>
      </c>
      <c r="C178" s="96">
        <v>1445</v>
      </c>
      <c r="D178" s="96" t="s">
        <v>1597</v>
      </c>
      <c r="E178" s="96">
        <v>520020116</v>
      </c>
      <c r="F178" s="96" t="s">
        <v>308</v>
      </c>
      <c r="G178" s="96" t="s">
        <v>1738</v>
      </c>
      <c r="H178" s="96" t="s">
        <v>1739</v>
      </c>
      <c r="I178" s="96" t="s">
        <v>320</v>
      </c>
      <c r="J178" s="96" t="s">
        <v>753</v>
      </c>
      <c r="K178" s="96" t="s">
        <v>203</v>
      </c>
      <c r="L178" s="96" t="s">
        <v>203</v>
      </c>
      <c r="M178" s="96" t="s">
        <v>324</v>
      </c>
      <c r="N178" s="96" t="s">
        <v>339</v>
      </c>
      <c r="O178" s="96" t="s">
        <v>463</v>
      </c>
      <c r="P178" s="96" t="s">
        <v>337</v>
      </c>
      <c r="Q178" s="96" t="s">
        <v>1324</v>
      </c>
      <c r="R178" s="96" t="s">
        <v>412</v>
      </c>
      <c r="S178" s="96" t="s">
        <v>406</v>
      </c>
      <c r="T178" s="96" t="s">
        <v>1200</v>
      </c>
      <c r="U178" s="97">
        <v>4.97</v>
      </c>
      <c r="V178" s="100">
        <v>48029</v>
      </c>
      <c r="W178" s="98">
        <v>4.4499999999999998E-2</v>
      </c>
      <c r="X178" s="98">
        <v>4.7600000000000003E-2</v>
      </c>
      <c r="Y178" s="96" t="s">
        <v>411</v>
      </c>
      <c r="Z178" s="96"/>
      <c r="AA178" s="97">
        <v>29963.805547</v>
      </c>
      <c r="AB178" s="97">
        <v>1</v>
      </c>
      <c r="AC178" s="97">
        <v>101.38</v>
      </c>
      <c r="AD178" s="97"/>
      <c r="AE178" s="97">
        <v>30.377306000000001</v>
      </c>
      <c r="AF178" s="96"/>
      <c r="AG178" s="96"/>
      <c r="AH178" s="96"/>
      <c r="AI178" s="98">
        <v>6.6000000000000005E-5</v>
      </c>
      <c r="AJ178" s="98">
        <v>2.3700000000000001E-3</v>
      </c>
      <c r="AK178" s="98">
        <v>5.7799999999999995E-4</v>
      </c>
      <c r="AL178" s="106"/>
    </row>
    <row r="179" spans="1:38" ht="15" customHeight="1">
      <c r="A179" s="106"/>
      <c r="B179" s="96">
        <v>286</v>
      </c>
      <c r="C179" s="96">
        <v>1445</v>
      </c>
      <c r="D179" s="96" t="s">
        <v>1740</v>
      </c>
      <c r="E179" s="96">
        <v>520042847</v>
      </c>
      <c r="F179" s="96" t="s">
        <v>308</v>
      </c>
      <c r="G179" s="96" t="s">
        <v>1741</v>
      </c>
      <c r="H179" s="96" t="s">
        <v>1742</v>
      </c>
      <c r="I179" s="96" t="s">
        <v>320</v>
      </c>
      <c r="J179" s="96" t="s">
        <v>952</v>
      </c>
      <c r="K179" s="96" t="s">
        <v>203</v>
      </c>
      <c r="L179" s="96" t="s">
        <v>203</v>
      </c>
      <c r="M179" s="96" t="s">
        <v>324</v>
      </c>
      <c r="N179" s="96" t="s">
        <v>339</v>
      </c>
      <c r="O179" s="96" t="s">
        <v>450</v>
      </c>
      <c r="P179" s="96" t="s">
        <v>338</v>
      </c>
      <c r="Q179" s="96" t="s">
        <v>1320</v>
      </c>
      <c r="R179" s="96" t="s">
        <v>412</v>
      </c>
      <c r="S179" s="96" t="s">
        <v>406</v>
      </c>
      <c r="T179" s="96" t="s">
        <v>1200</v>
      </c>
      <c r="U179" s="97">
        <v>1.32</v>
      </c>
      <c r="V179" s="100">
        <v>46295</v>
      </c>
      <c r="W179" s="98">
        <v>3.9E-2</v>
      </c>
      <c r="X179" s="98">
        <v>5.5899999999999998E-2</v>
      </c>
      <c r="Y179" s="96" t="s">
        <v>411</v>
      </c>
      <c r="Z179" s="96"/>
      <c r="AA179" s="97">
        <v>21261.367795999999</v>
      </c>
      <c r="AB179" s="97">
        <v>1</v>
      </c>
      <c r="AC179" s="97">
        <v>98.89</v>
      </c>
      <c r="AD179" s="97"/>
      <c r="AE179" s="97">
        <v>21.025366000000002</v>
      </c>
      <c r="AF179" s="96"/>
      <c r="AG179" s="96"/>
      <c r="AH179" s="96"/>
      <c r="AI179" s="98">
        <v>2.6999999999999999E-5</v>
      </c>
      <c r="AJ179" s="98">
        <v>1.64E-3</v>
      </c>
      <c r="AK179" s="98">
        <v>4.0000000000000002E-4</v>
      </c>
      <c r="AL179" s="106"/>
    </row>
    <row r="180" spans="1:38" ht="15" customHeight="1">
      <c r="A180" s="106"/>
      <c r="B180" s="96">
        <v>286</v>
      </c>
      <c r="C180" s="96">
        <v>1445</v>
      </c>
      <c r="D180" s="96" t="s">
        <v>1417</v>
      </c>
      <c r="E180" s="96">
        <v>513230029</v>
      </c>
      <c r="F180" s="96" t="s">
        <v>308</v>
      </c>
      <c r="G180" s="96" t="s">
        <v>1743</v>
      </c>
      <c r="H180" s="96" t="s">
        <v>1744</v>
      </c>
      <c r="I180" s="96" t="s">
        <v>320</v>
      </c>
      <c r="J180" s="96" t="s">
        <v>952</v>
      </c>
      <c r="K180" s="96" t="s">
        <v>203</v>
      </c>
      <c r="L180" s="96" t="s">
        <v>203</v>
      </c>
      <c r="M180" s="96" t="s">
        <v>324</v>
      </c>
      <c r="N180" s="96" t="s">
        <v>339</v>
      </c>
      <c r="O180" s="96" t="s">
        <v>444</v>
      </c>
      <c r="P180" s="96" t="s">
        <v>338</v>
      </c>
      <c r="Q180" s="96" t="s">
        <v>1357</v>
      </c>
      <c r="R180" s="96" t="s">
        <v>414</v>
      </c>
      <c r="S180" s="96" t="s">
        <v>406</v>
      </c>
      <c r="T180" s="96" t="s">
        <v>1200</v>
      </c>
      <c r="U180" s="97">
        <v>1.48</v>
      </c>
      <c r="V180" s="100">
        <v>46022</v>
      </c>
      <c r="W180" s="98">
        <v>2.63E-2</v>
      </c>
      <c r="X180" s="98">
        <v>5.1700000000000003E-2</v>
      </c>
      <c r="Y180" s="96" t="s">
        <v>411</v>
      </c>
      <c r="Z180" s="96"/>
      <c r="AA180" s="97">
        <v>82007.354928999994</v>
      </c>
      <c r="AB180" s="97">
        <v>1</v>
      </c>
      <c r="AC180" s="97">
        <v>97.72</v>
      </c>
      <c r="AD180" s="97"/>
      <c r="AE180" s="97">
        <v>80.137586999999996</v>
      </c>
      <c r="AF180" s="96"/>
      <c r="AG180" s="96"/>
      <c r="AH180" s="96"/>
      <c r="AI180" s="98">
        <v>5.8999999999999998E-5</v>
      </c>
      <c r="AJ180" s="98">
        <v>6.2519999999999997E-3</v>
      </c>
      <c r="AK180" s="98">
        <v>1.526E-3</v>
      </c>
      <c r="AL180" s="106"/>
    </row>
    <row r="181" spans="1:38" ht="15" customHeight="1">
      <c r="A181" s="106"/>
      <c r="B181" s="96">
        <v>286</v>
      </c>
      <c r="C181" s="96">
        <v>1445</v>
      </c>
      <c r="D181" s="96" t="s">
        <v>1699</v>
      </c>
      <c r="E181" s="96">
        <v>511809071</v>
      </c>
      <c r="F181" s="96" t="s">
        <v>308</v>
      </c>
      <c r="G181" s="96" t="s">
        <v>1745</v>
      </c>
      <c r="H181" s="96" t="s">
        <v>1746</v>
      </c>
      <c r="I181" s="96" t="s">
        <v>320</v>
      </c>
      <c r="J181" s="96" t="s">
        <v>753</v>
      </c>
      <c r="K181" s="96" t="s">
        <v>203</v>
      </c>
      <c r="L181" s="96" t="s">
        <v>203</v>
      </c>
      <c r="M181" s="96" t="s">
        <v>324</v>
      </c>
      <c r="N181" s="96" t="s">
        <v>339</v>
      </c>
      <c r="O181" s="96" t="s">
        <v>461</v>
      </c>
      <c r="P181" s="96" t="s">
        <v>338</v>
      </c>
      <c r="Q181" s="96" t="s">
        <v>1332</v>
      </c>
      <c r="R181" s="96" t="s">
        <v>412</v>
      </c>
      <c r="S181" s="96" t="s">
        <v>406</v>
      </c>
      <c r="T181" s="96" t="s">
        <v>1200</v>
      </c>
      <c r="U181" s="97">
        <v>3.17</v>
      </c>
      <c r="V181" s="100">
        <v>47889</v>
      </c>
      <c r="W181" s="98">
        <v>2.1999999999999999E-2</v>
      </c>
      <c r="X181" s="98">
        <v>3.1099999999999999E-2</v>
      </c>
      <c r="Y181" s="96" t="s">
        <v>411</v>
      </c>
      <c r="Z181" s="96"/>
      <c r="AA181" s="97">
        <v>26473.016133000001</v>
      </c>
      <c r="AB181" s="97">
        <v>1</v>
      </c>
      <c r="AC181" s="97">
        <v>102.76</v>
      </c>
      <c r="AD181" s="97"/>
      <c r="AE181" s="97">
        <v>27.203671</v>
      </c>
      <c r="AF181" s="96"/>
      <c r="AG181" s="96"/>
      <c r="AH181" s="96"/>
      <c r="AI181" s="98">
        <v>7.4999999999999993E-5</v>
      </c>
      <c r="AJ181" s="98">
        <v>2.1220000000000002E-3</v>
      </c>
      <c r="AK181" s="98">
        <v>5.1800000000000001E-4</v>
      </c>
      <c r="AL181" s="106"/>
    </row>
    <row r="182" spans="1:38" ht="15" customHeight="1">
      <c r="A182" s="106"/>
      <c r="B182" s="96">
        <v>286</v>
      </c>
      <c r="C182" s="96">
        <v>1445</v>
      </c>
      <c r="D182" s="96" t="s">
        <v>1747</v>
      </c>
      <c r="E182" s="96">
        <v>512832742</v>
      </c>
      <c r="F182" s="96" t="s">
        <v>308</v>
      </c>
      <c r="G182" s="96" t="s">
        <v>1748</v>
      </c>
      <c r="H182" s="96" t="s">
        <v>1749</v>
      </c>
      <c r="I182" s="96" t="s">
        <v>320</v>
      </c>
      <c r="J182" s="96" t="s">
        <v>952</v>
      </c>
      <c r="K182" s="96" t="s">
        <v>203</v>
      </c>
      <c r="L182" s="96" t="s">
        <v>203</v>
      </c>
      <c r="M182" s="96" t="s">
        <v>324</v>
      </c>
      <c r="N182" s="96" t="s">
        <v>339</v>
      </c>
      <c r="O182" s="96" t="s">
        <v>483</v>
      </c>
      <c r="P182" s="96" t="s">
        <v>338</v>
      </c>
      <c r="Q182" s="96" t="s">
        <v>1309</v>
      </c>
      <c r="R182" s="96" t="s">
        <v>414</v>
      </c>
      <c r="S182" s="96" t="s">
        <v>406</v>
      </c>
      <c r="T182" s="96" t="s">
        <v>1200</v>
      </c>
      <c r="U182" s="97">
        <v>2.33</v>
      </c>
      <c r="V182" s="100">
        <v>46356</v>
      </c>
      <c r="W182" s="98">
        <v>3.6499999999999998E-2</v>
      </c>
      <c r="X182" s="98">
        <v>5.8000000000000003E-2</v>
      </c>
      <c r="Y182" s="96" t="s">
        <v>411</v>
      </c>
      <c r="Z182" s="96"/>
      <c r="AA182" s="97">
        <v>30594.226546000002</v>
      </c>
      <c r="AB182" s="97">
        <v>1</v>
      </c>
      <c r="AC182" s="97">
        <v>95.7</v>
      </c>
      <c r="AD182" s="97"/>
      <c r="AE182" s="97">
        <v>29.278673999999999</v>
      </c>
      <c r="AF182" s="96"/>
      <c r="AG182" s="96"/>
      <c r="AH182" s="96"/>
      <c r="AI182" s="98">
        <v>1.5E-5</v>
      </c>
      <c r="AJ182" s="98">
        <v>2.284E-3</v>
      </c>
      <c r="AK182" s="98">
        <v>5.5699999999999999E-4</v>
      </c>
      <c r="AL182" s="106"/>
    </row>
    <row r="183" spans="1:38" ht="15" customHeight="1">
      <c r="A183" s="106"/>
      <c r="B183" s="96">
        <v>286</v>
      </c>
      <c r="C183" s="96">
        <v>1445</v>
      </c>
      <c r="D183" s="96" t="s">
        <v>1432</v>
      </c>
      <c r="E183" s="96">
        <v>515327120</v>
      </c>
      <c r="F183" s="96" t="s">
        <v>308</v>
      </c>
      <c r="G183" s="96" t="s">
        <v>1750</v>
      </c>
      <c r="H183" s="96" t="s">
        <v>1666</v>
      </c>
      <c r="I183" s="96" t="s">
        <v>320</v>
      </c>
      <c r="J183" s="96" t="s">
        <v>753</v>
      </c>
      <c r="K183" s="96" t="s">
        <v>203</v>
      </c>
      <c r="L183" s="96" t="s">
        <v>203</v>
      </c>
      <c r="M183" s="96" t="s">
        <v>324</v>
      </c>
      <c r="N183" s="96" t="s">
        <v>339</v>
      </c>
      <c r="O183" s="96" t="s">
        <v>463</v>
      </c>
      <c r="P183" s="96" t="s">
        <v>337</v>
      </c>
      <c r="Q183" s="96" t="s">
        <v>1305</v>
      </c>
      <c r="R183" s="96" t="s">
        <v>414</v>
      </c>
      <c r="S183" s="96" t="s">
        <v>406</v>
      </c>
      <c r="T183" s="96" t="s">
        <v>1200</v>
      </c>
      <c r="U183" s="97">
        <v>4.4400000000000004</v>
      </c>
      <c r="V183" s="100">
        <v>47483</v>
      </c>
      <c r="W183" s="98">
        <v>8.5000000000000006E-3</v>
      </c>
      <c r="X183" s="98">
        <v>3.56E-2</v>
      </c>
      <c r="Y183" s="96" t="s">
        <v>411</v>
      </c>
      <c r="Z183" s="96"/>
      <c r="AA183" s="97">
        <v>2268.300444</v>
      </c>
      <c r="AB183" s="97">
        <v>1</v>
      </c>
      <c r="AC183" s="97">
        <v>99.88</v>
      </c>
      <c r="AD183" s="97"/>
      <c r="AE183" s="97">
        <v>2.2655780000000001</v>
      </c>
      <c r="AF183" s="96"/>
      <c r="AG183" s="96"/>
      <c r="AH183" s="96"/>
      <c r="AI183" s="98">
        <v>3.0000000000000001E-6</v>
      </c>
      <c r="AJ183" s="98">
        <v>1.76E-4</v>
      </c>
      <c r="AK183" s="98">
        <v>4.3000000000000002E-5</v>
      </c>
      <c r="AL183" s="106"/>
    </row>
    <row r="184" spans="1:38" ht="15" customHeight="1">
      <c r="A184" s="106"/>
      <c r="B184" s="96">
        <v>286</v>
      </c>
      <c r="C184" s="96">
        <v>1445</v>
      </c>
      <c r="D184" s="96" t="s">
        <v>1658</v>
      </c>
      <c r="E184" s="96">
        <v>520038506</v>
      </c>
      <c r="F184" s="96" t="s">
        <v>308</v>
      </c>
      <c r="G184" s="96" t="s">
        <v>1751</v>
      </c>
      <c r="H184" s="96" t="s">
        <v>1752</v>
      </c>
      <c r="I184" s="96" t="s">
        <v>320</v>
      </c>
      <c r="J184" s="96" t="s">
        <v>952</v>
      </c>
      <c r="K184" s="96" t="s">
        <v>203</v>
      </c>
      <c r="L184" s="96" t="s">
        <v>203</v>
      </c>
      <c r="M184" s="96" t="s">
        <v>326</v>
      </c>
      <c r="N184" s="96" t="s">
        <v>339</v>
      </c>
      <c r="O184" s="96" t="s">
        <v>463</v>
      </c>
      <c r="P184" s="96" t="s">
        <v>337</v>
      </c>
      <c r="Q184" s="96" t="s">
        <v>1305</v>
      </c>
      <c r="R184" s="96" t="s">
        <v>414</v>
      </c>
      <c r="S184" s="96" t="s">
        <v>406</v>
      </c>
      <c r="T184" s="96" t="s">
        <v>1200</v>
      </c>
      <c r="U184" s="97">
        <v>4.58</v>
      </c>
      <c r="V184" s="100">
        <v>47907</v>
      </c>
      <c r="W184" s="98">
        <v>2.41E-2</v>
      </c>
      <c r="X184" s="98">
        <v>6.5199999999999994E-2</v>
      </c>
      <c r="Y184" s="96" t="s">
        <v>411</v>
      </c>
      <c r="Z184" s="96"/>
      <c r="AA184" s="97">
        <v>1750.7480230000001</v>
      </c>
      <c r="AB184" s="97">
        <v>1</v>
      </c>
      <c r="AC184" s="97">
        <v>84.062799999999996</v>
      </c>
      <c r="AD184" s="97"/>
      <c r="AE184" s="97">
        <v>1.471727</v>
      </c>
      <c r="AF184" s="96"/>
      <c r="AG184" s="96"/>
      <c r="AH184" s="96"/>
      <c r="AI184" s="98">
        <v>0</v>
      </c>
      <c r="AJ184" s="98">
        <v>1.1400000000000001E-4</v>
      </c>
      <c r="AK184" s="98">
        <v>2.8E-5</v>
      </c>
      <c r="AL184" s="106"/>
    </row>
    <row r="185" spans="1:38" ht="15" customHeight="1">
      <c r="A185" s="106"/>
      <c r="B185" s="96">
        <v>286</v>
      </c>
      <c r="C185" s="96">
        <v>1445</v>
      </c>
      <c r="D185" s="96" t="s">
        <v>1414</v>
      </c>
      <c r="E185" s="96">
        <v>520037789</v>
      </c>
      <c r="F185" s="96" t="s">
        <v>308</v>
      </c>
      <c r="G185" s="96" t="s">
        <v>1753</v>
      </c>
      <c r="H185" s="96" t="s">
        <v>1754</v>
      </c>
      <c r="I185" s="96" t="s">
        <v>320</v>
      </c>
      <c r="J185" s="96" t="s">
        <v>753</v>
      </c>
      <c r="K185" s="96" t="s">
        <v>203</v>
      </c>
      <c r="L185" s="96" t="s">
        <v>203</v>
      </c>
      <c r="M185" s="96" t="s">
        <v>324</v>
      </c>
      <c r="N185" s="96" t="s">
        <v>339</v>
      </c>
      <c r="O185" s="96" t="s">
        <v>463</v>
      </c>
      <c r="P185" s="96" t="s">
        <v>337</v>
      </c>
      <c r="Q185" s="96" t="s">
        <v>1313</v>
      </c>
      <c r="R185" s="96" t="s">
        <v>412</v>
      </c>
      <c r="S185" s="96" t="s">
        <v>406</v>
      </c>
      <c r="T185" s="96" t="s">
        <v>1200</v>
      </c>
      <c r="U185" s="97">
        <v>3.8</v>
      </c>
      <c r="V185" s="100">
        <v>46935</v>
      </c>
      <c r="W185" s="98">
        <v>6.4999999999999997E-3</v>
      </c>
      <c r="X185" s="98">
        <v>2.75E-2</v>
      </c>
      <c r="Y185" s="96" t="s">
        <v>411</v>
      </c>
      <c r="Z185" s="96"/>
      <c r="AA185" s="97">
        <v>34445.090013000001</v>
      </c>
      <c r="AB185" s="97">
        <v>1</v>
      </c>
      <c r="AC185" s="97">
        <v>104.76</v>
      </c>
      <c r="AD185" s="97">
        <v>0.42888199999999999</v>
      </c>
      <c r="AE185" s="97">
        <v>36.513558000000003</v>
      </c>
      <c r="AF185" s="96"/>
      <c r="AG185" s="96"/>
      <c r="AH185" s="96"/>
      <c r="AI185" s="98">
        <v>6.8999999999999997E-5</v>
      </c>
      <c r="AJ185" s="98">
        <v>2.8479999999999998E-3</v>
      </c>
      <c r="AK185" s="98">
        <v>6.9499999999999998E-4</v>
      </c>
      <c r="AL185" s="106"/>
    </row>
    <row r="186" spans="1:38" ht="15" customHeight="1">
      <c r="A186" s="106"/>
      <c r="B186" s="96">
        <v>286</v>
      </c>
      <c r="C186" s="96">
        <v>1445</v>
      </c>
      <c r="D186" s="96" t="s">
        <v>1477</v>
      </c>
      <c r="E186" s="96">
        <v>520029935</v>
      </c>
      <c r="F186" s="96" t="s">
        <v>308</v>
      </c>
      <c r="G186" s="96" t="s">
        <v>1755</v>
      </c>
      <c r="H186" s="96" t="s">
        <v>1756</v>
      </c>
      <c r="I186" s="96" t="s">
        <v>320</v>
      </c>
      <c r="J186" s="96" t="s">
        <v>753</v>
      </c>
      <c r="K186" s="96" t="s">
        <v>203</v>
      </c>
      <c r="L186" s="96" t="s">
        <v>203</v>
      </c>
      <c r="M186" s="96" t="s">
        <v>324</v>
      </c>
      <c r="N186" s="96" t="s">
        <v>339</v>
      </c>
      <c r="O186" s="96" t="s">
        <v>447</v>
      </c>
      <c r="P186" s="96" t="s">
        <v>338</v>
      </c>
      <c r="Q186" s="96" t="s">
        <v>1305</v>
      </c>
      <c r="R186" s="96" t="s">
        <v>414</v>
      </c>
      <c r="S186" s="96" t="s">
        <v>406</v>
      </c>
      <c r="T186" s="96" t="s">
        <v>1200</v>
      </c>
      <c r="U186" s="97">
        <v>1.31</v>
      </c>
      <c r="V186" s="100">
        <v>45959</v>
      </c>
      <c r="W186" s="98">
        <v>1.46E-2</v>
      </c>
      <c r="X186" s="98">
        <v>2.47E-2</v>
      </c>
      <c r="Y186" s="96" t="s">
        <v>410</v>
      </c>
      <c r="Z186" s="96"/>
      <c r="AA186" s="97">
        <v>43116.426655000003</v>
      </c>
      <c r="AB186" s="97">
        <v>1</v>
      </c>
      <c r="AC186" s="97">
        <v>112.48</v>
      </c>
      <c r="AD186" s="97"/>
      <c r="AE186" s="97">
        <v>48.497356000000003</v>
      </c>
      <c r="AF186" s="96"/>
      <c r="AG186" s="96"/>
      <c r="AH186" s="96"/>
      <c r="AI186" s="98">
        <v>3.1999999999999999E-5</v>
      </c>
      <c r="AJ186" s="98">
        <v>3.7829999999999999E-3</v>
      </c>
      <c r="AK186" s="98">
        <v>9.2299999999999999E-4</v>
      </c>
      <c r="AL186" s="106"/>
    </row>
    <row r="187" spans="1:38" ht="15" customHeight="1">
      <c r="A187" s="106"/>
      <c r="B187" s="96">
        <v>286</v>
      </c>
      <c r="C187" s="96">
        <v>1445</v>
      </c>
      <c r="D187" s="96" t="s">
        <v>1757</v>
      </c>
      <c r="E187" s="96">
        <v>520041146</v>
      </c>
      <c r="F187" s="96" t="s">
        <v>308</v>
      </c>
      <c r="G187" s="96" t="s">
        <v>1758</v>
      </c>
      <c r="H187" s="96" t="s">
        <v>1759</v>
      </c>
      <c r="I187" s="96" t="s">
        <v>320</v>
      </c>
      <c r="J187" s="96" t="s">
        <v>952</v>
      </c>
      <c r="K187" s="96" t="s">
        <v>203</v>
      </c>
      <c r="L187" s="96" t="s">
        <v>203</v>
      </c>
      <c r="M187" s="96" t="s">
        <v>324</v>
      </c>
      <c r="N187" s="96" t="s">
        <v>339</v>
      </c>
      <c r="O187" s="96" t="s">
        <v>440</v>
      </c>
      <c r="P187" s="96" t="s">
        <v>337</v>
      </c>
      <c r="Q187" s="96" t="s">
        <v>1520</v>
      </c>
      <c r="R187" s="96" t="s">
        <v>414</v>
      </c>
      <c r="S187" s="96" t="s">
        <v>406</v>
      </c>
      <c r="T187" s="96" t="s">
        <v>1200</v>
      </c>
      <c r="U187" s="97">
        <v>4.0999999999999996</v>
      </c>
      <c r="V187" s="100">
        <v>46997</v>
      </c>
      <c r="W187" s="98">
        <v>7.4999999999999997E-3</v>
      </c>
      <c r="X187" s="98">
        <v>0.06</v>
      </c>
      <c r="Y187" s="96" t="s">
        <v>411</v>
      </c>
      <c r="Z187" s="96"/>
      <c r="AA187" s="97">
        <v>3782.3651930000001</v>
      </c>
      <c r="AB187" s="97">
        <v>1</v>
      </c>
      <c r="AC187" s="97">
        <v>81.400000000000006</v>
      </c>
      <c r="AD187" s="97"/>
      <c r="AE187" s="97">
        <v>3.0788449999999998</v>
      </c>
      <c r="AF187" s="96"/>
      <c r="AG187" s="96"/>
      <c r="AH187" s="96"/>
      <c r="AI187" s="98">
        <v>6.9999999999999999E-6</v>
      </c>
      <c r="AJ187" s="98">
        <v>2.4000000000000001E-4</v>
      </c>
      <c r="AK187" s="98">
        <v>5.8E-5</v>
      </c>
      <c r="AL187" s="106"/>
    </row>
    <row r="188" spans="1:38" ht="15" customHeight="1">
      <c r="A188" s="106"/>
      <c r="B188" s="96">
        <v>286</v>
      </c>
      <c r="C188" s="96">
        <v>1445</v>
      </c>
      <c r="D188" s="96" t="s">
        <v>1760</v>
      </c>
      <c r="E188" s="96">
        <v>520038894</v>
      </c>
      <c r="F188" s="96" t="s">
        <v>308</v>
      </c>
      <c r="G188" s="96" t="s">
        <v>1761</v>
      </c>
      <c r="H188" s="96" t="s">
        <v>1762</v>
      </c>
      <c r="I188" s="96" t="s">
        <v>320</v>
      </c>
      <c r="J188" s="96" t="s">
        <v>753</v>
      </c>
      <c r="K188" s="96" t="s">
        <v>203</v>
      </c>
      <c r="L188" s="96" t="s">
        <v>203</v>
      </c>
      <c r="M188" s="96" t="s">
        <v>324</v>
      </c>
      <c r="N188" s="96" t="s">
        <v>339</v>
      </c>
      <c r="O188" s="96" t="s">
        <v>464</v>
      </c>
      <c r="P188" s="96" t="s">
        <v>338</v>
      </c>
      <c r="Q188" s="96" t="s">
        <v>1313</v>
      </c>
      <c r="R188" s="96" t="s">
        <v>412</v>
      </c>
      <c r="S188" s="96" t="s">
        <v>406</v>
      </c>
      <c r="T188" s="96" t="s">
        <v>1200</v>
      </c>
      <c r="U188" s="97">
        <v>3.16</v>
      </c>
      <c r="V188" s="100">
        <v>46661</v>
      </c>
      <c r="W188" s="98">
        <v>5.0000000000000001E-3</v>
      </c>
      <c r="X188" s="98">
        <v>3.04E-2</v>
      </c>
      <c r="Y188" s="96" t="s">
        <v>411</v>
      </c>
      <c r="Z188" s="96"/>
      <c r="AA188" s="97">
        <v>21699.948694999999</v>
      </c>
      <c r="AB188" s="97">
        <v>1</v>
      </c>
      <c r="AC188" s="97">
        <v>102.49</v>
      </c>
      <c r="AD188" s="97"/>
      <c r="AE188" s="97">
        <v>22.240276999999999</v>
      </c>
      <c r="AF188" s="96"/>
      <c r="AG188" s="96"/>
      <c r="AH188" s="96"/>
      <c r="AI188" s="98">
        <v>3.1000000000000001E-5</v>
      </c>
      <c r="AJ188" s="98">
        <v>1.735E-3</v>
      </c>
      <c r="AK188" s="98">
        <v>4.2299999999999998E-4</v>
      </c>
      <c r="AL188" s="106"/>
    </row>
    <row r="189" spans="1:38" ht="15" customHeight="1">
      <c r="A189" s="106"/>
      <c r="B189" s="96">
        <v>286</v>
      </c>
      <c r="C189" s="96">
        <v>1445</v>
      </c>
      <c r="D189" s="96" t="s">
        <v>1658</v>
      </c>
      <c r="E189" s="96">
        <v>520038506</v>
      </c>
      <c r="F189" s="96" t="s">
        <v>308</v>
      </c>
      <c r="G189" s="96" t="s">
        <v>1763</v>
      </c>
      <c r="H189" s="96" t="s">
        <v>1764</v>
      </c>
      <c r="I189" s="96" t="s">
        <v>320</v>
      </c>
      <c r="J189" s="96" t="s">
        <v>952</v>
      </c>
      <c r="K189" s="96" t="s">
        <v>203</v>
      </c>
      <c r="L189" s="96" t="s">
        <v>203</v>
      </c>
      <c r="M189" s="96" t="s">
        <v>324</v>
      </c>
      <c r="N189" s="96" t="s">
        <v>339</v>
      </c>
      <c r="O189" s="96" t="s">
        <v>463</v>
      </c>
      <c r="P189" s="96" t="s">
        <v>337</v>
      </c>
      <c r="Q189" s="96" t="s">
        <v>1305</v>
      </c>
      <c r="R189" s="96" t="s">
        <v>414</v>
      </c>
      <c r="S189" s="96" t="s">
        <v>406</v>
      </c>
      <c r="T189" s="96" t="s">
        <v>1200</v>
      </c>
      <c r="U189" s="97">
        <v>6.47</v>
      </c>
      <c r="V189" s="100">
        <v>50099</v>
      </c>
      <c r="W189" s="98">
        <v>4.9399999999999999E-2</v>
      </c>
      <c r="X189" s="98">
        <v>6.9400000000000003E-2</v>
      </c>
      <c r="Y189" s="96" t="s">
        <v>411</v>
      </c>
      <c r="Z189" s="96"/>
      <c r="AA189" s="97">
        <v>54166.907441000003</v>
      </c>
      <c r="AB189" s="97">
        <v>1</v>
      </c>
      <c r="AC189" s="97">
        <v>89.76</v>
      </c>
      <c r="AD189" s="97"/>
      <c r="AE189" s="97">
        <v>48.620215999999999</v>
      </c>
      <c r="AF189" s="96"/>
      <c r="AG189" s="96"/>
      <c r="AH189" s="96"/>
      <c r="AI189" s="98">
        <v>6.0000000000000002E-5</v>
      </c>
      <c r="AJ189" s="98">
        <v>3.7929999999999999E-3</v>
      </c>
      <c r="AK189" s="98">
        <v>9.2500000000000004E-4</v>
      </c>
      <c r="AL189" s="106"/>
    </row>
    <row r="190" spans="1:38" ht="15" customHeight="1">
      <c r="A190" s="106"/>
      <c r="B190" s="96">
        <v>286</v>
      </c>
      <c r="C190" s="96">
        <v>1445</v>
      </c>
      <c r="D190" s="96" t="s">
        <v>1337</v>
      </c>
      <c r="E190" s="96">
        <v>520028010</v>
      </c>
      <c r="F190" s="96" t="s">
        <v>308</v>
      </c>
      <c r="G190" s="96" t="s">
        <v>1765</v>
      </c>
      <c r="H190" s="96" t="s">
        <v>1766</v>
      </c>
      <c r="I190" s="96" t="s">
        <v>320</v>
      </c>
      <c r="J190" s="96" t="s">
        <v>952</v>
      </c>
      <c r="K190" s="96" t="s">
        <v>203</v>
      </c>
      <c r="L190" s="96" t="s">
        <v>203</v>
      </c>
      <c r="M190" s="96" t="s">
        <v>324</v>
      </c>
      <c r="N190" s="96" t="s">
        <v>339</v>
      </c>
      <c r="O190" s="96" t="s">
        <v>450</v>
      </c>
      <c r="P190" s="96" t="s">
        <v>338</v>
      </c>
      <c r="Q190" s="96" t="s">
        <v>1320</v>
      </c>
      <c r="R190" s="96" t="s">
        <v>412</v>
      </c>
      <c r="S190" s="96" t="s">
        <v>406</v>
      </c>
      <c r="T190" s="96" t="s">
        <v>1200</v>
      </c>
      <c r="U190" s="97">
        <v>2.58</v>
      </c>
      <c r="V190" s="100">
        <v>46934</v>
      </c>
      <c r="W190" s="98">
        <v>2.1999999999999999E-2</v>
      </c>
      <c r="X190" s="98">
        <v>5.3800000000000001E-2</v>
      </c>
      <c r="Y190" s="96" t="s">
        <v>411</v>
      </c>
      <c r="Z190" s="96"/>
      <c r="AA190" s="97">
        <v>48931.251096</v>
      </c>
      <c r="AB190" s="97">
        <v>1</v>
      </c>
      <c r="AC190" s="97">
        <v>92.37</v>
      </c>
      <c r="AD190" s="97"/>
      <c r="AE190" s="97">
        <v>45.197795999999997</v>
      </c>
      <c r="AF190" s="96"/>
      <c r="AG190" s="96"/>
      <c r="AH190" s="96"/>
      <c r="AI190" s="98">
        <v>4.5000000000000003E-5</v>
      </c>
      <c r="AJ190" s="98">
        <v>3.5260000000000001E-3</v>
      </c>
      <c r="AK190" s="98">
        <v>8.5999999999999998E-4</v>
      </c>
      <c r="AL190" s="106"/>
    </row>
    <row r="191" spans="1:38" ht="15" customHeight="1">
      <c r="A191" s="106"/>
      <c r="B191" s="96">
        <v>286</v>
      </c>
      <c r="C191" s="96">
        <v>1445</v>
      </c>
      <c r="D191" s="96" t="s">
        <v>1760</v>
      </c>
      <c r="E191" s="96">
        <v>520038894</v>
      </c>
      <c r="F191" s="96" t="s">
        <v>308</v>
      </c>
      <c r="G191" s="96" t="s">
        <v>1767</v>
      </c>
      <c r="H191" s="96" t="s">
        <v>1768</v>
      </c>
      <c r="I191" s="96" t="s">
        <v>320</v>
      </c>
      <c r="J191" s="96" t="s">
        <v>753</v>
      </c>
      <c r="K191" s="96" t="s">
        <v>203</v>
      </c>
      <c r="L191" s="96" t="s">
        <v>203</v>
      </c>
      <c r="M191" s="96" t="s">
        <v>324</v>
      </c>
      <c r="N191" s="96" t="s">
        <v>339</v>
      </c>
      <c r="O191" s="96" t="s">
        <v>464</v>
      </c>
      <c r="P191" s="96" t="s">
        <v>338</v>
      </c>
      <c r="Q191" s="96" t="s">
        <v>1332</v>
      </c>
      <c r="R191" s="96" t="s">
        <v>412</v>
      </c>
      <c r="S191" s="96" t="s">
        <v>406</v>
      </c>
      <c r="T191" s="96" t="s">
        <v>1200</v>
      </c>
      <c r="U191" s="97">
        <v>1.95</v>
      </c>
      <c r="V191" s="100">
        <v>46752</v>
      </c>
      <c r="W191" s="98">
        <v>1.4999999999999999E-2</v>
      </c>
      <c r="X191" s="98">
        <v>2.9600000000000001E-2</v>
      </c>
      <c r="Y191" s="96" t="s">
        <v>411</v>
      </c>
      <c r="Z191" s="96"/>
      <c r="AA191" s="97">
        <v>4649.8491860000004</v>
      </c>
      <c r="AB191" s="97">
        <v>1</v>
      </c>
      <c r="AC191" s="97">
        <v>109.35</v>
      </c>
      <c r="AD191" s="97"/>
      <c r="AE191" s="97">
        <v>5.0846099999999996</v>
      </c>
      <c r="AF191" s="96"/>
      <c r="AG191" s="96"/>
      <c r="AH191" s="96"/>
      <c r="AI191" s="98">
        <v>1.2E-5</v>
      </c>
      <c r="AJ191" s="98">
        <v>3.9599999999999998E-4</v>
      </c>
      <c r="AK191" s="98">
        <v>9.6000000000000002E-5</v>
      </c>
      <c r="AL191" s="106"/>
    </row>
    <row r="192" spans="1:38" ht="15" customHeight="1">
      <c r="A192" s="106"/>
      <c r="B192" s="96">
        <v>286</v>
      </c>
      <c r="C192" s="96">
        <v>1445</v>
      </c>
      <c r="D192" s="96" t="s">
        <v>1417</v>
      </c>
      <c r="E192" s="96">
        <v>513230029</v>
      </c>
      <c r="F192" s="96" t="s">
        <v>308</v>
      </c>
      <c r="G192" s="96" t="s">
        <v>1769</v>
      </c>
      <c r="H192" s="96" t="s">
        <v>1770</v>
      </c>
      <c r="I192" s="96" t="s">
        <v>320</v>
      </c>
      <c r="J192" s="96" t="s">
        <v>952</v>
      </c>
      <c r="K192" s="96" t="s">
        <v>203</v>
      </c>
      <c r="L192" s="96" t="s">
        <v>203</v>
      </c>
      <c r="M192" s="96" t="s">
        <v>324</v>
      </c>
      <c r="N192" s="96" t="s">
        <v>339</v>
      </c>
      <c r="O192" s="96" t="s">
        <v>444</v>
      </c>
      <c r="P192" s="96" t="s">
        <v>338</v>
      </c>
      <c r="Q192" s="96" t="s">
        <v>1357</v>
      </c>
      <c r="R192" s="96" t="s">
        <v>414</v>
      </c>
      <c r="S192" s="96" t="s">
        <v>406</v>
      </c>
      <c r="T192" s="96" t="s">
        <v>1200</v>
      </c>
      <c r="U192" s="97">
        <v>3.56</v>
      </c>
      <c r="V192" s="100">
        <v>46843</v>
      </c>
      <c r="W192" s="98">
        <v>3.2599999999999997E-2</v>
      </c>
      <c r="X192" s="98">
        <v>5.7500000000000002E-2</v>
      </c>
      <c r="Y192" s="96" t="s">
        <v>411</v>
      </c>
      <c r="Z192" s="96"/>
      <c r="AA192" s="97">
        <v>28937.883720000002</v>
      </c>
      <c r="AB192" s="97">
        <v>1</v>
      </c>
      <c r="AC192" s="97">
        <v>92.62</v>
      </c>
      <c r="AD192" s="97"/>
      <c r="AE192" s="97">
        <v>26.802267000000001</v>
      </c>
      <c r="AF192" s="96"/>
      <c r="AG192" s="96"/>
      <c r="AH192" s="96"/>
      <c r="AI192" s="98">
        <v>2.9E-5</v>
      </c>
      <c r="AJ192" s="98">
        <v>2.091E-3</v>
      </c>
      <c r="AK192" s="98">
        <v>5.1000000000000004E-4</v>
      </c>
      <c r="AL192" s="106"/>
    </row>
    <row r="193" spans="1:38" ht="15" customHeight="1">
      <c r="A193" s="106"/>
      <c r="B193" s="96">
        <v>286</v>
      </c>
      <c r="C193" s="96">
        <v>1445</v>
      </c>
      <c r="D193" s="96" t="s">
        <v>1406</v>
      </c>
      <c r="E193" s="96">
        <v>520025586</v>
      </c>
      <c r="F193" s="96" t="s">
        <v>308</v>
      </c>
      <c r="G193" s="96" t="s">
        <v>1407</v>
      </c>
      <c r="H193" s="96" t="s">
        <v>1408</v>
      </c>
      <c r="I193" s="96" t="s">
        <v>320</v>
      </c>
      <c r="J193" s="96" t="s">
        <v>753</v>
      </c>
      <c r="K193" s="96" t="s">
        <v>203</v>
      </c>
      <c r="L193" s="96" t="s">
        <v>203</v>
      </c>
      <c r="M193" s="96" t="s">
        <v>324</v>
      </c>
      <c r="N193" s="96" t="s">
        <v>339</v>
      </c>
      <c r="O193" s="96" t="s">
        <v>450</v>
      </c>
      <c r="P193" s="96" t="s">
        <v>338</v>
      </c>
      <c r="Q193" s="96" t="s">
        <v>409</v>
      </c>
      <c r="R193" s="96" t="s">
        <v>409</v>
      </c>
      <c r="S193" s="96" t="s">
        <v>409</v>
      </c>
      <c r="T193" s="96" t="s">
        <v>1200</v>
      </c>
      <c r="U193" s="97">
        <v>3.02</v>
      </c>
      <c r="V193" s="100">
        <v>46934</v>
      </c>
      <c r="W193" s="98">
        <v>3.6999999999999998E-2</v>
      </c>
      <c r="X193" s="98">
        <v>4.7500000000000001E-2</v>
      </c>
      <c r="Y193" s="96" t="s">
        <v>411</v>
      </c>
      <c r="Z193" s="96"/>
      <c r="AA193" s="97">
        <v>5993.3367049999997</v>
      </c>
      <c r="AB193" s="97">
        <v>1</v>
      </c>
      <c r="AC193" s="97">
        <v>110.24</v>
      </c>
      <c r="AD193" s="97"/>
      <c r="AE193" s="97">
        <v>6.6070539999999998</v>
      </c>
      <c r="AF193" s="96"/>
      <c r="AG193" s="96"/>
      <c r="AH193" s="96"/>
      <c r="AI193" s="98">
        <v>6.9999999999999999E-6</v>
      </c>
      <c r="AJ193" s="98">
        <v>5.1500000000000005E-4</v>
      </c>
      <c r="AK193" s="98">
        <v>1.25E-4</v>
      </c>
      <c r="AL193" s="106"/>
    </row>
    <row r="194" spans="1:38" ht="15" customHeight="1">
      <c r="A194" s="106"/>
      <c r="B194" s="96">
        <v>286</v>
      </c>
      <c r="C194" s="96">
        <v>1445</v>
      </c>
      <c r="D194" s="96" t="s">
        <v>1771</v>
      </c>
      <c r="E194" s="96">
        <v>515364891</v>
      </c>
      <c r="F194" s="96" t="s">
        <v>308</v>
      </c>
      <c r="G194" s="96" t="s">
        <v>1772</v>
      </c>
      <c r="H194" s="96" t="s">
        <v>1773</v>
      </c>
      <c r="I194" s="96" t="s">
        <v>320</v>
      </c>
      <c r="J194" s="96" t="s">
        <v>753</v>
      </c>
      <c r="K194" s="96" t="s">
        <v>203</v>
      </c>
      <c r="L194" s="96" t="s">
        <v>203</v>
      </c>
      <c r="M194" s="96" t="s">
        <v>326</v>
      </c>
      <c r="N194" s="96" t="s">
        <v>339</v>
      </c>
      <c r="O194" s="96" t="s">
        <v>440</v>
      </c>
      <c r="P194" s="96" t="s">
        <v>338</v>
      </c>
      <c r="Q194" s="96" t="s">
        <v>409</v>
      </c>
      <c r="R194" s="96" t="s">
        <v>409</v>
      </c>
      <c r="S194" s="96" t="s">
        <v>409</v>
      </c>
      <c r="T194" s="96" t="s">
        <v>1200</v>
      </c>
      <c r="U194" s="97">
        <v>2.96</v>
      </c>
      <c r="V194" s="100">
        <v>46934</v>
      </c>
      <c r="W194" s="98">
        <v>1.5800000000000002E-2</v>
      </c>
      <c r="X194" s="98">
        <v>4.6199999999999998E-2</v>
      </c>
      <c r="Y194" s="96" t="s">
        <v>411</v>
      </c>
      <c r="Z194" s="96"/>
      <c r="AA194" s="97">
        <v>1864.9784520000001</v>
      </c>
      <c r="AB194" s="97">
        <v>1</v>
      </c>
      <c r="AC194" s="97">
        <v>102.4538</v>
      </c>
      <c r="AD194" s="97"/>
      <c r="AE194" s="97">
        <v>1.9107400000000001</v>
      </c>
      <c r="AF194" s="96"/>
      <c r="AG194" s="96"/>
      <c r="AH194" s="96"/>
      <c r="AI194" s="98">
        <v>3.9999999999999998E-6</v>
      </c>
      <c r="AJ194" s="98">
        <v>1.4899999999999999E-4</v>
      </c>
      <c r="AK194" s="98">
        <v>3.6000000000000001E-5</v>
      </c>
      <c r="AL194" s="106"/>
    </row>
    <row r="195" spans="1:38" ht="15" customHeight="1">
      <c r="A195" s="106"/>
      <c r="B195" s="96">
        <v>286</v>
      </c>
      <c r="C195" s="96">
        <v>1445</v>
      </c>
      <c r="D195" s="96" t="s">
        <v>1774</v>
      </c>
      <c r="E195" s="96">
        <v>520039967</v>
      </c>
      <c r="F195" s="96" t="s">
        <v>308</v>
      </c>
      <c r="G195" s="96" t="s">
        <v>1775</v>
      </c>
      <c r="H195" s="96" t="s">
        <v>1776</v>
      </c>
      <c r="I195" s="96" t="s">
        <v>320</v>
      </c>
      <c r="J195" s="96" t="s">
        <v>952</v>
      </c>
      <c r="K195" s="96" t="s">
        <v>203</v>
      </c>
      <c r="L195" s="96" t="s">
        <v>203</v>
      </c>
      <c r="M195" s="96" t="s">
        <v>324</v>
      </c>
      <c r="N195" s="96" t="s">
        <v>339</v>
      </c>
      <c r="O195" s="96" t="s">
        <v>474</v>
      </c>
      <c r="P195" s="96" t="s">
        <v>337</v>
      </c>
      <c r="Q195" s="96" t="s">
        <v>1332</v>
      </c>
      <c r="R195" s="96" t="s">
        <v>412</v>
      </c>
      <c r="S195" s="96" t="s">
        <v>406</v>
      </c>
      <c r="T195" s="96" t="s">
        <v>1200</v>
      </c>
      <c r="U195" s="97">
        <v>3.04</v>
      </c>
      <c r="V195" s="100">
        <v>47483</v>
      </c>
      <c r="W195" s="98">
        <v>2.1000000000000001E-2</v>
      </c>
      <c r="X195" s="98">
        <v>5.79E-2</v>
      </c>
      <c r="Y195" s="96" t="s">
        <v>411</v>
      </c>
      <c r="Z195" s="96"/>
      <c r="AA195" s="97">
        <v>12130.603674</v>
      </c>
      <c r="AB195" s="97">
        <v>1</v>
      </c>
      <c r="AC195" s="97">
        <v>89.62</v>
      </c>
      <c r="AD195" s="97"/>
      <c r="AE195" s="97">
        <v>10.871447</v>
      </c>
      <c r="AF195" s="96"/>
      <c r="AG195" s="96"/>
      <c r="AH195" s="96"/>
      <c r="AI195" s="98">
        <v>2.0999999999999999E-5</v>
      </c>
      <c r="AJ195" s="98">
        <v>8.4800000000000001E-4</v>
      </c>
      <c r="AK195" s="98">
        <v>2.0699999999999999E-4</v>
      </c>
      <c r="AL195" s="106"/>
    </row>
    <row r="196" spans="1:38" ht="15" customHeight="1">
      <c r="A196" s="106"/>
      <c r="B196" s="96">
        <v>286</v>
      </c>
      <c r="C196" s="96">
        <v>1445</v>
      </c>
      <c r="D196" s="96" t="s">
        <v>1484</v>
      </c>
      <c r="E196" s="96">
        <v>520036617</v>
      </c>
      <c r="F196" s="96" t="s">
        <v>308</v>
      </c>
      <c r="G196" s="96" t="s">
        <v>1777</v>
      </c>
      <c r="H196" s="96" t="s">
        <v>1778</v>
      </c>
      <c r="I196" s="96" t="s">
        <v>320</v>
      </c>
      <c r="J196" s="96" t="s">
        <v>753</v>
      </c>
      <c r="K196" s="96" t="s">
        <v>203</v>
      </c>
      <c r="L196" s="96" t="s">
        <v>203</v>
      </c>
      <c r="M196" s="96" t="s">
        <v>324</v>
      </c>
      <c r="N196" s="96" t="s">
        <v>339</v>
      </c>
      <c r="O196" s="96" t="s">
        <v>463</v>
      </c>
      <c r="P196" s="96" t="s">
        <v>338</v>
      </c>
      <c r="Q196" s="96" t="s">
        <v>1328</v>
      </c>
      <c r="R196" s="96" t="s">
        <v>412</v>
      </c>
      <c r="S196" s="96" t="s">
        <v>406</v>
      </c>
      <c r="T196" s="96" t="s">
        <v>1200</v>
      </c>
      <c r="U196" s="97">
        <v>4.79</v>
      </c>
      <c r="V196" s="100">
        <v>47848</v>
      </c>
      <c r="W196" s="98">
        <v>8.9999999999999993E-3</v>
      </c>
      <c r="X196" s="98">
        <v>3.8100000000000002E-2</v>
      </c>
      <c r="Y196" s="96" t="s">
        <v>411</v>
      </c>
      <c r="Z196" s="96"/>
      <c r="AA196" s="97">
        <v>22193.716251999998</v>
      </c>
      <c r="AB196" s="97">
        <v>1</v>
      </c>
      <c r="AC196" s="97">
        <v>96.52</v>
      </c>
      <c r="AD196" s="97"/>
      <c r="AE196" s="97">
        <v>21.421374</v>
      </c>
      <c r="AF196" s="96"/>
      <c r="AG196" s="96"/>
      <c r="AH196" s="96"/>
      <c r="AI196" s="98">
        <v>5.3000000000000001E-5</v>
      </c>
      <c r="AJ196" s="98">
        <v>1.671E-3</v>
      </c>
      <c r="AK196" s="98">
        <v>4.0700000000000003E-4</v>
      </c>
      <c r="AL196" s="106"/>
    </row>
    <row r="197" spans="1:38" ht="15" customHeight="1">
      <c r="A197" s="106"/>
      <c r="B197" s="96">
        <v>286</v>
      </c>
      <c r="C197" s="96">
        <v>1445</v>
      </c>
      <c r="D197" s="96" t="s">
        <v>1411</v>
      </c>
      <c r="E197" s="96">
        <v>512025891</v>
      </c>
      <c r="F197" s="96" t="s">
        <v>308</v>
      </c>
      <c r="G197" s="96" t="s">
        <v>1779</v>
      </c>
      <c r="H197" s="96" t="s">
        <v>1780</v>
      </c>
      <c r="I197" s="96" t="s">
        <v>320</v>
      </c>
      <c r="J197" s="96" t="s">
        <v>952</v>
      </c>
      <c r="K197" s="96" t="s">
        <v>203</v>
      </c>
      <c r="L197" s="96" t="s">
        <v>203</v>
      </c>
      <c r="M197" s="96" t="s">
        <v>324</v>
      </c>
      <c r="N197" s="96" t="s">
        <v>339</v>
      </c>
      <c r="O197" s="96" t="s">
        <v>476</v>
      </c>
      <c r="P197" s="96" t="s">
        <v>338</v>
      </c>
      <c r="Q197" s="96" t="s">
        <v>1320</v>
      </c>
      <c r="R197" s="96" t="s">
        <v>412</v>
      </c>
      <c r="S197" s="96" t="s">
        <v>406</v>
      </c>
      <c r="T197" s="96" t="s">
        <v>1200</v>
      </c>
      <c r="U197" s="97">
        <v>1.95</v>
      </c>
      <c r="V197" s="100">
        <v>46924</v>
      </c>
      <c r="W197" s="98">
        <v>5.7000000000000002E-2</v>
      </c>
      <c r="X197" s="98">
        <v>5.8500000000000003E-2</v>
      </c>
      <c r="Y197" s="96" t="s">
        <v>411</v>
      </c>
      <c r="Z197" s="96"/>
      <c r="AA197" s="97">
        <v>38428.320384999999</v>
      </c>
      <c r="AB197" s="97">
        <v>1</v>
      </c>
      <c r="AC197" s="97">
        <v>100.12</v>
      </c>
      <c r="AD197" s="97"/>
      <c r="AE197" s="97">
        <v>38.474434000000002</v>
      </c>
      <c r="AF197" s="96"/>
      <c r="AG197" s="96"/>
      <c r="AH197" s="96"/>
      <c r="AI197" s="98">
        <v>5.5000000000000002E-5</v>
      </c>
      <c r="AJ197" s="98">
        <v>3.0010000000000002E-3</v>
      </c>
      <c r="AK197" s="98">
        <v>7.3200000000000001E-4</v>
      </c>
      <c r="AL197" s="106"/>
    </row>
    <row r="198" spans="1:38" ht="15" customHeight="1">
      <c r="A198" s="106"/>
      <c r="B198" s="96">
        <v>286</v>
      </c>
      <c r="C198" s="96">
        <v>1445</v>
      </c>
      <c r="D198" s="96" t="s">
        <v>1302</v>
      </c>
      <c r="E198" s="96">
        <v>513623314</v>
      </c>
      <c r="F198" s="96" t="s">
        <v>308</v>
      </c>
      <c r="G198" s="96" t="s">
        <v>1781</v>
      </c>
      <c r="H198" s="96" t="s">
        <v>1782</v>
      </c>
      <c r="I198" s="96" t="s">
        <v>320</v>
      </c>
      <c r="J198" s="96" t="s">
        <v>753</v>
      </c>
      <c r="K198" s="96" t="s">
        <v>203</v>
      </c>
      <c r="L198" s="96" t="s">
        <v>203</v>
      </c>
      <c r="M198" s="96" t="s">
        <v>324</v>
      </c>
      <c r="N198" s="96" t="s">
        <v>339</v>
      </c>
      <c r="O198" s="96" t="s">
        <v>463</v>
      </c>
      <c r="P198" s="96" t="s">
        <v>337</v>
      </c>
      <c r="Q198" s="96" t="s">
        <v>1336</v>
      </c>
      <c r="R198" s="96" t="s">
        <v>414</v>
      </c>
      <c r="S198" s="96" t="s">
        <v>406</v>
      </c>
      <c r="T198" s="96" t="s">
        <v>1200</v>
      </c>
      <c r="U198" s="97">
        <v>1.68</v>
      </c>
      <c r="V198" s="100">
        <v>46124</v>
      </c>
      <c r="W198" s="98">
        <v>1.34E-2</v>
      </c>
      <c r="X198" s="98">
        <v>2.63E-2</v>
      </c>
      <c r="Y198" s="96" t="s">
        <v>411</v>
      </c>
      <c r="Z198" s="96"/>
      <c r="AA198" s="97">
        <v>2710.5870920000002</v>
      </c>
      <c r="AB198" s="97">
        <v>1</v>
      </c>
      <c r="AC198" s="97">
        <v>112.6</v>
      </c>
      <c r="AD198" s="97"/>
      <c r="AE198" s="97">
        <v>3.0521210000000001</v>
      </c>
      <c r="AF198" s="96"/>
      <c r="AG198" s="96"/>
      <c r="AH198" s="96"/>
      <c r="AI198" s="98">
        <v>5.0000000000000004E-6</v>
      </c>
      <c r="AJ198" s="98">
        <v>2.3800000000000001E-4</v>
      </c>
      <c r="AK198" s="98">
        <v>5.8E-5</v>
      </c>
      <c r="AL198" s="106"/>
    </row>
    <row r="199" spans="1:38" ht="15" customHeight="1">
      <c r="A199" s="106"/>
      <c r="B199" s="96">
        <v>286</v>
      </c>
      <c r="C199" s="96">
        <v>1445</v>
      </c>
      <c r="D199" s="96" t="s">
        <v>1317</v>
      </c>
      <c r="E199" s="96">
        <v>520028911</v>
      </c>
      <c r="F199" s="96" t="s">
        <v>308</v>
      </c>
      <c r="G199" s="96" t="s">
        <v>1783</v>
      </c>
      <c r="H199" s="96" t="s">
        <v>1784</v>
      </c>
      <c r="I199" s="96" t="s">
        <v>320</v>
      </c>
      <c r="J199" s="96" t="s">
        <v>952</v>
      </c>
      <c r="K199" s="96" t="s">
        <v>203</v>
      </c>
      <c r="L199" s="96" t="s">
        <v>203</v>
      </c>
      <c r="M199" s="96" t="s">
        <v>324</v>
      </c>
      <c r="N199" s="96" t="s">
        <v>339</v>
      </c>
      <c r="O199" s="96" t="s">
        <v>450</v>
      </c>
      <c r="P199" s="96" t="s">
        <v>337</v>
      </c>
      <c r="Q199" s="96" t="s">
        <v>1320</v>
      </c>
      <c r="R199" s="96" t="s">
        <v>412</v>
      </c>
      <c r="S199" s="96" t="s">
        <v>406</v>
      </c>
      <c r="T199" s="96" t="s">
        <v>1200</v>
      </c>
      <c r="U199" s="97">
        <v>1.46</v>
      </c>
      <c r="V199" s="100">
        <v>46203</v>
      </c>
      <c r="W199" s="98">
        <v>0.04</v>
      </c>
      <c r="X199" s="98">
        <v>4.9399999999999999E-2</v>
      </c>
      <c r="Y199" s="96" t="s">
        <v>411</v>
      </c>
      <c r="Z199" s="96"/>
      <c r="AA199" s="97">
        <v>2852.138211</v>
      </c>
      <c r="AB199" s="97">
        <v>1</v>
      </c>
      <c r="AC199" s="97">
        <v>98.76</v>
      </c>
      <c r="AD199" s="97"/>
      <c r="AE199" s="97">
        <v>2.8167710000000001</v>
      </c>
      <c r="AF199" s="96"/>
      <c r="AG199" s="96"/>
      <c r="AH199" s="96"/>
      <c r="AI199" s="98">
        <v>2.0999999999999999E-5</v>
      </c>
      <c r="AJ199" s="98">
        <v>2.1900000000000001E-4</v>
      </c>
      <c r="AK199" s="98">
        <v>5.3000000000000001E-5</v>
      </c>
      <c r="AL199" s="106"/>
    </row>
    <row r="200" spans="1:38" ht="15" customHeight="1">
      <c r="A200" s="106"/>
      <c r="B200" s="96">
        <v>286</v>
      </c>
      <c r="C200" s="96">
        <v>1445</v>
      </c>
      <c r="D200" s="96" t="s">
        <v>1354</v>
      </c>
      <c r="E200" s="96">
        <v>513893123</v>
      </c>
      <c r="F200" s="96" t="s">
        <v>308</v>
      </c>
      <c r="G200" s="96" t="s">
        <v>1785</v>
      </c>
      <c r="H200" s="96" t="s">
        <v>1786</v>
      </c>
      <c r="I200" s="96" t="s">
        <v>320</v>
      </c>
      <c r="J200" s="96" t="s">
        <v>753</v>
      </c>
      <c r="K200" s="96" t="s">
        <v>203</v>
      </c>
      <c r="L200" s="96" t="s">
        <v>203</v>
      </c>
      <c r="M200" s="96" t="s">
        <v>326</v>
      </c>
      <c r="N200" s="96" t="s">
        <v>339</v>
      </c>
      <c r="O200" s="96" t="s">
        <v>442</v>
      </c>
      <c r="P200" s="96" t="s">
        <v>338</v>
      </c>
      <c r="Q200" s="96" t="s">
        <v>1357</v>
      </c>
      <c r="R200" s="96" t="s">
        <v>414</v>
      </c>
      <c r="S200" s="96" t="s">
        <v>406</v>
      </c>
      <c r="T200" s="96" t="s">
        <v>1200</v>
      </c>
      <c r="U200" s="97">
        <v>1.88</v>
      </c>
      <c r="V200" s="100">
        <v>46477</v>
      </c>
      <c r="W200" s="98">
        <v>3.5400000000000001E-2</v>
      </c>
      <c r="X200" s="98">
        <v>3.9600000000000003E-2</v>
      </c>
      <c r="Y200" s="96" t="s">
        <v>411</v>
      </c>
      <c r="Z200" s="96"/>
      <c r="AA200" s="97">
        <v>28521.338834999999</v>
      </c>
      <c r="AB200" s="97">
        <v>1</v>
      </c>
      <c r="AC200" s="97">
        <v>105.58280000000001</v>
      </c>
      <c r="AD200" s="97"/>
      <c r="AE200" s="97">
        <v>30.113627999999999</v>
      </c>
      <c r="AF200" s="96"/>
      <c r="AG200" s="96"/>
      <c r="AH200" s="96"/>
      <c r="AI200" s="98">
        <v>2.5000000000000001E-5</v>
      </c>
      <c r="AJ200" s="98">
        <v>2.349E-3</v>
      </c>
      <c r="AK200" s="98">
        <v>5.7300000000000005E-4</v>
      </c>
      <c r="AL200" s="106"/>
    </row>
    <row r="201" spans="1:38" ht="15" customHeight="1">
      <c r="A201" s="106"/>
      <c r="B201" s="96">
        <v>286</v>
      </c>
      <c r="C201" s="96">
        <v>1445</v>
      </c>
      <c r="D201" s="96" t="s">
        <v>1611</v>
      </c>
      <c r="E201" s="96">
        <v>520001736</v>
      </c>
      <c r="F201" s="96" t="s">
        <v>308</v>
      </c>
      <c r="G201" s="96" t="s">
        <v>1787</v>
      </c>
      <c r="H201" s="96" t="s">
        <v>1788</v>
      </c>
      <c r="I201" s="96" t="s">
        <v>320</v>
      </c>
      <c r="J201" s="96" t="s">
        <v>753</v>
      </c>
      <c r="K201" s="96" t="s">
        <v>203</v>
      </c>
      <c r="L201" s="96" t="s">
        <v>203</v>
      </c>
      <c r="M201" s="96" t="s">
        <v>324</v>
      </c>
      <c r="N201" s="96" t="s">
        <v>339</v>
      </c>
      <c r="O201" s="96" t="s">
        <v>463</v>
      </c>
      <c r="P201" s="96" t="s">
        <v>338</v>
      </c>
      <c r="Q201" s="96" t="s">
        <v>1313</v>
      </c>
      <c r="R201" s="96" t="s">
        <v>412</v>
      </c>
      <c r="S201" s="96" t="s">
        <v>406</v>
      </c>
      <c r="T201" s="96" t="s">
        <v>1200</v>
      </c>
      <c r="U201" s="97">
        <v>1.21</v>
      </c>
      <c r="V201" s="100">
        <v>46112</v>
      </c>
      <c r="W201" s="98">
        <v>4.7500000000000001E-2</v>
      </c>
      <c r="X201" s="98">
        <v>2.86E-2</v>
      </c>
      <c r="Y201" s="96" t="s">
        <v>411</v>
      </c>
      <c r="Z201" s="96"/>
      <c r="AA201" s="97">
        <v>19112.925567999999</v>
      </c>
      <c r="AB201" s="97">
        <v>1</v>
      </c>
      <c r="AC201" s="97">
        <v>142.59</v>
      </c>
      <c r="AD201" s="97"/>
      <c r="AE201" s="97">
        <v>27.253119999999999</v>
      </c>
      <c r="AF201" s="96"/>
      <c r="AG201" s="96"/>
      <c r="AH201" s="96"/>
      <c r="AI201" s="98">
        <v>2.0000000000000002E-5</v>
      </c>
      <c r="AJ201" s="98">
        <v>2.1259999999999999E-3</v>
      </c>
      <c r="AK201" s="98">
        <v>5.1800000000000001E-4</v>
      </c>
      <c r="AL201" s="106"/>
    </row>
    <row r="202" spans="1:38" ht="15" customHeight="1">
      <c r="A202" s="106"/>
      <c r="B202" s="96">
        <v>286</v>
      </c>
      <c r="C202" s="96">
        <v>1445</v>
      </c>
      <c r="D202" s="96" t="s">
        <v>1203</v>
      </c>
      <c r="E202" s="96">
        <v>520000118</v>
      </c>
      <c r="F202" s="96" t="s">
        <v>308</v>
      </c>
      <c r="G202" s="96" t="s">
        <v>1789</v>
      </c>
      <c r="H202" s="96" t="s">
        <v>1790</v>
      </c>
      <c r="I202" s="96" t="s">
        <v>320</v>
      </c>
      <c r="J202" s="96" t="s">
        <v>952</v>
      </c>
      <c r="K202" s="96" t="s">
        <v>203</v>
      </c>
      <c r="L202" s="96" t="s">
        <v>203</v>
      </c>
      <c r="M202" s="96" t="s">
        <v>324</v>
      </c>
      <c r="N202" s="96" t="s">
        <v>339</v>
      </c>
      <c r="O202" s="96" t="s">
        <v>447</v>
      </c>
      <c r="P202" s="96" t="s">
        <v>338</v>
      </c>
      <c r="Q202" s="96" t="s">
        <v>1211</v>
      </c>
      <c r="R202" s="96" t="s">
        <v>414</v>
      </c>
      <c r="S202" s="96" t="s">
        <v>406</v>
      </c>
      <c r="T202" s="96" t="s">
        <v>1200</v>
      </c>
      <c r="U202" s="97">
        <v>3.57</v>
      </c>
      <c r="V202" s="100">
        <v>48191</v>
      </c>
      <c r="W202" s="98">
        <v>2.5000000000000001E-2</v>
      </c>
      <c r="X202" s="98">
        <v>5.0900000000000001E-2</v>
      </c>
      <c r="Y202" s="96" t="s">
        <v>411</v>
      </c>
      <c r="Z202" s="96"/>
      <c r="AA202" s="97">
        <v>168846.32592900001</v>
      </c>
      <c r="AB202" s="97">
        <v>1</v>
      </c>
      <c r="AC202" s="97">
        <v>92.62</v>
      </c>
      <c r="AD202" s="97"/>
      <c r="AE202" s="97">
        <v>156.38546700000001</v>
      </c>
      <c r="AF202" s="96"/>
      <c r="AG202" s="96"/>
      <c r="AH202" s="96"/>
      <c r="AI202" s="98">
        <v>7.2000000000000002E-5</v>
      </c>
      <c r="AJ202" s="98">
        <v>1.2201E-2</v>
      </c>
      <c r="AK202" s="98">
        <v>2.9780000000000002E-3</v>
      </c>
      <c r="AL202" s="106"/>
    </row>
    <row r="203" spans="1:38" ht="15" customHeight="1">
      <c r="A203" s="106"/>
      <c r="B203" s="96">
        <v>286</v>
      </c>
      <c r="C203" s="96">
        <v>1445</v>
      </c>
      <c r="D203" s="96" t="s">
        <v>1658</v>
      </c>
      <c r="E203" s="96">
        <v>520038506</v>
      </c>
      <c r="F203" s="96" t="s">
        <v>308</v>
      </c>
      <c r="G203" s="96" t="s">
        <v>1791</v>
      </c>
      <c r="H203" s="96" t="s">
        <v>1752</v>
      </c>
      <c r="I203" s="96" t="s">
        <v>320</v>
      </c>
      <c r="J203" s="96" t="s">
        <v>952</v>
      </c>
      <c r="K203" s="96" t="s">
        <v>203</v>
      </c>
      <c r="L203" s="96" t="s">
        <v>203</v>
      </c>
      <c r="M203" s="96" t="s">
        <v>324</v>
      </c>
      <c r="N203" s="96" t="s">
        <v>339</v>
      </c>
      <c r="O203" s="96" t="s">
        <v>463</v>
      </c>
      <c r="P203" s="96" t="s">
        <v>337</v>
      </c>
      <c r="Q203" s="96" t="s">
        <v>1305</v>
      </c>
      <c r="R203" s="96" t="s">
        <v>414</v>
      </c>
      <c r="S203" s="96" t="s">
        <v>406</v>
      </c>
      <c r="T203" s="96" t="s">
        <v>1200</v>
      </c>
      <c r="U203" s="97">
        <v>4.58</v>
      </c>
      <c r="V203" s="100">
        <v>47907</v>
      </c>
      <c r="W203" s="98">
        <v>2.41E-2</v>
      </c>
      <c r="X203" s="98">
        <v>6.4899999999999999E-2</v>
      </c>
      <c r="Y203" s="96" t="s">
        <v>411</v>
      </c>
      <c r="Z203" s="96"/>
      <c r="AA203" s="97">
        <v>42504.296119999999</v>
      </c>
      <c r="AB203" s="97">
        <v>1</v>
      </c>
      <c r="AC203" s="97">
        <v>84.18</v>
      </c>
      <c r="AD203" s="97"/>
      <c r="AE203" s="97">
        <v>35.780116</v>
      </c>
      <c r="AF203" s="96"/>
      <c r="AG203" s="96"/>
      <c r="AH203" s="96"/>
      <c r="AI203" s="98">
        <v>2.4000000000000001E-5</v>
      </c>
      <c r="AJ203" s="98">
        <v>2.7910000000000001E-3</v>
      </c>
      <c r="AK203" s="98">
        <v>6.8099999999999996E-4</v>
      </c>
      <c r="AL203" s="106"/>
    </row>
    <row r="204" spans="1:38" ht="15" customHeight="1">
      <c r="A204" s="106"/>
      <c r="B204" s="96">
        <v>286</v>
      </c>
      <c r="C204" s="96">
        <v>1445</v>
      </c>
      <c r="D204" s="96" t="s">
        <v>1417</v>
      </c>
      <c r="E204" s="96">
        <v>513230029</v>
      </c>
      <c r="F204" s="96" t="s">
        <v>308</v>
      </c>
      <c r="G204" s="96" t="s">
        <v>1792</v>
      </c>
      <c r="H204" s="96" t="s">
        <v>1793</v>
      </c>
      <c r="I204" s="96" t="s">
        <v>320</v>
      </c>
      <c r="J204" s="96" t="s">
        <v>952</v>
      </c>
      <c r="K204" s="96" t="s">
        <v>203</v>
      </c>
      <c r="L204" s="96" t="s">
        <v>203</v>
      </c>
      <c r="M204" s="96" t="s">
        <v>324</v>
      </c>
      <c r="N204" s="96" t="s">
        <v>339</v>
      </c>
      <c r="O204" s="96" t="s">
        <v>444</v>
      </c>
      <c r="P204" s="96" t="s">
        <v>338</v>
      </c>
      <c r="Q204" s="96" t="s">
        <v>1357</v>
      </c>
      <c r="R204" s="96" t="s">
        <v>414</v>
      </c>
      <c r="S204" s="96" t="s">
        <v>406</v>
      </c>
      <c r="T204" s="96" t="s">
        <v>1200</v>
      </c>
      <c r="U204" s="97">
        <v>5.55</v>
      </c>
      <c r="V204" s="100">
        <v>47848</v>
      </c>
      <c r="W204" s="98">
        <v>5.3999999999999999E-2</v>
      </c>
      <c r="X204" s="98">
        <v>6.1100000000000002E-2</v>
      </c>
      <c r="Y204" s="96" t="s">
        <v>411</v>
      </c>
      <c r="Z204" s="96"/>
      <c r="AA204" s="97">
        <v>22647.678559</v>
      </c>
      <c r="AB204" s="97">
        <v>1</v>
      </c>
      <c r="AC204" s="97">
        <v>96.69</v>
      </c>
      <c r="AD204" s="97"/>
      <c r="AE204" s="97">
        <v>21.898040000000002</v>
      </c>
      <c r="AF204" s="96"/>
      <c r="AG204" s="96"/>
      <c r="AH204" s="96"/>
      <c r="AI204" s="98">
        <v>3.8999999999999999E-5</v>
      </c>
      <c r="AJ204" s="98">
        <v>1.7080000000000001E-3</v>
      </c>
      <c r="AK204" s="98">
        <v>4.17E-4</v>
      </c>
      <c r="AL204" s="106"/>
    </row>
    <row r="205" spans="1:38" ht="15" customHeight="1">
      <c r="A205" s="106"/>
      <c r="B205" s="96">
        <v>286</v>
      </c>
      <c r="C205" s="96">
        <v>1445</v>
      </c>
      <c r="D205" s="96" t="s">
        <v>1794</v>
      </c>
      <c r="E205" s="96">
        <v>520044520</v>
      </c>
      <c r="F205" s="96" t="s">
        <v>308</v>
      </c>
      <c r="G205" s="96" t="s">
        <v>1795</v>
      </c>
      <c r="H205" s="96" t="s">
        <v>1796</v>
      </c>
      <c r="I205" s="96" t="s">
        <v>320</v>
      </c>
      <c r="J205" s="96" t="s">
        <v>753</v>
      </c>
      <c r="K205" s="96" t="s">
        <v>203</v>
      </c>
      <c r="L205" s="96" t="s">
        <v>203</v>
      </c>
      <c r="M205" s="96" t="s">
        <v>324</v>
      </c>
      <c r="N205" s="96" t="s">
        <v>339</v>
      </c>
      <c r="O205" s="96" t="s">
        <v>463</v>
      </c>
      <c r="P205" s="96" t="s">
        <v>338</v>
      </c>
      <c r="Q205" s="96" t="s">
        <v>1357</v>
      </c>
      <c r="R205" s="96" t="s">
        <v>414</v>
      </c>
      <c r="S205" s="96" t="s">
        <v>406</v>
      </c>
      <c r="T205" s="96" t="s">
        <v>1200</v>
      </c>
      <c r="U205" s="97">
        <v>1.41</v>
      </c>
      <c r="V205" s="100">
        <v>46022</v>
      </c>
      <c r="W205" s="98">
        <v>2.5000000000000001E-2</v>
      </c>
      <c r="X205" s="98">
        <v>2.47E-2</v>
      </c>
      <c r="Y205" s="96" t="s">
        <v>411</v>
      </c>
      <c r="Z205" s="96"/>
      <c r="AA205" s="97">
        <v>658.63400799999999</v>
      </c>
      <c r="AB205" s="97">
        <v>1</v>
      </c>
      <c r="AC205" s="97">
        <v>114.98</v>
      </c>
      <c r="AD205" s="97"/>
      <c r="AE205" s="97">
        <v>0.757297</v>
      </c>
      <c r="AF205" s="96"/>
      <c r="AG205" s="96"/>
      <c r="AH205" s="96"/>
      <c r="AI205" s="98">
        <v>9.9999999999999995E-7</v>
      </c>
      <c r="AJ205" s="98">
        <v>5.8999999999999998E-5</v>
      </c>
      <c r="AK205" s="98">
        <v>1.4E-5</v>
      </c>
      <c r="AL205" s="106"/>
    </row>
    <row r="206" spans="1:38" ht="15" customHeight="1">
      <c r="A206" s="106"/>
      <c r="B206" s="96">
        <v>286</v>
      </c>
      <c r="C206" s="96">
        <v>1445</v>
      </c>
      <c r="D206" s="96" t="s">
        <v>1797</v>
      </c>
      <c r="E206" s="96">
        <v>512607888</v>
      </c>
      <c r="F206" s="96" t="s">
        <v>308</v>
      </c>
      <c r="G206" s="96" t="s">
        <v>1798</v>
      </c>
      <c r="H206" s="96" t="s">
        <v>1799</v>
      </c>
      <c r="I206" s="96" t="s">
        <v>320</v>
      </c>
      <c r="J206" s="96" t="s">
        <v>952</v>
      </c>
      <c r="K206" s="96" t="s">
        <v>203</v>
      </c>
      <c r="L206" s="96" t="s">
        <v>203</v>
      </c>
      <c r="M206" s="96" t="s">
        <v>324</v>
      </c>
      <c r="N206" s="96" t="s">
        <v>339</v>
      </c>
      <c r="O206" s="96" t="s">
        <v>460</v>
      </c>
      <c r="P206" s="96" t="s">
        <v>338</v>
      </c>
      <c r="Q206" s="96" t="s">
        <v>1520</v>
      </c>
      <c r="R206" s="96" t="s">
        <v>414</v>
      </c>
      <c r="S206" s="96" t="s">
        <v>406</v>
      </c>
      <c r="T206" s="96" t="s">
        <v>1200</v>
      </c>
      <c r="U206" s="97">
        <v>3.33</v>
      </c>
      <c r="V206" s="100">
        <v>48091</v>
      </c>
      <c r="W206" s="98">
        <v>2.1600000000000001E-2</v>
      </c>
      <c r="X206" s="98">
        <v>6.3500000000000001E-2</v>
      </c>
      <c r="Y206" s="96" t="s">
        <v>411</v>
      </c>
      <c r="Z206" s="96"/>
      <c r="AA206" s="97">
        <v>4885.0065979999999</v>
      </c>
      <c r="AB206" s="97">
        <v>1</v>
      </c>
      <c r="AC206" s="97">
        <v>87.82</v>
      </c>
      <c r="AD206" s="97"/>
      <c r="AE206" s="97">
        <v>4.2900119999999999</v>
      </c>
      <c r="AF206" s="96"/>
      <c r="AG206" s="96"/>
      <c r="AH206" s="96"/>
      <c r="AI206" s="98">
        <v>6.0000000000000002E-6</v>
      </c>
      <c r="AJ206" s="98">
        <v>3.3399999999999999E-4</v>
      </c>
      <c r="AK206" s="98">
        <v>8.1000000000000004E-5</v>
      </c>
      <c r="AL206" s="106"/>
    </row>
    <row r="207" spans="1:38" ht="15" customHeight="1">
      <c r="A207" s="106"/>
      <c r="B207" s="96">
        <v>286</v>
      </c>
      <c r="C207" s="96">
        <v>1445</v>
      </c>
      <c r="D207" s="96" t="s">
        <v>1800</v>
      </c>
      <c r="E207" s="96">
        <v>514837111</v>
      </c>
      <c r="F207" s="96" t="s">
        <v>308</v>
      </c>
      <c r="G207" s="96" t="s">
        <v>1801</v>
      </c>
      <c r="H207" s="96" t="s">
        <v>1802</v>
      </c>
      <c r="I207" s="96" t="s">
        <v>320</v>
      </c>
      <c r="J207" s="96" t="s">
        <v>754</v>
      </c>
      <c r="K207" s="96" t="s">
        <v>203</v>
      </c>
      <c r="L207" s="96" t="s">
        <v>203</v>
      </c>
      <c r="M207" s="96" t="s">
        <v>324</v>
      </c>
      <c r="N207" s="96" t="s">
        <v>339</v>
      </c>
      <c r="O207" s="96" t="s">
        <v>453</v>
      </c>
      <c r="P207" s="96" t="s">
        <v>338</v>
      </c>
      <c r="Q207" s="96" t="s">
        <v>1305</v>
      </c>
      <c r="R207" s="96" t="s">
        <v>414</v>
      </c>
      <c r="S207" s="96" t="s">
        <v>406</v>
      </c>
      <c r="T207" s="96" t="s">
        <v>1200</v>
      </c>
      <c r="U207" s="97">
        <v>2.76</v>
      </c>
      <c r="V207" s="100">
        <v>46995</v>
      </c>
      <c r="W207" s="98">
        <v>5.4800000000000001E-2</v>
      </c>
      <c r="X207" s="98">
        <v>6.6000000000000003E-2</v>
      </c>
      <c r="Y207" s="96" t="s">
        <v>411</v>
      </c>
      <c r="Z207" s="96"/>
      <c r="AA207" s="97">
        <v>24229.480901999999</v>
      </c>
      <c r="AB207" s="97">
        <v>1</v>
      </c>
      <c r="AC207" s="97">
        <v>104.51</v>
      </c>
      <c r="AD207" s="97"/>
      <c r="AE207" s="97">
        <v>25.322230000000001</v>
      </c>
      <c r="AF207" s="96"/>
      <c r="AG207" s="96"/>
      <c r="AH207" s="96"/>
      <c r="AI207" s="98">
        <v>8.5000000000000006E-5</v>
      </c>
      <c r="AJ207" s="98">
        <v>1.9750000000000002E-3</v>
      </c>
      <c r="AK207" s="98">
        <v>4.8200000000000001E-4</v>
      </c>
      <c r="AL207" s="106"/>
    </row>
    <row r="208" spans="1:38" ht="15" customHeight="1">
      <c r="A208" s="106"/>
      <c r="B208" s="96">
        <v>286</v>
      </c>
      <c r="C208" s="96">
        <v>1445</v>
      </c>
      <c r="D208" s="96" t="s">
        <v>1321</v>
      </c>
      <c r="E208" s="96">
        <v>550263107</v>
      </c>
      <c r="F208" s="96" t="s">
        <v>309</v>
      </c>
      <c r="G208" s="96" t="s">
        <v>1803</v>
      </c>
      <c r="H208" s="96" t="s">
        <v>1804</v>
      </c>
      <c r="I208" s="96" t="s">
        <v>320</v>
      </c>
      <c r="J208" s="96" t="s">
        <v>952</v>
      </c>
      <c r="K208" s="96" t="s">
        <v>203</v>
      </c>
      <c r="L208" s="96" t="s">
        <v>203</v>
      </c>
      <c r="M208" s="96" t="s">
        <v>324</v>
      </c>
      <c r="N208" s="96" t="s">
        <v>339</v>
      </c>
      <c r="O208" s="96" t="s">
        <v>453</v>
      </c>
      <c r="P208" s="96" t="s">
        <v>338</v>
      </c>
      <c r="Q208" s="96" t="s">
        <v>1324</v>
      </c>
      <c r="R208" s="96" t="s">
        <v>412</v>
      </c>
      <c r="S208" s="96" t="s">
        <v>406</v>
      </c>
      <c r="T208" s="96" t="s">
        <v>1200</v>
      </c>
      <c r="U208" s="97">
        <v>3.37</v>
      </c>
      <c r="V208" s="100">
        <v>47118</v>
      </c>
      <c r="W208" s="98">
        <v>6.5000000000000002E-2</v>
      </c>
      <c r="X208" s="98">
        <v>6.8000000000000005E-2</v>
      </c>
      <c r="Y208" s="96" t="s">
        <v>411</v>
      </c>
      <c r="Z208" s="96"/>
      <c r="AA208" s="97">
        <v>24242.210352999999</v>
      </c>
      <c r="AB208" s="97">
        <v>1</v>
      </c>
      <c r="AC208" s="97">
        <v>99.37</v>
      </c>
      <c r="AD208" s="97"/>
      <c r="AE208" s="97">
        <v>24.089483999999999</v>
      </c>
      <c r="AF208" s="96"/>
      <c r="AG208" s="96"/>
      <c r="AH208" s="96"/>
      <c r="AI208" s="98">
        <v>4.8000000000000001E-5</v>
      </c>
      <c r="AJ208" s="98">
        <v>1.879E-3</v>
      </c>
      <c r="AK208" s="98">
        <v>4.5800000000000002E-4</v>
      </c>
      <c r="AL208" s="106"/>
    </row>
    <row r="209" spans="1:38" ht="15" customHeight="1">
      <c r="A209" s="106"/>
      <c r="B209" s="96">
        <v>286</v>
      </c>
      <c r="C209" s="96">
        <v>1445</v>
      </c>
      <c r="D209" s="96" t="s">
        <v>1735</v>
      </c>
      <c r="E209" s="96">
        <v>550010003</v>
      </c>
      <c r="F209" s="96" t="s">
        <v>309</v>
      </c>
      <c r="G209" s="96" t="s">
        <v>1805</v>
      </c>
      <c r="H209" s="96" t="s">
        <v>1806</v>
      </c>
      <c r="I209" s="96" t="s">
        <v>320</v>
      </c>
      <c r="J209" s="96" t="s">
        <v>754</v>
      </c>
      <c r="K209" s="96" t="s">
        <v>203</v>
      </c>
      <c r="L209" s="96" t="s">
        <v>203</v>
      </c>
      <c r="M209" s="96" t="s">
        <v>324</v>
      </c>
      <c r="N209" s="96" t="s">
        <v>339</v>
      </c>
      <c r="O209" s="96" t="s">
        <v>453</v>
      </c>
      <c r="P209" s="96" t="s">
        <v>338</v>
      </c>
      <c r="Q209" s="96" t="s">
        <v>1313</v>
      </c>
      <c r="R209" s="96" t="s">
        <v>412</v>
      </c>
      <c r="S209" s="96" t="s">
        <v>406</v>
      </c>
      <c r="T209" s="96" t="s">
        <v>1200</v>
      </c>
      <c r="U209" s="97">
        <v>0.76</v>
      </c>
      <c r="V209" s="100">
        <v>45940</v>
      </c>
      <c r="W209" s="98">
        <v>3.49E-2</v>
      </c>
      <c r="X209" s="98">
        <v>7.2700000000000001E-2</v>
      </c>
      <c r="Y209" s="96" t="s">
        <v>411</v>
      </c>
      <c r="Z209" s="96"/>
      <c r="AA209" s="97">
        <v>41935.821221999999</v>
      </c>
      <c r="AB209" s="97">
        <v>1</v>
      </c>
      <c r="AC209" s="97">
        <v>102.13</v>
      </c>
      <c r="AD209" s="97"/>
      <c r="AE209" s="97">
        <v>42.829053999999999</v>
      </c>
      <c r="AF209" s="96"/>
      <c r="AG209" s="96"/>
      <c r="AH209" s="96"/>
      <c r="AI209" s="98">
        <v>8.2999999999999998E-5</v>
      </c>
      <c r="AJ209" s="98">
        <v>3.3409999999999998E-3</v>
      </c>
      <c r="AK209" s="98">
        <v>8.1499999999999997E-4</v>
      </c>
      <c r="AL209" s="106"/>
    </row>
    <row r="210" spans="1:38" ht="15" customHeight="1">
      <c r="A210" s="106"/>
      <c r="B210" s="96">
        <v>286</v>
      </c>
      <c r="C210" s="96">
        <v>1445</v>
      </c>
      <c r="D210" s="96" t="s">
        <v>1710</v>
      </c>
      <c r="E210" s="96">
        <v>520034372</v>
      </c>
      <c r="F210" s="96" t="s">
        <v>308</v>
      </c>
      <c r="G210" s="96" t="s">
        <v>1807</v>
      </c>
      <c r="H210" s="96" t="s">
        <v>1808</v>
      </c>
      <c r="I210" s="96" t="s">
        <v>320</v>
      </c>
      <c r="J210" s="96" t="s">
        <v>753</v>
      </c>
      <c r="K210" s="96" t="s">
        <v>203</v>
      </c>
      <c r="L210" s="96" t="s">
        <v>203</v>
      </c>
      <c r="M210" s="96" t="s">
        <v>324</v>
      </c>
      <c r="N210" s="96" t="s">
        <v>339</v>
      </c>
      <c r="O210" s="96" t="s">
        <v>476</v>
      </c>
      <c r="P210" s="96" t="s">
        <v>338</v>
      </c>
      <c r="Q210" s="96" t="s">
        <v>1313</v>
      </c>
      <c r="R210" s="96" t="s">
        <v>412</v>
      </c>
      <c r="S210" s="96" t="s">
        <v>406</v>
      </c>
      <c r="T210" s="96" t="s">
        <v>1200</v>
      </c>
      <c r="U210" s="97">
        <v>1.08</v>
      </c>
      <c r="V210" s="100">
        <v>46193</v>
      </c>
      <c r="W210" s="98">
        <v>1.7999999999999999E-2</v>
      </c>
      <c r="X210" s="98">
        <v>3.09E-2</v>
      </c>
      <c r="Y210" s="96" t="s">
        <v>411</v>
      </c>
      <c r="Z210" s="96"/>
      <c r="AA210" s="97">
        <v>49703.883320000001</v>
      </c>
      <c r="AB210" s="97">
        <v>1</v>
      </c>
      <c r="AC210" s="97">
        <v>112.65</v>
      </c>
      <c r="AD210" s="97"/>
      <c r="AE210" s="97">
        <v>55.991424000000002</v>
      </c>
      <c r="AF210" s="96"/>
      <c r="AG210" s="96"/>
      <c r="AH210" s="96"/>
      <c r="AI210" s="98">
        <v>7.6000000000000004E-5</v>
      </c>
      <c r="AJ210" s="98">
        <v>4.3680000000000004E-3</v>
      </c>
      <c r="AK210" s="98">
        <v>1.0660000000000001E-3</v>
      </c>
      <c r="AL210" s="106"/>
    </row>
    <row r="211" spans="1:38" ht="15" customHeight="1">
      <c r="A211" s="106"/>
      <c r="B211" s="96">
        <v>286</v>
      </c>
      <c r="C211" s="96">
        <v>1445</v>
      </c>
      <c r="D211" s="96" t="s">
        <v>1354</v>
      </c>
      <c r="E211" s="96">
        <v>513893123</v>
      </c>
      <c r="F211" s="96" t="s">
        <v>308</v>
      </c>
      <c r="G211" s="96" t="s">
        <v>1809</v>
      </c>
      <c r="H211" s="96" t="s">
        <v>1786</v>
      </c>
      <c r="I211" s="96" t="s">
        <v>320</v>
      </c>
      <c r="J211" s="96" t="s">
        <v>753</v>
      </c>
      <c r="K211" s="96" t="s">
        <v>203</v>
      </c>
      <c r="L211" s="96" t="s">
        <v>203</v>
      </c>
      <c r="M211" s="96" t="s">
        <v>324</v>
      </c>
      <c r="N211" s="96" t="s">
        <v>339</v>
      </c>
      <c r="O211" s="96" t="s">
        <v>442</v>
      </c>
      <c r="P211" s="96" t="s">
        <v>338</v>
      </c>
      <c r="Q211" s="96" t="s">
        <v>1357</v>
      </c>
      <c r="R211" s="96" t="s">
        <v>414</v>
      </c>
      <c r="S211" s="96" t="s">
        <v>406</v>
      </c>
      <c r="T211" s="96" t="s">
        <v>1200</v>
      </c>
      <c r="U211" s="97">
        <v>1.88</v>
      </c>
      <c r="V211" s="100">
        <v>46477</v>
      </c>
      <c r="W211" s="98">
        <v>3.5400000000000001E-2</v>
      </c>
      <c r="X211" s="98">
        <v>3.4500000000000003E-2</v>
      </c>
      <c r="Y211" s="96" t="s">
        <v>411</v>
      </c>
      <c r="Z211" s="96"/>
      <c r="AA211" s="97">
        <v>6491.3403799999996</v>
      </c>
      <c r="AB211" s="97">
        <v>1</v>
      </c>
      <c r="AC211" s="97">
        <v>106.57</v>
      </c>
      <c r="AD211" s="97"/>
      <c r="AE211" s="97">
        <v>6.917821</v>
      </c>
      <c r="AF211" s="96"/>
      <c r="AG211" s="96"/>
      <c r="AH211" s="96"/>
      <c r="AI211" s="98">
        <v>5.0000000000000004E-6</v>
      </c>
      <c r="AJ211" s="98">
        <v>5.3899999999999998E-4</v>
      </c>
      <c r="AK211" s="98">
        <v>1.3100000000000001E-4</v>
      </c>
      <c r="AL211" s="106"/>
    </row>
    <row r="212" spans="1:38" ht="15" customHeight="1">
      <c r="A212" s="106"/>
      <c r="B212" s="96">
        <v>286</v>
      </c>
      <c r="C212" s="96">
        <v>1445</v>
      </c>
      <c r="D212" s="96" t="s">
        <v>1484</v>
      </c>
      <c r="E212" s="96">
        <v>520036617</v>
      </c>
      <c r="F212" s="96" t="s">
        <v>308</v>
      </c>
      <c r="G212" s="96" t="s">
        <v>1810</v>
      </c>
      <c r="H212" s="96" t="s">
        <v>1811</v>
      </c>
      <c r="I212" s="96" t="s">
        <v>320</v>
      </c>
      <c r="J212" s="96" t="s">
        <v>753</v>
      </c>
      <c r="K212" s="96" t="s">
        <v>203</v>
      </c>
      <c r="L212" s="96" t="s">
        <v>203</v>
      </c>
      <c r="M212" s="96" t="s">
        <v>324</v>
      </c>
      <c r="N212" s="96" t="s">
        <v>339</v>
      </c>
      <c r="O212" s="96" t="s">
        <v>463</v>
      </c>
      <c r="P212" s="96" t="s">
        <v>338</v>
      </c>
      <c r="Q212" s="96" t="s">
        <v>1320</v>
      </c>
      <c r="R212" s="96" t="s">
        <v>412</v>
      </c>
      <c r="S212" s="96" t="s">
        <v>406</v>
      </c>
      <c r="T212" s="96" t="s">
        <v>1200</v>
      </c>
      <c r="U212" s="97">
        <v>3.68</v>
      </c>
      <c r="V212" s="100">
        <v>47056</v>
      </c>
      <c r="W212" s="98">
        <v>1.83E-2</v>
      </c>
      <c r="X212" s="98">
        <v>3.1600000000000003E-2</v>
      </c>
      <c r="Y212" s="96" t="s">
        <v>411</v>
      </c>
      <c r="Z212" s="96"/>
      <c r="AA212" s="97">
        <v>1882.8315050000001</v>
      </c>
      <c r="AB212" s="97">
        <v>1</v>
      </c>
      <c r="AC212" s="97">
        <v>108.49</v>
      </c>
      <c r="AD212" s="97"/>
      <c r="AE212" s="97">
        <v>2.0426829999999998</v>
      </c>
      <c r="AF212" s="96"/>
      <c r="AG212" s="96"/>
      <c r="AH212" s="96"/>
      <c r="AI212" s="98">
        <v>9.0000000000000002E-6</v>
      </c>
      <c r="AJ212" s="98">
        <v>1.5899999999999999E-4</v>
      </c>
      <c r="AK212" s="98">
        <v>3.8000000000000002E-5</v>
      </c>
      <c r="AL212" s="106"/>
    </row>
    <row r="213" spans="1:38" ht="15" customHeight="1">
      <c r="A213" s="106"/>
      <c r="B213" s="96">
        <v>286</v>
      </c>
      <c r="C213" s="96">
        <v>1445</v>
      </c>
      <c r="D213" s="96" t="s">
        <v>1699</v>
      </c>
      <c r="E213" s="96">
        <v>511809071</v>
      </c>
      <c r="F213" s="96" t="s">
        <v>308</v>
      </c>
      <c r="G213" s="96" t="s">
        <v>1812</v>
      </c>
      <c r="H213" s="96" t="s">
        <v>1813</v>
      </c>
      <c r="I213" s="96" t="s">
        <v>320</v>
      </c>
      <c r="J213" s="96" t="s">
        <v>753</v>
      </c>
      <c r="K213" s="96" t="s">
        <v>203</v>
      </c>
      <c r="L213" s="96" t="s">
        <v>203</v>
      </c>
      <c r="M213" s="96" t="s">
        <v>324</v>
      </c>
      <c r="N213" s="96" t="s">
        <v>339</v>
      </c>
      <c r="O213" s="96" t="s">
        <v>461</v>
      </c>
      <c r="P213" s="96" t="s">
        <v>338</v>
      </c>
      <c r="Q213" s="96" t="s">
        <v>1332</v>
      </c>
      <c r="R213" s="96" t="s">
        <v>412</v>
      </c>
      <c r="S213" s="96" t="s">
        <v>406</v>
      </c>
      <c r="T213" s="96" t="s">
        <v>1200</v>
      </c>
      <c r="U213" s="97">
        <v>1.58</v>
      </c>
      <c r="V213" s="100">
        <v>46609</v>
      </c>
      <c r="W213" s="98">
        <v>1.0500000000000001E-2</v>
      </c>
      <c r="X213" s="98">
        <v>2.7E-2</v>
      </c>
      <c r="Y213" s="96" t="s">
        <v>411</v>
      </c>
      <c r="Z213" s="96"/>
      <c r="AA213" s="97">
        <v>518.61389199999996</v>
      </c>
      <c r="AB213" s="97">
        <v>1</v>
      </c>
      <c r="AC213" s="97">
        <v>109.95</v>
      </c>
      <c r="AD213" s="97"/>
      <c r="AE213" s="97">
        <v>0.57021500000000003</v>
      </c>
      <c r="AF213" s="96"/>
      <c r="AG213" s="96"/>
      <c r="AH213" s="96"/>
      <c r="AI213" s="98">
        <v>1.9999999999999999E-6</v>
      </c>
      <c r="AJ213" s="98">
        <v>4.3999999999999999E-5</v>
      </c>
      <c r="AK213" s="98">
        <v>1.0000000000000001E-5</v>
      </c>
      <c r="AL213" s="106"/>
    </row>
    <row r="214" spans="1:38" ht="15" customHeight="1">
      <c r="A214" s="106"/>
      <c r="B214" s="96">
        <v>286</v>
      </c>
      <c r="C214" s="96">
        <v>1445</v>
      </c>
      <c r="D214" s="96" t="s">
        <v>1814</v>
      </c>
      <c r="E214" s="96">
        <v>514599943</v>
      </c>
      <c r="F214" s="96" t="s">
        <v>308</v>
      </c>
      <c r="G214" s="96" t="s">
        <v>1815</v>
      </c>
      <c r="H214" s="96" t="s">
        <v>1816</v>
      </c>
      <c r="I214" s="96" t="s">
        <v>320</v>
      </c>
      <c r="J214" s="96" t="s">
        <v>753</v>
      </c>
      <c r="K214" s="96" t="s">
        <v>203</v>
      </c>
      <c r="L214" s="96" t="s">
        <v>203</v>
      </c>
      <c r="M214" s="96" t="s">
        <v>324</v>
      </c>
      <c r="N214" s="96" t="s">
        <v>339</v>
      </c>
      <c r="O214" s="96" t="s">
        <v>440</v>
      </c>
      <c r="P214" s="96" t="s">
        <v>338</v>
      </c>
      <c r="Q214" s="96" t="s">
        <v>409</v>
      </c>
      <c r="R214" s="96" t="s">
        <v>409</v>
      </c>
      <c r="S214" s="96" t="s">
        <v>409</v>
      </c>
      <c r="T214" s="96" t="s">
        <v>1200</v>
      </c>
      <c r="U214" s="97">
        <v>2.73</v>
      </c>
      <c r="V214" s="100">
        <v>46752</v>
      </c>
      <c r="W214" s="98">
        <v>1.4800000000000001E-2</v>
      </c>
      <c r="X214" s="98">
        <v>4.2799999999999998E-2</v>
      </c>
      <c r="Y214" s="96" t="s">
        <v>411</v>
      </c>
      <c r="Z214" s="96"/>
      <c r="AA214" s="97">
        <v>3841.6686209999998</v>
      </c>
      <c r="AB214" s="97">
        <v>1</v>
      </c>
      <c r="AC214" s="97">
        <v>103.41</v>
      </c>
      <c r="AD214" s="97"/>
      <c r="AE214" s="97">
        <v>3.9726689999999998</v>
      </c>
      <c r="AF214" s="96"/>
      <c r="AG214" s="96"/>
      <c r="AH214" s="96"/>
      <c r="AI214" s="98">
        <v>5.0000000000000004E-6</v>
      </c>
      <c r="AJ214" s="98">
        <v>3.0899999999999998E-4</v>
      </c>
      <c r="AK214" s="98">
        <v>7.4999999999999993E-5</v>
      </c>
      <c r="AL214" s="106"/>
    </row>
    <row r="215" spans="1:38" ht="15" customHeight="1">
      <c r="A215" s="106"/>
      <c r="B215" s="96">
        <v>286</v>
      </c>
      <c r="C215" s="96">
        <v>1445</v>
      </c>
      <c r="D215" s="96" t="s">
        <v>1511</v>
      </c>
      <c r="E215" s="96">
        <v>513765859</v>
      </c>
      <c r="F215" s="96" t="s">
        <v>308</v>
      </c>
      <c r="G215" s="96" t="s">
        <v>1817</v>
      </c>
      <c r="H215" s="96" t="s">
        <v>1818</v>
      </c>
      <c r="I215" s="96" t="s">
        <v>320</v>
      </c>
      <c r="J215" s="96" t="s">
        <v>753</v>
      </c>
      <c r="K215" s="96" t="s">
        <v>203</v>
      </c>
      <c r="L215" s="96" t="s">
        <v>203</v>
      </c>
      <c r="M215" s="96" t="s">
        <v>324</v>
      </c>
      <c r="N215" s="96" t="s">
        <v>339</v>
      </c>
      <c r="O215" s="96" t="s">
        <v>463</v>
      </c>
      <c r="P215" s="96" t="s">
        <v>337</v>
      </c>
      <c r="Q215" s="96" t="s">
        <v>1332</v>
      </c>
      <c r="R215" s="96" t="s">
        <v>412</v>
      </c>
      <c r="S215" s="96" t="s">
        <v>406</v>
      </c>
      <c r="T215" s="96" t="s">
        <v>1200</v>
      </c>
      <c r="U215" s="97">
        <v>6.52</v>
      </c>
      <c r="V215" s="100">
        <v>49490</v>
      </c>
      <c r="W215" s="98">
        <v>1.15E-2</v>
      </c>
      <c r="X215" s="98">
        <v>3.9E-2</v>
      </c>
      <c r="Y215" s="96" t="s">
        <v>411</v>
      </c>
      <c r="Z215" s="96"/>
      <c r="AA215" s="97">
        <v>16140.666300999999</v>
      </c>
      <c r="AB215" s="97">
        <v>1</v>
      </c>
      <c r="AC215" s="97">
        <v>94.98</v>
      </c>
      <c r="AD215" s="97"/>
      <c r="AE215" s="97">
        <v>15.330404</v>
      </c>
      <c r="AF215" s="96"/>
      <c r="AG215" s="96"/>
      <c r="AH215" s="96"/>
      <c r="AI215" s="98">
        <v>3.4999999999999997E-5</v>
      </c>
      <c r="AJ215" s="98">
        <v>1.196E-3</v>
      </c>
      <c r="AK215" s="98">
        <v>2.9100000000000003E-4</v>
      </c>
      <c r="AL215" s="106"/>
    </row>
    <row r="216" spans="1:38" ht="15" customHeight="1">
      <c r="A216" s="106"/>
      <c r="B216" s="96">
        <v>286</v>
      </c>
      <c r="C216" s="96">
        <v>1445</v>
      </c>
      <c r="D216" s="96" t="s">
        <v>1421</v>
      </c>
      <c r="E216" s="96">
        <v>520026683</v>
      </c>
      <c r="F216" s="96" t="s">
        <v>308</v>
      </c>
      <c r="G216" s="96" t="s">
        <v>1819</v>
      </c>
      <c r="H216" s="96" t="s">
        <v>1820</v>
      </c>
      <c r="I216" s="96" t="s">
        <v>320</v>
      </c>
      <c r="J216" s="96" t="s">
        <v>952</v>
      </c>
      <c r="K216" s="96" t="s">
        <v>203</v>
      </c>
      <c r="L216" s="96" t="s">
        <v>203</v>
      </c>
      <c r="M216" s="96" t="s">
        <v>324</v>
      </c>
      <c r="N216" s="96" t="s">
        <v>339</v>
      </c>
      <c r="O216" s="96" t="s">
        <v>463</v>
      </c>
      <c r="P216" s="96" t="s">
        <v>338</v>
      </c>
      <c r="Q216" s="96" t="s">
        <v>1336</v>
      </c>
      <c r="R216" s="96" t="s">
        <v>414</v>
      </c>
      <c r="S216" s="96" t="s">
        <v>406</v>
      </c>
      <c r="T216" s="96" t="s">
        <v>1200</v>
      </c>
      <c r="U216" s="97">
        <v>5.5</v>
      </c>
      <c r="V216" s="100">
        <v>48218</v>
      </c>
      <c r="W216" s="98">
        <v>2.4400000000000002E-2</v>
      </c>
      <c r="X216" s="98">
        <v>6.13E-2</v>
      </c>
      <c r="Y216" s="96" t="s">
        <v>411</v>
      </c>
      <c r="Z216" s="96"/>
      <c r="AA216" s="97">
        <v>42305.990673</v>
      </c>
      <c r="AB216" s="97">
        <v>1</v>
      </c>
      <c r="AC216" s="97">
        <v>83.12</v>
      </c>
      <c r="AD216" s="97"/>
      <c r="AE216" s="97">
        <v>35.164738999999997</v>
      </c>
      <c r="AF216" s="96"/>
      <c r="AG216" s="96"/>
      <c r="AH216" s="96"/>
      <c r="AI216" s="98">
        <v>3.4E-5</v>
      </c>
      <c r="AJ216" s="98">
        <v>2.7430000000000002E-3</v>
      </c>
      <c r="AK216" s="98">
        <v>6.69E-4</v>
      </c>
      <c r="AL216" s="106"/>
    </row>
    <row r="217" spans="1:38" ht="15" customHeight="1">
      <c r="A217" s="106"/>
      <c r="B217" s="96">
        <v>286</v>
      </c>
      <c r="C217" s="96">
        <v>1445</v>
      </c>
      <c r="D217" s="96" t="s">
        <v>1797</v>
      </c>
      <c r="E217" s="96">
        <v>512607888</v>
      </c>
      <c r="F217" s="96" t="s">
        <v>308</v>
      </c>
      <c r="G217" s="96" t="s">
        <v>1821</v>
      </c>
      <c r="H217" s="96" t="s">
        <v>1822</v>
      </c>
      <c r="I217" s="96" t="s">
        <v>320</v>
      </c>
      <c r="J217" s="96" t="s">
        <v>952</v>
      </c>
      <c r="K217" s="96" t="s">
        <v>203</v>
      </c>
      <c r="L217" s="96" t="s">
        <v>203</v>
      </c>
      <c r="M217" s="96" t="s">
        <v>324</v>
      </c>
      <c r="N217" s="96" t="s">
        <v>339</v>
      </c>
      <c r="O217" s="96" t="s">
        <v>460</v>
      </c>
      <c r="P217" s="96" t="s">
        <v>338</v>
      </c>
      <c r="Q217" s="96" t="s">
        <v>1520</v>
      </c>
      <c r="R217" s="96" t="s">
        <v>414</v>
      </c>
      <c r="S217" s="96" t="s">
        <v>406</v>
      </c>
      <c r="T217" s="96" t="s">
        <v>1200</v>
      </c>
      <c r="U217" s="97">
        <v>4.5599999999999996</v>
      </c>
      <c r="V217" s="100">
        <v>48457</v>
      </c>
      <c r="W217" s="98">
        <v>6.3299999999999995E-2</v>
      </c>
      <c r="X217" s="98">
        <v>6.6199999999999995E-2</v>
      </c>
      <c r="Y217" s="96" t="s">
        <v>411</v>
      </c>
      <c r="Z217" s="96"/>
      <c r="AA217" s="97">
        <v>21819.537241999999</v>
      </c>
      <c r="AB217" s="97">
        <v>1</v>
      </c>
      <c r="AC217" s="97">
        <v>101.61</v>
      </c>
      <c r="AD217" s="97"/>
      <c r="AE217" s="97">
        <v>22.170831</v>
      </c>
      <c r="AF217" s="96"/>
      <c r="AG217" s="96"/>
      <c r="AH217" s="96"/>
      <c r="AI217" s="98">
        <v>1.03E-4</v>
      </c>
      <c r="AJ217" s="98">
        <v>1.7290000000000001E-3</v>
      </c>
      <c r="AK217" s="98">
        <v>4.2200000000000001E-4</v>
      </c>
      <c r="AL217" s="106"/>
    </row>
    <row r="218" spans="1:38" ht="15" customHeight="1">
      <c r="A218" s="106"/>
      <c r="B218" s="96">
        <v>286</v>
      </c>
      <c r="C218" s="96">
        <v>1445</v>
      </c>
      <c r="D218" s="96" t="s">
        <v>1760</v>
      </c>
      <c r="E218" s="96">
        <v>520038894</v>
      </c>
      <c r="F218" s="96" t="s">
        <v>308</v>
      </c>
      <c r="G218" s="96" t="s">
        <v>1823</v>
      </c>
      <c r="H218" s="96" t="s">
        <v>1824</v>
      </c>
      <c r="I218" s="96" t="s">
        <v>320</v>
      </c>
      <c r="J218" s="96" t="s">
        <v>753</v>
      </c>
      <c r="K218" s="96" t="s">
        <v>203</v>
      </c>
      <c r="L218" s="96" t="s">
        <v>203</v>
      </c>
      <c r="M218" s="96" t="s">
        <v>324</v>
      </c>
      <c r="N218" s="96" t="s">
        <v>339</v>
      </c>
      <c r="O218" s="96" t="s">
        <v>464</v>
      </c>
      <c r="P218" s="96" t="s">
        <v>338</v>
      </c>
      <c r="Q218" s="96" t="s">
        <v>1332</v>
      </c>
      <c r="R218" s="96" t="s">
        <v>412</v>
      </c>
      <c r="S218" s="96" t="s">
        <v>406</v>
      </c>
      <c r="T218" s="96" t="s">
        <v>1200</v>
      </c>
      <c r="U218" s="97">
        <v>4.82</v>
      </c>
      <c r="V218" s="100">
        <v>48395</v>
      </c>
      <c r="W218" s="98">
        <v>3.4700000000000002E-2</v>
      </c>
      <c r="X218" s="98">
        <v>3.6400000000000002E-2</v>
      </c>
      <c r="Y218" s="96" t="s">
        <v>411</v>
      </c>
      <c r="Z218" s="96"/>
      <c r="AA218" s="97">
        <v>12055.256891999999</v>
      </c>
      <c r="AB218" s="97">
        <v>1</v>
      </c>
      <c r="AC218" s="97">
        <v>99.81</v>
      </c>
      <c r="AD218" s="97"/>
      <c r="AE218" s="97">
        <v>12.032351</v>
      </c>
      <c r="AF218" s="96"/>
      <c r="AG218" s="96"/>
      <c r="AH218" s="96"/>
      <c r="AI218" s="98">
        <v>6.9999999999999994E-5</v>
      </c>
      <c r="AJ218" s="98">
        <v>9.3800000000000003E-4</v>
      </c>
      <c r="AK218" s="98">
        <v>2.2900000000000001E-4</v>
      </c>
      <c r="AL218" s="106"/>
    </row>
    <row r="219" spans="1:38" ht="15" customHeight="1">
      <c r="A219" s="106"/>
      <c r="B219" s="96">
        <v>286</v>
      </c>
      <c r="C219" s="96">
        <v>1445</v>
      </c>
      <c r="D219" s="96" t="s">
        <v>1565</v>
      </c>
      <c r="E219" s="96">
        <v>520033234</v>
      </c>
      <c r="F219" s="96" t="s">
        <v>308</v>
      </c>
      <c r="G219" s="96" t="s">
        <v>1825</v>
      </c>
      <c r="H219" s="96" t="s">
        <v>1619</v>
      </c>
      <c r="I219" s="96" t="s">
        <v>320</v>
      </c>
      <c r="J219" s="96" t="s">
        <v>753</v>
      </c>
      <c r="K219" s="96" t="s">
        <v>203</v>
      </c>
      <c r="L219" s="96" t="s">
        <v>203</v>
      </c>
      <c r="M219" s="96" t="s">
        <v>326</v>
      </c>
      <c r="N219" s="96" t="s">
        <v>339</v>
      </c>
      <c r="O219" s="96" t="s">
        <v>464</v>
      </c>
      <c r="P219" s="96" t="s">
        <v>337</v>
      </c>
      <c r="Q219" s="96" t="s">
        <v>1520</v>
      </c>
      <c r="R219" s="96" t="s">
        <v>414</v>
      </c>
      <c r="S219" s="96" t="s">
        <v>406</v>
      </c>
      <c r="T219" s="96" t="s">
        <v>1200</v>
      </c>
      <c r="U219" s="97">
        <v>2.85</v>
      </c>
      <c r="V219" s="100">
        <v>46843</v>
      </c>
      <c r="W219" s="98">
        <v>1.3299999999999999E-2</v>
      </c>
      <c r="X219" s="98">
        <v>3.7100000000000001E-2</v>
      </c>
      <c r="Y219" s="96" t="s">
        <v>411</v>
      </c>
      <c r="Z219" s="96"/>
      <c r="AA219" s="97">
        <v>1346.8033949999999</v>
      </c>
      <c r="AB219" s="97">
        <v>1</v>
      </c>
      <c r="AC219" s="97">
        <v>106.7037</v>
      </c>
      <c r="AD219" s="97"/>
      <c r="AE219" s="97">
        <v>1.4370879999999999</v>
      </c>
      <c r="AF219" s="96"/>
      <c r="AG219" s="96"/>
      <c r="AH219" s="96"/>
      <c r="AI219" s="98">
        <v>3.0000000000000001E-6</v>
      </c>
      <c r="AJ219" s="98">
        <v>1.12E-4</v>
      </c>
      <c r="AK219" s="98">
        <v>2.6999999999999999E-5</v>
      </c>
      <c r="AL219" s="106"/>
    </row>
    <row r="220" spans="1:38" ht="15" customHeight="1">
      <c r="A220" s="106"/>
      <c r="B220" s="96">
        <v>286</v>
      </c>
      <c r="C220" s="96">
        <v>1445</v>
      </c>
      <c r="D220" s="96" t="s">
        <v>1826</v>
      </c>
      <c r="E220" s="96">
        <v>513682625</v>
      </c>
      <c r="F220" s="96" t="s">
        <v>308</v>
      </c>
      <c r="G220" s="96" t="s">
        <v>1827</v>
      </c>
      <c r="H220" s="96" t="s">
        <v>1828</v>
      </c>
      <c r="I220" s="96" t="s">
        <v>320</v>
      </c>
      <c r="J220" s="96" t="s">
        <v>952</v>
      </c>
      <c r="K220" s="96" t="s">
        <v>203</v>
      </c>
      <c r="L220" s="96" t="s">
        <v>203</v>
      </c>
      <c r="M220" s="96" t="s">
        <v>324</v>
      </c>
      <c r="N220" s="96" t="s">
        <v>339</v>
      </c>
      <c r="O220" s="96" t="s">
        <v>458</v>
      </c>
      <c r="P220" s="96" t="s">
        <v>338</v>
      </c>
      <c r="Q220" s="96" t="s">
        <v>1357</v>
      </c>
      <c r="R220" s="96" t="s">
        <v>414</v>
      </c>
      <c r="S220" s="96" t="s">
        <v>406</v>
      </c>
      <c r="T220" s="96" t="s">
        <v>1200</v>
      </c>
      <c r="U220" s="97">
        <v>2.6</v>
      </c>
      <c r="V220" s="100">
        <v>47208</v>
      </c>
      <c r="W220" s="98">
        <v>1.5800000000000002E-2</v>
      </c>
      <c r="X220" s="98">
        <v>5.2600000000000001E-2</v>
      </c>
      <c r="Y220" s="96" t="s">
        <v>411</v>
      </c>
      <c r="Z220" s="96"/>
      <c r="AA220" s="97">
        <v>4939.6813549999997</v>
      </c>
      <c r="AB220" s="97">
        <v>1</v>
      </c>
      <c r="AC220" s="97">
        <v>91.4</v>
      </c>
      <c r="AD220" s="97"/>
      <c r="AE220" s="97">
        <v>4.5148679999999999</v>
      </c>
      <c r="AF220" s="96"/>
      <c r="AG220" s="96"/>
      <c r="AH220" s="96"/>
      <c r="AI220" s="98">
        <v>4.3999999999999999E-5</v>
      </c>
      <c r="AJ220" s="98">
        <v>3.5199999999999999E-4</v>
      </c>
      <c r="AK220" s="98">
        <v>8.5000000000000006E-5</v>
      </c>
      <c r="AL220" s="106"/>
    </row>
    <row r="221" spans="1:38" ht="15" customHeight="1">
      <c r="A221" s="106"/>
      <c r="B221" s="96">
        <v>286</v>
      </c>
      <c r="C221" s="96">
        <v>1445</v>
      </c>
      <c r="D221" s="96" t="s">
        <v>1491</v>
      </c>
      <c r="E221" s="96">
        <v>520036104</v>
      </c>
      <c r="F221" s="96" t="s">
        <v>308</v>
      </c>
      <c r="G221" s="96" t="s">
        <v>1829</v>
      </c>
      <c r="H221" s="96" t="s">
        <v>1830</v>
      </c>
      <c r="I221" s="96" t="s">
        <v>320</v>
      </c>
      <c r="J221" s="96" t="s">
        <v>753</v>
      </c>
      <c r="K221" s="96" t="s">
        <v>203</v>
      </c>
      <c r="L221" s="96" t="s">
        <v>203</v>
      </c>
      <c r="M221" s="96" t="s">
        <v>324</v>
      </c>
      <c r="N221" s="96" t="s">
        <v>339</v>
      </c>
      <c r="O221" s="96" t="s">
        <v>446</v>
      </c>
      <c r="P221" s="96" t="s">
        <v>337</v>
      </c>
      <c r="Q221" s="96" t="s">
        <v>1328</v>
      </c>
      <c r="R221" s="96" t="s">
        <v>412</v>
      </c>
      <c r="S221" s="96" t="s">
        <v>406</v>
      </c>
      <c r="T221" s="96" t="s">
        <v>1200</v>
      </c>
      <c r="U221" s="97">
        <v>3.04</v>
      </c>
      <c r="V221" s="100">
        <v>47239</v>
      </c>
      <c r="W221" s="98">
        <v>3.9E-2</v>
      </c>
      <c r="X221" s="98">
        <v>4.0399999999999998E-2</v>
      </c>
      <c r="Y221" s="96" t="s">
        <v>411</v>
      </c>
      <c r="Z221" s="96"/>
      <c r="AA221" s="97">
        <v>11052.018855</v>
      </c>
      <c r="AB221" s="97">
        <v>1</v>
      </c>
      <c r="AC221" s="97">
        <v>114.47</v>
      </c>
      <c r="AD221" s="97"/>
      <c r="AE221" s="97">
        <v>12.651244999999999</v>
      </c>
      <c r="AF221" s="96"/>
      <c r="AG221" s="96"/>
      <c r="AH221" s="96"/>
      <c r="AI221" s="98">
        <v>6.9999999999999999E-6</v>
      </c>
      <c r="AJ221" s="98">
        <v>9.8700000000000003E-4</v>
      </c>
      <c r="AK221" s="98">
        <v>2.4000000000000001E-4</v>
      </c>
      <c r="AL221" s="106"/>
    </row>
    <row r="222" spans="1:38" ht="15" customHeight="1">
      <c r="A222" s="106"/>
      <c r="B222" s="96">
        <v>286</v>
      </c>
      <c r="C222" s="96">
        <v>1445</v>
      </c>
      <c r="D222" s="96" t="s">
        <v>1427</v>
      </c>
      <c r="E222" s="96">
        <v>520031931</v>
      </c>
      <c r="F222" s="96" t="s">
        <v>308</v>
      </c>
      <c r="G222" s="96" t="s">
        <v>1831</v>
      </c>
      <c r="H222" s="96" t="s">
        <v>1832</v>
      </c>
      <c r="I222" s="96" t="s">
        <v>320</v>
      </c>
      <c r="J222" s="96" t="s">
        <v>952</v>
      </c>
      <c r="K222" s="96" t="s">
        <v>203</v>
      </c>
      <c r="L222" s="96" t="s">
        <v>203</v>
      </c>
      <c r="M222" s="96" t="s">
        <v>324</v>
      </c>
      <c r="N222" s="96" t="s">
        <v>339</v>
      </c>
      <c r="O222" s="96" t="s">
        <v>483</v>
      </c>
      <c r="P222" s="96" t="s">
        <v>338</v>
      </c>
      <c r="Q222" s="96" t="s">
        <v>1336</v>
      </c>
      <c r="R222" s="96" t="s">
        <v>414</v>
      </c>
      <c r="S222" s="96" t="s">
        <v>406</v>
      </c>
      <c r="T222" s="96" t="s">
        <v>1200</v>
      </c>
      <c r="U222" s="97">
        <v>8.09</v>
      </c>
      <c r="V222" s="100">
        <v>49644</v>
      </c>
      <c r="W222" s="98">
        <v>2.7900000000000001E-2</v>
      </c>
      <c r="X222" s="98">
        <v>5.8900000000000001E-2</v>
      </c>
      <c r="Y222" s="96" t="s">
        <v>411</v>
      </c>
      <c r="Z222" s="96"/>
      <c r="AA222" s="97">
        <v>71716.164233999996</v>
      </c>
      <c r="AB222" s="97">
        <v>1</v>
      </c>
      <c r="AC222" s="97">
        <v>78.680000000000007</v>
      </c>
      <c r="AD222" s="97"/>
      <c r="AE222" s="97">
        <v>56.426278000000003</v>
      </c>
      <c r="AF222" s="96"/>
      <c r="AG222" s="96"/>
      <c r="AH222" s="96"/>
      <c r="AI222" s="98">
        <v>8.2999999999999998E-5</v>
      </c>
      <c r="AJ222" s="98">
        <v>4.4019999999999997E-3</v>
      </c>
      <c r="AK222" s="98">
        <v>1.0740000000000001E-3</v>
      </c>
      <c r="AL222" s="106"/>
    </row>
    <row r="223" spans="1:38" ht="15" customHeight="1">
      <c r="A223" s="106"/>
      <c r="B223" s="96">
        <v>286</v>
      </c>
      <c r="C223" s="96">
        <v>1445</v>
      </c>
      <c r="D223" s="96" t="s">
        <v>1298</v>
      </c>
      <c r="E223" s="96">
        <v>510960719</v>
      </c>
      <c r="F223" s="96" t="s">
        <v>308</v>
      </c>
      <c r="G223" s="96" t="s">
        <v>1833</v>
      </c>
      <c r="H223" s="96" t="s">
        <v>1834</v>
      </c>
      <c r="I223" s="96" t="s">
        <v>320</v>
      </c>
      <c r="J223" s="96" t="s">
        <v>753</v>
      </c>
      <c r="K223" s="96" t="s">
        <v>203</v>
      </c>
      <c r="L223" s="96" t="s">
        <v>203</v>
      </c>
      <c r="M223" s="96" t="s">
        <v>324</v>
      </c>
      <c r="N223" s="96" t="s">
        <v>339</v>
      </c>
      <c r="O223" s="96" t="s">
        <v>463</v>
      </c>
      <c r="P223" s="96" t="s">
        <v>338</v>
      </c>
      <c r="Q223" s="96" t="s">
        <v>1301</v>
      </c>
      <c r="R223" s="96" t="s">
        <v>414</v>
      </c>
      <c r="S223" s="96" t="s">
        <v>406</v>
      </c>
      <c r="T223" s="96" t="s">
        <v>1200</v>
      </c>
      <c r="U223" s="97">
        <v>2.8</v>
      </c>
      <c r="V223" s="100">
        <v>46934</v>
      </c>
      <c r="W223" s="98">
        <v>1.77E-2</v>
      </c>
      <c r="X223" s="98">
        <v>2.6700000000000002E-2</v>
      </c>
      <c r="Y223" s="96" t="s">
        <v>411</v>
      </c>
      <c r="Z223" s="96"/>
      <c r="AA223" s="97">
        <v>151113.64326400001</v>
      </c>
      <c r="AB223" s="97">
        <v>1</v>
      </c>
      <c r="AC223" s="97">
        <v>110.8</v>
      </c>
      <c r="AD223" s="97"/>
      <c r="AE223" s="97">
        <v>167.43391600000001</v>
      </c>
      <c r="AF223" s="96"/>
      <c r="AG223" s="96"/>
      <c r="AH223" s="96"/>
      <c r="AI223" s="98">
        <v>5.8E-5</v>
      </c>
      <c r="AJ223" s="98">
        <v>1.3063E-2</v>
      </c>
      <c r="AK223" s="98">
        <v>3.1879999999999999E-3</v>
      </c>
      <c r="AL223" s="106"/>
    </row>
    <row r="224" spans="1:38" ht="15" customHeight="1">
      <c r="A224" s="106"/>
      <c r="B224" s="96">
        <v>286</v>
      </c>
      <c r="C224" s="96">
        <v>1445</v>
      </c>
      <c r="D224" s="96" t="s">
        <v>1343</v>
      </c>
      <c r="E224" s="96">
        <v>514290345</v>
      </c>
      <c r="F224" s="96" t="s">
        <v>308</v>
      </c>
      <c r="G224" s="96" t="s">
        <v>1835</v>
      </c>
      <c r="H224" s="96" t="s">
        <v>1836</v>
      </c>
      <c r="I224" s="96" t="s">
        <v>320</v>
      </c>
      <c r="J224" s="96" t="s">
        <v>952</v>
      </c>
      <c r="K224" s="96" t="s">
        <v>203</v>
      </c>
      <c r="L224" s="96" t="s">
        <v>203</v>
      </c>
      <c r="M224" s="96" t="s">
        <v>324</v>
      </c>
      <c r="N224" s="96" t="s">
        <v>339</v>
      </c>
      <c r="O224" s="96" t="s">
        <v>444</v>
      </c>
      <c r="P224" s="96" t="s">
        <v>338</v>
      </c>
      <c r="Q224" s="96" t="s">
        <v>1305</v>
      </c>
      <c r="R224" s="96" t="s">
        <v>414</v>
      </c>
      <c r="S224" s="96" t="s">
        <v>406</v>
      </c>
      <c r="T224" s="96" t="s">
        <v>1200</v>
      </c>
      <c r="U224" s="97">
        <v>4.53</v>
      </c>
      <c r="V224" s="100">
        <v>47238</v>
      </c>
      <c r="W224" s="98">
        <v>2.6200000000000001E-2</v>
      </c>
      <c r="X224" s="98">
        <v>5.5399999999999998E-2</v>
      </c>
      <c r="Y224" s="96" t="s">
        <v>411</v>
      </c>
      <c r="Z224" s="96"/>
      <c r="AA224" s="97">
        <v>71303.347089000003</v>
      </c>
      <c r="AB224" s="97">
        <v>1</v>
      </c>
      <c r="AC224" s="97">
        <v>88.48</v>
      </c>
      <c r="AD224" s="97"/>
      <c r="AE224" s="97">
        <v>63.089201000000003</v>
      </c>
      <c r="AF224" s="96"/>
      <c r="AG224" s="96"/>
      <c r="AH224" s="96"/>
      <c r="AI224" s="98">
        <v>5.5000000000000002E-5</v>
      </c>
      <c r="AJ224" s="98">
        <v>4.9220000000000002E-3</v>
      </c>
      <c r="AK224" s="98">
        <v>1.201E-3</v>
      </c>
      <c r="AL224" s="106"/>
    </row>
    <row r="225" spans="1:38" ht="15" customHeight="1">
      <c r="A225" s="106"/>
      <c r="B225" s="96">
        <v>286</v>
      </c>
      <c r="C225" s="96">
        <v>1445</v>
      </c>
      <c r="D225" s="96" t="s">
        <v>1837</v>
      </c>
      <c r="E225" s="96">
        <v>1742</v>
      </c>
      <c r="F225" s="96" t="s">
        <v>80</v>
      </c>
      <c r="G225" s="96" t="s">
        <v>1838</v>
      </c>
      <c r="H225" s="96" t="s">
        <v>1839</v>
      </c>
      <c r="I225" s="96" t="s">
        <v>320</v>
      </c>
      <c r="J225" s="96" t="s">
        <v>754</v>
      </c>
      <c r="K225" s="96" t="s">
        <v>203</v>
      </c>
      <c r="L225" s="96" t="s">
        <v>203</v>
      </c>
      <c r="M225" s="96" t="s">
        <v>324</v>
      </c>
      <c r="N225" s="96" t="s">
        <v>339</v>
      </c>
      <c r="O225" s="96" t="s">
        <v>464</v>
      </c>
      <c r="P225" s="96" t="s">
        <v>338</v>
      </c>
      <c r="Q225" s="96" t="s">
        <v>1305</v>
      </c>
      <c r="R225" s="96" t="s">
        <v>414</v>
      </c>
      <c r="S225" s="96" t="s">
        <v>406</v>
      </c>
      <c r="T225" s="96" t="s">
        <v>1200</v>
      </c>
      <c r="U225" s="97">
        <v>3.1</v>
      </c>
      <c r="V225" s="100">
        <v>46944</v>
      </c>
      <c r="W225" s="98">
        <v>4.2999999999999997E-2</v>
      </c>
      <c r="X225" s="98">
        <v>7.8299999999999995E-2</v>
      </c>
      <c r="Y225" s="96" t="s">
        <v>411</v>
      </c>
      <c r="Z225" s="96"/>
      <c r="AA225" s="97">
        <v>106058.968719</v>
      </c>
      <c r="AB225" s="97">
        <v>1</v>
      </c>
      <c r="AC225" s="97">
        <v>90.67</v>
      </c>
      <c r="AD225" s="97"/>
      <c r="AE225" s="97">
        <v>96.163666000000006</v>
      </c>
      <c r="AF225" s="96"/>
      <c r="AG225" s="96"/>
      <c r="AH225" s="96"/>
      <c r="AI225" s="98">
        <v>9.3999999999999994E-5</v>
      </c>
      <c r="AJ225" s="98">
        <v>7.502E-3</v>
      </c>
      <c r="AK225" s="98">
        <v>1.8309999999999999E-3</v>
      </c>
      <c r="AL225" s="106"/>
    </row>
    <row r="226" spans="1:38" ht="15" customHeight="1">
      <c r="A226" s="106"/>
      <c r="B226" s="96">
        <v>286</v>
      </c>
      <c r="C226" s="96">
        <v>1445</v>
      </c>
      <c r="D226" s="96" t="s">
        <v>1414</v>
      </c>
      <c r="E226" s="96">
        <v>520037789</v>
      </c>
      <c r="F226" s="96" t="s">
        <v>308</v>
      </c>
      <c r="G226" s="96" t="s">
        <v>1840</v>
      </c>
      <c r="H226" s="96" t="s">
        <v>1841</v>
      </c>
      <c r="I226" s="96" t="s">
        <v>320</v>
      </c>
      <c r="J226" s="96" t="s">
        <v>753</v>
      </c>
      <c r="K226" s="96" t="s">
        <v>203</v>
      </c>
      <c r="L226" s="96" t="s">
        <v>203</v>
      </c>
      <c r="M226" s="96" t="s">
        <v>324</v>
      </c>
      <c r="N226" s="96" t="s">
        <v>339</v>
      </c>
      <c r="O226" s="96" t="s">
        <v>463</v>
      </c>
      <c r="P226" s="96" t="s">
        <v>337</v>
      </c>
      <c r="Q226" s="96" t="s">
        <v>1313</v>
      </c>
      <c r="R226" s="96" t="s">
        <v>412</v>
      </c>
      <c r="S226" s="96" t="s">
        <v>406</v>
      </c>
      <c r="T226" s="96" t="s">
        <v>1200</v>
      </c>
      <c r="U226" s="97">
        <v>5.55</v>
      </c>
      <c r="V226" s="100">
        <v>47665</v>
      </c>
      <c r="W226" s="98">
        <v>2.5000000000000001E-3</v>
      </c>
      <c r="X226" s="98">
        <v>3.2399999999999998E-2</v>
      </c>
      <c r="Y226" s="96" t="s">
        <v>411</v>
      </c>
      <c r="Z226" s="96"/>
      <c r="AA226" s="97">
        <v>56418.674978000003</v>
      </c>
      <c r="AB226" s="97">
        <v>1</v>
      </c>
      <c r="AC226" s="97">
        <v>94.59</v>
      </c>
      <c r="AD226" s="97">
        <v>1.5080309999999999</v>
      </c>
      <c r="AE226" s="97">
        <v>54.874454999999998</v>
      </c>
      <c r="AF226" s="96"/>
      <c r="AG226" s="96"/>
      <c r="AH226" s="96"/>
      <c r="AI226" s="98">
        <v>4.5000000000000003E-5</v>
      </c>
      <c r="AJ226" s="98">
        <v>4.28E-3</v>
      </c>
      <c r="AK226" s="98">
        <v>1.044E-3</v>
      </c>
      <c r="AL226" s="106"/>
    </row>
    <row r="227" spans="1:38" ht="15" customHeight="1">
      <c r="A227" s="106"/>
      <c r="B227" s="96">
        <v>286</v>
      </c>
      <c r="C227" s="96">
        <v>1445</v>
      </c>
      <c r="D227" s="96" t="s">
        <v>1382</v>
      </c>
      <c r="E227" s="96">
        <v>520036690</v>
      </c>
      <c r="F227" s="96" t="s">
        <v>308</v>
      </c>
      <c r="G227" s="96" t="s">
        <v>1842</v>
      </c>
      <c r="H227" s="96" t="s">
        <v>1384</v>
      </c>
      <c r="I227" s="96" t="s">
        <v>320</v>
      </c>
      <c r="J227" s="96" t="s">
        <v>952</v>
      </c>
      <c r="K227" s="96" t="s">
        <v>203</v>
      </c>
      <c r="L227" s="96" t="s">
        <v>203</v>
      </c>
      <c r="M227" s="96" t="s">
        <v>326</v>
      </c>
      <c r="N227" s="96" t="s">
        <v>339</v>
      </c>
      <c r="O227" s="96" t="s">
        <v>475</v>
      </c>
      <c r="P227" s="96" t="s">
        <v>337</v>
      </c>
      <c r="Q227" s="96" t="s">
        <v>1305</v>
      </c>
      <c r="R227" s="96" t="s">
        <v>414</v>
      </c>
      <c r="S227" s="96" t="s">
        <v>406</v>
      </c>
      <c r="T227" s="96" t="s">
        <v>1200</v>
      </c>
      <c r="U227" s="97">
        <v>1.58</v>
      </c>
      <c r="V227" s="100">
        <v>46357</v>
      </c>
      <c r="W227" s="98">
        <v>2.29E-2</v>
      </c>
      <c r="X227" s="98">
        <v>4.99E-2</v>
      </c>
      <c r="Y227" s="96" t="s">
        <v>411</v>
      </c>
      <c r="Z227" s="96"/>
      <c r="AA227" s="97">
        <v>774.66513199999997</v>
      </c>
      <c r="AB227" s="97">
        <v>1</v>
      </c>
      <c r="AC227" s="97">
        <v>96.118700000000004</v>
      </c>
      <c r="AD227" s="97"/>
      <c r="AE227" s="97">
        <v>0.74459699999999995</v>
      </c>
      <c r="AF227" s="96"/>
      <c r="AG227" s="96"/>
      <c r="AH227" s="96"/>
      <c r="AI227" s="98">
        <v>9.9999999999999995E-7</v>
      </c>
      <c r="AJ227" s="98">
        <v>5.8E-5</v>
      </c>
      <c r="AK227" s="98">
        <v>1.4E-5</v>
      </c>
      <c r="AL227" s="106"/>
    </row>
    <row r="228" spans="1:38" ht="15" customHeight="1">
      <c r="A228" s="106"/>
      <c r="B228" s="96">
        <v>286</v>
      </c>
      <c r="C228" s="96">
        <v>1445</v>
      </c>
      <c r="D228" s="96" t="s">
        <v>1814</v>
      </c>
      <c r="E228" s="96">
        <v>514599943</v>
      </c>
      <c r="F228" s="96" t="s">
        <v>308</v>
      </c>
      <c r="G228" s="96" t="s">
        <v>1843</v>
      </c>
      <c r="H228" s="96" t="s">
        <v>1816</v>
      </c>
      <c r="I228" s="96" t="s">
        <v>320</v>
      </c>
      <c r="J228" s="96" t="s">
        <v>753</v>
      </c>
      <c r="K228" s="96" t="s">
        <v>203</v>
      </c>
      <c r="L228" s="96" t="s">
        <v>203</v>
      </c>
      <c r="M228" s="96" t="s">
        <v>326</v>
      </c>
      <c r="N228" s="96" t="s">
        <v>339</v>
      </c>
      <c r="O228" s="96" t="s">
        <v>440</v>
      </c>
      <c r="P228" s="96" t="s">
        <v>338</v>
      </c>
      <c r="Q228" s="96" t="s">
        <v>409</v>
      </c>
      <c r="R228" s="96" t="s">
        <v>409</v>
      </c>
      <c r="S228" s="96" t="s">
        <v>409</v>
      </c>
      <c r="T228" s="96" t="s">
        <v>1200</v>
      </c>
      <c r="U228" s="97">
        <v>2.73</v>
      </c>
      <c r="V228" s="100">
        <v>46752</v>
      </c>
      <c r="W228" s="98">
        <v>1.4800000000000001E-2</v>
      </c>
      <c r="X228" s="98">
        <v>4.6699999999999998E-2</v>
      </c>
      <c r="Y228" s="96" t="s">
        <v>411</v>
      </c>
      <c r="Z228" s="96"/>
      <c r="AA228" s="97">
        <v>2444.7881219999999</v>
      </c>
      <c r="AB228" s="97">
        <v>1</v>
      </c>
      <c r="AC228" s="97">
        <v>102.31870000000001</v>
      </c>
      <c r="AD228" s="97"/>
      <c r="AE228" s="97">
        <v>2.5014750000000001</v>
      </c>
      <c r="AF228" s="96"/>
      <c r="AG228" s="96"/>
      <c r="AH228" s="96"/>
      <c r="AI228" s="98">
        <v>3.0000000000000001E-6</v>
      </c>
      <c r="AJ228" s="98">
        <v>1.95E-4</v>
      </c>
      <c r="AK228" s="98">
        <v>4.6999999999999997E-5</v>
      </c>
      <c r="AL228" s="106"/>
    </row>
    <row r="229" spans="1:38" ht="15" customHeight="1">
      <c r="A229" s="106"/>
      <c r="B229" s="96">
        <v>286</v>
      </c>
      <c r="C229" s="96">
        <v>1445</v>
      </c>
      <c r="D229" s="96" t="s">
        <v>1343</v>
      </c>
      <c r="E229" s="96">
        <v>514290345</v>
      </c>
      <c r="F229" s="96" t="s">
        <v>308</v>
      </c>
      <c r="G229" s="96" t="s">
        <v>1844</v>
      </c>
      <c r="H229" s="96" t="s">
        <v>1845</v>
      </c>
      <c r="I229" s="96" t="s">
        <v>320</v>
      </c>
      <c r="J229" s="96" t="s">
        <v>753</v>
      </c>
      <c r="K229" s="96" t="s">
        <v>203</v>
      </c>
      <c r="L229" s="96" t="s">
        <v>203</v>
      </c>
      <c r="M229" s="96" t="s">
        <v>324</v>
      </c>
      <c r="N229" s="96" t="s">
        <v>339</v>
      </c>
      <c r="O229" s="96" t="s">
        <v>444</v>
      </c>
      <c r="P229" s="96" t="s">
        <v>338</v>
      </c>
      <c r="Q229" s="96" t="s">
        <v>1305</v>
      </c>
      <c r="R229" s="96" t="s">
        <v>414</v>
      </c>
      <c r="S229" s="96" t="s">
        <v>406</v>
      </c>
      <c r="T229" s="96" t="s">
        <v>1200</v>
      </c>
      <c r="U229" s="97">
        <v>2.2799999999999998</v>
      </c>
      <c r="V229" s="100">
        <v>46326</v>
      </c>
      <c r="W229" s="98">
        <v>2.2499999999999999E-2</v>
      </c>
      <c r="X229" s="98">
        <v>2.24E-2</v>
      </c>
      <c r="Y229" s="96" t="s">
        <v>411</v>
      </c>
      <c r="Z229" s="96"/>
      <c r="AA229" s="97">
        <v>12834.602832</v>
      </c>
      <c r="AB229" s="97">
        <v>1</v>
      </c>
      <c r="AC229" s="97">
        <v>115.51</v>
      </c>
      <c r="AD229" s="97"/>
      <c r="AE229" s="97">
        <v>14.825248999999999</v>
      </c>
      <c r="AF229" s="96"/>
      <c r="AG229" s="96"/>
      <c r="AH229" s="96"/>
      <c r="AI229" s="98">
        <v>3.1000000000000001E-5</v>
      </c>
      <c r="AJ229" s="98">
        <v>1.1559999999999999E-3</v>
      </c>
      <c r="AK229" s="98">
        <v>2.8200000000000002E-4</v>
      </c>
      <c r="AL229" s="106"/>
    </row>
    <row r="230" spans="1:38" ht="15" customHeight="1">
      <c r="A230" s="106"/>
      <c r="B230" s="96">
        <v>286</v>
      </c>
      <c r="C230" s="96">
        <v>1445</v>
      </c>
      <c r="D230" s="96" t="s">
        <v>1846</v>
      </c>
      <c r="E230" s="96">
        <v>1991033</v>
      </c>
      <c r="F230" s="96" t="s">
        <v>310</v>
      </c>
      <c r="G230" s="96" t="s">
        <v>1847</v>
      </c>
      <c r="H230" s="96" t="s">
        <v>1848</v>
      </c>
      <c r="I230" s="96" t="s">
        <v>320</v>
      </c>
      <c r="J230" s="96" t="s">
        <v>952</v>
      </c>
      <c r="K230" s="96" t="s">
        <v>203</v>
      </c>
      <c r="L230" s="96" t="s">
        <v>203</v>
      </c>
      <c r="M230" s="96" t="s">
        <v>324</v>
      </c>
      <c r="N230" s="96" t="s">
        <v>339</v>
      </c>
      <c r="O230" s="96" t="s">
        <v>464</v>
      </c>
      <c r="P230" s="96" t="s">
        <v>338</v>
      </c>
      <c r="Q230" s="96" t="s">
        <v>1332</v>
      </c>
      <c r="R230" s="96" t="s">
        <v>412</v>
      </c>
      <c r="S230" s="96" t="s">
        <v>406</v>
      </c>
      <c r="T230" s="96" t="s">
        <v>1200</v>
      </c>
      <c r="U230" s="97">
        <v>1.17</v>
      </c>
      <c r="V230" s="100">
        <v>45503</v>
      </c>
      <c r="W230" s="98">
        <v>4.8000000000000001E-2</v>
      </c>
      <c r="X230" s="98">
        <v>5.3900000000000003E-2</v>
      </c>
      <c r="Y230" s="96" t="s">
        <v>411</v>
      </c>
      <c r="Z230" s="96"/>
      <c r="AA230" s="97">
        <v>2035.6007520000001</v>
      </c>
      <c r="AB230" s="97">
        <v>1</v>
      </c>
      <c r="AC230" s="97">
        <v>100.21</v>
      </c>
      <c r="AD230" s="97"/>
      <c r="AE230" s="97">
        <v>2.0398749999999999</v>
      </c>
      <c r="AF230" s="96"/>
      <c r="AG230" s="96"/>
      <c r="AH230" s="96"/>
      <c r="AI230" s="98">
        <v>5.0000000000000004E-6</v>
      </c>
      <c r="AJ230" s="98">
        <v>1.5899999999999999E-4</v>
      </c>
      <c r="AK230" s="98">
        <v>3.8000000000000002E-5</v>
      </c>
      <c r="AL230" s="106"/>
    </row>
    <row r="231" spans="1:38" ht="15" customHeight="1">
      <c r="A231" s="106"/>
      <c r="B231" s="96">
        <v>286</v>
      </c>
      <c r="C231" s="96">
        <v>1445</v>
      </c>
      <c r="D231" s="96" t="s">
        <v>1343</v>
      </c>
      <c r="E231" s="96">
        <v>514290345</v>
      </c>
      <c r="F231" s="96" t="s">
        <v>308</v>
      </c>
      <c r="G231" s="96" t="s">
        <v>1849</v>
      </c>
      <c r="H231" s="96" t="s">
        <v>1850</v>
      </c>
      <c r="I231" s="96" t="s">
        <v>320</v>
      </c>
      <c r="J231" s="96" t="s">
        <v>952</v>
      </c>
      <c r="K231" s="96" t="s">
        <v>203</v>
      </c>
      <c r="L231" s="96" t="s">
        <v>203</v>
      </c>
      <c r="M231" s="96" t="s">
        <v>324</v>
      </c>
      <c r="N231" s="96" t="s">
        <v>339</v>
      </c>
      <c r="O231" s="96" t="s">
        <v>444</v>
      </c>
      <c r="P231" s="96" t="s">
        <v>338</v>
      </c>
      <c r="Q231" s="96" t="s">
        <v>1305</v>
      </c>
      <c r="R231" s="96" t="s">
        <v>414</v>
      </c>
      <c r="S231" s="96" t="s">
        <v>406</v>
      </c>
      <c r="T231" s="96" t="s">
        <v>1200</v>
      </c>
      <c r="U231" s="97">
        <v>1.06</v>
      </c>
      <c r="V231" s="100">
        <v>45869</v>
      </c>
      <c r="W231" s="98">
        <v>3.61E-2</v>
      </c>
      <c r="X231" s="98">
        <v>5.11E-2</v>
      </c>
      <c r="Y231" s="96" t="s">
        <v>411</v>
      </c>
      <c r="Z231" s="96"/>
      <c r="AA231" s="97">
        <v>1159.4951000000001</v>
      </c>
      <c r="AB231" s="97">
        <v>1</v>
      </c>
      <c r="AC231" s="97">
        <v>100.01</v>
      </c>
      <c r="AD231" s="97"/>
      <c r="AE231" s="97">
        <v>1.1596109999999999</v>
      </c>
      <c r="AF231" s="96"/>
      <c r="AG231" s="96"/>
      <c r="AH231" s="96"/>
      <c r="AI231" s="98">
        <v>9.9999999999999995E-7</v>
      </c>
      <c r="AJ231" s="98">
        <v>9.0000000000000006E-5</v>
      </c>
      <c r="AK231" s="98">
        <v>2.1999999999999999E-5</v>
      </c>
      <c r="AL231" s="106"/>
    </row>
    <row r="232" spans="1:38" ht="15" customHeight="1">
      <c r="A232" s="106"/>
      <c r="B232" s="96">
        <v>286</v>
      </c>
      <c r="C232" s="96">
        <v>1445</v>
      </c>
      <c r="D232" s="96" t="s">
        <v>1477</v>
      </c>
      <c r="E232" s="96">
        <v>520029935</v>
      </c>
      <c r="F232" s="96" t="s">
        <v>308</v>
      </c>
      <c r="G232" s="96" t="s">
        <v>1851</v>
      </c>
      <c r="H232" s="96" t="s">
        <v>1852</v>
      </c>
      <c r="I232" s="96" t="s">
        <v>320</v>
      </c>
      <c r="J232" s="96" t="s">
        <v>753</v>
      </c>
      <c r="K232" s="96" t="s">
        <v>203</v>
      </c>
      <c r="L232" s="96" t="s">
        <v>203</v>
      </c>
      <c r="M232" s="96" t="s">
        <v>324</v>
      </c>
      <c r="N232" s="96" t="s">
        <v>339</v>
      </c>
      <c r="O232" s="96" t="s">
        <v>447</v>
      </c>
      <c r="P232" s="96" t="s">
        <v>338</v>
      </c>
      <c r="Q232" s="96" t="s">
        <v>1211</v>
      </c>
      <c r="R232" s="96" t="s">
        <v>414</v>
      </c>
      <c r="S232" s="96" t="s">
        <v>406</v>
      </c>
      <c r="T232" s="96" t="s">
        <v>1200</v>
      </c>
      <c r="U232" s="97">
        <v>5.3</v>
      </c>
      <c r="V232" s="100">
        <v>49388</v>
      </c>
      <c r="W232" s="98">
        <v>2.1100000000000001E-2</v>
      </c>
      <c r="X232" s="98">
        <v>2.5999999999999999E-2</v>
      </c>
      <c r="Y232" s="96" t="s">
        <v>411</v>
      </c>
      <c r="Z232" s="96"/>
      <c r="AA232" s="97">
        <v>30067.119819</v>
      </c>
      <c r="AB232" s="97">
        <v>1</v>
      </c>
      <c r="AC232" s="97">
        <v>100.34</v>
      </c>
      <c r="AD232" s="97"/>
      <c r="AE232" s="97">
        <v>30.169347999999999</v>
      </c>
      <c r="AF232" s="96"/>
      <c r="AG232" s="96"/>
      <c r="AH232" s="96"/>
      <c r="AI232" s="98">
        <v>1.9000000000000001E-5</v>
      </c>
      <c r="AJ232" s="98">
        <v>2.3530000000000001E-3</v>
      </c>
      <c r="AK232" s="98">
        <v>5.7399999999999997E-4</v>
      </c>
      <c r="AL232" s="106"/>
    </row>
    <row r="233" spans="1:38" ht="15" customHeight="1">
      <c r="A233" s="106"/>
      <c r="B233" s="96">
        <v>286</v>
      </c>
      <c r="C233" s="96">
        <v>1445</v>
      </c>
      <c r="D233" s="96" t="s">
        <v>1648</v>
      </c>
      <c r="E233" s="96">
        <v>515846558</v>
      </c>
      <c r="F233" s="96" t="s">
        <v>308</v>
      </c>
      <c r="G233" s="96" t="s">
        <v>1853</v>
      </c>
      <c r="H233" s="96" t="s">
        <v>1650</v>
      </c>
      <c r="I233" s="96" t="s">
        <v>320</v>
      </c>
      <c r="J233" s="96" t="s">
        <v>753</v>
      </c>
      <c r="K233" s="96" t="s">
        <v>203</v>
      </c>
      <c r="L233" s="96" t="s">
        <v>203</v>
      </c>
      <c r="M233" s="96" t="s">
        <v>326</v>
      </c>
      <c r="N233" s="96" t="s">
        <v>339</v>
      </c>
      <c r="O233" s="96" t="s">
        <v>450</v>
      </c>
      <c r="P233" s="96" t="s">
        <v>337</v>
      </c>
      <c r="Q233" s="96" t="s">
        <v>1320</v>
      </c>
      <c r="R233" s="96" t="s">
        <v>412</v>
      </c>
      <c r="S233" s="96" t="s">
        <v>406</v>
      </c>
      <c r="T233" s="96" t="s">
        <v>1200</v>
      </c>
      <c r="U233" s="97">
        <v>4.38</v>
      </c>
      <c r="V233" s="100">
        <v>48852</v>
      </c>
      <c r="W233" s="98">
        <v>7.4999999999999997E-3</v>
      </c>
      <c r="X233" s="98">
        <v>4.0099999999999997E-2</v>
      </c>
      <c r="Y233" s="96" t="s">
        <v>411</v>
      </c>
      <c r="Z233" s="96"/>
      <c r="AA233" s="97">
        <v>1984.762898</v>
      </c>
      <c r="AB233" s="97">
        <v>1</v>
      </c>
      <c r="AC233" s="97">
        <v>95.738699999999994</v>
      </c>
      <c r="AD233" s="97"/>
      <c r="AE233" s="97">
        <v>1.9001859999999999</v>
      </c>
      <c r="AF233" s="96"/>
      <c r="AG233" s="96"/>
      <c r="AH233" s="96"/>
      <c r="AI233" s="98">
        <v>9.9999999999999995E-7</v>
      </c>
      <c r="AJ233" s="98">
        <v>1.4799999999999999E-4</v>
      </c>
      <c r="AK233" s="98">
        <v>3.6000000000000001E-5</v>
      </c>
      <c r="AL233" s="106"/>
    </row>
    <row r="234" spans="1:38" ht="15" customHeight="1">
      <c r="A234" s="106"/>
      <c r="B234" s="96">
        <v>286</v>
      </c>
      <c r="C234" s="96">
        <v>1445</v>
      </c>
      <c r="D234" s="96" t="s">
        <v>1379</v>
      </c>
      <c r="E234" s="96">
        <v>510454333</v>
      </c>
      <c r="F234" s="96" t="s">
        <v>308</v>
      </c>
      <c r="G234" s="96" t="s">
        <v>1854</v>
      </c>
      <c r="H234" s="96" t="s">
        <v>1391</v>
      </c>
      <c r="I234" s="96" t="s">
        <v>320</v>
      </c>
      <c r="J234" s="96" t="s">
        <v>753</v>
      </c>
      <c r="K234" s="96" t="s">
        <v>203</v>
      </c>
      <c r="L234" s="96" t="s">
        <v>203</v>
      </c>
      <c r="M234" s="96" t="s">
        <v>324</v>
      </c>
      <c r="N234" s="96" t="s">
        <v>339</v>
      </c>
      <c r="O234" s="96" t="s">
        <v>476</v>
      </c>
      <c r="P234" s="96" t="s">
        <v>338</v>
      </c>
      <c r="Q234" s="96" t="s">
        <v>1320</v>
      </c>
      <c r="R234" s="96" t="s">
        <v>412</v>
      </c>
      <c r="S234" s="96" t="s">
        <v>406</v>
      </c>
      <c r="T234" s="96" t="s">
        <v>1200</v>
      </c>
      <c r="U234" s="97">
        <v>2.62</v>
      </c>
      <c r="V234" s="100">
        <v>47299</v>
      </c>
      <c r="W234" s="98">
        <v>0.01</v>
      </c>
      <c r="X234" s="98">
        <v>2.8899999999999999E-2</v>
      </c>
      <c r="Y234" s="96" t="s">
        <v>411</v>
      </c>
      <c r="Z234" s="96"/>
      <c r="AA234" s="97">
        <v>9047.6402130000006</v>
      </c>
      <c r="AB234" s="97">
        <v>1</v>
      </c>
      <c r="AC234" s="97">
        <v>105.07</v>
      </c>
      <c r="AD234" s="97"/>
      <c r="AE234" s="97">
        <v>9.5063549999999992</v>
      </c>
      <c r="AF234" s="96"/>
      <c r="AG234" s="96"/>
      <c r="AH234" s="96"/>
      <c r="AI234" s="98">
        <v>3.0000000000000001E-5</v>
      </c>
      <c r="AJ234" s="98">
        <v>7.4100000000000001E-4</v>
      </c>
      <c r="AK234" s="98">
        <v>1.8100000000000001E-4</v>
      </c>
      <c r="AL234" s="106"/>
    </row>
    <row r="235" spans="1:38" ht="15" customHeight="1">
      <c r="A235" s="106"/>
      <c r="B235" s="96">
        <v>286</v>
      </c>
      <c r="C235" s="96">
        <v>1445</v>
      </c>
      <c r="D235" s="96" t="s">
        <v>1314</v>
      </c>
      <c r="E235" s="96">
        <v>513754069</v>
      </c>
      <c r="F235" s="96" t="s">
        <v>308</v>
      </c>
      <c r="G235" s="96" t="s">
        <v>1855</v>
      </c>
      <c r="H235" s="96" t="s">
        <v>1856</v>
      </c>
      <c r="I235" s="96" t="s">
        <v>320</v>
      </c>
      <c r="J235" s="96" t="s">
        <v>952</v>
      </c>
      <c r="K235" s="96" t="s">
        <v>203</v>
      </c>
      <c r="L235" s="96" t="s">
        <v>203</v>
      </c>
      <c r="M235" s="96" t="s">
        <v>326</v>
      </c>
      <c r="N235" s="96" t="s">
        <v>339</v>
      </c>
      <c r="O235" s="96" t="s">
        <v>444</v>
      </c>
      <c r="P235" s="96" t="s">
        <v>338</v>
      </c>
      <c r="Q235" s="96" t="s">
        <v>1332</v>
      </c>
      <c r="R235" s="96" t="s">
        <v>412</v>
      </c>
      <c r="S235" s="96" t="s">
        <v>406</v>
      </c>
      <c r="T235" s="96" t="s">
        <v>1200</v>
      </c>
      <c r="U235" s="97">
        <v>3.4</v>
      </c>
      <c r="V235" s="100">
        <v>46811</v>
      </c>
      <c r="W235" s="98">
        <v>4.7E-2</v>
      </c>
      <c r="X235" s="98">
        <v>5.8799999999999998E-2</v>
      </c>
      <c r="Y235" s="96" t="s">
        <v>411</v>
      </c>
      <c r="Z235" s="96"/>
      <c r="AA235" s="97">
        <v>23801.073658000001</v>
      </c>
      <c r="AB235" s="97">
        <v>1</v>
      </c>
      <c r="AC235" s="97">
        <v>97.749600000000001</v>
      </c>
      <c r="AD235" s="97"/>
      <c r="AE235" s="97">
        <v>23.265464999999999</v>
      </c>
      <c r="AF235" s="96"/>
      <c r="AG235" s="96"/>
      <c r="AH235" s="96"/>
      <c r="AI235" s="98">
        <v>2.5999999999999998E-5</v>
      </c>
      <c r="AJ235" s="98">
        <v>1.815E-3</v>
      </c>
      <c r="AK235" s="98">
        <v>4.4299999999999998E-4</v>
      </c>
      <c r="AL235" s="106"/>
    </row>
    <row r="236" spans="1:38" ht="15" customHeight="1">
      <c r="A236" s="106"/>
      <c r="B236" s="96">
        <v>286</v>
      </c>
      <c r="C236" s="96">
        <v>1445</v>
      </c>
      <c r="D236" s="96" t="s">
        <v>1565</v>
      </c>
      <c r="E236" s="96">
        <v>520033234</v>
      </c>
      <c r="F236" s="96" t="s">
        <v>308</v>
      </c>
      <c r="G236" s="96" t="s">
        <v>1857</v>
      </c>
      <c r="H236" s="96" t="s">
        <v>1858</v>
      </c>
      <c r="I236" s="96" t="s">
        <v>320</v>
      </c>
      <c r="J236" s="96" t="s">
        <v>753</v>
      </c>
      <c r="K236" s="96" t="s">
        <v>203</v>
      </c>
      <c r="L236" s="96" t="s">
        <v>203</v>
      </c>
      <c r="M236" s="96" t="s">
        <v>324</v>
      </c>
      <c r="N236" s="96" t="s">
        <v>339</v>
      </c>
      <c r="O236" s="96" t="s">
        <v>464</v>
      </c>
      <c r="P236" s="96" t="s">
        <v>337</v>
      </c>
      <c r="Q236" s="96" t="s">
        <v>1309</v>
      </c>
      <c r="R236" s="96" t="s">
        <v>414</v>
      </c>
      <c r="S236" s="96" t="s">
        <v>406</v>
      </c>
      <c r="T236" s="96" t="s">
        <v>1200</v>
      </c>
      <c r="U236" s="97">
        <v>0.25</v>
      </c>
      <c r="V236" s="100">
        <v>45565</v>
      </c>
      <c r="W236" s="98">
        <v>5.3499999999999999E-2</v>
      </c>
      <c r="X236" s="98">
        <v>3.9E-2</v>
      </c>
      <c r="Y236" s="96" t="s">
        <v>411</v>
      </c>
      <c r="Z236" s="96"/>
      <c r="AA236" s="97">
        <v>1298.138048</v>
      </c>
      <c r="AB236" s="97">
        <v>1</v>
      </c>
      <c r="AC236" s="97">
        <v>119.58</v>
      </c>
      <c r="AD236" s="97"/>
      <c r="AE236" s="97">
        <v>1.5523130000000001</v>
      </c>
      <c r="AF236" s="96"/>
      <c r="AG236" s="96"/>
      <c r="AH236" s="96"/>
      <c r="AI236" s="98">
        <v>3.0000000000000001E-6</v>
      </c>
      <c r="AJ236" s="98">
        <v>1.21E-4</v>
      </c>
      <c r="AK236" s="98">
        <v>2.9E-5</v>
      </c>
      <c r="AL236" s="106"/>
    </row>
    <row r="237" spans="1:38" ht="15" customHeight="1">
      <c r="A237" s="106"/>
      <c r="B237" s="96">
        <v>286</v>
      </c>
      <c r="C237" s="96">
        <v>1445</v>
      </c>
      <c r="D237" s="96" t="s">
        <v>1333</v>
      </c>
      <c r="E237" s="96">
        <v>520024126</v>
      </c>
      <c r="F237" s="96" t="s">
        <v>308</v>
      </c>
      <c r="G237" s="96" t="s">
        <v>1859</v>
      </c>
      <c r="H237" s="96" t="s">
        <v>1860</v>
      </c>
      <c r="I237" s="96" t="s">
        <v>320</v>
      </c>
      <c r="J237" s="96" t="s">
        <v>753</v>
      </c>
      <c r="K237" s="96" t="s">
        <v>203</v>
      </c>
      <c r="L237" s="96" t="s">
        <v>203</v>
      </c>
      <c r="M237" s="96" t="s">
        <v>324</v>
      </c>
      <c r="N237" s="96" t="s">
        <v>339</v>
      </c>
      <c r="O237" s="96" t="s">
        <v>463</v>
      </c>
      <c r="P237" s="96" t="s">
        <v>337</v>
      </c>
      <c r="Q237" s="96" t="s">
        <v>1313</v>
      </c>
      <c r="R237" s="96" t="s">
        <v>412</v>
      </c>
      <c r="S237" s="96" t="s">
        <v>406</v>
      </c>
      <c r="T237" s="96" t="s">
        <v>1200</v>
      </c>
      <c r="U237" s="97">
        <v>3.38</v>
      </c>
      <c r="V237" s="100">
        <v>46934</v>
      </c>
      <c r="W237" s="98">
        <v>2.5999999999999999E-2</v>
      </c>
      <c r="X237" s="98">
        <v>2.8500000000000001E-2</v>
      </c>
      <c r="Y237" s="96" t="s">
        <v>411</v>
      </c>
      <c r="Z237" s="96"/>
      <c r="AA237" s="97">
        <v>1899.4598450000001</v>
      </c>
      <c r="AB237" s="97">
        <v>1</v>
      </c>
      <c r="AC237" s="97">
        <v>113.24</v>
      </c>
      <c r="AD237" s="97"/>
      <c r="AE237" s="97">
        <v>2.1509480000000001</v>
      </c>
      <c r="AF237" s="96"/>
      <c r="AG237" s="96"/>
      <c r="AH237" s="96"/>
      <c r="AI237" s="98">
        <v>3.9999999999999998E-6</v>
      </c>
      <c r="AJ237" s="98">
        <v>1.6699999999999999E-4</v>
      </c>
      <c r="AK237" s="98">
        <v>4.0000000000000003E-5</v>
      </c>
      <c r="AL237" s="106"/>
    </row>
    <row r="238" spans="1:38" ht="15" customHeight="1">
      <c r="A238" s="106"/>
      <c r="B238" s="96">
        <v>286</v>
      </c>
      <c r="C238" s="96">
        <v>1445</v>
      </c>
      <c r="D238" s="96" t="s">
        <v>1414</v>
      </c>
      <c r="E238" s="96">
        <v>520037789</v>
      </c>
      <c r="F238" s="96" t="s">
        <v>308</v>
      </c>
      <c r="G238" s="96" t="s">
        <v>1861</v>
      </c>
      <c r="H238" s="96" t="s">
        <v>1841</v>
      </c>
      <c r="I238" s="96" t="s">
        <v>320</v>
      </c>
      <c r="J238" s="96" t="s">
        <v>753</v>
      </c>
      <c r="K238" s="96" t="s">
        <v>203</v>
      </c>
      <c r="L238" s="96" t="s">
        <v>203</v>
      </c>
      <c r="M238" s="96" t="s">
        <v>326</v>
      </c>
      <c r="N238" s="96" t="s">
        <v>339</v>
      </c>
      <c r="O238" s="96" t="s">
        <v>463</v>
      </c>
      <c r="P238" s="96" t="s">
        <v>337</v>
      </c>
      <c r="Q238" s="96" t="s">
        <v>1313</v>
      </c>
      <c r="R238" s="96" t="s">
        <v>412</v>
      </c>
      <c r="S238" s="96" t="s">
        <v>406</v>
      </c>
      <c r="T238" s="96" t="s">
        <v>1200</v>
      </c>
      <c r="U238" s="97">
        <v>5.55</v>
      </c>
      <c r="V238" s="100">
        <v>47665</v>
      </c>
      <c r="W238" s="98">
        <v>2.5000000000000001E-3</v>
      </c>
      <c r="X238" s="98">
        <v>3.2500000000000001E-2</v>
      </c>
      <c r="Y238" s="96" t="s">
        <v>411</v>
      </c>
      <c r="Z238" s="96"/>
      <c r="AA238" s="97">
        <v>3137.29502</v>
      </c>
      <c r="AB238" s="97">
        <v>1</v>
      </c>
      <c r="AC238" s="97">
        <v>94.531800000000004</v>
      </c>
      <c r="AD238" s="97"/>
      <c r="AE238" s="97">
        <v>2.9657390000000001</v>
      </c>
      <c r="AF238" s="96"/>
      <c r="AG238" s="96"/>
      <c r="AH238" s="96"/>
      <c r="AI238" s="98">
        <v>1.9999999999999999E-6</v>
      </c>
      <c r="AJ238" s="98">
        <v>2.31E-4</v>
      </c>
      <c r="AK238" s="98">
        <v>5.5999999999999999E-5</v>
      </c>
      <c r="AL238" s="106"/>
    </row>
    <row r="239" spans="1:38" ht="15" customHeight="1">
      <c r="A239" s="106"/>
      <c r="B239" s="96">
        <v>286</v>
      </c>
      <c r="C239" s="96">
        <v>1445</v>
      </c>
      <c r="D239" s="96" t="s">
        <v>1862</v>
      </c>
      <c r="E239" s="96">
        <v>520036120</v>
      </c>
      <c r="F239" s="96" t="s">
        <v>308</v>
      </c>
      <c r="G239" s="96" t="s">
        <v>1863</v>
      </c>
      <c r="H239" s="96" t="s">
        <v>1864</v>
      </c>
      <c r="I239" s="96" t="s">
        <v>320</v>
      </c>
      <c r="J239" s="96" t="s">
        <v>952</v>
      </c>
      <c r="K239" s="96" t="s">
        <v>203</v>
      </c>
      <c r="L239" s="96" t="s">
        <v>203</v>
      </c>
      <c r="M239" s="96" t="s">
        <v>324</v>
      </c>
      <c r="N239" s="96" t="s">
        <v>339</v>
      </c>
      <c r="O239" s="96" t="s">
        <v>444</v>
      </c>
      <c r="P239" s="96" t="s">
        <v>338</v>
      </c>
      <c r="Q239" s="96" t="s">
        <v>1332</v>
      </c>
      <c r="R239" s="96" t="s">
        <v>412</v>
      </c>
      <c r="S239" s="96" t="s">
        <v>406</v>
      </c>
      <c r="T239" s="96" t="s">
        <v>1200</v>
      </c>
      <c r="U239" s="97">
        <v>3.5</v>
      </c>
      <c r="V239" s="100">
        <v>46811</v>
      </c>
      <c r="W239" s="98">
        <v>2.8000000000000001E-2</v>
      </c>
      <c r="X239" s="98">
        <v>4.4400000000000002E-2</v>
      </c>
      <c r="Y239" s="96" t="s">
        <v>411</v>
      </c>
      <c r="Z239" s="96"/>
      <c r="AA239" s="97">
        <v>15247.216823000001</v>
      </c>
      <c r="AB239" s="97">
        <v>1</v>
      </c>
      <c r="AC239" s="97">
        <v>95.5</v>
      </c>
      <c r="AD239" s="97"/>
      <c r="AE239" s="97">
        <v>14.561092</v>
      </c>
      <c r="AF239" s="96"/>
      <c r="AG239" s="96"/>
      <c r="AH239" s="96"/>
      <c r="AI239" s="98">
        <v>1.01E-4</v>
      </c>
      <c r="AJ239" s="98">
        <v>1.1360000000000001E-3</v>
      </c>
      <c r="AK239" s="98">
        <v>2.7700000000000001E-4</v>
      </c>
      <c r="AL239" s="106"/>
    </row>
    <row r="240" spans="1:38" ht="15" customHeight="1">
      <c r="A240" s="106"/>
      <c r="B240" s="96">
        <v>286</v>
      </c>
      <c r="C240" s="96">
        <v>1445</v>
      </c>
      <c r="D240" s="96" t="s">
        <v>1317</v>
      </c>
      <c r="E240" s="96">
        <v>520028911</v>
      </c>
      <c r="F240" s="96" t="s">
        <v>308</v>
      </c>
      <c r="G240" s="96" t="s">
        <v>1865</v>
      </c>
      <c r="H240" s="96" t="s">
        <v>1866</v>
      </c>
      <c r="I240" s="96" t="s">
        <v>320</v>
      </c>
      <c r="J240" s="96" t="s">
        <v>952</v>
      </c>
      <c r="K240" s="96" t="s">
        <v>203</v>
      </c>
      <c r="L240" s="96" t="s">
        <v>203</v>
      </c>
      <c r="M240" s="96" t="s">
        <v>324</v>
      </c>
      <c r="N240" s="96" t="s">
        <v>339</v>
      </c>
      <c r="O240" s="96" t="s">
        <v>450</v>
      </c>
      <c r="P240" s="96" t="s">
        <v>337</v>
      </c>
      <c r="Q240" s="96" t="s">
        <v>1320</v>
      </c>
      <c r="R240" s="96" t="s">
        <v>412</v>
      </c>
      <c r="S240" s="96" t="s">
        <v>406</v>
      </c>
      <c r="T240" s="96" t="s">
        <v>1200</v>
      </c>
      <c r="U240" s="97">
        <v>5.05</v>
      </c>
      <c r="V240" s="100">
        <v>49653</v>
      </c>
      <c r="W240" s="98">
        <v>2.07E-2</v>
      </c>
      <c r="X240" s="98">
        <v>5.9499999999999997E-2</v>
      </c>
      <c r="Y240" s="96" t="s">
        <v>411</v>
      </c>
      <c r="Z240" s="96"/>
      <c r="AA240" s="97">
        <v>21871.837533999998</v>
      </c>
      <c r="AB240" s="97">
        <v>1</v>
      </c>
      <c r="AC240" s="97">
        <v>82.34</v>
      </c>
      <c r="AD240" s="97"/>
      <c r="AE240" s="97">
        <v>18.009270999999998</v>
      </c>
      <c r="AF240" s="96"/>
      <c r="AG240" s="96"/>
      <c r="AH240" s="96"/>
      <c r="AI240" s="98">
        <v>5.3000000000000001E-5</v>
      </c>
      <c r="AJ240" s="98">
        <v>1.405E-3</v>
      </c>
      <c r="AK240" s="98">
        <v>3.4200000000000002E-4</v>
      </c>
      <c r="AL240" s="106"/>
    </row>
    <row r="241" spans="1:38" ht="15" customHeight="1">
      <c r="A241" s="106"/>
      <c r="B241" s="96">
        <v>286</v>
      </c>
      <c r="C241" s="96">
        <v>1445</v>
      </c>
      <c r="D241" s="96" t="s">
        <v>1735</v>
      </c>
      <c r="E241" s="96">
        <v>550010003</v>
      </c>
      <c r="F241" s="96" t="s">
        <v>309</v>
      </c>
      <c r="G241" s="96" t="s">
        <v>1867</v>
      </c>
      <c r="H241" s="96" t="s">
        <v>1868</v>
      </c>
      <c r="I241" s="96" t="s">
        <v>320</v>
      </c>
      <c r="J241" s="96" t="s">
        <v>754</v>
      </c>
      <c r="K241" s="96" t="s">
        <v>203</v>
      </c>
      <c r="L241" s="96" t="s">
        <v>203</v>
      </c>
      <c r="M241" s="96" t="s">
        <v>324</v>
      </c>
      <c r="N241" s="96" t="s">
        <v>339</v>
      </c>
      <c r="O241" s="96" t="s">
        <v>453</v>
      </c>
      <c r="P241" s="96" t="s">
        <v>338</v>
      </c>
      <c r="Q241" s="96" t="s">
        <v>1313</v>
      </c>
      <c r="R241" s="96" t="s">
        <v>412</v>
      </c>
      <c r="S241" s="96" t="s">
        <v>406</v>
      </c>
      <c r="T241" s="96" t="s">
        <v>1200</v>
      </c>
      <c r="U241" s="97">
        <v>3.4</v>
      </c>
      <c r="V241" s="100">
        <v>47766</v>
      </c>
      <c r="W241" s="98">
        <v>3.7699999999999997E-2</v>
      </c>
      <c r="X241" s="98">
        <v>6.2E-2</v>
      </c>
      <c r="Y241" s="96" t="s">
        <v>411</v>
      </c>
      <c r="Z241" s="96"/>
      <c r="AA241" s="97">
        <v>20884.36521</v>
      </c>
      <c r="AB241" s="97">
        <v>1</v>
      </c>
      <c r="AC241" s="97">
        <v>102.78</v>
      </c>
      <c r="AD241" s="97"/>
      <c r="AE241" s="97">
        <v>21.464950000000002</v>
      </c>
      <c r="AF241" s="96"/>
      <c r="AG241" s="96"/>
      <c r="AH241" s="96"/>
      <c r="AI241" s="98">
        <v>1.1900000000000001E-4</v>
      </c>
      <c r="AJ241" s="98">
        <v>1.6739999999999999E-3</v>
      </c>
      <c r="AK241" s="98">
        <v>4.08E-4</v>
      </c>
      <c r="AL241" s="106"/>
    </row>
    <row r="242" spans="1:38" ht="15" customHeight="1">
      <c r="A242" s="106"/>
      <c r="B242" s="96">
        <v>286</v>
      </c>
      <c r="C242" s="96">
        <v>1445</v>
      </c>
      <c r="D242" s="96" t="s">
        <v>1869</v>
      </c>
      <c r="E242" s="96">
        <v>513569780</v>
      </c>
      <c r="F242" s="96" t="s">
        <v>308</v>
      </c>
      <c r="G242" s="96" t="s">
        <v>1870</v>
      </c>
      <c r="H242" s="96" t="s">
        <v>1871</v>
      </c>
      <c r="I242" s="96" t="s">
        <v>320</v>
      </c>
      <c r="J242" s="96" t="s">
        <v>753</v>
      </c>
      <c r="K242" s="96" t="s">
        <v>203</v>
      </c>
      <c r="L242" s="96" t="s">
        <v>203</v>
      </c>
      <c r="M242" s="96" t="s">
        <v>324</v>
      </c>
      <c r="N242" s="96" t="s">
        <v>339</v>
      </c>
      <c r="O242" s="96" t="s">
        <v>463</v>
      </c>
      <c r="P242" s="96" t="s">
        <v>338</v>
      </c>
      <c r="Q242" s="96" t="s">
        <v>1211</v>
      </c>
      <c r="R242" s="96" t="s">
        <v>414</v>
      </c>
      <c r="S242" s="96" t="s">
        <v>406</v>
      </c>
      <c r="T242" s="96" t="s">
        <v>1200</v>
      </c>
      <c r="U242" s="97">
        <v>5.24</v>
      </c>
      <c r="V242" s="100">
        <v>48213</v>
      </c>
      <c r="W242" s="98">
        <v>1.6500000000000001E-2</v>
      </c>
      <c r="X242" s="98">
        <v>2.81E-2</v>
      </c>
      <c r="Y242" s="96" t="s">
        <v>411</v>
      </c>
      <c r="Z242" s="96"/>
      <c r="AA242" s="97">
        <v>89307.442228999993</v>
      </c>
      <c r="AB242" s="97">
        <v>1</v>
      </c>
      <c r="AC242" s="97">
        <v>107.94</v>
      </c>
      <c r="AD242" s="97"/>
      <c r="AE242" s="97">
        <v>96.398453000000003</v>
      </c>
      <c r="AF242" s="96"/>
      <c r="AG242" s="96"/>
      <c r="AH242" s="96"/>
      <c r="AI242" s="98">
        <v>4.1999999999999998E-5</v>
      </c>
      <c r="AJ242" s="98">
        <v>7.5199999999999998E-3</v>
      </c>
      <c r="AK242" s="98">
        <v>1.835E-3</v>
      </c>
      <c r="AL242" s="106"/>
    </row>
    <row r="243" spans="1:38" ht="15" customHeight="1">
      <c r="A243" s="106"/>
      <c r="B243" s="96">
        <v>286</v>
      </c>
      <c r="C243" s="96">
        <v>1445</v>
      </c>
      <c r="D243" s="96" t="s">
        <v>1197</v>
      </c>
      <c r="E243" s="96">
        <v>520018078</v>
      </c>
      <c r="F243" s="96" t="s">
        <v>308</v>
      </c>
      <c r="G243" s="96" t="s">
        <v>1872</v>
      </c>
      <c r="H243" s="96" t="s">
        <v>1873</v>
      </c>
      <c r="I243" s="96" t="s">
        <v>320</v>
      </c>
      <c r="J243" s="96" t="s">
        <v>753</v>
      </c>
      <c r="K243" s="96" t="s">
        <v>203</v>
      </c>
      <c r="L243" s="96" t="s">
        <v>203</v>
      </c>
      <c r="M243" s="96" t="s">
        <v>324</v>
      </c>
      <c r="N243" s="96" t="s">
        <v>339</v>
      </c>
      <c r="O243" s="96" t="s">
        <v>447</v>
      </c>
      <c r="P243" s="96" t="s">
        <v>338</v>
      </c>
      <c r="Q243" s="96" t="s">
        <v>1332</v>
      </c>
      <c r="R243" s="96" t="s">
        <v>412</v>
      </c>
      <c r="S243" s="96" t="s">
        <v>406</v>
      </c>
      <c r="T243" s="96" t="s">
        <v>1200</v>
      </c>
      <c r="U243" s="97">
        <v>0.66</v>
      </c>
      <c r="V243" s="100">
        <v>45716</v>
      </c>
      <c r="W243" s="98">
        <v>2.4199999999999999E-2</v>
      </c>
      <c r="X243" s="98">
        <v>3.39E-2</v>
      </c>
      <c r="Y243" s="96" t="s">
        <v>410</v>
      </c>
      <c r="Z243" s="96"/>
      <c r="AA243" s="97">
        <v>67871.005749000004</v>
      </c>
      <c r="AB243" s="97">
        <v>1</v>
      </c>
      <c r="AC243" s="97">
        <v>113.74</v>
      </c>
      <c r="AD243" s="97"/>
      <c r="AE243" s="97">
        <v>77.196481000000006</v>
      </c>
      <c r="AF243" s="96"/>
      <c r="AG243" s="96"/>
      <c r="AH243" s="96"/>
      <c r="AI243" s="98">
        <v>4.6999999999999997E-5</v>
      </c>
      <c r="AJ243" s="98">
        <v>6.0219999999999996E-3</v>
      </c>
      <c r="AK243" s="98">
        <v>1.47E-3</v>
      </c>
      <c r="AL243" s="106"/>
    </row>
    <row r="244" spans="1:38" ht="15" customHeight="1">
      <c r="A244" s="106"/>
      <c r="B244" s="96">
        <v>286</v>
      </c>
      <c r="C244" s="96">
        <v>1445</v>
      </c>
      <c r="D244" s="96" t="s">
        <v>1421</v>
      </c>
      <c r="E244" s="96">
        <v>520026683</v>
      </c>
      <c r="F244" s="96" t="s">
        <v>308</v>
      </c>
      <c r="G244" s="96" t="s">
        <v>1874</v>
      </c>
      <c r="H244" s="96" t="s">
        <v>1875</v>
      </c>
      <c r="I244" s="96" t="s">
        <v>320</v>
      </c>
      <c r="J244" s="96" t="s">
        <v>952</v>
      </c>
      <c r="K244" s="96" t="s">
        <v>203</v>
      </c>
      <c r="L244" s="96" t="s">
        <v>203</v>
      </c>
      <c r="M244" s="96" t="s">
        <v>324</v>
      </c>
      <c r="N244" s="96" t="s">
        <v>339</v>
      </c>
      <c r="O244" s="96" t="s">
        <v>463</v>
      </c>
      <c r="P244" s="96" t="s">
        <v>338</v>
      </c>
      <c r="Q244" s="96" t="s">
        <v>1313</v>
      </c>
      <c r="R244" s="96" t="s">
        <v>412</v>
      </c>
      <c r="S244" s="96" t="s">
        <v>406</v>
      </c>
      <c r="T244" s="96" t="s">
        <v>1200</v>
      </c>
      <c r="U244" s="97">
        <v>0.99</v>
      </c>
      <c r="V244" s="100">
        <v>46026</v>
      </c>
      <c r="W244" s="98">
        <v>3.39E-2</v>
      </c>
      <c r="X244" s="98">
        <v>4.9399999999999999E-2</v>
      </c>
      <c r="Y244" s="96" t="s">
        <v>411</v>
      </c>
      <c r="Z244" s="96"/>
      <c r="AA244" s="97">
        <v>13003.461622000001</v>
      </c>
      <c r="AB244" s="97">
        <v>1</v>
      </c>
      <c r="AC244" s="97">
        <v>100.14</v>
      </c>
      <c r="AD244" s="97"/>
      <c r="AE244" s="97">
        <v>13.021666</v>
      </c>
      <c r="AF244" s="96"/>
      <c r="AG244" s="96"/>
      <c r="AH244" s="96"/>
      <c r="AI244" s="98">
        <v>2.9E-5</v>
      </c>
      <c r="AJ244" s="98">
        <v>1.0150000000000001E-3</v>
      </c>
      <c r="AK244" s="98">
        <v>2.4699999999999999E-4</v>
      </c>
      <c r="AL244" s="106"/>
    </row>
    <row r="245" spans="1:38" ht="15" customHeight="1">
      <c r="A245" s="106"/>
      <c r="B245" s="96">
        <v>286</v>
      </c>
      <c r="C245" s="96">
        <v>1445</v>
      </c>
      <c r="D245" s="96" t="s">
        <v>1710</v>
      </c>
      <c r="E245" s="96">
        <v>520034372</v>
      </c>
      <c r="F245" s="96" t="s">
        <v>308</v>
      </c>
      <c r="G245" s="96" t="s">
        <v>1876</v>
      </c>
      <c r="H245" s="96" t="s">
        <v>1877</v>
      </c>
      <c r="I245" s="96" t="s">
        <v>320</v>
      </c>
      <c r="J245" s="96" t="s">
        <v>753</v>
      </c>
      <c r="K245" s="96" t="s">
        <v>203</v>
      </c>
      <c r="L245" s="96" t="s">
        <v>203</v>
      </c>
      <c r="M245" s="96" t="s">
        <v>324</v>
      </c>
      <c r="N245" s="96" t="s">
        <v>339</v>
      </c>
      <c r="O245" s="96" t="s">
        <v>476</v>
      </c>
      <c r="P245" s="96" t="s">
        <v>338</v>
      </c>
      <c r="Q245" s="96" t="s">
        <v>1313</v>
      </c>
      <c r="R245" s="96" t="s">
        <v>412</v>
      </c>
      <c r="S245" s="96" t="s">
        <v>406</v>
      </c>
      <c r="T245" s="96" t="s">
        <v>1200</v>
      </c>
      <c r="U245" s="97">
        <v>3.61</v>
      </c>
      <c r="V245" s="100">
        <v>48202</v>
      </c>
      <c r="W245" s="98">
        <v>2.1999999999999999E-2</v>
      </c>
      <c r="X245" s="98">
        <v>3.0499999999999999E-2</v>
      </c>
      <c r="Y245" s="96" t="s">
        <v>411</v>
      </c>
      <c r="Z245" s="96"/>
      <c r="AA245" s="97">
        <v>28780.985466999999</v>
      </c>
      <c r="AB245" s="97">
        <v>1</v>
      </c>
      <c r="AC245" s="97">
        <v>102.03</v>
      </c>
      <c r="AD245" s="97"/>
      <c r="AE245" s="97">
        <v>29.365238999999999</v>
      </c>
      <c r="AF245" s="96"/>
      <c r="AG245" s="96"/>
      <c r="AH245" s="96"/>
      <c r="AI245" s="98">
        <v>6.0000000000000002E-5</v>
      </c>
      <c r="AJ245" s="98">
        <v>2.2910000000000001E-3</v>
      </c>
      <c r="AK245" s="98">
        <v>5.5900000000000004E-4</v>
      </c>
      <c r="AL245" s="106"/>
    </row>
    <row r="246" spans="1:38" ht="15" customHeight="1">
      <c r="A246" s="106"/>
      <c r="B246" s="96">
        <v>286</v>
      </c>
      <c r="C246" s="96">
        <v>1445</v>
      </c>
      <c r="D246" s="96" t="s">
        <v>1399</v>
      </c>
      <c r="E246" s="96">
        <v>520032046</v>
      </c>
      <c r="F246" s="96" t="s">
        <v>308</v>
      </c>
      <c r="G246" s="96" t="s">
        <v>1878</v>
      </c>
      <c r="H246" s="96" t="s">
        <v>1879</v>
      </c>
      <c r="I246" s="96" t="s">
        <v>320</v>
      </c>
      <c r="J246" s="96" t="s">
        <v>952</v>
      </c>
      <c r="K246" s="96" t="s">
        <v>203</v>
      </c>
      <c r="L246" s="96" t="s">
        <v>203</v>
      </c>
      <c r="M246" s="96" t="s">
        <v>324</v>
      </c>
      <c r="N246" s="96" t="s">
        <v>339</v>
      </c>
      <c r="O246" s="96" t="s">
        <v>447</v>
      </c>
      <c r="P246" s="96" t="s">
        <v>338</v>
      </c>
      <c r="Q246" s="96" t="s">
        <v>1211</v>
      </c>
      <c r="R246" s="96" t="s">
        <v>414</v>
      </c>
      <c r="S246" s="96" t="s">
        <v>406</v>
      </c>
      <c r="T246" s="96" t="s">
        <v>1200</v>
      </c>
      <c r="U246" s="97">
        <v>0.94</v>
      </c>
      <c r="V246" s="100">
        <v>45816</v>
      </c>
      <c r="W246" s="98">
        <v>2.98E-2</v>
      </c>
      <c r="X246" s="98">
        <v>4.4999999999999998E-2</v>
      </c>
      <c r="Y246" s="96" t="s">
        <v>411</v>
      </c>
      <c r="Z246" s="96"/>
      <c r="AA246" s="97">
        <v>48486.276019999998</v>
      </c>
      <c r="AB246" s="97">
        <v>1</v>
      </c>
      <c r="AC246" s="97">
        <v>98.82</v>
      </c>
      <c r="AD246" s="97"/>
      <c r="AE246" s="97">
        <v>47.914136999999997</v>
      </c>
      <c r="AF246" s="96"/>
      <c r="AG246" s="96"/>
      <c r="AH246" s="96"/>
      <c r="AI246" s="98">
        <v>1.9000000000000001E-5</v>
      </c>
      <c r="AJ246" s="98">
        <v>3.738E-3</v>
      </c>
      <c r="AK246" s="98">
        <v>9.1200000000000005E-4</v>
      </c>
      <c r="AL246" s="106"/>
    </row>
    <row r="247" spans="1:38" ht="15" customHeight="1">
      <c r="A247" s="106"/>
      <c r="B247" s="96">
        <v>286</v>
      </c>
      <c r="C247" s="96">
        <v>1445</v>
      </c>
      <c r="D247" s="96" t="s">
        <v>1337</v>
      </c>
      <c r="E247" s="96">
        <v>520028010</v>
      </c>
      <c r="F247" s="96" t="s">
        <v>308</v>
      </c>
      <c r="G247" s="96" t="s">
        <v>1880</v>
      </c>
      <c r="H247" s="96" t="s">
        <v>1881</v>
      </c>
      <c r="I247" s="96" t="s">
        <v>320</v>
      </c>
      <c r="J247" s="96" t="s">
        <v>952</v>
      </c>
      <c r="K247" s="96" t="s">
        <v>203</v>
      </c>
      <c r="L247" s="96" t="s">
        <v>203</v>
      </c>
      <c r="M247" s="96" t="s">
        <v>324</v>
      </c>
      <c r="N247" s="96" t="s">
        <v>339</v>
      </c>
      <c r="O247" s="96" t="s">
        <v>450</v>
      </c>
      <c r="P247" s="96" t="s">
        <v>338</v>
      </c>
      <c r="Q247" s="96" t="s">
        <v>1320</v>
      </c>
      <c r="R247" s="96" t="s">
        <v>412</v>
      </c>
      <c r="S247" s="96" t="s">
        <v>406</v>
      </c>
      <c r="T247" s="96" t="s">
        <v>1200</v>
      </c>
      <c r="U247" s="97">
        <v>3.82</v>
      </c>
      <c r="V247" s="100">
        <v>47695</v>
      </c>
      <c r="W247" s="98">
        <v>2.7400000000000001E-2</v>
      </c>
      <c r="X247" s="98">
        <v>5.5599999999999997E-2</v>
      </c>
      <c r="Y247" s="96" t="s">
        <v>411</v>
      </c>
      <c r="Z247" s="96"/>
      <c r="AA247" s="97">
        <v>16549.673708999999</v>
      </c>
      <c r="AB247" s="97">
        <v>1</v>
      </c>
      <c r="AC247" s="97">
        <v>91.17</v>
      </c>
      <c r="AD247" s="97"/>
      <c r="AE247" s="97">
        <v>15.088336999999999</v>
      </c>
      <c r="AF247" s="96"/>
      <c r="AG247" s="96"/>
      <c r="AH247" s="96"/>
      <c r="AI247" s="98">
        <v>2.1999999999999999E-5</v>
      </c>
      <c r="AJ247" s="98">
        <v>1.1770000000000001E-3</v>
      </c>
      <c r="AK247" s="98">
        <v>2.8699999999999998E-4</v>
      </c>
      <c r="AL247" s="106"/>
    </row>
    <row r="248" spans="1:38" ht="15" customHeight="1">
      <c r="A248" s="106"/>
      <c r="B248" s="96">
        <v>286</v>
      </c>
      <c r="C248" s="96">
        <v>1445</v>
      </c>
      <c r="D248" s="96" t="s">
        <v>1343</v>
      </c>
      <c r="E248" s="96">
        <v>514290345</v>
      </c>
      <c r="F248" s="96" t="s">
        <v>308</v>
      </c>
      <c r="G248" s="96" t="s">
        <v>1882</v>
      </c>
      <c r="H248" s="96" t="s">
        <v>1883</v>
      </c>
      <c r="I248" s="96" t="s">
        <v>320</v>
      </c>
      <c r="J248" s="96" t="s">
        <v>753</v>
      </c>
      <c r="K248" s="96" t="s">
        <v>203</v>
      </c>
      <c r="L248" s="96" t="s">
        <v>203</v>
      </c>
      <c r="M248" s="96" t="s">
        <v>324</v>
      </c>
      <c r="N248" s="96" t="s">
        <v>339</v>
      </c>
      <c r="O248" s="96" t="s">
        <v>444</v>
      </c>
      <c r="P248" s="96" t="s">
        <v>338</v>
      </c>
      <c r="Q248" s="96" t="s">
        <v>1305</v>
      </c>
      <c r="R248" s="96" t="s">
        <v>414</v>
      </c>
      <c r="S248" s="96" t="s">
        <v>406</v>
      </c>
      <c r="T248" s="96" t="s">
        <v>1200</v>
      </c>
      <c r="U248" s="97">
        <v>5.31</v>
      </c>
      <c r="V248" s="100">
        <v>47542</v>
      </c>
      <c r="W248" s="98">
        <v>2.3099999999999999E-2</v>
      </c>
      <c r="X248" s="98">
        <v>3.04E-2</v>
      </c>
      <c r="Y248" s="96" t="s">
        <v>411</v>
      </c>
      <c r="Z248" s="96"/>
      <c r="AA248" s="97">
        <v>25223.882036999999</v>
      </c>
      <c r="AB248" s="97">
        <v>1</v>
      </c>
      <c r="AC248" s="97">
        <v>98.41</v>
      </c>
      <c r="AD248" s="97"/>
      <c r="AE248" s="97">
        <v>24.822821999999999</v>
      </c>
      <c r="AF248" s="96"/>
      <c r="AG248" s="96"/>
      <c r="AH248" s="96"/>
      <c r="AI248" s="98">
        <v>8.3999999999999995E-5</v>
      </c>
      <c r="AJ248" s="98">
        <v>1.936E-3</v>
      </c>
      <c r="AK248" s="98">
        <v>4.7199999999999998E-4</v>
      </c>
      <c r="AL248" s="106"/>
    </row>
    <row r="249" spans="1:38" ht="15" customHeight="1">
      <c r="A249" s="106"/>
      <c r="B249" s="96">
        <v>286</v>
      </c>
      <c r="C249" s="96">
        <v>1445</v>
      </c>
      <c r="D249" s="96" t="s">
        <v>1354</v>
      </c>
      <c r="E249" s="96">
        <v>513893123</v>
      </c>
      <c r="F249" s="96" t="s">
        <v>308</v>
      </c>
      <c r="G249" s="96" t="s">
        <v>1884</v>
      </c>
      <c r="H249" s="96" t="s">
        <v>1396</v>
      </c>
      <c r="I249" s="96" t="s">
        <v>320</v>
      </c>
      <c r="J249" s="96" t="s">
        <v>753</v>
      </c>
      <c r="K249" s="96" t="s">
        <v>203</v>
      </c>
      <c r="L249" s="96" t="s">
        <v>203</v>
      </c>
      <c r="M249" s="96" t="s">
        <v>324</v>
      </c>
      <c r="N249" s="96" t="s">
        <v>339</v>
      </c>
      <c r="O249" s="96" t="s">
        <v>442</v>
      </c>
      <c r="P249" s="96" t="s">
        <v>338</v>
      </c>
      <c r="Q249" s="96" t="s">
        <v>1357</v>
      </c>
      <c r="R249" s="96" t="s">
        <v>414</v>
      </c>
      <c r="S249" s="96" t="s">
        <v>406</v>
      </c>
      <c r="T249" s="96" t="s">
        <v>1200</v>
      </c>
      <c r="U249" s="97">
        <v>3.22</v>
      </c>
      <c r="V249" s="100">
        <v>48060</v>
      </c>
      <c r="W249" s="98">
        <v>0.01</v>
      </c>
      <c r="X249" s="98">
        <v>3.5700000000000003E-2</v>
      </c>
      <c r="Y249" s="96" t="s">
        <v>411</v>
      </c>
      <c r="Z249" s="96"/>
      <c r="AA249" s="97">
        <v>2561.3381559999998</v>
      </c>
      <c r="AB249" s="97">
        <v>1</v>
      </c>
      <c r="AC249" s="97">
        <v>102.46</v>
      </c>
      <c r="AD249" s="97"/>
      <c r="AE249" s="97">
        <v>2.6243470000000002</v>
      </c>
      <c r="AF249" s="96"/>
      <c r="AG249" s="96"/>
      <c r="AH249" s="96"/>
      <c r="AI249" s="98">
        <v>9.9999999999999995E-7</v>
      </c>
      <c r="AJ249" s="98">
        <v>2.04E-4</v>
      </c>
      <c r="AK249" s="98">
        <v>4.8999999999999998E-5</v>
      </c>
      <c r="AL249" s="106"/>
    </row>
    <row r="250" spans="1:38" ht="15" customHeight="1">
      <c r="A250" s="106"/>
      <c r="B250" s="96">
        <v>286</v>
      </c>
      <c r="C250" s="96">
        <v>1445</v>
      </c>
      <c r="D250" s="96" t="s">
        <v>1440</v>
      </c>
      <c r="E250" s="96">
        <v>513992529</v>
      </c>
      <c r="F250" s="96" t="s">
        <v>308</v>
      </c>
      <c r="G250" s="96" t="s">
        <v>1885</v>
      </c>
      <c r="H250" s="96" t="s">
        <v>1886</v>
      </c>
      <c r="I250" s="96" t="s">
        <v>320</v>
      </c>
      <c r="J250" s="96" t="s">
        <v>753</v>
      </c>
      <c r="K250" s="96" t="s">
        <v>203</v>
      </c>
      <c r="L250" s="96" t="s">
        <v>203</v>
      </c>
      <c r="M250" s="96" t="s">
        <v>324</v>
      </c>
      <c r="N250" s="96" t="s">
        <v>339</v>
      </c>
      <c r="O250" s="96" t="s">
        <v>463</v>
      </c>
      <c r="P250" s="96" t="s">
        <v>338</v>
      </c>
      <c r="Q250" s="96" t="s">
        <v>1305</v>
      </c>
      <c r="R250" s="96" t="s">
        <v>414</v>
      </c>
      <c r="S250" s="96" t="s">
        <v>406</v>
      </c>
      <c r="T250" s="96" t="s">
        <v>1200</v>
      </c>
      <c r="U250" s="97">
        <v>3.16</v>
      </c>
      <c r="V250" s="100">
        <v>47221</v>
      </c>
      <c r="W250" s="98">
        <v>1.9599999999999999E-2</v>
      </c>
      <c r="X250" s="98">
        <v>2.9899999999999999E-2</v>
      </c>
      <c r="Y250" s="96" t="s">
        <v>411</v>
      </c>
      <c r="Z250" s="96"/>
      <c r="AA250" s="97">
        <v>3350.0130690000001</v>
      </c>
      <c r="AB250" s="97">
        <v>1</v>
      </c>
      <c r="AC250" s="97">
        <v>111.11</v>
      </c>
      <c r="AD250" s="97"/>
      <c r="AE250" s="97">
        <v>3.7221989999999998</v>
      </c>
      <c r="AF250" s="96"/>
      <c r="AG250" s="96"/>
      <c r="AH250" s="96"/>
      <c r="AI250" s="98">
        <v>1.9999999999999999E-6</v>
      </c>
      <c r="AJ250" s="98">
        <v>2.9E-4</v>
      </c>
      <c r="AK250" s="98">
        <v>6.9999999999999994E-5</v>
      </c>
      <c r="AL250" s="106"/>
    </row>
    <row r="251" spans="1:38" ht="15" customHeight="1">
      <c r="A251" s="106"/>
      <c r="B251" s="96">
        <v>286</v>
      </c>
      <c r="C251" s="96">
        <v>1445</v>
      </c>
      <c r="D251" s="96" t="s">
        <v>1358</v>
      </c>
      <c r="E251" s="96">
        <v>520022732</v>
      </c>
      <c r="F251" s="96" t="s">
        <v>308</v>
      </c>
      <c r="G251" s="96" t="s">
        <v>1887</v>
      </c>
      <c r="H251" s="96" t="s">
        <v>1888</v>
      </c>
      <c r="I251" s="96" t="s">
        <v>320</v>
      </c>
      <c r="J251" s="96" t="s">
        <v>753</v>
      </c>
      <c r="K251" s="96" t="s">
        <v>203</v>
      </c>
      <c r="L251" s="96" t="s">
        <v>203</v>
      </c>
      <c r="M251" s="96" t="s">
        <v>324</v>
      </c>
      <c r="N251" s="96" t="s">
        <v>339</v>
      </c>
      <c r="O251" s="96" t="s">
        <v>474</v>
      </c>
      <c r="P251" s="96" t="s">
        <v>337</v>
      </c>
      <c r="Q251" s="96" t="s">
        <v>1313</v>
      </c>
      <c r="R251" s="96" t="s">
        <v>412</v>
      </c>
      <c r="S251" s="96" t="s">
        <v>406</v>
      </c>
      <c r="T251" s="96" t="s">
        <v>1200</v>
      </c>
      <c r="U251" s="97">
        <v>2.15</v>
      </c>
      <c r="V251" s="100">
        <v>47034</v>
      </c>
      <c r="W251" s="98">
        <v>4.2999999999999997E-2</v>
      </c>
      <c r="X251" s="98">
        <v>2.3699999999999999E-2</v>
      </c>
      <c r="Y251" s="96" t="s">
        <v>411</v>
      </c>
      <c r="Z251" s="96"/>
      <c r="AA251" s="97">
        <v>14972.095369000001</v>
      </c>
      <c r="AB251" s="97">
        <v>1</v>
      </c>
      <c r="AC251" s="97">
        <v>121.81</v>
      </c>
      <c r="AD251" s="97"/>
      <c r="AE251" s="97">
        <v>18.237508999999999</v>
      </c>
      <c r="AF251" s="96"/>
      <c r="AG251" s="96"/>
      <c r="AH251" s="96"/>
      <c r="AI251" s="98">
        <v>2.9E-5</v>
      </c>
      <c r="AJ251" s="98">
        <v>1.4220000000000001E-3</v>
      </c>
      <c r="AK251" s="98">
        <v>3.4699999999999998E-4</v>
      </c>
      <c r="AL251" s="106"/>
    </row>
    <row r="252" spans="1:38" ht="15" customHeight="1">
      <c r="A252" s="106"/>
      <c r="B252" s="96">
        <v>286</v>
      </c>
      <c r="C252" s="96">
        <v>1445</v>
      </c>
      <c r="D252" s="96" t="s">
        <v>1862</v>
      </c>
      <c r="E252" s="96">
        <v>520036120</v>
      </c>
      <c r="F252" s="96" t="s">
        <v>308</v>
      </c>
      <c r="G252" s="96" t="s">
        <v>1889</v>
      </c>
      <c r="H252" s="96" t="s">
        <v>1856</v>
      </c>
      <c r="I252" s="96" t="s">
        <v>320</v>
      </c>
      <c r="J252" s="96" t="s">
        <v>952</v>
      </c>
      <c r="K252" s="96" t="s">
        <v>203</v>
      </c>
      <c r="L252" s="96" t="s">
        <v>203</v>
      </c>
      <c r="M252" s="96" t="s">
        <v>324</v>
      </c>
      <c r="N252" s="96" t="s">
        <v>339</v>
      </c>
      <c r="O252" s="96" t="s">
        <v>444</v>
      </c>
      <c r="P252" s="96" t="s">
        <v>338</v>
      </c>
      <c r="Q252" s="96" t="s">
        <v>1332</v>
      </c>
      <c r="R252" s="96" t="s">
        <v>412</v>
      </c>
      <c r="S252" s="96" t="s">
        <v>406</v>
      </c>
      <c r="T252" s="96" t="s">
        <v>1200</v>
      </c>
      <c r="U252" s="97">
        <v>3.4</v>
      </c>
      <c r="V252" s="100">
        <v>46811</v>
      </c>
      <c r="W252" s="98">
        <v>4.7E-2</v>
      </c>
      <c r="X252" s="98">
        <v>5.57E-2</v>
      </c>
      <c r="Y252" s="96" t="s">
        <v>411</v>
      </c>
      <c r="Z252" s="96"/>
      <c r="AA252" s="97">
        <v>14260.669416999999</v>
      </c>
      <c r="AB252" s="97">
        <v>1</v>
      </c>
      <c r="AC252" s="97">
        <v>98.75</v>
      </c>
      <c r="AD252" s="97"/>
      <c r="AE252" s="97">
        <v>14.082411</v>
      </c>
      <c r="AF252" s="96"/>
      <c r="AG252" s="96"/>
      <c r="AH252" s="96"/>
      <c r="AI252" s="98">
        <v>1.5E-5</v>
      </c>
      <c r="AJ252" s="98">
        <v>1.098E-3</v>
      </c>
      <c r="AK252" s="98">
        <v>2.6800000000000001E-4</v>
      </c>
      <c r="AL252" s="106"/>
    </row>
    <row r="253" spans="1:38" ht="15" customHeight="1">
      <c r="A253" s="106"/>
      <c r="B253" s="96">
        <v>286</v>
      </c>
      <c r="C253" s="96">
        <v>1445</v>
      </c>
      <c r="D253" s="96" t="s">
        <v>1517</v>
      </c>
      <c r="E253" s="96">
        <v>510560188</v>
      </c>
      <c r="F253" s="96" t="s">
        <v>308</v>
      </c>
      <c r="G253" s="96" t="s">
        <v>1890</v>
      </c>
      <c r="H253" s="96" t="s">
        <v>1891</v>
      </c>
      <c r="I253" s="96" t="s">
        <v>320</v>
      </c>
      <c r="J253" s="96" t="s">
        <v>753</v>
      </c>
      <c r="K253" s="96" t="s">
        <v>203</v>
      </c>
      <c r="L253" s="96" t="s">
        <v>203</v>
      </c>
      <c r="M253" s="96" t="s">
        <v>324</v>
      </c>
      <c r="N253" s="96" t="s">
        <v>339</v>
      </c>
      <c r="O253" s="96" t="s">
        <v>464</v>
      </c>
      <c r="P253" s="96" t="s">
        <v>338</v>
      </c>
      <c r="Q253" s="96" t="s">
        <v>1520</v>
      </c>
      <c r="R253" s="96" t="s">
        <v>414</v>
      </c>
      <c r="S253" s="96" t="s">
        <v>406</v>
      </c>
      <c r="T253" s="96" t="s">
        <v>1200</v>
      </c>
      <c r="U253" s="97">
        <v>1.71</v>
      </c>
      <c r="V253" s="100">
        <v>46310</v>
      </c>
      <c r="W253" s="98">
        <v>2.5700000000000001E-2</v>
      </c>
      <c r="X253" s="98">
        <v>3.3500000000000002E-2</v>
      </c>
      <c r="Y253" s="96" t="s">
        <v>411</v>
      </c>
      <c r="Z253" s="96"/>
      <c r="AA253" s="97">
        <v>29575.343486000002</v>
      </c>
      <c r="AB253" s="97">
        <v>1</v>
      </c>
      <c r="AC253" s="97">
        <v>113.71</v>
      </c>
      <c r="AD253" s="97"/>
      <c r="AE253" s="97">
        <v>33.630122999999998</v>
      </c>
      <c r="AF253" s="96"/>
      <c r="AG253" s="96"/>
      <c r="AH253" s="96"/>
      <c r="AI253" s="98">
        <v>2.3E-5</v>
      </c>
      <c r="AJ253" s="98">
        <v>2.6229999999999999E-3</v>
      </c>
      <c r="AK253" s="98">
        <v>6.4000000000000005E-4</v>
      </c>
      <c r="AL253" s="106"/>
    </row>
    <row r="254" spans="1:38" ht="15" customHeight="1">
      <c r="A254" s="106"/>
      <c r="B254" s="96">
        <v>286</v>
      </c>
      <c r="C254" s="96">
        <v>1445</v>
      </c>
      <c r="D254" s="96" t="s">
        <v>1445</v>
      </c>
      <c r="E254" s="96">
        <v>510381601</v>
      </c>
      <c r="F254" s="96" t="s">
        <v>308</v>
      </c>
      <c r="G254" s="96" t="s">
        <v>1892</v>
      </c>
      <c r="H254" s="96" t="s">
        <v>1893</v>
      </c>
      <c r="I254" s="96" t="s">
        <v>320</v>
      </c>
      <c r="J254" s="96" t="s">
        <v>753</v>
      </c>
      <c r="K254" s="96" t="s">
        <v>203</v>
      </c>
      <c r="L254" s="96" t="s">
        <v>203</v>
      </c>
      <c r="M254" s="96" t="s">
        <v>324</v>
      </c>
      <c r="N254" s="96" t="s">
        <v>339</v>
      </c>
      <c r="O254" s="96" t="s">
        <v>446</v>
      </c>
      <c r="P254" s="96" t="s">
        <v>337</v>
      </c>
      <c r="Q254" s="96" t="s">
        <v>1328</v>
      </c>
      <c r="R254" s="96" t="s">
        <v>412</v>
      </c>
      <c r="S254" s="96" t="s">
        <v>406</v>
      </c>
      <c r="T254" s="96" t="s">
        <v>1200</v>
      </c>
      <c r="U254" s="97">
        <v>3.5</v>
      </c>
      <c r="V254" s="100">
        <v>47483</v>
      </c>
      <c r="W254" s="98">
        <v>7.4999999999999997E-3</v>
      </c>
      <c r="X254" s="98">
        <v>3.9E-2</v>
      </c>
      <c r="Y254" s="96" t="s">
        <v>411</v>
      </c>
      <c r="Z254" s="96"/>
      <c r="AA254" s="97">
        <v>44044.399788000002</v>
      </c>
      <c r="AB254" s="97">
        <v>1</v>
      </c>
      <c r="AC254" s="97">
        <v>99.42</v>
      </c>
      <c r="AD254" s="97"/>
      <c r="AE254" s="97">
        <v>43.788941999999999</v>
      </c>
      <c r="AF254" s="96"/>
      <c r="AG254" s="96"/>
      <c r="AH254" s="96"/>
      <c r="AI254" s="98">
        <v>2.8E-5</v>
      </c>
      <c r="AJ254" s="98">
        <v>3.4160000000000002E-3</v>
      </c>
      <c r="AK254" s="98">
        <v>8.3299999999999997E-4</v>
      </c>
      <c r="AL254" s="106"/>
    </row>
    <row r="255" spans="1:38" ht="15" customHeight="1">
      <c r="A255" s="106"/>
      <c r="B255" s="96">
        <v>286</v>
      </c>
      <c r="C255" s="96">
        <v>1445</v>
      </c>
      <c r="D255" s="96" t="s">
        <v>1298</v>
      </c>
      <c r="E255" s="96">
        <v>510960719</v>
      </c>
      <c r="F255" s="96" t="s">
        <v>308</v>
      </c>
      <c r="G255" s="96" t="s">
        <v>1894</v>
      </c>
      <c r="H255" s="96" t="s">
        <v>1895</v>
      </c>
      <c r="I255" s="96" t="s">
        <v>320</v>
      </c>
      <c r="J255" s="96" t="s">
        <v>753</v>
      </c>
      <c r="K255" s="96" t="s">
        <v>203</v>
      </c>
      <c r="L255" s="96" t="s">
        <v>203</v>
      </c>
      <c r="M255" s="96" t="s">
        <v>324</v>
      </c>
      <c r="N255" s="96" t="s">
        <v>339</v>
      </c>
      <c r="O255" s="96" t="s">
        <v>463</v>
      </c>
      <c r="P255" s="96" t="s">
        <v>338</v>
      </c>
      <c r="Q255" s="96" t="s">
        <v>1301</v>
      </c>
      <c r="R255" s="96" t="s">
        <v>414</v>
      </c>
      <c r="S255" s="96" t="s">
        <v>406</v>
      </c>
      <c r="T255" s="96" t="s">
        <v>1200</v>
      </c>
      <c r="U255" s="97">
        <v>5.71</v>
      </c>
      <c r="V255" s="100">
        <v>48579</v>
      </c>
      <c r="W255" s="98">
        <v>2.4799999999999999E-2</v>
      </c>
      <c r="X255" s="98">
        <v>3.3399999999999999E-2</v>
      </c>
      <c r="Y255" s="96" t="s">
        <v>411</v>
      </c>
      <c r="Z255" s="96"/>
      <c r="AA255" s="97">
        <v>174884.70048100001</v>
      </c>
      <c r="AB255" s="97">
        <v>1</v>
      </c>
      <c r="AC255" s="97">
        <v>108.31</v>
      </c>
      <c r="AD255" s="97"/>
      <c r="AE255" s="97">
        <v>189.417619</v>
      </c>
      <c r="AF255" s="96"/>
      <c r="AG255" s="96"/>
      <c r="AH255" s="96"/>
      <c r="AI255" s="98">
        <v>5.3000000000000001E-5</v>
      </c>
      <c r="AJ255" s="98">
        <v>1.4777999999999999E-2</v>
      </c>
      <c r="AK255" s="98">
        <v>3.607E-3</v>
      </c>
      <c r="AL255" s="106"/>
    </row>
    <row r="256" spans="1:38" ht="15" customHeight="1">
      <c r="A256" s="106"/>
      <c r="B256" s="96">
        <v>286</v>
      </c>
      <c r="C256" s="96">
        <v>1445</v>
      </c>
      <c r="D256" s="96" t="s">
        <v>1399</v>
      </c>
      <c r="E256" s="96">
        <v>520032046</v>
      </c>
      <c r="F256" s="96" t="s">
        <v>308</v>
      </c>
      <c r="G256" s="96" t="s">
        <v>1896</v>
      </c>
      <c r="H256" s="96" t="s">
        <v>1897</v>
      </c>
      <c r="I256" s="96" t="s">
        <v>320</v>
      </c>
      <c r="J256" s="96" t="s">
        <v>753</v>
      </c>
      <c r="K256" s="96" t="s">
        <v>203</v>
      </c>
      <c r="L256" s="96" t="s">
        <v>203</v>
      </c>
      <c r="M256" s="96" t="s">
        <v>324</v>
      </c>
      <c r="N256" s="96" t="s">
        <v>339</v>
      </c>
      <c r="O256" s="96" t="s">
        <v>447</v>
      </c>
      <c r="P256" s="96" t="s">
        <v>338</v>
      </c>
      <c r="Q256" s="96" t="s">
        <v>1211</v>
      </c>
      <c r="R256" s="96" t="s">
        <v>414</v>
      </c>
      <c r="S256" s="96" t="s">
        <v>406</v>
      </c>
      <c r="T256" s="96" t="s">
        <v>1200</v>
      </c>
      <c r="U256" s="97">
        <v>4.63</v>
      </c>
      <c r="V256" s="100">
        <v>48938</v>
      </c>
      <c r="W256" s="98">
        <v>1.9900000000000001E-2</v>
      </c>
      <c r="X256" s="98">
        <v>2.58E-2</v>
      </c>
      <c r="Y256" s="96" t="s">
        <v>411</v>
      </c>
      <c r="Z256" s="96"/>
      <c r="AA256" s="97">
        <v>149737.02888699999</v>
      </c>
      <c r="AB256" s="97">
        <v>1</v>
      </c>
      <c r="AC256" s="97">
        <v>100.23</v>
      </c>
      <c r="AD256" s="97"/>
      <c r="AE256" s="97">
        <v>150.081424</v>
      </c>
      <c r="AF256" s="96"/>
      <c r="AG256" s="96"/>
      <c r="AH256" s="96"/>
      <c r="AI256" s="98">
        <v>5.5000000000000002E-5</v>
      </c>
      <c r="AJ256" s="98">
        <v>1.1709000000000001E-2</v>
      </c>
      <c r="AK256" s="98">
        <v>2.8570000000000002E-3</v>
      </c>
      <c r="AL256" s="106"/>
    </row>
    <row r="257" spans="1:38" ht="15" customHeight="1">
      <c r="A257" s="106"/>
      <c r="B257" s="96">
        <v>286</v>
      </c>
      <c r="C257" s="96">
        <v>1445</v>
      </c>
      <c r="D257" s="96" t="s">
        <v>1898</v>
      </c>
      <c r="E257" s="96">
        <v>520038605</v>
      </c>
      <c r="F257" s="96" t="s">
        <v>308</v>
      </c>
      <c r="G257" s="96" t="s">
        <v>1899</v>
      </c>
      <c r="H257" s="96" t="s">
        <v>1900</v>
      </c>
      <c r="I257" s="96" t="s">
        <v>320</v>
      </c>
      <c r="J257" s="96" t="s">
        <v>952</v>
      </c>
      <c r="K257" s="96" t="s">
        <v>203</v>
      </c>
      <c r="L257" s="96" t="s">
        <v>203</v>
      </c>
      <c r="M257" s="96" t="s">
        <v>324</v>
      </c>
      <c r="N257" s="96" t="s">
        <v>339</v>
      </c>
      <c r="O257" s="96" t="s">
        <v>446</v>
      </c>
      <c r="P257" s="96" t="s">
        <v>337</v>
      </c>
      <c r="Q257" s="96" t="s">
        <v>1309</v>
      </c>
      <c r="R257" s="96" t="s">
        <v>414</v>
      </c>
      <c r="S257" s="96" t="s">
        <v>406</v>
      </c>
      <c r="T257" s="96" t="s">
        <v>1200</v>
      </c>
      <c r="U257" s="97">
        <v>1.45</v>
      </c>
      <c r="V257" s="100">
        <v>46387</v>
      </c>
      <c r="W257" s="98">
        <v>3.4700000000000002E-2</v>
      </c>
      <c r="X257" s="98">
        <v>6.1600000000000002E-2</v>
      </c>
      <c r="Y257" s="96" t="s">
        <v>411</v>
      </c>
      <c r="Z257" s="96"/>
      <c r="AA257" s="97">
        <v>3228.1185639999999</v>
      </c>
      <c r="AB257" s="97">
        <v>1</v>
      </c>
      <c r="AC257" s="97">
        <v>96.37</v>
      </c>
      <c r="AD257" s="97"/>
      <c r="AE257" s="97">
        <v>3.1109369999999998</v>
      </c>
      <c r="AF257" s="96"/>
      <c r="AG257" s="96"/>
      <c r="AH257" s="96"/>
      <c r="AI257" s="98">
        <v>2.0999999999999999E-5</v>
      </c>
      <c r="AJ257" s="98">
        <v>2.42E-4</v>
      </c>
      <c r="AK257" s="98">
        <v>5.8999999999999998E-5</v>
      </c>
      <c r="AL257" s="106"/>
    </row>
    <row r="258" spans="1:38" ht="15" customHeight="1">
      <c r="A258" s="106"/>
      <c r="B258" s="96">
        <v>286</v>
      </c>
      <c r="C258" s="96">
        <v>1445</v>
      </c>
      <c r="D258" s="96" t="s">
        <v>1901</v>
      </c>
      <c r="E258" s="96">
        <v>520038688</v>
      </c>
      <c r="F258" s="96" t="s">
        <v>308</v>
      </c>
      <c r="G258" s="96" t="s">
        <v>1902</v>
      </c>
      <c r="H258" s="96" t="s">
        <v>1903</v>
      </c>
      <c r="I258" s="96" t="s">
        <v>320</v>
      </c>
      <c r="J258" s="96" t="s">
        <v>952</v>
      </c>
      <c r="K258" s="96" t="s">
        <v>203</v>
      </c>
      <c r="L258" s="96" t="s">
        <v>203</v>
      </c>
      <c r="M258" s="96" t="s">
        <v>324</v>
      </c>
      <c r="N258" s="96" t="s">
        <v>339</v>
      </c>
      <c r="O258" s="96" t="s">
        <v>446</v>
      </c>
      <c r="P258" s="96" t="s">
        <v>338</v>
      </c>
      <c r="Q258" s="96" t="s">
        <v>409</v>
      </c>
      <c r="R258" s="96" t="s">
        <v>409</v>
      </c>
      <c r="S258" s="96" t="s">
        <v>409</v>
      </c>
      <c r="T258" s="96" t="s">
        <v>1200</v>
      </c>
      <c r="U258" s="97">
        <v>0.17</v>
      </c>
      <c r="V258" s="100">
        <v>45536</v>
      </c>
      <c r="W258" s="98">
        <v>9.4E-2</v>
      </c>
      <c r="X258" s="98">
        <v>5.8599999999999999E-2</v>
      </c>
      <c r="Y258" s="96" t="s">
        <v>411</v>
      </c>
      <c r="Z258" s="96"/>
      <c r="AA258" s="97">
        <v>9673.2972790000003</v>
      </c>
      <c r="AB258" s="97">
        <v>1</v>
      </c>
      <c r="AC258" s="97">
        <v>102.14</v>
      </c>
      <c r="AD258" s="97"/>
      <c r="AE258" s="97">
        <v>9.8803049999999999</v>
      </c>
      <c r="AF258" s="96"/>
      <c r="AG258" s="96"/>
      <c r="AH258" s="96"/>
      <c r="AI258" s="98">
        <v>5.8E-5</v>
      </c>
      <c r="AJ258" s="98">
        <v>7.6999999999999996E-4</v>
      </c>
      <c r="AK258" s="98">
        <v>1.8799999999999999E-4</v>
      </c>
      <c r="AL258" s="106"/>
    </row>
    <row r="259" spans="1:38" ht="15" customHeight="1">
      <c r="A259" s="106"/>
      <c r="B259" s="96">
        <v>286</v>
      </c>
      <c r="C259" s="96">
        <v>1445</v>
      </c>
      <c r="D259" s="96" t="s">
        <v>1707</v>
      </c>
      <c r="E259" s="96">
        <v>512096793</v>
      </c>
      <c r="F259" s="96" t="s">
        <v>308</v>
      </c>
      <c r="G259" s="96" t="s">
        <v>1904</v>
      </c>
      <c r="H259" s="96" t="s">
        <v>1905</v>
      </c>
      <c r="I259" s="96" t="s">
        <v>320</v>
      </c>
      <c r="J259" s="96" t="s">
        <v>753</v>
      </c>
      <c r="K259" s="96" t="s">
        <v>203</v>
      </c>
      <c r="L259" s="96" t="s">
        <v>203</v>
      </c>
      <c r="M259" s="96" t="s">
        <v>324</v>
      </c>
      <c r="N259" s="96" t="s">
        <v>339</v>
      </c>
      <c r="O259" s="96" t="s">
        <v>463</v>
      </c>
      <c r="P259" s="96" t="s">
        <v>338</v>
      </c>
      <c r="Q259" s="96" t="s">
        <v>1520</v>
      </c>
      <c r="R259" s="96" t="s">
        <v>414</v>
      </c>
      <c r="S259" s="96" t="s">
        <v>406</v>
      </c>
      <c r="T259" s="96" t="s">
        <v>1200</v>
      </c>
      <c r="U259" s="97">
        <v>3.78</v>
      </c>
      <c r="V259" s="100">
        <v>47483</v>
      </c>
      <c r="W259" s="98">
        <v>2.8899999999999999E-2</v>
      </c>
      <c r="X259" s="98">
        <v>3.5000000000000003E-2</v>
      </c>
      <c r="Y259" s="96" t="s">
        <v>411</v>
      </c>
      <c r="Z259" s="96"/>
      <c r="AA259" s="97">
        <v>7315.0103769999996</v>
      </c>
      <c r="AB259" s="97">
        <v>1</v>
      </c>
      <c r="AC259" s="97">
        <v>102.78</v>
      </c>
      <c r="AD259" s="97"/>
      <c r="AE259" s="97">
        <v>7.5183669999999996</v>
      </c>
      <c r="AF259" s="96"/>
      <c r="AG259" s="96"/>
      <c r="AH259" s="96"/>
      <c r="AI259" s="98">
        <v>2.4000000000000001E-5</v>
      </c>
      <c r="AJ259" s="98">
        <v>5.8600000000000004E-4</v>
      </c>
      <c r="AK259" s="98">
        <v>1.4300000000000001E-4</v>
      </c>
      <c r="AL259" s="106"/>
    </row>
    <row r="260" spans="1:38" ht="15" customHeight="1">
      <c r="A260" s="106"/>
      <c r="B260" s="96">
        <v>286</v>
      </c>
      <c r="C260" s="96">
        <v>1445</v>
      </c>
      <c r="D260" s="96" t="s">
        <v>1399</v>
      </c>
      <c r="E260" s="96">
        <v>520032046</v>
      </c>
      <c r="F260" s="96" t="s">
        <v>308</v>
      </c>
      <c r="G260" s="96" t="s">
        <v>1906</v>
      </c>
      <c r="H260" s="96" t="s">
        <v>1907</v>
      </c>
      <c r="I260" s="96" t="s">
        <v>320</v>
      </c>
      <c r="J260" s="96" t="s">
        <v>753</v>
      </c>
      <c r="K260" s="96" t="s">
        <v>203</v>
      </c>
      <c r="L260" s="96" t="s">
        <v>203</v>
      </c>
      <c r="M260" s="96" t="s">
        <v>324</v>
      </c>
      <c r="N260" s="96" t="s">
        <v>339</v>
      </c>
      <c r="O260" s="96" t="s">
        <v>447</v>
      </c>
      <c r="P260" s="96" t="s">
        <v>338</v>
      </c>
      <c r="Q260" s="96" t="s">
        <v>1211</v>
      </c>
      <c r="R260" s="96" t="s">
        <v>414</v>
      </c>
      <c r="S260" s="96" t="s">
        <v>406</v>
      </c>
      <c r="T260" s="96" t="s">
        <v>1200</v>
      </c>
      <c r="U260" s="97">
        <v>0.25</v>
      </c>
      <c r="V260" s="100">
        <v>45564</v>
      </c>
      <c r="W260" s="98">
        <v>8.6E-3</v>
      </c>
      <c r="X260" s="98">
        <v>2.5399999999999999E-2</v>
      </c>
      <c r="Y260" s="96" t="s">
        <v>411</v>
      </c>
      <c r="Z260" s="96"/>
      <c r="AA260" s="97">
        <v>83424.916094</v>
      </c>
      <c r="AB260" s="97">
        <v>1</v>
      </c>
      <c r="AC260" s="97">
        <v>114.94</v>
      </c>
      <c r="AD260" s="97"/>
      <c r="AE260" s="97">
        <v>95.888598000000002</v>
      </c>
      <c r="AF260" s="96"/>
      <c r="AG260" s="96"/>
      <c r="AH260" s="96"/>
      <c r="AI260" s="98">
        <v>3.3000000000000003E-5</v>
      </c>
      <c r="AJ260" s="98">
        <v>7.4809999999999998E-3</v>
      </c>
      <c r="AK260" s="98">
        <v>1.825E-3</v>
      </c>
      <c r="AL260" s="106"/>
    </row>
    <row r="261" spans="1:38" ht="15" customHeight="1">
      <c r="A261" s="106"/>
      <c r="B261" s="96">
        <v>286</v>
      </c>
      <c r="C261" s="96">
        <v>1445</v>
      </c>
      <c r="D261" s="96" t="s">
        <v>1197</v>
      </c>
      <c r="E261" s="96">
        <v>520018078</v>
      </c>
      <c r="F261" s="96" t="s">
        <v>308</v>
      </c>
      <c r="G261" s="96" t="s">
        <v>1908</v>
      </c>
      <c r="H261" s="96" t="s">
        <v>1909</v>
      </c>
      <c r="I261" s="96" t="s">
        <v>320</v>
      </c>
      <c r="J261" s="96" t="s">
        <v>753</v>
      </c>
      <c r="K261" s="96" t="s">
        <v>203</v>
      </c>
      <c r="L261" s="96" t="s">
        <v>203</v>
      </c>
      <c r="M261" s="96" t="s">
        <v>324</v>
      </c>
      <c r="N261" s="96" t="s">
        <v>339</v>
      </c>
      <c r="O261" s="96" t="s">
        <v>447</v>
      </c>
      <c r="P261" s="96" t="s">
        <v>338</v>
      </c>
      <c r="Q261" s="96" t="s">
        <v>1199</v>
      </c>
      <c r="R261" s="96" t="s">
        <v>412</v>
      </c>
      <c r="S261" s="96" t="s">
        <v>406</v>
      </c>
      <c r="T261" s="96" t="s">
        <v>1200</v>
      </c>
      <c r="U261" s="97">
        <v>5.3</v>
      </c>
      <c r="V261" s="100">
        <v>48913</v>
      </c>
      <c r="W261" s="98">
        <v>2.0199999999999999E-2</v>
      </c>
      <c r="X261" s="98">
        <v>2.5899999999999999E-2</v>
      </c>
      <c r="Y261" s="96" t="s">
        <v>411</v>
      </c>
      <c r="Z261" s="96"/>
      <c r="AA261" s="97">
        <v>128276.076177</v>
      </c>
      <c r="AB261" s="97">
        <v>1</v>
      </c>
      <c r="AC261" s="97">
        <v>99.13</v>
      </c>
      <c r="AD261" s="97"/>
      <c r="AE261" s="97">
        <v>127.16007399999999</v>
      </c>
      <c r="AF261" s="96"/>
      <c r="AG261" s="96"/>
      <c r="AH261" s="96"/>
      <c r="AI261" s="98">
        <v>6.0000000000000002E-5</v>
      </c>
      <c r="AJ261" s="98">
        <v>9.9209999999999993E-3</v>
      </c>
      <c r="AK261" s="98">
        <v>2.421E-3</v>
      </c>
      <c r="AL261" s="106"/>
    </row>
    <row r="262" spans="1:38" ht="15" customHeight="1">
      <c r="A262" s="106"/>
      <c r="B262" s="96">
        <v>286</v>
      </c>
      <c r="C262" s="96">
        <v>1445</v>
      </c>
      <c r="D262" s="96" t="s">
        <v>1511</v>
      </c>
      <c r="E262" s="96">
        <v>513765859</v>
      </c>
      <c r="F262" s="96" t="s">
        <v>308</v>
      </c>
      <c r="G262" s="96" t="s">
        <v>1910</v>
      </c>
      <c r="H262" s="96" t="s">
        <v>1911</v>
      </c>
      <c r="I262" s="96" t="s">
        <v>320</v>
      </c>
      <c r="J262" s="96" t="s">
        <v>753</v>
      </c>
      <c r="K262" s="96" t="s">
        <v>203</v>
      </c>
      <c r="L262" s="96" t="s">
        <v>203</v>
      </c>
      <c r="M262" s="96" t="s">
        <v>324</v>
      </c>
      <c r="N262" s="96" t="s">
        <v>339</v>
      </c>
      <c r="O262" s="96" t="s">
        <v>463</v>
      </c>
      <c r="P262" s="96" t="s">
        <v>337</v>
      </c>
      <c r="Q262" s="96" t="s">
        <v>1332</v>
      </c>
      <c r="R262" s="96" t="s">
        <v>412</v>
      </c>
      <c r="S262" s="96" t="s">
        <v>406</v>
      </c>
      <c r="T262" s="96" t="s">
        <v>1200</v>
      </c>
      <c r="U262" s="97">
        <v>1.46</v>
      </c>
      <c r="V262" s="100">
        <v>46356</v>
      </c>
      <c r="W262" s="98">
        <v>2.1499999999999998E-2</v>
      </c>
      <c r="X262" s="98">
        <v>2.69E-2</v>
      </c>
      <c r="Y262" s="96" t="s">
        <v>411</v>
      </c>
      <c r="Z262" s="96"/>
      <c r="AA262" s="97">
        <v>16867.968998</v>
      </c>
      <c r="AB262" s="97">
        <v>1</v>
      </c>
      <c r="AC262" s="97">
        <v>114.49</v>
      </c>
      <c r="AD262" s="97"/>
      <c r="AE262" s="97">
        <v>19.312137</v>
      </c>
      <c r="AF262" s="96"/>
      <c r="AG262" s="96"/>
      <c r="AH262" s="96"/>
      <c r="AI262" s="98">
        <v>7.9999999999999996E-6</v>
      </c>
      <c r="AJ262" s="98">
        <v>1.506E-3</v>
      </c>
      <c r="AK262" s="98">
        <v>3.6699999999999998E-4</v>
      </c>
      <c r="AL262" s="106"/>
    </row>
    <row r="263" spans="1:38" ht="15" customHeight="1">
      <c r="A263" s="106"/>
      <c r="B263" s="96">
        <v>286</v>
      </c>
      <c r="C263" s="96">
        <v>1445</v>
      </c>
      <c r="D263" s="96" t="s">
        <v>1632</v>
      </c>
      <c r="E263" s="96">
        <v>520034257</v>
      </c>
      <c r="F263" s="96" t="s">
        <v>308</v>
      </c>
      <c r="G263" s="96" t="s">
        <v>1912</v>
      </c>
      <c r="H263" s="96" t="s">
        <v>1634</v>
      </c>
      <c r="I263" s="96" t="s">
        <v>320</v>
      </c>
      <c r="J263" s="96" t="s">
        <v>753</v>
      </c>
      <c r="K263" s="96" t="s">
        <v>203</v>
      </c>
      <c r="L263" s="96" t="s">
        <v>203</v>
      </c>
      <c r="M263" s="96" t="s">
        <v>324</v>
      </c>
      <c r="N263" s="96" t="s">
        <v>339</v>
      </c>
      <c r="O263" s="96" t="s">
        <v>450</v>
      </c>
      <c r="P263" s="96" t="s">
        <v>338</v>
      </c>
      <c r="Q263" s="96" t="s">
        <v>1520</v>
      </c>
      <c r="R263" s="96" t="s">
        <v>414</v>
      </c>
      <c r="S263" s="96" t="s">
        <v>406</v>
      </c>
      <c r="T263" s="96" t="s">
        <v>1200</v>
      </c>
      <c r="U263" s="97">
        <v>3.21</v>
      </c>
      <c r="V263" s="100">
        <v>46944</v>
      </c>
      <c r="W263" s="98">
        <v>3.73E-2</v>
      </c>
      <c r="X263" s="98">
        <v>3.7199999999999997E-2</v>
      </c>
      <c r="Y263" s="96" t="s">
        <v>411</v>
      </c>
      <c r="Z263" s="96"/>
      <c r="AA263" s="97">
        <v>12627.109736</v>
      </c>
      <c r="AB263" s="97">
        <v>1</v>
      </c>
      <c r="AC263" s="97">
        <v>107.03</v>
      </c>
      <c r="AD263" s="97"/>
      <c r="AE263" s="97">
        <v>13.514794999999999</v>
      </c>
      <c r="AF263" s="96"/>
      <c r="AG263" s="96"/>
      <c r="AH263" s="96"/>
      <c r="AI263" s="98">
        <v>3.4999999999999997E-5</v>
      </c>
      <c r="AJ263" s="98">
        <v>1.054E-3</v>
      </c>
      <c r="AK263" s="98">
        <v>2.5700000000000001E-4</v>
      </c>
      <c r="AL263" s="106"/>
    </row>
    <row r="264" spans="1:38" ht="15" customHeight="1">
      <c r="A264" s="106"/>
      <c r="B264" s="96">
        <v>286</v>
      </c>
      <c r="C264" s="96">
        <v>1445</v>
      </c>
      <c r="D264" s="96" t="s">
        <v>1913</v>
      </c>
      <c r="E264" s="96">
        <v>516117181</v>
      </c>
      <c r="F264" s="96" t="s">
        <v>308</v>
      </c>
      <c r="G264" s="96" t="s">
        <v>1914</v>
      </c>
      <c r="H264" s="96" t="s">
        <v>1915</v>
      </c>
      <c r="I264" s="96" t="s">
        <v>320</v>
      </c>
      <c r="J264" s="96" t="s">
        <v>952</v>
      </c>
      <c r="K264" s="96" t="s">
        <v>203</v>
      </c>
      <c r="L264" s="96" t="s">
        <v>203</v>
      </c>
      <c r="M264" s="96" t="s">
        <v>324</v>
      </c>
      <c r="N264" s="96" t="s">
        <v>339</v>
      </c>
      <c r="O264" s="96" t="s">
        <v>463</v>
      </c>
      <c r="P264" s="96" t="s">
        <v>338</v>
      </c>
      <c r="Q264" s="96" t="s">
        <v>409</v>
      </c>
      <c r="R264" s="96" t="s">
        <v>409</v>
      </c>
      <c r="S264" s="96" t="s">
        <v>409</v>
      </c>
      <c r="T264" s="96" t="s">
        <v>1200</v>
      </c>
      <c r="U264" s="97">
        <v>1.49</v>
      </c>
      <c r="V264" s="100">
        <v>46022</v>
      </c>
      <c r="W264" s="98">
        <v>0.01</v>
      </c>
      <c r="X264" s="98">
        <v>5.9400000000000001E-2</v>
      </c>
      <c r="Y264" s="96" t="s">
        <v>411</v>
      </c>
      <c r="Z264" s="96"/>
      <c r="AA264" s="97">
        <v>13114.431748000001</v>
      </c>
      <c r="AB264" s="97">
        <v>1</v>
      </c>
      <c r="AC264" s="97">
        <v>93.1</v>
      </c>
      <c r="AD264" s="97"/>
      <c r="AE264" s="97">
        <v>12.209535000000001</v>
      </c>
      <c r="AF264" s="96"/>
      <c r="AG264" s="96"/>
      <c r="AH264" s="96"/>
      <c r="AI264" s="98">
        <v>5.3999999999999998E-5</v>
      </c>
      <c r="AJ264" s="98">
        <v>9.5200000000000005E-4</v>
      </c>
      <c r="AK264" s="98">
        <v>2.32E-4</v>
      </c>
      <c r="AL264" s="106"/>
    </row>
    <row r="265" spans="1:38" ht="15" customHeight="1">
      <c r="A265" s="106"/>
      <c r="B265" s="96">
        <v>286</v>
      </c>
      <c r="C265" s="96">
        <v>1445</v>
      </c>
      <c r="D265" s="96" t="s">
        <v>1565</v>
      </c>
      <c r="E265" s="96">
        <v>520033234</v>
      </c>
      <c r="F265" s="96" t="s">
        <v>308</v>
      </c>
      <c r="G265" s="96" t="s">
        <v>1916</v>
      </c>
      <c r="H265" s="96" t="s">
        <v>1917</v>
      </c>
      <c r="I265" s="96" t="s">
        <v>320</v>
      </c>
      <c r="J265" s="96" t="s">
        <v>753</v>
      </c>
      <c r="K265" s="96" t="s">
        <v>203</v>
      </c>
      <c r="L265" s="96" t="s">
        <v>203</v>
      </c>
      <c r="M265" s="96" t="s">
        <v>324</v>
      </c>
      <c r="N265" s="96" t="s">
        <v>339</v>
      </c>
      <c r="O265" s="96" t="s">
        <v>464</v>
      </c>
      <c r="P265" s="96" t="s">
        <v>337</v>
      </c>
      <c r="Q265" s="96" t="s">
        <v>1309</v>
      </c>
      <c r="R265" s="96" t="s">
        <v>414</v>
      </c>
      <c r="S265" s="96" t="s">
        <v>406</v>
      </c>
      <c r="T265" s="96" t="s">
        <v>1200</v>
      </c>
      <c r="U265" s="97">
        <v>5.93</v>
      </c>
      <c r="V265" s="100">
        <v>48121</v>
      </c>
      <c r="W265" s="98">
        <v>4.1500000000000002E-2</v>
      </c>
      <c r="X265" s="98">
        <v>4.7600000000000003E-2</v>
      </c>
      <c r="Y265" s="96" t="s">
        <v>411</v>
      </c>
      <c r="Z265" s="96"/>
      <c r="AA265" s="97">
        <v>35201.036391000001</v>
      </c>
      <c r="AB265" s="97">
        <v>1</v>
      </c>
      <c r="AC265" s="97">
        <v>99.32</v>
      </c>
      <c r="AD265" s="97"/>
      <c r="AE265" s="97">
        <v>34.961669000000001</v>
      </c>
      <c r="AF265" s="96"/>
      <c r="AG265" s="96"/>
      <c r="AH265" s="96"/>
      <c r="AI265" s="98">
        <v>7.1000000000000005E-5</v>
      </c>
      <c r="AJ265" s="98">
        <v>2.7269999999999998E-3</v>
      </c>
      <c r="AK265" s="98">
        <v>6.6500000000000001E-4</v>
      </c>
      <c r="AL265" s="106"/>
    </row>
    <row r="266" spans="1:38" ht="15" customHeight="1">
      <c r="A266" s="106"/>
      <c r="B266" s="96">
        <v>286</v>
      </c>
      <c r="C266" s="96">
        <v>1445</v>
      </c>
      <c r="D266" s="96" t="s">
        <v>1367</v>
      </c>
      <c r="E266" s="96">
        <v>513141879</v>
      </c>
      <c r="F266" s="96" t="s">
        <v>308</v>
      </c>
      <c r="G266" s="96" t="s">
        <v>1918</v>
      </c>
      <c r="H266" s="96" t="s">
        <v>1919</v>
      </c>
      <c r="I266" s="96" t="s">
        <v>320</v>
      </c>
      <c r="J266" s="96" t="s">
        <v>753</v>
      </c>
      <c r="K266" s="96" t="s">
        <v>203</v>
      </c>
      <c r="L266" s="96" t="s">
        <v>203</v>
      </c>
      <c r="M266" s="96" t="s">
        <v>324</v>
      </c>
      <c r="N266" s="96" t="s">
        <v>339</v>
      </c>
      <c r="O266" s="96" t="s">
        <v>447</v>
      </c>
      <c r="P266" s="96" t="s">
        <v>338</v>
      </c>
      <c r="Q266" s="96" t="s">
        <v>1305</v>
      </c>
      <c r="R266" s="96" t="s">
        <v>414</v>
      </c>
      <c r="S266" s="96" t="s">
        <v>406</v>
      </c>
      <c r="T266" s="96" t="s">
        <v>1200</v>
      </c>
      <c r="U266" s="97">
        <v>4.42</v>
      </c>
      <c r="V266" s="100">
        <v>47190</v>
      </c>
      <c r="W266" s="98">
        <v>2.9899999999999999E-2</v>
      </c>
      <c r="X266" s="98">
        <v>3.5299999999999998E-2</v>
      </c>
      <c r="Y266" s="96" t="s">
        <v>410</v>
      </c>
      <c r="Z266" s="96"/>
      <c r="AA266" s="97">
        <v>46262.416605999999</v>
      </c>
      <c r="AB266" s="97">
        <v>1</v>
      </c>
      <c r="AC266" s="97">
        <v>104.39</v>
      </c>
      <c r="AD266" s="97"/>
      <c r="AE266" s="97">
        <v>48.293335999999996</v>
      </c>
      <c r="AF266" s="96"/>
      <c r="AG266" s="96"/>
      <c r="AH266" s="96"/>
      <c r="AI266" s="98">
        <v>5.7000000000000003E-5</v>
      </c>
      <c r="AJ266" s="98">
        <v>3.7669999999999999E-3</v>
      </c>
      <c r="AK266" s="98">
        <v>9.19E-4</v>
      </c>
      <c r="AL266" s="106"/>
    </row>
    <row r="267" spans="1:38" ht="15" customHeight="1">
      <c r="A267" s="106"/>
      <c r="B267" s="96">
        <v>286</v>
      </c>
      <c r="C267" s="96">
        <v>1445</v>
      </c>
      <c r="D267" s="96" t="s">
        <v>1477</v>
      </c>
      <c r="E267" s="96">
        <v>520029935</v>
      </c>
      <c r="F267" s="96" t="s">
        <v>308</v>
      </c>
      <c r="G267" s="96" t="s">
        <v>1920</v>
      </c>
      <c r="H267" s="96" t="s">
        <v>1921</v>
      </c>
      <c r="I267" s="96" t="s">
        <v>320</v>
      </c>
      <c r="J267" s="96" t="s">
        <v>753</v>
      </c>
      <c r="K267" s="96" t="s">
        <v>203</v>
      </c>
      <c r="L267" s="96" t="s">
        <v>203</v>
      </c>
      <c r="M267" s="96" t="s">
        <v>324</v>
      </c>
      <c r="N267" s="96" t="s">
        <v>339</v>
      </c>
      <c r="O267" s="96" t="s">
        <v>447</v>
      </c>
      <c r="P267" s="96" t="s">
        <v>338</v>
      </c>
      <c r="Q267" s="96" t="s">
        <v>1305</v>
      </c>
      <c r="R267" s="96" t="s">
        <v>414</v>
      </c>
      <c r="S267" s="96" t="s">
        <v>406</v>
      </c>
      <c r="T267" s="96" t="s">
        <v>1200</v>
      </c>
      <c r="U267" s="97">
        <v>1.98</v>
      </c>
      <c r="V267" s="100">
        <v>46204</v>
      </c>
      <c r="W267" s="98">
        <v>2.4199999999999999E-2</v>
      </c>
      <c r="X267" s="98">
        <v>2.8000000000000001E-2</v>
      </c>
      <c r="Y267" s="96" t="s">
        <v>410</v>
      </c>
      <c r="Z267" s="96"/>
      <c r="AA267" s="97">
        <v>43570.915615999998</v>
      </c>
      <c r="AB267" s="97">
        <v>1</v>
      </c>
      <c r="AC267" s="97">
        <v>112.82</v>
      </c>
      <c r="AD267" s="97"/>
      <c r="AE267" s="97">
        <v>49.156706</v>
      </c>
      <c r="AF267" s="96"/>
      <c r="AG267" s="96"/>
      <c r="AH267" s="96"/>
      <c r="AI267" s="98">
        <v>2.8E-5</v>
      </c>
      <c r="AJ267" s="98">
        <v>3.8349999999999999E-3</v>
      </c>
      <c r="AK267" s="98">
        <v>9.3599999999999998E-4</v>
      </c>
      <c r="AL267" s="106"/>
    </row>
    <row r="268" spans="1:38" ht="15" customHeight="1">
      <c r="A268" s="106"/>
      <c r="B268" s="96">
        <v>286</v>
      </c>
      <c r="C268" s="96">
        <v>1445</v>
      </c>
      <c r="D268" s="96" t="s">
        <v>1524</v>
      </c>
      <c r="E268" s="96">
        <v>513257873</v>
      </c>
      <c r="F268" s="96" t="s">
        <v>308</v>
      </c>
      <c r="G268" s="96" t="s">
        <v>1922</v>
      </c>
      <c r="H268" s="96" t="s">
        <v>1923</v>
      </c>
      <c r="I268" s="96" t="s">
        <v>320</v>
      </c>
      <c r="J268" s="96" t="s">
        <v>753</v>
      </c>
      <c r="K268" s="96" t="s">
        <v>203</v>
      </c>
      <c r="L268" s="96" t="s">
        <v>203</v>
      </c>
      <c r="M268" s="96" t="s">
        <v>324</v>
      </c>
      <c r="N268" s="96" t="s">
        <v>339</v>
      </c>
      <c r="O268" s="96" t="s">
        <v>463</v>
      </c>
      <c r="P268" s="96" t="s">
        <v>338</v>
      </c>
      <c r="Q268" s="96" t="s">
        <v>1320</v>
      </c>
      <c r="R268" s="96" t="s">
        <v>412</v>
      </c>
      <c r="S268" s="96" t="s">
        <v>406</v>
      </c>
      <c r="T268" s="96" t="s">
        <v>1200</v>
      </c>
      <c r="U268" s="97">
        <v>4.54</v>
      </c>
      <c r="V268" s="100">
        <v>47542</v>
      </c>
      <c r="W268" s="98">
        <v>8.3999999999999995E-3</v>
      </c>
      <c r="X268" s="98">
        <v>3.5799999999999998E-2</v>
      </c>
      <c r="Y268" s="96" t="s">
        <v>411</v>
      </c>
      <c r="Z268" s="96"/>
      <c r="AA268" s="97">
        <v>2411.2945220000001</v>
      </c>
      <c r="AB268" s="97">
        <v>1</v>
      </c>
      <c r="AC268" s="97">
        <v>100.58</v>
      </c>
      <c r="AD268" s="97"/>
      <c r="AE268" s="97">
        <v>2.4252799999999999</v>
      </c>
      <c r="AF268" s="96"/>
      <c r="AG268" s="96"/>
      <c r="AH268" s="96"/>
      <c r="AI268" s="98">
        <v>3.0000000000000001E-6</v>
      </c>
      <c r="AJ268" s="98">
        <v>1.8900000000000001E-4</v>
      </c>
      <c r="AK268" s="98">
        <v>4.6E-5</v>
      </c>
      <c r="AL268" s="106"/>
    </row>
    <row r="269" spans="1:38" ht="15" customHeight="1">
      <c r="A269" s="106"/>
      <c r="B269" s="96">
        <v>286</v>
      </c>
      <c r="C269" s="96">
        <v>1445</v>
      </c>
      <c r="D269" s="96" t="s">
        <v>1794</v>
      </c>
      <c r="E269" s="96">
        <v>520044520</v>
      </c>
      <c r="F269" s="96" t="s">
        <v>308</v>
      </c>
      <c r="G269" s="96" t="s">
        <v>1924</v>
      </c>
      <c r="H269" s="96" t="s">
        <v>1925</v>
      </c>
      <c r="I269" s="96" t="s">
        <v>320</v>
      </c>
      <c r="J269" s="96" t="s">
        <v>753</v>
      </c>
      <c r="K269" s="96" t="s">
        <v>203</v>
      </c>
      <c r="L269" s="96" t="s">
        <v>203</v>
      </c>
      <c r="M269" s="96" t="s">
        <v>324</v>
      </c>
      <c r="N269" s="96" t="s">
        <v>339</v>
      </c>
      <c r="O269" s="96" t="s">
        <v>463</v>
      </c>
      <c r="P269" s="96" t="s">
        <v>338</v>
      </c>
      <c r="Q269" s="96" t="s">
        <v>1357</v>
      </c>
      <c r="R269" s="96" t="s">
        <v>414</v>
      </c>
      <c r="S269" s="96" t="s">
        <v>406</v>
      </c>
      <c r="T269" s="96" t="s">
        <v>1200</v>
      </c>
      <c r="U269" s="97">
        <v>6.64</v>
      </c>
      <c r="V269" s="100">
        <v>50770</v>
      </c>
      <c r="W269" s="98">
        <v>3.8999999999999998E-3</v>
      </c>
      <c r="X269" s="98">
        <v>3.7100000000000001E-2</v>
      </c>
      <c r="Y269" s="96" t="s">
        <v>411</v>
      </c>
      <c r="Z269" s="96"/>
      <c r="AA269" s="97">
        <v>14806.226049999999</v>
      </c>
      <c r="AB269" s="97">
        <v>1</v>
      </c>
      <c r="AC269" s="97">
        <v>88.48</v>
      </c>
      <c r="AD269" s="97"/>
      <c r="AE269" s="97">
        <v>13.100548</v>
      </c>
      <c r="AF269" s="96"/>
      <c r="AG269" s="96"/>
      <c r="AH269" s="96"/>
      <c r="AI269" s="98">
        <v>6.7000000000000002E-5</v>
      </c>
      <c r="AJ269" s="98">
        <v>1.0219999999999999E-3</v>
      </c>
      <c r="AK269" s="98">
        <v>2.4899999999999998E-4</v>
      </c>
      <c r="AL269" s="106"/>
    </row>
    <row r="270" spans="1:38" ht="15" customHeight="1">
      <c r="A270" s="106"/>
      <c r="B270" s="96">
        <v>286</v>
      </c>
      <c r="C270" s="96">
        <v>1445</v>
      </c>
      <c r="D270" s="96" t="s">
        <v>1926</v>
      </c>
      <c r="E270" s="96">
        <v>520030859</v>
      </c>
      <c r="F270" s="96" t="s">
        <v>308</v>
      </c>
      <c r="G270" s="96" t="s">
        <v>1927</v>
      </c>
      <c r="H270" s="96" t="s">
        <v>1928</v>
      </c>
      <c r="I270" s="96" t="s">
        <v>320</v>
      </c>
      <c r="J270" s="96" t="s">
        <v>952</v>
      </c>
      <c r="K270" s="96" t="s">
        <v>203</v>
      </c>
      <c r="L270" s="96" t="s">
        <v>203</v>
      </c>
      <c r="M270" s="96" t="s">
        <v>324</v>
      </c>
      <c r="N270" s="96" t="s">
        <v>339</v>
      </c>
      <c r="O270" s="96" t="s">
        <v>450</v>
      </c>
      <c r="P270" s="96" t="s">
        <v>337</v>
      </c>
      <c r="Q270" s="96" t="s">
        <v>1313</v>
      </c>
      <c r="R270" s="96" t="s">
        <v>412</v>
      </c>
      <c r="S270" s="96" t="s">
        <v>406</v>
      </c>
      <c r="T270" s="96" t="s">
        <v>1200</v>
      </c>
      <c r="U270" s="97">
        <v>6.36</v>
      </c>
      <c r="V270" s="100">
        <v>49881</v>
      </c>
      <c r="W270" s="98">
        <v>5.3100000000000001E-2</v>
      </c>
      <c r="X270" s="98">
        <v>6.13E-2</v>
      </c>
      <c r="Y270" s="96" t="s">
        <v>411</v>
      </c>
      <c r="Z270" s="96"/>
      <c r="AA270" s="97">
        <v>27309.181935000001</v>
      </c>
      <c r="AB270" s="97">
        <v>1</v>
      </c>
      <c r="AC270" s="97">
        <v>97.75</v>
      </c>
      <c r="AD270" s="97"/>
      <c r="AE270" s="97">
        <v>26.694724999999998</v>
      </c>
      <c r="AF270" s="96"/>
      <c r="AG270" s="96"/>
      <c r="AH270" s="96"/>
      <c r="AI270" s="98">
        <v>1.6799999999999999E-4</v>
      </c>
      <c r="AJ270" s="98">
        <v>2.0820000000000001E-3</v>
      </c>
      <c r="AK270" s="98">
        <v>5.0799999999999999E-4</v>
      </c>
      <c r="AL270" s="106"/>
    </row>
    <row r="271" spans="1:38" ht="15" customHeight="1">
      <c r="A271" s="106"/>
      <c r="B271" s="96">
        <v>286</v>
      </c>
      <c r="C271" s="96">
        <v>1445</v>
      </c>
      <c r="D271" s="96" t="s">
        <v>1929</v>
      </c>
      <c r="E271" s="96">
        <v>520044314</v>
      </c>
      <c r="F271" s="96" t="s">
        <v>308</v>
      </c>
      <c r="G271" s="96" t="s">
        <v>1930</v>
      </c>
      <c r="H271" s="96" t="s">
        <v>1931</v>
      </c>
      <c r="I271" s="96" t="s">
        <v>320</v>
      </c>
      <c r="J271" s="96" t="s">
        <v>952</v>
      </c>
      <c r="K271" s="96" t="s">
        <v>203</v>
      </c>
      <c r="L271" s="96" t="s">
        <v>203</v>
      </c>
      <c r="M271" s="96" t="s">
        <v>324</v>
      </c>
      <c r="N271" s="96" t="s">
        <v>339</v>
      </c>
      <c r="O271" s="96" t="s">
        <v>483</v>
      </c>
      <c r="P271" s="96" t="s">
        <v>337</v>
      </c>
      <c r="Q271" s="96" t="s">
        <v>1332</v>
      </c>
      <c r="R271" s="96" t="s">
        <v>412</v>
      </c>
      <c r="S271" s="96" t="s">
        <v>406</v>
      </c>
      <c r="T271" s="96" t="s">
        <v>1200</v>
      </c>
      <c r="U271" s="97">
        <v>3.71</v>
      </c>
      <c r="V271" s="100">
        <v>47659</v>
      </c>
      <c r="W271" s="98">
        <v>2.0799999999999999E-2</v>
      </c>
      <c r="X271" s="98">
        <v>5.5100000000000003E-2</v>
      </c>
      <c r="Y271" s="96" t="s">
        <v>411</v>
      </c>
      <c r="Z271" s="96"/>
      <c r="AA271" s="97">
        <v>17197.950905999998</v>
      </c>
      <c r="AB271" s="97">
        <v>1</v>
      </c>
      <c r="AC271" s="97">
        <v>88.3</v>
      </c>
      <c r="AD271" s="97"/>
      <c r="AE271" s="97">
        <v>15.185790000000001</v>
      </c>
      <c r="AF271" s="96"/>
      <c r="AG271" s="96"/>
      <c r="AH271" s="96"/>
      <c r="AI271" s="98">
        <v>8.6000000000000003E-5</v>
      </c>
      <c r="AJ271" s="98">
        <v>1.1839999999999999E-3</v>
      </c>
      <c r="AK271" s="98">
        <v>2.8899999999999998E-4</v>
      </c>
      <c r="AL271" s="106"/>
    </row>
    <row r="272" spans="1:38" ht="15" customHeight="1">
      <c r="A272" s="106"/>
      <c r="B272" s="96">
        <v>286</v>
      </c>
      <c r="C272" s="96">
        <v>1445</v>
      </c>
      <c r="D272" s="96" t="s">
        <v>1462</v>
      </c>
      <c r="E272" s="96">
        <v>520000472</v>
      </c>
      <c r="F272" s="96" t="s">
        <v>308</v>
      </c>
      <c r="G272" s="96" t="s">
        <v>1932</v>
      </c>
      <c r="H272" s="96" t="s">
        <v>1933</v>
      </c>
      <c r="I272" s="96" t="s">
        <v>320</v>
      </c>
      <c r="J272" s="96" t="s">
        <v>753</v>
      </c>
      <c r="K272" s="96" t="s">
        <v>203</v>
      </c>
      <c r="L272" s="96" t="s">
        <v>203</v>
      </c>
      <c r="M272" s="96" t="s">
        <v>324</v>
      </c>
      <c r="N272" s="96" t="s">
        <v>339</v>
      </c>
      <c r="O272" s="96" t="s">
        <v>439</v>
      </c>
      <c r="P272" s="96" t="s">
        <v>338</v>
      </c>
      <c r="Q272" s="96" t="s">
        <v>1301</v>
      </c>
      <c r="R272" s="96" t="s">
        <v>414</v>
      </c>
      <c r="S272" s="96" t="s">
        <v>406</v>
      </c>
      <c r="T272" s="96" t="s">
        <v>1200</v>
      </c>
      <c r="U272" s="97">
        <v>7.89</v>
      </c>
      <c r="V272" s="100">
        <v>48742</v>
      </c>
      <c r="W272" s="98">
        <v>0.03</v>
      </c>
      <c r="X272" s="98">
        <v>3.3599999999999998E-2</v>
      </c>
      <c r="Y272" s="96" t="s">
        <v>411</v>
      </c>
      <c r="Z272" s="96"/>
      <c r="AA272" s="97">
        <v>71303.347089000003</v>
      </c>
      <c r="AB272" s="97">
        <v>1</v>
      </c>
      <c r="AC272" s="97">
        <v>100.46</v>
      </c>
      <c r="AD272" s="97"/>
      <c r="AE272" s="97">
        <v>71.631342000000004</v>
      </c>
      <c r="AF272" s="96"/>
      <c r="AG272" s="96"/>
      <c r="AH272" s="96"/>
      <c r="AI272" s="98">
        <v>2.6999999999999999E-5</v>
      </c>
      <c r="AJ272" s="98">
        <v>5.5880000000000001E-3</v>
      </c>
      <c r="AK272" s="98">
        <v>1.364E-3</v>
      </c>
      <c r="AL272" s="106"/>
    </row>
    <row r="273" spans="1:38" ht="15" customHeight="1">
      <c r="A273" s="106"/>
      <c r="B273" s="96">
        <v>286</v>
      </c>
      <c r="C273" s="96">
        <v>1445</v>
      </c>
      <c r="D273" s="96" t="s">
        <v>1934</v>
      </c>
      <c r="E273" s="96">
        <v>520025602</v>
      </c>
      <c r="F273" s="96" t="s">
        <v>308</v>
      </c>
      <c r="G273" s="96" t="s">
        <v>1935</v>
      </c>
      <c r="H273" s="96" t="s">
        <v>1936</v>
      </c>
      <c r="I273" s="96" t="s">
        <v>320</v>
      </c>
      <c r="J273" s="96" t="s">
        <v>754</v>
      </c>
      <c r="K273" s="96" t="s">
        <v>203</v>
      </c>
      <c r="L273" s="96" t="s">
        <v>203</v>
      </c>
      <c r="M273" s="96" t="s">
        <v>324</v>
      </c>
      <c r="N273" s="96" t="s">
        <v>339</v>
      </c>
      <c r="O273" s="96" t="s">
        <v>436</v>
      </c>
      <c r="P273" s="96" t="s">
        <v>338</v>
      </c>
      <c r="Q273" s="96" t="s">
        <v>1305</v>
      </c>
      <c r="R273" s="96" t="s">
        <v>414</v>
      </c>
      <c r="S273" s="96" t="s">
        <v>406</v>
      </c>
      <c r="T273" s="96" t="s">
        <v>1200</v>
      </c>
      <c r="U273" s="97">
        <v>1.44</v>
      </c>
      <c r="V273" s="100">
        <v>46387</v>
      </c>
      <c r="W273" s="98">
        <v>3.85E-2</v>
      </c>
      <c r="X273" s="98">
        <v>6.9400000000000003E-2</v>
      </c>
      <c r="Y273" s="96" t="s">
        <v>411</v>
      </c>
      <c r="Z273" s="96"/>
      <c r="AA273" s="97">
        <v>3308.1588740000002</v>
      </c>
      <c r="AB273" s="97">
        <v>1</v>
      </c>
      <c r="AC273" s="97">
        <v>99.62</v>
      </c>
      <c r="AD273" s="97"/>
      <c r="AE273" s="97">
        <v>3.2955869999999998</v>
      </c>
      <c r="AF273" s="96"/>
      <c r="AG273" s="96"/>
      <c r="AH273" s="96"/>
      <c r="AI273" s="98">
        <v>2.0000000000000002E-5</v>
      </c>
      <c r="AJ273" s="98">
        <v>2.5700000000000001E-4</v>
      </c>
      <c r="AK273" s="98">
        <v>6.2000000000000003E-5</v>
      </c>
      <c r="AL273" s="106"/>
    </row>
    <row r="274" spans="1:38" ht="15" customHeight="1">
      <c r="A274" s="106"/>
      <c r="B274" s="96">
        <v>286</v>
      </c>
      <c r="C274" s="96">
        <v>1445</v>
      </c>
      <c r="D274" s="96" t="s">
        <v>1551</v>
      </c>
      <c r="E274" s="96">
        <v>511659401</v>
      </c>
      <c r="F274" s="96" t="s">
        <v>308</v>
      </c>
      <c r="G274" s="96" t="s">
        <v>1937</v>
      </c>
      <c r="H274" s="96" t="s">
        <v>1938</v>
      </c>
      <c r="I274" s="96" t="s">
        <v>320</v>
      </c>
      <c r="J274" s="96" t="s">
        <v>952</v>
      </c>
      <c r="K274" s="96" t="s">
        <v>203</v>
      </c>
      <c r="L274" s="96" t="s">
        <v>203</v>
      </c>
      <c r="M274" s="96" t="s">
        <v>324</v>
      </c>
      <c r="N274" s="96" t="s">
        <v>339</v>
      </c>
      <c r="O274" s="96" t="s">
        <v>463</v>
      </c>
      <c r="P274" s="96" t="s">
        <v>338</v>
      </c>
      <c r="Q274" s="96" t="s">
        <v>1313</v>
      </c>
      <c r="R274" s="96" t="s">
        <v>412</v>
      </c>
      <c r="S274" s="96" t="s">
        <v>406</v>
      </c>
      <c r="T274" s="96" t="s">
        <v>1200</v>
      </c>
      <c r="U274" s="97">
        <v>2.94</v>
      </c>
      <c r="V274" s="100">
        <v>47238</v>
      </c>
      <c r="W274" s="98">
        <v>0.05</v>
      </c>
      <c r="X274" s="98">
        <v>5.3999999999999999E-2</v>
      </c>
      <c r="Y274" s="96" t="s">
        <v>411</v>
      </c>
      <c r="Z274" s="96"/>
      <c r="AA274" s="97">
        <v>20753.294797999999</v>
      </c>
      <c r="AB274" s="97">
        <v>1</v>
      </c>
      <c r="AC274" s="97">
        <v>99.88</v>
      </c>
      <c r="AD274" s="97"/>
      <c r="AE274" s="97">
        <v>20.728390000000001</v>
      </c>
      <c r="AF274" s="96"/>
      <c r="AG274" s="96"/>
      <c r="AH274" s="96"/>
      <c r="AI274" s="98">
        <v>5.1E-5</v>
      </c>
      <c r="AJ274" s="98">
        <v>1.6169999999999999E-3</v>
      </c>
      <c r="AK274" s="98">
        <v>3.9399999999999998E-4</v>
      </c>
      <c r="AL274" s="106"/>
    </row>
    <row r="275" spans="1:38" ht="15" customHeight="1">
      <c r="A275" s="106"/>
      <c r="B275" s="96">
        <v>286</v>
      </c>
      <c r="C275" s="96">
        <v>1445</v>
      </c>
      <c r="D275" s="96" t="s">
        <v>1306</v>
      </c>
      <c r="E275" s="96">
        <v>520044322</v>
      </c>
      <c r="F275" s="96" t="s">
        <v>308</v>
      </c>
      <c r="G275" s="96" t="s">
        <v>1939</v>
      </c>
      <c r="H275" s="96" t="s">
        <v>1940</v>
      </c>
      <c r="I275" s="96" t="s">
        <v>320</v>
      </c>
      <c r="J275" s="96" t="s">
        <v>952</v>
      </c>
      <c r="K275" s="96" t="s">
        <v>203</v>
      </c>
      <c r="L275" s="96" t="s">
        <v>203</v>
      </c>
      <c r="M275" s="96" t="s">
        <v>324</v>
      </c>
      <c r="N275" s="96" t="s">
        <v>339</v>
      </c>
      <c r="O275" s="96" t="s">
        <v>453</v>
      </c>
      <c r="P275" s="96" t="s">
        <v>338</v>
      </c>
      <c r="Q275" s="96" t="s">
        <v>1309</v>
      </c>
      <c r="R275" s="96" t="s">
        <v>414</v>
      </c>
      <c r="S275" s="96" t="s">
        <v>406</v>
      </c>
      <c r="T275" s="96" t="s">
        <v>1200</v>
      </c>
      <c r="U275" s="97">
        <v>2.88</v>
      </c>
      <c r="V275" s="100">
        <v>47149</v>
      </c>
      <c r="W275" s="98">
        <v>6.7500000000000004E-2</v>
      </c>
      <c r="X275" s="98">
        <v>6.2600000000000003E-2</v>
      </c>
      <c r="Y275" s="96" t="s">
        <v>411</v>
      </c>
      <c r="Z275" s="96"/>
      <c r="AA275" s="97">
        <v>33848.060271000002</v>
      </c>
      <c r="AB275" s="97">
        <v>1</v>
      </c>
      <c r="AC275" s="97">
        <v>104.46</v>
      </c>
      <c r="AD275" s="97"/>
      <c r="AE275" s="97">
        <v>35.357683000000002</v>
      </c>
      <c r="AF275" s="96"/>
      <c r="AG275" s="96"/>
      <c r="AH275" s="96"/>
      <c r="AI275" s="98">
        <v>1.9000000000000001E-5</v>
      </c>
      <c r="AJ275" s="98">
        <v>2.758E-3</v>
      </c>
      <c r="AK275" s="98">
        <v>6.7299999999999999E-4</v>
      </c>
      <c r="AL275" s="106"/>
    </row>
    <row r="276" spans="1:38" ht="15" customHeight="1">
      <c r="A276" s="106"/>
      <c r="B276" s="96">
        <v>286</v>
      </c>
      <c r="C276" s="96">
        <v>1445</v>
      </c>
      <c r="D276" s="96" t="s">
        <v>1941</v>
      </c>
      <c r="E276" s="96">
        <v>520036435</v>
      </c>
      <c r="F276" s="96" t="s">
        <v>308</v>
      </c>
      <c r="G276" s="96" t="s">
        <v>1942</v>
      </c>
      <c r="H276" s="96" t="s">
        <v>1943</v>
      </c>
      <c r="I276" s="96" t="s">
        <v>320</v>
      </c>
      <c r="J276" s="96" t="s">
        <v>952</v>
      </c>
      <c r="K276" s="96" t="s">
        <v>203</v>
      </c>
      <c r="L276" s="96" t="s">
        <v>203</v>
      </c>
      <c r="M276" s="96" t="s">
        <v>324</v>
      </c>
      <c r="N276" s="96" t="s">
        <v>339</v>
      </c>
      <c r="O276" s="96" t="s">
        <v>476</v>
      </c>
      <c r="P276" s="96" t="s">
        <v>338</v>
      </c>
      <c r="Q276" s="96" t="s">
        <v>1320</v>
      </c>
      <c r="R276" s="96" t="s">
        <v>412</v>
      </c>
      <c r="S276" s="96" t="s">
        <v>406</v>
      </c>
      <c r="T276" s="96" t="s">
        <v>1200</v>
      </c>
      <c r="U276" s="97">
        <v>0.5</v>
      </c>
      <c r="V276" s="100">
        <v>45657</v>
      </c>
      <c r="W276" s="98">
        <v>2.9499999999999998E-2</v>
      </c>
      <c r="X276" s="98">
        <v>5.6899999999999999E-2</v>
      </c>
      <c r="Y276" s="96" t="s">
        <v>411</v>
      </c>
      <c r="Z276" s="96"/>
      <c r="AA276" s="97">
        <v>1152.8900779999999</v>
      </c>
      <c r="AB276" s="97">
        <v>1</v>
      </c>
      <c r="AC276" s="97">
        <v>98.7</v>
      </c>
      <c r="AD276" s="97"/>
      <c r="AE276" s="97">
        <v>1.137902</v>
      </c>
      <c r="AF276" s="96"/>
      <c r="AG276" s="96"/>
      <c r="AH276" s="96"/>
      <c r="AI276" s="98">
        <v>6.3999999999999997E-5</v>
      </c>
      <c r="AJ276" s="98">
        <v>8.7999999999999998E-5</v>
      </c>
      <c r="AK276" s="98">
        <v>2.0999999999999999E-5</v>
      </c>
      <c r="AL276" s="106"/>
    </row>
    <row r="277" spans="1:38" ht="15" customHeight="1">
      <c r="A277" s="106"/>
      <c r="B277" s="96">
        <v>286</v>
      </c>
      <c r="C277" s="96">
        <v>1445</v>
      </c>
      <c r="D277" s="96" t="s">
        <v>1491</v>
      </c>
      <c r="E277" s="96">
        <v>520036104</v>
      </c>
      <c r="F277" s="96" t="s">
        <v>308</v>
      </c>
      <c r="G277" s="96" t="s">
        <v>1944</v>
      </c>
      <c r="H277" s="96" t="s">
        <v>1945</v>
      </c>
      <c r="I277" s="96" t="s">
        <v>320</v>
      </c>
      <c r="J277" s="96" t="s">
        <v>753</v>
      </c>
      <c r="K277" s="96" t="s">
        <v>203</v>
      </c>
      <c r="L277" s="96" t="s">
        <v>203</v>
      </c>
      <c r="M277" s="96" t="s">
        <v>324</v>
      </c>
      <c r="N277" s="96" t="s">
        <v>339</v>
      </c>
      <c r="O277" s="96" t="s">
        <v>446</v>
      </c>
      <c r="P277" s="96" t="s">
        <v>337</v>
      </c>
      <c r="Q277" s="96" t="s">
        <v>1328</v>
      </c>
      <c r="R277" s="96" t="s">
        <v>412</v>
      </c>
      <c r="S277" s="96" t="s">
        <v>406</v>
      </c>
      <c r="T277" s="96" t="s">
        <v>1200</v>
      </c>
      <c r="U277" s="97">
        <v>0.74</v>
      </c>
      <c r="V277" s="100">
        <v>45748</v>
      </c>
      <c r="W277" s="98">
        <v>4.3400000000000001E-2</v>
      </c>
      <c r="X277" s="98">
        <v>3.6499999999999998E-2</v>
      </c>
      <c r="Y277" s="96" t="s">
        <v>411</v>
      </c>
      <c r="Z277" s="96"/>
      <c r="AA277" s="97">
        <v>13914.759018999999</v>
      </c>
      <c r="AB277" s="97">
        <v>1</v>
      </c>
      <c r="AC277" s="97">
        <v>115.35</v>
      </c>
      <c r="AD277" s="97"/>
      <c r="AE277" s="97">
        <v>16.050674000000001</v>
      </c>
      <c r="AF277" s="96"/>
      <c r="AG277" s="96"/>
      <c r="AH277" s="96"/>
      <c r="AI277" s="98">
        <v>3.1000000000000001E-5</v>
      </c>
      <c r="AJ277" s="98">
        <v>1.2520000000000001E-3</v>
      </c>
      <c r="AK277" s="98">
        <v>3.0499999999999999E-4</v>
      </c>
      <c r="AL277" s="106"/>
    </row>
    <row r="278" spans="1:38" ht="15" customHeight="1">
      <c r="A278" s="106"/>
      <c r="B278" s="96">
        <v>286</v>
      </c>
      <c r="C278" s="96">
        <v>1445</v>
      </c>
      <c r="D278" s="96" t="s">
        <v>1203</v>
      </c>
      <c r="E278" s="96">
        <v>520000118</v>
      </c>
      <c r="F278" s="96" t="s">
        <v>308</v>
      </c>
      <c r="G278" s="96" t="s">
        <v>1946</v>
      </c>
      <c r="H278" s="96" t="s">
        <v>1947</v>
      </c>
      <c r="I278" s="96" t="s">
        <v>320</v>
      </c>
      <c r="J278" s="96" t="s">
        <v>753</v>
      </c>
      <c r="K278" s="96" t="s">
        <v>203</v>
      </c>
      <c r="L278" s="96" t="s">
        <v>203</v>
      </c>
      <c r="M278" s="96" t="s">
        <v>324</v>
      </c>
      <c r="N278" s="96" t="s">
        <v>339</v>
      </c>
      <c r="O278" s="96" t="s">
        <v>447</v>
      </c>
      <c r="P278" s="96" t="s">
        <v>338</v>
      </c>
      <c r="Q278" s="96" t="s">
        <v>1211</v>
      </c>
      <c r="R278" s="96" t="s">
        <v>414</v>
      </c>
      <c r="S278" s="96" t="s">
        <v>406</v>
      </c>
      <c r="T278" s="96" t="s">
        <v>1200</v>
      </c>
      <c r="U278" s="97">
        <v>3.26</v>
      </c>
      <c r="V278" s="100">
        <v>47819</v>
      </c>
      <c r="W278" s="98">
        <v>1.7500000000000002E-2</v>
      </c>
      <c r="X278" s="98">
        <v>2.4400000000000002E-2</v>
      </c>
      <c r="Y278" s="96" t="s">
        <v>411</v>
      </c>
      <c r="Z278" s="96"/>
      <c r="AA278" s="97">
        <v>125221.693872</v>
      </c>
      <c r="AB278" s="97">
        <v>1</v>
      </c>
      <c r="AC278" s="97">
        <v>111.51</v>
      </c>
      <c r="AD278" s="97"/>
      <c r="AE278" s="97">
        <v>139.63471000000001</v>
      </c>
      <c r="AF278" s="96"/>
      <c r="AG278" s="96"/>
      <c r="AH278" s="96"/>
      <c r="AI278" s="98">
        <v>4.8000000000000001E-5</v>
      </c>
      <c r="AJ278" s="98">
        <v>1.0893999999999999E-2</v>
      </c>
      <c r="AK278" s="98">
        <v>2.6589999999999999E-3</v>
      </c>
      <c r="AL278" s="106"/>
    </row>
    <row r="279" spans="1:38" ht="15" customHeight="1">
      <c r="A279" s="106"/>
      <c r="B279" s="96">
        <v>286</v>
      </c>
      <c r="C279" s="96">
        <v>1445</v>
      </c>
      <c r="D279" s="96" t="s">
        <v>1948</v>
      </c>
      <c r="E279" s="96">
        <v>516269248</v>
      </c>
      <c r="F279" s="96" t="s">
        <v>308</v>
      </c>
      <c r="G279" s="96" t="s">
        <v>1949</v>
      </c>
      <c r="H279" s="96" t="s">
        <v>1394</v>
      </c>
      <c r="I279" s="96" t="s">
        <v>320</v>
      </c>
      <c r="J279" s="96" t="s">
        <v>753</v>
      </c>
      <c r="K279" s="96" t="s">
        <v>203</v>
      </c>
      <c r="L279" s="96" t="s">
        <v>203</v>
      </c>
      <c r="M279" s="96" t="s">
        <v>324</v>
      </c>
      <c r="N279" s="96" t="s">
        <v>339</v>
      </c>
      <c r="O279" s="96" t="s">
        <v>439</v>
      </c>
      <c r="P279" s="96" t="s">
        <v>338</v>
      </c>
      <c r="Q279" s="96" t="s">
        <v>1309</v>
      </c>
      <c r="R279" s="96" t="s">
        <v>414</v>
      </c>
      <c r="S279" s="96" t="s">
        <v>406</v>
      </c>
      <c r="T279" s="96" t="s">
        <v>1200</v>
      </c>
      <c r="U279" s="97">
        <v>5.97</v>
      </c>
      <c r="V279" s="100">
        <v>49217</v>
      </c>
      <c r="W279" s="98">
        <v>3.3000000000000002E-2</v>
      </c>
      <c r="X279" s="98">
        <v>4.19E-2</v>
      </c>
      <c r="Y279" s="96" t="s">
        <v>411</v>
      </c>
      <c r="Z279" s="96"/>
      <c r="AA279" s="97">
        <v>41795.513369</v>
      </c>
      <c r="AB279" s="97">
        <v>1</v>
      </c>
      <c r="AC279" s="97">
        <v>100.71</v>
      </c>
      <c r="AD279" s="97"/>
      <c r="AE279" s="97">
        <v>42.092261000000001</v>
      </c>
      <c r="AF279" s="96"/>
      <c r="AG279" s="96"/>
      <c r="AH279" s="96"/>
      <c r="AI279" s="98">
        <v>3.3000000000000003E-5</v>
      </c>
      <c r="AJ279" s="98">
        <v>3.284E-3</v>
      </c>
      <c r="AK279" s="98">
        <v>8.0099999999999995E-4</v>
      </c>
      <c r="AL279" s="106"/>
    </row>
    <row r="280" spans="1:38" ht="15" customHeight="1">
      <c r="A280" s="106"/>
      <c r="B280" s="96">
        <v>286</v>
      </c>
      <c r="C280" s="96">
        <v>1445</v>
      </c>
      <c r="D280" s="96" t="s">
        <v>1950</v>
      </c>
      <c r="E280" s="96">
        <v>520043605</v>
      </c>
      <c r="F280" s="96" t="s">
        <v>308</v>
      </c>
      <c r="G280" s="96" t="s">
        <v>1951</v>
      </c>
      <c r="H280" s="96" t="s">
        <v>1952</v>
      </c>
      <c r="I280" s="96" t="s">
        <v>320</v>
      </c>
      <c r="J280" s="96" t="s">
        <v>753</v>
      </c>
      <c r="K280" s="96" t="s">
        <v>203</v>
      </c>
      <c r="L280" s="96" t="s">
        <v>203</v>
      </c>
      <c r="M280" s="96" t="s">
        <v>324</v>
      </c>
      <c r="N280" s="96" t="s">
        <v>339</v>
      </c>
      <c r="O280" s="96" t="s">
        <v>455</v>
      </c>
      <c r="P280" s="96" t="s">
        <v>338</v>
      </c>
      <c r="Q280" s="96" t="s">
        <v>1332</v>
      </c>
      <c r="R280" s="96" t="s">
        <v>412</v>
      </c>
      <c r="S280" s="96" t="s">
        <v>406</v>
      </c>
      <c r="T280" s="96" t="s">
        <v>1200</v>
      </c>
      <c r="U280" s="97">
        <v>5.43</v>
      </c>
      <c r="V280" s="100">
        <v>50009</v>
      </c>
      <c r="W280" s="98">
        <v>5.1499999999999997E-2</v>
      </c>
      <c r="X280" s="98">
        <v>3.8899999999999997E-2</v>
      </c>
      <c r="Y280" s="96" t="s">
        <v>411</v>
      </c>
      <c r="Z280" s="96"/>
      <c r="AA280" s="97">
        <v>121215.690087</v>
      </c>
      <c r="AB280" s="97">
        <v>1</v>
      </c>
      <c r="AC280" s="97">
        <v>147.13</v>
      </c>
      <c r="AD280" s="97"/>
      <c r="AE280" s="97">
        <v>178.34464399999999</v>
      </c>
      <c r="AF280" s="96"/>
      <c r="AG280" s="96"/>
      <c r="AH280" s="96"/>
      <c r="AI280" s="98">
        <v>4.1E-5</v>
      </c>
      <c r="AJ280" s="98">
        <v>1.3913999999999999E-2</v>
      </c>
      <c r="AK280" s="98">
        <v>3.3960000000000001E-3</v>
      </c>
      <c r="AL280" s="106"/>
    </row>
    <row r="281" spans="1:38" ht="15" customHeight="1">
      <c r="A281" s="106"/>
      <c r="B281" s="96">
        <v>286</v>
      </c>
      <c r="C281" s="96">
        <v>1445</v>
      </c>
      <c r="D281" s="96" t="s">
        <v>1302</v>
      </c>
      <c r="E281" s="96">
        <v>513623314</v>
      </c>
      <c r="F281" s="96" t="s">
        <v>308</v>
      </c>
      <c r="G281" s="96" t="s">
        <v>1953</v>
      </c>
      <c r="H281" s="96" t="s">
        <v>1954</v>
      </c>
      <c r="I281" s="96" t="s">
        <v>320</v>
      </c>
      <c r="J281" s="96" t="s">
        <v>753</v>
      </c>
      <c r="K281" s="96" t="s">
        <v>203</v>
      </c>
      <c r="L281" s="96" t="s">
        <v>203</v>
      </c>
      <c r="M281" s="96" t="s">
        <v>324</v>
      </c>
      <c r="N281" s="96" t="s">
        <v>339</v>
      </c>
      <c r="O281" s="96" t="s">
        <v>463</v>
      </c>
      <c r="P281" s="96" t="s">
        <v>337</v>
      </c>
      <c r="Q281" s="96" t="s">
        <v>1313</v>
      </c>
      <c r="R281" s="96" t="s">
        <v>412</v>
      </c>
      <c r="S281" s="96" t="s">
        <v>406</v>
      </c>
      <c r="T281" s="96" t="s">
        <v>1200</v>
      </c>
      <c r="U281" s="97">
        <v>3.63</v>
      </c>
      <c r="V281" s="100">
        <v>46993</v>
      </c>
      <c r="W281" s="98">
        <v>6.8999999999999999E-3</v>
      </c>
      <c r="X281" s="98">
        <v>2.87E-2</v>
      </c>
      <c r="Y281" s="96" t="s">
        <v>411</v>
      </c>
      <c r="Z281" s="96"/>
      <c r="AA281" s="97">
        <v>17963.433008</v>
      </c>
      <c r="AB281" s="97">
        <v>1</v>
      </c>
      <c r="AC281" s="97">
        <v>105.27</v>
      </c>
      <c r="AD281" s="97"/>
      <c r="AE281" s="97">
        <v>18.910105000000001</v>
      </c>
      <c r="AF281" s="96"/>
      <c r="AG281" s="96"/>
      <c r="AH281" s="96"/>
      <c r="AI281" s="98">
        <v>9.2E-5</v>
      </c>
      <c r="AJ281" s="98">
        <v>1.475E-3</v>
      </c>
      <c r="AK281" s="98">
        <v>3.6000000000000002E-4</v>
      </c>
      <c r="AL281" s="106"/>
    </row>
    <row r="282" spans="1:38" ht="15" customHeight="1">
      <c r="A282" s="106"/>
      <c r="B282" s="96">
        <v>286</v>
      </c>
      <c r="C282" s="96">
        <v>1445</v>
      </c>
      <c r="D282" s="96" t="s">
        <v>1955</v>
      </c>
      <c r="E282" s="96">
        <v>516167343</v>
      </c>
      <c r="F282" s="96" t="s">
        <v>308</v>
      </c>
      <c r="G282" s="96" t="s">
        <v>1956</v>
      </c>
      <c r="H282" s="96" t="s">
        <v>1957</v>
      </c>
      <c r="I282" s="96" t="s">
        <v>320</v>
      </c>
      <c r="J282" s="96" t="s">
        <v>753</v>
      </c>
      <c r="K282" s="96" t="s">
        <v>203</v>
      </c>
      <c r="L282" s="96" t="s">
        <v>203</v>
      </c>
      <c r="M282" s="96" t="s">
        <v>324</v>
      </c>
      <c r="N282" s="96" t="s">
        <v>339</v>
      </c>
      <c r="O282" s="96" t="s">
        <v>439</v>
      </c>
      <c r="P282" s="96" t="s">
        <v>338</v>
      </c>
      <c r="Q282" s="96" t="s">
        <v>409</v>
      </c>
      <c r="R282" s="96" t="s">
        <v>409</v>
      </c>
      <c r="S282" s="96" t="s">
        <v>409</v>
      </c>
      <c r="T282" s="96" t="s">
        <v>1200</v>
      </c>
      <c r="U282" s="97">
        <v>1.64</v>
      </c>
      <c r="V282" s="100">
        <v>46112</v>
      </c>
      <c r="W282" s="98">
        <v>1.6400000000000001E-2</v>
      </c>
      <c r="X282" s="98">
        <v>3.4299999999999997E-2</v>
      </c>
      <c r="Y282" s="96" t="s">
        <v>411</v>
      </c>
      <c r="Z282" s="96"/>
      <c r="AA282" s="97">
        <v>1097.6954049999999</v>
      </c>
      <c r="AB282" s="97">
        <v>1</v>
      </c>
      <c r="AC282" s="97">
        <v>110.89</v>
      </c>
      <c r="AD282" s="97"/>
      <c r="AE282" s="97">
        <v>1.2172339999999999</v>
      </c>
      <c r="AF282" s="96"/>
      <c r="AG282" s="96"/>
      <c r="AH282" s="96"/>
      <c r="AI282" s="98">
        <v>3.9999999999999998E-6</v>
      </c>
      <c r="AJ282" s="98">
        <v>9.3999999999999994E-5</v>
      </c>
      <c r="AK282" s="98">
        <v>2.3E-5</v>
      </c>
      <c r="AL282" s="106"/>
    </row>
    <row r="283" spans="1:38" ht="15" customHeight="1">
      <c r="A283" s="106"/>
      <c r="B283" s="96">
        <v>286</v>
      </c>
      <c r="C283" s="96">
        <v>1445</v>
      </c>
      <c r="D283" s="96" t="s">
        <v>1477</v>
      </c>
      <c r="E283" s="96">
        <v>520029935</v>
      </c>
      <c r="F283" s="96" t="s">
        <v>308</v>
      </c>
      <c r="G283" s="96" t="s">
        <v>1958</v>
      </c>
      <c r="H283" s="96" t="s">
        <v>1959</v>
      </c>
      <c r="I283" s="96" t="s">
        <v>320</v>
      </c>
      <c r="J283" s="96" t="s">
        <v>753</v>
      </c>
      <c r="K283" s="96" t="s">
        <v>203</v>
      </c>
      <c r="L283" s="96" t="s">
        <v>203</v>
      </c>
      <c r="M283" s="96" t="s">
        <v>324</v>
      </c>
      <c r="N283" s="96" t="s">
        <v>339</v>
      </c>
      <c r="O283" s="96" t="s">
        <v>447</v>
      </c>
      <c r="P283" s="96" t="s">
        <v>338</v>
      </c>
      <c r="Q283" s="96" t="s">
        <v>1305</v>
      </c>
      <c r="R283" s="96" t="s">
        <v>414</v>
      </c>
      <c r="S283" s="96" t="s">
        <v>406</v>
      </c>
      <c r="T283" s="96" t="s">
        <v>1200</v>
      </c>
      <c r="U283" s="97">
        <v>3.32</v>
      </c>
      <c r="V283" s="100">
        <v>46692</v>
      </c>
      <c r="W283" s="98">
        <v>2E-3</v>
      </c>
      <c r="X283" s="98">
        <v>3.39E-2</v>
      </c>
      <c r="Y283" s="96" t="s">
        <v>410</v>
      </c>
      <c r="Z283" s="96"/>
      <c r="AA283" s="97">
        <v>3338.992424</v>
      </c>
      <c r="AB283" s="97">
        <v>1</v>
      </c>
      <c r="AC283" s="97">
        <v>99.94</v>
      </c>
      <c r="AD283" s="97"/>
      <c r="AE283" s="97">
        <v>3.336989</v>
      </c>
      <c r="AF283" s="96"/>
      <c r="AG283" s="96"/>
      <c r="AH283" s="96"/>
      <c r="AI283" s="98">
        <v>5.0000000000000004E-6</v>
      </c>
      <c r="AJ283" s="98">
        <v>2.5999999999999998E-4</v>
      </c>
      <c r="AK283" s="98">
        <v>6.3E-5</v>
      </c>
      <c r="AL283" s="106"/>
    </row>
    <row r="284" spans="1:38" ht="15" customHeight="1">
      <c r="A284" s="106"/>
      <c r="B284" s="96">
        <v>286</v>
      </c>
      <c r="C284" s="96">
        <v>1445</v>
      </c>
      <c r="D284" s="96" t="s">
        <v>1399</v>
      </c>
      <c r="E284" s="96">
        <v>520032046</v>
      </c>
      <c r="F284" s="96" t="s">
        <v>308</v>
      </c>
      <c r="G284" s="96" t="s">
        <v>1960</v>
      </c>
      <c r="H284" s="96" t="s">
        <v>1961</v>
      </c>
      <c r="I284" s="96" t="s">
        <v>320</v>
      </c>
      <c r="J284" s="96" t="s">
        <v>753</v>
      </c>
      <c r="K284" s="96" t="s">
        <v>203</v>
      </c>
      <c r="L284" s="96" t="s">
        <v>203</v>
      </c>
      <c r="M284" s="96" t="s">
        <v>324</v>
      </c>
      <c r="N284" s="96" t="s">
        <v>339</v>
      </c>
      <c r="O284" s="96" t="s">
        <v>447</v>
      </c>
      <c r="P284" s="96" t="s">
        <v>338</v>
      </c>
      <c r="Q284" s="96" t="s">
        <v>1211</v>
      </c>
      <c r="R284" s="96" t="s">
        <v>414</v>
      </c>
      <c r="S284" s="96" t="s">
        <v>406</v>
      </c>
      <c r="T284" s="96" t="s">
        <v>1200</v>
      </c>
      <c r="U284" s="97">
        <v>3.73</v>
      </c>
      <c r="V284" s="100">
        <v>48190</v>
      </c>
      <c r="W284" s="98">
        <v>1.6400000000000001E-2</v>
      </c>
      <c r="X284" s="98">
        <v>2.53E-2</v>
      </c>
      <c r="Y284" s="96" t="s">
        <v>411</v>
      </c>
      <c r="Z284" s="96"/>
      <c r="AA284" s="97">
        <v>26107.890965999999</v>
      </c>
      <c r="AB284" s="97">
        <v>1</v>
      </c>
      <c r="AC284" s="97">
        <v>102.97</v>
      </c>
      <c r="AD284" s="97"/>
      <c r="AE284" s="97">
        <v>26.883295</v>
      </c>
      <c r="AF284" s="96"/>
      <c r="AG284" s="96"/>
      <c r="AH284" s="96"/>
      <c r="AI284" s="98">
        <v>2.4000000000000001E-5</v>
      </c>
      <c r="AJ284" s="98">
        <v>2.0969999999999999E-3</v>
      </c>
      <c r="AK284" s="98">
        <v>5.1099999999999995E-4</v>
      </c>
      <c r="AL284" s="106"/>
    </row>
    <row r="285" spans="1:38" ht="15" customHeight="1">
      <c r="A285" s="106"/>
      <c r="B285" s="96">
        <v>286</v>
      </c>
      <c r="C285" s="96">
        <v>1445</v>
      </c>
      <c r="D285" s="96" t="s">
        <v>1597</v>
      </c>
      <c r="E285" s="96">
        <v>520020116</v>
      </c>
      <c r="F285" s="96" t="s">
        <v>308</v>
      </c>
      <c r="G285" s="96" t="s">
        <v>1962</v>
      </c>
      <c r="H285" s="96" t="s">
        <v>1963</v>
      </c>
      <c r="I285" s="96" t="s">
        <v>320</v>
      </c>
      <c r="J285" s="96" t="s">
        <v>753</v>
      </c>
      <c r="K285" s="96" t="s">
        <v>203</v>
      </c>
      <c r="L285" s="96" t="s">
        <v>203</v>
      </c>
      <c r="M285" s="96" t="s">
        <v>324</v>
      </c>
      <c r="N285" s="96" t="s">
        <v>339</v>
      </c>
      <c r="O285" s="96" t="s">
        <v>463</v>
      </c>
      <c r="P285" s="96" t="s">
        <v>337</v>
      </c>
      <c r="Q285" s="96" t="s">
        <v>1324</v>
      </c>
      <c r="R285" s="96" t="s">
        <v>412</v>
      </c>
      <c r="S285" s="96" t="s">
        <v>406</v>
      </c>
      <c r="T285" s="96" t="s">
        <v>1200</v>
      </c>
      <c r="U285" s="97">
        <v>1.94</v>
      </c>
      <c r="V285" s="100">
        <v>46568</v>
      </c>
      <c r="W285" s="98">
        <v>2.2499999999999999E-2</v>
      </c>
      <c r="X285" s="98">
        <v>3.39E-2</v>
      </c>
      <c r="Y285" s="96" t="s">
        <v>411</v>
      </c>
      <c r="Z285" s="96"/>
      <c r="AA285" s="97">
        <v>9969.2987929999999</v>
      </c>
      <c r="AB285" s="97">
        <v>1</v>
      </c>
      <c r="AC285" s="97">
        <v>111.81</v>
      </c>
      <c r="AD285" s="97"/>
      <c r="AE285" s="97">
        <v>11.146672000000001</v>
      </c>
      <c r="AF285" s="96"/>
      <c r="AG285" s="96"/>
      <c r="AH285" s="96"/>
      <c r="AI285" s="98">
        <v>2.5999999999999998E-5</v>
      </c>
      <c r="AJ285" s="98">
        <v>8.6899999999999998E-4</v>
      </c>
      <c r="AK285" s="98">
        <v>2.12E-4</v>
      </c>
      <c r="AL285" s="106"/>
    </row>
    <row r="286" spans="1:38" ht="15" customHeight="1">
      <c r="A286" s="106"/>
      <c r="B286" s="96">
        <v>286</v>
      </c>
      <c r="C286" s="96">
        <v>1445</v>
      </c>
      <c r="D286" s="96" t="s">
        <v>1452</v>
      </c>
      <c r="E286" s="96">
        <v>514065283</v>
      </c>
      <c r="F286" s="96" t="s">
        <v>308</v>
      </c>
      <c r="G286" s="96" t="s">
        <v>1964</v>
      </c>
      <c r="H286" s="96" t="s">
        <v>1965</v>
      </c>
      <c r="I286" s="96" t="s">
        <v>320</v>
      </c>
      <c r="J286" s="96" t="s">
        <v>952</v>
      </c>
      <c r="K286" s="96" t="s">
        <v>203</v>
      </c>
      <c r="L286" s="96" t="s">
        <v>203</v>
      </c>
      <c r="M286" s="96" t="s">
        <v>324</v>
      </c>
      <c r="N286" s="96" t="s">
        <v>339</v>
      </c>
      <c r="O286" s="96" t="s">
        <v>461</v>
      </c>
      <c r="P286" s="96" t="s">
        <v>337</v>
      </c>
      <c r="Q286" s="96" t="s">
        <v>1332</v>
      </c>
      <c r="R286" s="96" t="s">
        <v>412</v>
      </c>
      <c r="S286" s="96" t="s">
        <v>406</v>
      </c>
      <c r="T286" s="96" t="s">
        <v>1200</v>
      </c>
      <c r="U286" s="97">
        <v>3.35</v>
      </c>
      <c r="V286" s="100">
        <v>48026</v>
      </c>
      <c r="W286" s="98">
        <v>5.0500000000000003E-2</v>
      </c>
      <c r="X286" s="98">
        <v>5.7500000000000002E-2</v>
      </c>
      <c r="Y286" s="96" t="s">
        <v>411</v>
      </c>
      <c r="Z286" s="96"/>
      <c r="AA286" s="97">
        <v>18051.987679999998</v>
      </c>
      <c r="AB286" s="97">
        <v>1</v>
      </c>
      <c r="AC286" s="97">
        <v>98.03</v>
      </c>
      <c r="AD286" s="97"/>
      <c r="AE286" s="97">
        <v>17.696363000000002</v>
      </c>
      <c r="AF286" s="96"/>
      <c r="AG286" s="96"/>
      <c r="AH286" s="96"/>
      <c r="AI286" s="98">
        <v>7.4999999999999993E-5</v>
      </c>
      <c r="AJ286" s="98">
        <v>1.3799999999999999E-3</v>
      </c>
      <c r="AK286" s="98">
        <v>3.3599999999999998E-4</v>
      </c>
      <c r="AL286" s="106"/>
    </row>
    <row r="287" spans="1:38" ht="15" customHeight="1">
      <c r="A287" s="106"/>
      <c r="B287" s="96">
        <v>286</v>
      </c>
      <c r="C287" s="96">
        <v>1445</v>
      </c>
      <c r="D287" s="96" t="s">
        <v>1302</v>
      </c>
      <c r="E287" s="96">
        <v>513623314</v>
      </c>
      <c r="F287" s="96" t="s">
        <v>308</v>
      </c>
      <c r="G287" s="96" t="s">
        <v>1966</v>
      </c>
      <c r="H287" s="96" t="s">
        <v>1967</v>
      </c>
      <c r="I287" s="96" t="s">
        <v>320</v>
      </c>
      <c r="J287" s="96" t="s">
        <v>753</v>
      </c>
      <c r="K287" s="96" t="s">
        <v>203</v>
      </c>
      <c r="L287" s="96" t="s">
        <v>203</v>
      </c>
      <c r="M287" s="96" t="s">
        <v>324</v>
      </c>
      <c r="N287" s="96" t="s">
        <v>339</v>
      </c>
      <c r="O287" s="96" t="s">
        <v>463</v>
      </c>
      <c r="P287" s="96" t="s">
        <v>337</v>
      </c>
      <c r="Q287" s="96" t="s">
        <v>1313</v>
      </c>
      <c r="R287" s="96" t="s">
        <v>412</v>
      </c>
      <c r="S287" s="96" t="s">
        <v>406</v>
      </c>
      <c r="T287" s="96" t="s">
        <v>1200</v>
      </c>
      <c r="U287" s="97">
        <v>3.63</v>
      </c>
      <c r="V287" s="100">
        <v>46993</v>
      </c>
      <c r="W287" s="98">
        <v>6.8999999999999999E-3</v>
      </c>
      <c r="X287" s="98">
        <v>2.8000000000000001E-2</v>
      </c>
      <c r="Y287" s="96" t="s">
        <v>411</v>
      </c>
      <c r="Z287" s="96"/>
      <c r="AA287" s="97">
        <v>17596.769807000001</v>
      </c>
      <c r="AB287" s="97">
        <v>1</v>
      </c>
      <c r="AC287" s="97">
        <v>105.51</v>
      </c>
      <c r="AD287" s="97"/>
      <c r="AE287" s="97">
        <v>18.566351000000001</v>
      </c>
      <c r="AF287" s="96"/>
      <c r="AG287" s="96"/>
      <c r="AH287" s="96"/>
      <c r="AI287" s="98">
        <v>1.02E-4</v>
      </c>
      <c r="AJ287" s="98">
        <v>1.4480000000000001E-3</v>
      </c>
      <c r="AK287" s="98">
        <v>3.5300000000000002E-4</v>
      </c>
      <c r="AL287" s="106"/>
    </row>
    <row r="288" spans="1:38" ht="15" customHeight="1">
      <c r="A288" s="106"/>
      <c r="B288" s="96">
        <v>286</v>
      </c>
      <c r="C288" s="96">
        <v>1445</v>
      </c>
      <c r="D288" s="96" t="s">
        <v>1440</v>
      </c>
      <c r="E288" s="96">
        <v>513992529</v>
      </c>
      <c r="F288" s="96" t="s">
        <v>308</v>
      </c>
      <c r="G288" s="96" t="s">
        <v>1968</v>
      </c>
      <c r="H288" s="96" t="s">
        <v>1969</v>
      </c>
      <c r="I288" s="96" t="s">
        <v>320</v>
      </c>
      <c r="J288" s="96" t="s">
        <v>753</v>
      </c>
      <c r="K288" s="96" t="s">
        <v>203</v>
      </c>
      <c r="L288" s="96" t="s">
        <v>203</v>
      </c>
      <c r="M288" s="96" t="s">
        <v>324</v>
      </c>
      <c r="N288" s="96" t="s">
        <v>339</v>
      </c>
      <c r="O288" s="96" t="s">
        <v>463</v>
      </c>
      <c r="P288" s="96" t="s">
        <v>338</v>
      </c>
      <c r="Q288" s="96" t="s">
        <v>1305</v>
      </c>
      <c r="R288" s="96" t="s">
        <v>414</v>
      </c>
      <c r="S288" s="96" t="s">
        <v>406</v>
      </c>
      <c r="T288" s="96" t="s">
        <v>1200</v>
      </c>
      <c r="U288" s="97">
        <v>6.03</v>
      </c>
      <c r="V288" s="100">
        <v>48665</v>
      </c>
      <c r="W288" s="98">
        <v>1.5800000000000002E-2</v>
      </c>
      <c r="X288" s="98">
        <v>3.5499999999999997E-2</v>
      </c>
      <c r="Y288" s="96" t="s">
        <v>411</v>
      </c>
      <c r="Z288" s="96"/>
      <c r="AA288" s="97">
        <v>19484.150130999999</v>
      </c>
      <c r="AB288" s="97">
        <v>1</v>
      </c>
      <c r="AC288" s="97">
        <v>101.56</v>
      </c>
      <c r="AD288" s="97"/>
      <c r="AE288" s="97">
        <v>19.788101999999999</v>
      </c>
      <c r="AF288" s="96"/>
      <c r="AG288" s="96"/>
      <c r="AH288" s="96"/>
      <c r="AI288" s="98">
        <v>1.5E-5</v>
      </c>
      <c r="AJ288" s="98">
        <v>1.5430000000000001E-3</v>
      </c>
      <c r="AK288" s="98">
        <v>3.7599999999999998E-4</v>
      </c>
      <c r="AL288" s="106"/>
    </row>
    <row r="289" spans="1:38" ht="15" customHeight="1">
      <c r="A289" s="106"/>
      <c r="B289" s="96">
        <v>286</v>
      </c>
      <c r="C289" s="96">
        <v>1445</v>
      </c>
      <c r="D289" s="96" t="s">
        <v>1929</v>
      </c>
      <c r="E289" s="96">
        <v>520044314</v>
      </c>
      <c r="F289" s="96" t="s">
        <v>308</v>
      </c>
      <c r="G289" s="96" t="s">
        <v>1970</v>
      </c>
      <c r="H289" s="96" t="s">
        <v>1971</v>
      </c>
      <c r="I289" s="96" t="s">
        <v>320</v>
      </c>
      <c r="J289" s="96" t="s">
        <v>952</v>
      </c>
      <c r="K289" s="96" t="s">
        <v>203</v>
      </c>
      <c r="L289" s="96" t="s">
        <v>203</v>
      </c>
      <c r="M289" s="96" t="s">
        <v>324</v>
      </c>
      <c r="N289" s="96" t="s">
        <v>339</v>
      </c>
      <c r="O289" s="96" t="s">
        <v>483</v>
      </c>
      <c r="P289" s="96" t="s">
        <v>337</v>
      </c>
      <c r="Q289" s="96" t="s">
        <v>1332</v>
      </c>
      <c r="R289" s="96" t="s">
        <v>412</v>
      </c>
      <c r="S289" s="96" t="s">
        <v>406</v>
      </c>
      <c r="T289" s="96" t="s">
        <v>1200</v>
      </c>
      <c r="U289" s="97">
        <v>2.33</v>
      </c>
      <c r="V289" s="100">
        <v>46563</v>
      </c>
      <c r="W289" s="98">
        <v>0.04</v>
      </c>
      <c r="X289" s="98">
        <v>5.28E-2</v>
      </c>
      <c r="Y289" s="96" t="s">
        <v>411</v>
      </c>
      <c r="Z289" s="96"/>
      <c r="AA289" s="97">
        <v>29323.413516000001</v>
      </c>
      <c r="AB289" s="97">
        <v>1</v>
      </c>
      <c r="AC289" s="97">
        <v>97.24</v>
      </c>
      <c r="AD289" s="97"/>
      <c r="AE289" s="97">
        <v>28.514087</v>
      </c>
      <c r="AF289" s="96"/>
      <c r="AG289" s="96"/>
      <c r="AH289" s="96"/>
      <c r="AI289" s="98">
        <v>4.8999999999999998E-5</v>
      </c>
      <c r="AJ289" s="98">
        <v>2.2239999999999998E-3</v>
      </c>
      <c r="AK289" s="98">
        <v>5.4199999999999995E-4</v>
      </c>
      <c r="AL289" s="106"/>
    </row>
    <row r="290" spans="1:38" ht="15" customHeight="1">
      <c r="A290" s="106"/>
      <c r="B290" s="96">
        <v>286</v>
      </c>
      <c r="C290" s="96">
        <v>1445</v>
      </c>
      <c r="D290" s="96" t="s">
        <v>1379</v>
      </c>
      <c r="E290" s="96">
        <v>510454333</v>
      </c>
      <c r="F290" s="96" t="s">
        <v>308</v>
      </c>
      <c r="G290" s="96" t="s">
        <v>1972</v>
      </c>
      <c r="H290" s="96" t="s">
        <v>1973</v>
      </c>
      <c r="I290" s="96" t="s">
        <v>320</v>
      </c>
      <c r="J290" s="96" t="s">
        <v>952</v>
      </c>
      <c r="K290" s="96" t="s">
        <v>203</v>
      </c>
      <c r="L290" s="96" t="s">
        <v>203</v>
      </c>
      <c r="M290" s="96" t="s">
        <v>324</v>
      </c>
      <c r="N290" s="96" t="s">
        <v>339</v>
      </c>
      <c r="O290" s="96" t="s">
        <v>476</v>
      </c>
      <c r="P290" s="96" t="s">
        <v>338</v>
      </c>
      <c r="Q290" s="96" t="s">
        <v>1320</v>
      </c>
      <c r="R290" s="96" t="s">
        <v>412</v>
      </c>
      <c r="S290" s="96" t="s">
        <v>406</v>
      </c>
      <c r="T290" s="96" t="s">
        <v>1200</v>
      </c>
      <c r="U290" s="97">
        <v>2.78</v>
      </c>
      <c r="V290" s="100">
        <v>47756</v>
      </c>
      <c r="W290" s="98">
        <v>5.6500000000000002E-2</v>
      </c>
      <c r="X290" s="98">
        <v>5.9799999999999999E-2</v>
      </c>
      <c r="Y290" s="96" t="s">
        <v>411</v>
      </c>
      <c r="Z290" s="96"/>
      <c r="AA290" s="97">
        <v>22339.928320999999</v>
      </c>
      <c r="AB290" s="97">
        <v>1</v>
      </c>
      <c r="AC290" s="97">
        <v>100.74</v>
      </c>
      <c r="AD290" s="97"/>
      <c r="AE290" s="97">
        <v>22.505243</v>
      </c>
      <c r="AF290" s="96"/>
      <c r="AG290" s="96"/>
      <c r="AH290" s="96"/>
      <c r="AI290" s="98">
        <v>4.1E-5</v>
      </c>
      <c r="AJ290" s="98">
        <v>1.755E-3</v>
      </c>
      <c r="AK290" s="98">
        <v>4.28E-4</v>
      </c>
      <c r="AL290" s="106"/>
    </row>
    <row r="291" spans="1:38" ht="15" customHeight="1">
      <c r="A291" s="106"/>
      <c r="B291" s="96">
        <v>286</v>
      </c>
      <c r="C291" s="96">
        <v>1445</v>
      </c>
      <c r="D291" s="96" t="s">
        <v>1197</v>
      </c>
      <c r="E291" s="96">
        <v>520018078</v>
      </c>
      <c r="F291" s="96" t="s">
        <v>308</v>
      </c>
      <c r="G291" s="96" t="s">
        <v>1974</v>
      </c>
      <c r="H291" s="96" t="s">
        <v>1975</v>
      </c>
      <c r="I291" s="96" t="s">
        <v>320</v>
      </c>
      <c r="J291" s="96" t="s">
        <v>753</v>
      </c>
      <c r="K291" s="96" t="s">
        <v>203</v>
      </c>
      <c r="L291" s="96" t="s">
        <v>203</v>
      </c>
      <c r="M291" s="96" t="s">
        <v>324</v>
      </c>
      <c r="N291" s="96" t="s">
        <v>339</v>
      </c>
      <c r="O291" s="96" t="s">
        <v>447</v>
      </c>
      <c r="P291" s="96" t="s">
        <v>338</v>
      </c>
      <c r="Q291" s="96" t="s">
        <v>1332</v>
      </c>
      <c r="R291" s="96" t="s">
        <v>412</v>
      </c>
      <c r="S291" s="96" t="s">
        <v>406</v>
      </c>
      <c r="T291" s="96" t="s">
        <v>1200</v>
      </c>
      <c r="U291" s="97">
        <v>0.25</v>
      </c>
      <c r="V291" s="100">
        <v>45565</v>
      </c>
      <c r="W291" s="98">
        <v>1.95E-2</v>
      </c>
      <c r="X291" s="98">
        <v>4.1099999999999998E-2</v>
      </c>
      <c r="Y291" s="96" t="s">
        <v>410</v>
      </c>
      <c r="Z291" s="96"/>
      <c r="AA291" s="97">
        <v>71321.364732000002</v>
      </c>
      <c r="AB291" s="97">
        <v>1</v>
      </c>
      <c r="AC291" s="97">
        <v>112.9</v>
      </c>
      <c r="AD291" s="97"/>
      <c r="AE291" s="97">
        <v>80.521820000000005</v>
      </c>
      <c r="AF291" s="96"/>
      <c r="AG291" s="96"/>
      <c r="AH291" s="96"/>
      <c r="AI291" s="98">
        <v>5.7000000000000003E-5</v>
      </c>
      <c r="AJ291" s="98">
        <v>6.2820000000000003E-3</v>
      </c>
      <c r="AK291" s="98">
        <v>1.5330000000000001E-3</v>
      </c>
      <c r="AL291" s="106"/>
    </row>
    <row r="292" spans="1:38" ht="15" customHeight="1">
      <c r="A292" s="106"/>
      <c r="B292" s="96">
        <v>286</v>
      </c>
      <c r="C292" s="96">
        <v>1445</v>
      </c>
      <c r="D292" s="96" t="s">
        <v>1203</v>
      </c>
      <c r="E292" s="96">
        <v>520000118</v>
      </c>
      <c r="F292" s="96" t="s">
        <v>308</v>
      </c>
      <c r="G292" s="96" t="s">
        <v>1976</v>
      </c>
      <c r="H292" s="96" t="s">
        <v>1977</v>
      </c>
      <c r="I292" s="96" t="s">
        <v>320</v>
      </c>
      <c r="J292" s="96" t="s">
        <v>754</v>
      </c>
      <c r="K292" s="96" t="s">
        <v>203</v>
      </c>
      <c r="L292" s="96" t="s">
        <v>203</v>
      </c>
      <c r="M292" s="96" t="s">
        <v>324</v>
      </c>
      <c r="N292" s="96" t="s">
        <v>339</v>
      </c>
      <c r="O292" s="96" t="s">
        <v>447</v>
      </c>
      <c r="P292" s="96" t="s">
        <v>338</v>
      </c>
      <c r="Q292" s="96" t="s">
        <v>1698</v>
      </c>
      <c r="R292" s="96" t="s">
        <v>432</v>
      </c>
      <c r="S292" s="96" t="s">
        <v>406</v>
      </c>
      <c r="T292" s="96" t="s">
        <v>1201</v>
      </c>
      <c r="U292" s="97">
        <v>2.1</v>
      </c>
      <c r="V292" s="100">
        <v>46316</v>
      </c>
      <c r="W292" s="98">
        <v>3.2550000000000003E-2</v>
      </c>
      <c r="X292" s="98">
        <v>8.1100000000000005E-2</v>
      </c>
      <c r="Y292" s="96" t="s">
        <v>410</v>
      </c>
      <c r="Z292" s="96"/>
      <c r="AA292" s="97">
        <v>19962.798083999998</v>
      </c>
      <c r="AB292" s="97">
        <v>3.7589999999999999</v>
      </c>
      <c r="AC292" s="97">
        <v>91.467699999999994</v>
      </c>
      <c r="AD292" s="97"/>
      <c r="AE292" s="97">
        <v>68.637512000000001</v>
      </c>
      <c r="AF292" s="96"/>
      <c r="AG292" s="96"/>
      <c r="AH292" s="96"/>
      <c r="AI292" s="98">
        <v>1.9000000000000001E-5</v>
      </c>
      <c r="AJ292" s="98">
        <v>5.3550000000000004E-3</v>
      </c>
      <c r="AK292" s="98">
        <v>1.307E-3</v>
      </c>
      <c r="AL292" s="106"/>
    </row>
    <row r="293" spans="1:38" ht="15" customHeight="1">
      <c r="A293" s="106"/>
      <c r="B293" s="96">
        <v>286</v>
      </c>
      <c r="C293" s="96">
        <v>1445</v>
      </c>
      <c r="D293" s="96" t="s">
        <v>1565</v>
      </c>
      <c r="E293" s="96">
        <v>520033234</v>
      </c>
      <c r="F293" s="96" t="s">
        <v>308</v>
      </c>
      <c r="G293" s="96" t="s">
        <v>1978</v>
      </c>
      <c r="H293" s="96" t="s">
        <v>1979</v>
      </c>
      <c r="I293" s="96" t="s">
        <v>320</v>
      </c>
      <c r="J293" s="96" t="s">
        <v>753</v>
      </c>
      <c r="K293" s="96" t="s">
        <v>203</v>
      </c>
      <c r="L293" s="96" t="s">
        <v>203</v>
      </c>
      <c r="M293" s="96" t="s">
        <v>324</v>
      </c>
      <c r="N293" s="96" t="s">
        <v>339</v>
      </c>
      <c r="O293" s="96" t="s">
        <v>464</v>
      </c>
      <c r="P293" s="96" t="s">
        <v>337</v>
      </c>
      <c r="Q293" s="96" t="s">
        <v>1309</v>
      </c>
      <c r="R293" s="96" t="s">
        <v>414</v>
      </c>
      <c r="S293" s="96" t="s">
        <v>406</v>
      </c>
      <c r="T293" s="96" t="s">
        <v>1200</v>
      </c>
      <c r="U293" s="97">
        <v>3.77</v>
      </c>
      <c r="V293" s="100">
        <v>47208</v>
      </c>
      <c r="W293" s="98">
        <v>1.7500000000000002E-2</v>
      </c>
      <c r="X293" s="98">
        <v>6.0100000000000001E-2</v>
      </c>
      <c r="Y293" s="96" t="s">
        <v>411</v>
      </c>
      <c r="Z293" s="96"/>
      <c r="AA293" s="97">
        <v>21380.549808</v>
      </c>
      <c r="AB293" s="97">
        <v>1</v>
      </c>
      <c r="AC293" s="97">
        <v>95.82</v>
      </c>
      <c r="AD293" s="97"/>
      <c r="AE293" s="97">
        <v>20.486841999999999</v>
      </c>
      <c r="AF293" s="96"/>
      <c r="AG293" s="96"/>
      <c r="AH293" s="96"/>
      <c r="AI293" s="98">
        <v>1.8E-5</v>
      </c>
      <c r="AJ293" s="98">
        <v>1.598E-3</v>
      </c>
      <c r="AK293" s="98">
        <v>3.8999999999999999E-4</v>
      </c>
      <c r="AL293" s="106"/>
    </row>
    <row r="294" spans="1:38" ht="15" customHeight="1">
      <c r="A294" s="106"/>
      <c r="B294" s="96">
        <v>286</v>
      </c>
      <c r="C294" s="96">
        <v>1445</v>
      </c>
      <c r="D294" s="96" t="s">
        <v>1358</v>
      </c>
      <c r="E294" s="96">
        <v>520022732</v>
      </c>
      <c r="F294" s="96" t="s">
        <v>308</v>
      </c>
      <c r="G294" s="96" t="s">
        <v>1980</v>
      </c>
      <c r="H294" s="96" t="s">
        <v>1981</v>
      </c>
      <c r="I294" s="96" t="s">
        <v>320</v>
      </c>
      <c r="J294" s="96" t="s">
        <v>753</v>
      </c>
      <c r="K294" s="96" t="s">
        <v>203</v>
      </c>
      <c r="L294" s="96" t="s">
        <v>203</v>
      </c>
      <c r="M294" s="96" t="s">
        <v>324</v>
      </c>
      <c r="N294" s="96" t="s">
        <v>339</v>
      </c>
      <c r="O294" s="96" t="s">
        <v>474</v>
      </c>
      <c r="P294" s="96" t="s">
        <v>337</v>
      </c>
      <c r="Q294" s="96" t="s">
        <v>1313</v>
      </c>
      <c r="R294" s="96" t="s">
        <v>412</v>
      </c>
      <c r="S294" s="96" t="s">
        <v>406</v>
      </c>
      <c r="T294" s="96" t="s">
        <v>1200</v>
      </c>
      <c r="U294" s="97">
        <v>2.63</v>
      </c>
      <c r="V294" s="100">
        <v>47399</v>
      </c>
      <c r="W294" s="98">
        <v>2.9899999999999999E-2</v>
      </c>
      <c r="X294" s="98">
        <v>2.3300000000000001E-2</v>
      </c>
      <c r="Y294" s="96" t="s">
        <v>411</v>
      </c>
      <c r="Z294" s="96"/>
      <c r="AA294" s="97">
        <v>3323.3487260000002</v>
      </c>
      <c r="AB294" s="97">
        <v>1</v>
      </c>
      <c r="AC294" s="97">
        <v>117.71</v>
      </c>
      <c r="AD294" s="97"/>
      <c r="AE294" s="97">
        <v>3.9119130000000002</v>
      </c>
      <c r="AF294" s="96"/>
      <c r="AG294" s="96"/>
      <c r="AH294" s="96"/>
      <c r="AI294" s="98">
        <v>1.8E-5</v>
      </c>
      <c r="AJ294" s="98">
        <v>3.0499999999999999E-4</v>
      </c>
      <c r="AK294" s="98">
        <v>7.3999999999999996E-5</v>
      </c>
      <c r="AL294" s="106"/>
    </row>
    <row r="295" spans="1:38" ht="15" customHeight="1">
      <c r="A295" s="106"/>
      <c r="B295" s="96">
        <v>286</v>
      </c>
      <c r="C295" s="96">
        <v>1445</v>
      </c>
      <c r="D295" s="96" t="s">
        <v>1982</v>
      </c>
      <c r="E295" s="96">
        <v>520036732</v>
      </c>
      <c r="F295" s="96" t="s">
        <v>308</v>
      </c>
      <c r="G295" s="96" t="s">
        <v>1983</v>
      </c>
      <c r="H295" s="96" t="s">
        <v>1984</v>
      </c>
      <c r="I295" s="96" t="s">
        <v>320</v>
      </c>
      <c r="J295" s="96" t="s">
        <v>952</v>
      </c>
      <c r="K295" s="96" t="s">
        <v>203</v>
      </c>
      <c r="L295" s="96" t="s">
        <v>203</v>
      </c>
      <c r="M295" s="96" t="s">
        <v>324</v>
      </c>
      <c r="N295" s="96" t="s">
        <v>339</v>
      </c>
      <c r="O295" s="96" t="s">
        <v>461</v>
      </c>
      <c r="P295" s="96" t="s">
        <v>338</v>
      </c>
      <c r="Q295" s="96" t="s">
        <v>1305</v>
      </c>
      <c r="R295" s="96" t="s">
        <v>414</v>
      </c>
      <c r="S295" s="96" t="s">
        <v>406</v>
      </c>
      <c r="T295" s="96" t="s">
        <v>1200</v>
      </c>
      <c r="U295" s="97">
        <v>2.2400000000000002</v>
      </c>
      <c r="V295" s="100">
        <v>46934</v>
      </c>
      <c r="W295" s="98">
        <v>1.7500000000000002E-2</v>
      </c>
      <c r="X295" s="98">
        <v>5.4600000000000003E-2</v>
      </c>
      <c r="Y295" s="96" t="s">
        <v>411</v>
      </c>
      <c r="Z295" s="96"/>
      <c r="AA295" s="97">
        <v>3616.402666</v>
      </c>
      <c r="AB295" s="97">
        <v>1</v>
      </c>
      <c r="AC295" s="97">
        <v>92.2</v>
      </c>
      <c r="AD295" s="97"/>
      <c r="AE295" s="97">
        <v>3.3343229999999999</v>
      </c>
      <c r="AF295" s="96"/>
      <c r="AG295" s="96"/>
      <c r="AH295" s="96"/>
      <c r="AI295" s="98">
        <v>3.4999999999999997E-5</v>
      </c>
      <c r="AJ295" s="98">
        <v>2.5999999999999998E-4</v>
      </c>
      <c r="AK295" s="98">
        <v>6.3E-5</v>
      </c>
      <c r="AL295" s="106"/>
    </row>
    <row r="296" spans="1:38" ht="15" customHeight="1">
      <c r="A296" s="106"/>
      <c r="B296" s="96">
        <v>286</v>
      </c>
      <c r="C296" s="96">
        <v>1445</v>
      </c>
      <c r="D296" s="96" t="s">
        <v>1517</v>
      </c>
      <c r="E296" s="96">
        <v>510560188</v>
      </c>
      <c r="F296" s="96" t="s">
        <v>308</v>
      </c>
      <c r="G296" s="96" t="s">
        <v>1985</v>
      </c>
      <c r="H296" s="96" t="s">
        <v>1986</v>
      </c>
      <c r="I296" s="96" t="s">
        <v>320</v>
      </c>
      <c r="J296" s="96" t="s">
        <v>753</v>
      </c>
      <c r="K296" s="96" t="s">
        <v>203</v>
      </c>
      <c r="L296" s="96" t="s">
        <v>203</v>
      </c>
      <c r="M296" s="96" t="s">
        <v>324</v>
      </c>
      <c r="N296" s="96" t="s">
        <v>339</v>
      </c>
      <c r="O296" s="96" t="s">
        <v>464</v>
      </c>
      <c r="P296" s="96" t="s">
        <v>338</v>
      </c>
      <c r="Q296" s="96" t="s">
        <v>1520</v>
      </c>
      <c r="R296" s="96" t="s">
        <v>414</v>
      </c>
      <c r="S296" s="96" t="s">
        <v>406</v>
      </c>
      <c r="T296" s="96" t="s">
        <v>1200</v>
      </c>
      <c r="U296" s="97">
        <v>4.3899999999999997</v>
      </c>
      <c r="V296" s="100">
        <v>47299</v>
      </c>
      <c r="W296" s="98">
        <v>1.09E-2</v>
      </c>
      <c r="X296" s="98">
        <v>3.7699999999999997E-2</v>
      </c>
      <c r="Y296" s="96" t="s">
        <v>411</v>
      </c>
      <c r="Z296" s="96"/>
      <c r="AA296" s="97">
        <v>22967.209535000002</v>
      </c>
      <c r="AB296" s="97">
        <v>1</v>
      </c>
      <c r="AC296" s="97">
        <v>99.8</v>
      </c>
      <c r="AD296" s="97"/>
      <c r="AE296" s="97">
        <v>22.921275000000001</v>
      </c>
      <c r="AF296" s="96"/>
      <c r="AG296" s="96"/>
      <c r="AH296" s="96"/>
      <c r="AI296" s="98">
        <v>3.1999999999999999E-5</v>
      </c>
      <c r="AJ296" s="98">
        <v>1.7880000000000001E-3</v>
      </c>
      <c r="AK296" s="98">
        <v>4.3600000000000003E-4</v>
      </c>
      <c r="AL296" s="106"/>
    </row>
    <row r="297" spans="1:38" ht="15" customHeight="1">
      <c r="A297" s="106"/>
      <c r="B297" s="96">
        <v>286</v>
      </c>
      <c r="C297" s="96">
        <v>1445</v>
      </c>
      <c r="D297" s="96" t="s">
        <v>1987</v>
      </c>
      <c r="E297" s="96">
        <v>516378643</v>
      </c>
      <c r="F297" s="96" t="s">
        <v>308</v>
      </c>
      <c r="G297" s="96" t="s">
        <v>1988</v>
      </c>
      <c r="H297" s="96" t="s">
        <v>1989</v>
      </c>
      <c r="I297" s="96" t="s">
        <v>320</v>
      </c>
      <c r="J297" s="96" t="s">
        <v>753</v>
      </c>
      <c r="K297" s="96" t="s">
        <v>203</v>
      </c>
      <c r="L297" s="96" t="s">
        <v>203</v>
      </c>
      <c r="M297" s="96" t="s">
        <v>324</v>
      </c>
      <c r="N297" s="96" t="s">
        <v>339</v>
      </c>
      <c r="O297" s="96" t="s">
        <v>463</v>
      </c>
      <c r="P297" s="96" t="s">
        <v>338</v>
      </c>
      <c r="Q297" s="96" t="s">
        <v>1328</v>
      </c>
      <c r="R297" s="96" t="s">
        <v>412</v>
      </c>
      <c r="S297" s="96" t="s">
        <v>406</v>
      </c>
      <c r="T297" s="96" t="s">
        <v>1200</v>
      </c>
      <c r="U297" s="97">
        <v>4.46</v>
      </c>
      <c r="V297" s="100">
        <v>47756</v>
      </c>
      <c r="W297" s="98">
        <v>4.3999999999999997E-2</v>
      </c>
      <c r="X297" s="98">
        <v>3.6900000000000002E-2</v>
      </c>
      <c r="Y297" s="96" t="s">
        <v>411</v>
      </c>
      <c r="Z297" s="96"/>
      <c r="AA297" s="97">
        <v>29742.765170999999</v>
      </c>
      <c r="AB297" s="97">
        <v>1</v>
      </c>
      <c r="AC297" s="97">
        <v>107.51</v>
      </c>
      <c r="AD297" s="97"/>
      <c r="AE297" s="97">
        <v>31.976445999999999</v>
      </c>
      <c r="AF297" s="96"/>
      <c r="AG297" s="96"/>
      <c r="AH297" s="96"/>
      <c r="AI297" s="98">
        <v>7.1000000000000005E-5</v>
      </c>
      <c r="AJ297" s="98">
        <v>2.4940000000000001E-3</v>
      </c>
      <c r="AK297" s="98">
        <v>6.0800000000000003E-4</v>
      </c>
      <c r="AL297" s="106"/>
    </row>
    <row r="298" spans="1:38" ht="15" customHeight="1">
      <c r="A298" s="106"/>
      <c r="B298" s="96">
        <v>286</v>
      </c>
      <c r="C298" s="96">
        <v>1445</v>
      </c>
      <c r="D298" s="96" t="s">
        <v>1298</v>
      </c>
      <c r="E298" s="96">
        <v>510960719</v>
      </c>
      <c r="F298" s="96" t="s">
        <v>308</v>
      </c>
      <c r="G298" s="96" t="s">
        <v>1990</v>
      </c>
      <c r="H298" s="96" t="s">
        <v>1991</v>
      </c>
      <c r="I298" s="96" t="s">
        <v>320</v>
      </c>
      <c r="J298" s="96" t="s">
        <v>753</v>
      </c>
      <c r="K298" s="96" t="s">
        <v>203</v>
      </c>
      <c r="L298" s="96" t="s">
        <v>203</v>
      </c>
      <c r="M298" s="96" t="s">
        <v>324</v>
      </c>
      <c r="N298" s="96" t="s">
        <v>339</v>
      </c>
      <c r="O298" s="96" t="s">
        <v>463</v>
      </c>
      <c r="P298" s="96" t="s">
        <v>338</v>
      </c>
      <c r="Q298" s="96" t="s">
        <v>1439</v>
      </c>
      <c r="R298" s="96" t="s">
        <v>412</v>
      </c>
      <c r="S298" s="96" t="s">
        <v>406</v>
      </c>
      <c r="T298" s="96" t="s">
        <v>1200</v>
      </c>
      <c r="U298" s="97">
        <v>7.16</v>
      </c>
      <c r="V298" s="100">
        <v>49858</v>
      </c>
      <c r="W298" s="98">
        <v>8.9999999999999993E-3</v>
      </c>
      <c r="X298" s="98">
        <v>3.5299999999999998E-2</v>
      </c>
      <c r="Y298" s="96" t="s">
        <v>411</v>
      </c>
      <c r="Z298" s="96"/>
      <c r="AA298" s="97">
        <v>113722.61391099999</v>
      </c>
      <c r="AB298" s="97">
        <v>1</v>
      </c>
      <c r="AC298" s="97">
        <v>92.82</v>
      </c>
      <c r="AD298" s="97">
        <v>2.595961</v>
      </c>
      <c r="AE298" s="97">
        <v>108.153291</v>
      </c>
      <c r="AF298" s="96"/>
      <c r="AG298" s="96"/>
      <c r="AH298" s="96"/>
      <c r="AI298" s="98">
        <v>4.5000000000000003E-5</v>
      </c>
      <c r="AJ298" s="98">
        <v>8.4370000000000001E-3</v>
      </c>
      <c r="AK298" s="98">
        <v>2.0590000000000001E-3</v>
      </c>
      <c r="AL298" s="106"/>
    </row>
    <row r="299" spans="1:38" ht="15" customHeight="1">
      <c r="A299" s="106"/>
      <c r="B299" s="96">
        <v>286</v>
      </c>
      <c r="C299" s="96">
        <v>1445</v>
      </c>
      <c r="D299" s="96" t="s">
        <v>1417</v>
      </c>
      <c r="E299" s="96">
        <v>513230029</v>
      </c>
      <c r="F299" s="96" t="s">
        <v>308</v>
      </c>
      <c r="G299" s="96" t="s">
        <v>1992</v>
      </c>
      <c r="H299" s="96" t="s">
        <v>1993</v>
      </c>
      <c r="I299" s="96" t="s">
        <v>320</v>
      </c>
      <c r="J299" s="96" t="s">
        <v>952</v>
      </c>
      <c r="K299" s="96" t="s">
        <v>203</v>
      </c>
      <c r="L299" s="96" t="s">
        <v>203</v>
      </c>
      <c r="M299" s="96" t="s">
        <v>324</v>
      </c>
      <c r="N299" s="96" t="s">
        <v>339</v>
      </c>
      <c r="O299" s="96" t="s">
        <v>444</v>
      </c>
      <c r="P299" s="96" t="s">
        <v>338</v>
      </c>
      <c r="Q299" s="96" t="s">
        <v>1357</v>
      </c>
      <c r="R299" s="96" t="s">
        <v>414</v>
      </c>
      <c r="S299" s="96" t="s">
        <v>406</v>
      </c>
      <c r="T299" s="96" t="s">
        <v>1200</v>
      </c>
      <c r="U299" s="97">
        <v>7.3</v>
      </c>
      <c r="V299" s="100">
        <v>48944</v>
      </c>
      <c r="W299" s="98">
        <v>6.0699999999999997E-2</v>
      </c>
      <c r="X299" s="98">
        <v>6.5299999999999997E-2</v>
      </c>
      <c r="Y299" s="96" t="s">
        <v>411</v>
      </c>
      <c r="Z299" s="96"/>
      <c r="AA299" s="97">
        <v>17825.836771999999</v>
      </c>
      <c r="AB299" s="97">
        <v>1</v>
      </c>
      <c r="AC299" s="97">
        <v>97.86</v>
      </c>
      <c r="AD299" s="97"/>
      <c r="AE299" s="97">
        <v>17.444362999999999</v>
      </c>
      <c r="AF299" s="96"/>
      <c r="AG299" s="96"/>
      <c r="AH299" s="96"/>
      <c r="AI299" s="98">
        <v>8.3999999999999995E-5</v>
      </c>
      <c r="AJ299" s="98">
        <v>1.361E-3</v>
      </c>
      <c r="AK299" s="98">
        <v>3.3199999999999999E-4</v>
      </c>
      <c r="AL299" s="106"/>
    </row>
    <row r="300" spans="1:38" ht="15" customHeight="1">
      <c r="A300" s="106"/>
      <c r="B300" s="96">
        <v>286</v>
      </c>
      <c r="C300" s="96">
        <v>1445</v>
      </c>
      <c r="D300" s="96" t="s">
        <v>1340</v>
      </c>
      <c r="E300" s="96">
        <v>520036658</v>
      </c>
      <c r="F300" s="96" t="s">
        <v>308</v>
      </c>
      <c r="G300" s="96" t="s">
        <v>1994</v>
      </c>
      <c r="H300" s="96" t="s">
        <v>1995</v>
      </c>
      <c r="I300" s="96" t="s">
        <v>320</v>
      </c>
      <c r="J300" s="96" t="s">
        <v>952</v>
      </c>
      <c r="K300" s="96" t="s">
        <v>203</v>
      </c>
      <c r="L300" s="96" t="s">
        <v>203</v>
      </c>
      <c r="M300" s="96" t="s">
        <v>324</v>
      </c>
      <c r="N300" s="96" t="s">
        <v>339</v>
      </c>
      <c r="O300" s="96" t="s">
        <v>439</v>
      </c>
      <c r="P300" s="96" t="s">
        <v>338</v>
      </c>
      <c r="Q300" s="96" t="s">
        <v>1320</v>
      </c>
      <c r="R300" s="96" t="s">
        <v>412</v>
      </c>
      <c r="S300" s="96" t="s">
        <v>406</v>
      </c>
      <c r="T300" s="96" t="s">
        <v>1200</v>
      </c>
      <c r="U300" s="97">
        <v>2.44</v>
      </c>
      <c r="V300" s="100">
        <v>48116</v>
      </c>
      <c r="W300" s="98">
        <v>2.7E-2</v>
      </c>
      <c r="X300" s="98">
        <v>6.2100000000000002E-2</v>
      </c>
      <c r="Y300" s="96" t="s">
        <v>411</v>
      </c>
      <c r="Z300" s="96"/>
      <c r="AA300" s="97">
        <v>3266.9151080000001</v>
      </c>
      <c r="AB300" s="97">
        <v>1</v>
      </c>
      <c r="AC300" s="97">
        <v>92.63</v>
      </c>
      <c r="AD300" s="97"/>
      <c r="AE300" s="97">
        <v>3.0261429999999998</v>
      </c>
      <c r="AF300" s="96"/>
      <c r="AG300" s="96"/>
      <c r="AH300" s="96"/>
      <c r="AI300" s="98">
        <v>3.9999999999999998E-6</v>
      </c>
      <c r="AJ300" s="98">
        <v>2.3599999999999999E-4</v>
      </c>
      <c r="AK300" s="98">
        <v>5.7000000000000003E-5</v>
      </c>
      <c r="AL300" s="106"/>
    </row>
    <row r="301" spans="1:38" ht="15" customHeight="1">
      <c r="A301" s="106"/>
      <c r="B301" s="96">
        <v>286</v>
      </c>
      <c r="C301" s="96">
        <v>1445</v>
      </c>
      <c r="D301" s="96" t="s">
        <v>1704</v>
      </c>
      <c r="E301" s="96">
        <v>513834200</v>
      </c>
      <c r="F301" s="96" t="s">
        <v>308</v>
      </c>
      <c r="G301" s="96" t="s">
        <v>1996</v>
      </c>
      <c r="H301" s="96" t="s">
        <v>1997</v>
      </c>
      <c r="I301" s="96" t="s">
        <v>320</v>
      </c>
      <c r="J301" s="96" t="s">
        <v>952</v>
      </c>
      <c r="K301" s="96" t="s">
        <v>203</v>
      </c>
      <c r="L301" s="96" t="s">
        <v>203</v>
      </c>
      <c r="M301" s="96" t="s">
        <v>324</v>
      </c>
      <c r="N301" s="96" t="s">
        <v>339</v>
      </c>
      <c r="O301" s="96" t="s">
        <v>444</v>
      </c>
      <c r="P301" s="96" t="s">
        <v>338</v>
      </c>
      <c r="Q301" s="96" t="s">
        <v>1332</v>
      </c>
      <c r="R301" s="96" t="s">
        <v>412</v>
      </c>
      <c r="S301" s="96" t="s">
        <v>406</v>
      </c>
      <c r="T301" s="96" t="s">
        <v>1200</v>
      </c>
      <c r="U301" s="97">
        <v>7.37</v>
      </c>
      <c r="V301" s="100">
        <v>48944</v>
      </c>
      <c r="W301" s="98">
        <v>6.0199999999999997E-2</v>
      </c>
      <c r="X301" s="98">
        <v>6.2100000000000002E-2</v>
      </c>
      <c r="Y301" s="96" t="s">
        <v>411</v>
      </c>
      <c r="Z301" s="96"/>
      <c r="AA301" s="97">
        <v>35640.265009000002</v>
      </c>
      <c r="AB301" s="97">
        <v>1</v>
      </c>
      <c r="AC301" s="97">
        <v>99.249799999999993</v>
      </c>
      <c r="AD301" s="97"/>
      <c r="AE301" s="97">
        <v>35.372877000000003</v>
      </c>
      <c r="AF301" s="96"/>
      <c r="AG301" s="96"/>
      <c r="AH301" s="96"/>
      <c r="AI301" s="98">
        <v>7.1000000000000005E-5</v>
      </c>
      <c r="AJ301" s="98">
        <v>2.7590000000000002E-3</v>
      </c>
      <c r="AK301" s="98">
        <v>6.7299999999999999E-4</v>
      </c>
      <c r="AL301" s="106"/>
    </row>
    <row r="302" spans="1:38" ht="15" customHeight="1">
      <c r="A302" s="106"/>
      <c r="B302" s="96">
        <v>286</v>
      </c>
      <c r="C302" s="96">
        <v>1445</v>
      </c>
      <c r="D302" s="96" t="s">
        <v>1998</v>
      </c>
      <c r="E302" s="96">
        <v>512882747</v>
      </c>
      <c r="F302" s="96" t="s">
        <v>308</v>
      </c>
      <c r="G302" s="96" t="s">
        <v>1999</v>
      </c>
      <c r="H302" s="96" t="s">
        <v>2000</v>
      </c>
      <c r="I302" s="96" t="s">
        <v>320</v>
      </c>
      <c r="J302" s="96" t="s">
        <v>753</v>
      </c>
      <c r="K302" s="96" t="s">
        <v>203</v>
      </c>
      <c r="L302" s="96" t="s">
        <v>203</v>
      </c>
      <c r="M302" s="96" t="s">
        <v>324</v>
      </c>
      <c r="N302" s="96" t="s">
        <v>339</v>
      </c>
      <c r="O302" s="96" t="s">
        <v>440</v>
      </c>
      <c r="P302" s="96" t="s">
        <v>338</v>
      </c>
      <c r="Q302" s="96" t="s">
        <v>409</v>
      </c>
      <c r="R302" s="96" t="s">
        <v>409</v>
      </c>
      <c r="S302" s="96" t="s">
        <v>409</v>
      </c>
      <c r="T302" s="96" t="s">
        <v>1200</v>
      </c>
      <c r="U302" s="97">
        <v>2.35</v>
      </c>
      <c r="V302" s="100">
        <v>46752</v>
      </c>
      <c r="W302" s="98">
        <v>2.9499999999999998E-2</v>
      </c>
      <c r="X302" s="98">
        <v>4.19E-2</v>
      </c>
      <c r="Y302" s="96" t="s">
        <v>411</v>
      </c>
      <c r="Z302" s="96"/>
      <c r="AA302" s="97">
        <v>12043.427667</v>
      </c>
      <c r="AB302" s="97">
        <v>1</v>
      </c>
      <c r="AC302" s="97">
        <v>106</v>
      </c>
      <c r="AD302" s="97"/>
      <c r="AE302" s="97">
        <v>12.766033</v>
      </c>
      <c r="AF302" s="96"/>
      <c r="AG302" s="96"/>
      <c r="AH302" s="96"/>
      <c r="AI302" s="98">
        <v>5.3000000000000001E-5</v>
      </c>
      <c r="AJ302" s="98">
        <v>9.9599999999999992E-4</v>
      </c>
      <c r="AK302" s="98">
        <v>2.43E-4</v>
      </c>
      <c r="AL302" s="106"/>
    </row>
    <row r="303" spans="1:38" ht="15" customHeight="1">
      <c r="A303" s="106"/>
      <c r="B303" s="96">
        <v>286</v>
      </c>
      <c r="C303" s="96">
        <v>1445</v>
      </c>
      <c r="D303" s="96" t="s">
        <v>1546</v>
      </c>
      <c r="E303" s="96">
        <v>511930125</v>
      </c>
      <c r="F303" s="96" t="s">
        <v>308</v>
      </c>
      <c r="G303" s="96" t="s">
        <v>2001</v>
      </c>
      <c r="H303" s="96" t="s">
        <v>2002</v>
      </c>
      <c r="I303" s="96" t="s">
        <v>320</v>
      </c>
      <c r="J303" s="96" t="s">
        <v>952</v>
      </c>
      <c r="K303" s="96" t="s">
        <v>203</v>
      </c>
      <c r="L303" s="96" t="s">
        <v>203</v>
      </c>
      <c r="M303" s="96" t="s">
        <v>324</v>
      </c>
      <c r="N303" s="96" t="s">
        <v>339</v>
      </c>
      <c r="O303" s="96" t="s">
        <v>483</v>
      </c>
      <c r="P303" s="96" t="s">
        <v>337</v>
      </c>
      <c r="Q303" s="96" t="s">
        <v>1320</v>
      </c>
      <c r="R303" s="96" t="s">
        <v>412</v>
      </c>
      <c r="S303" s="96" t="s">
        <v>406</v>
      </c>
      <c r="T303" s="96" t="s">
        <v>1200</v>
      </c>
      <c r="U303" s="97">
        <v>2.06</v>
      </c>
      <c r="V303" s="100">
        <v>46757</v>
      </c>
      <c r="W303" s="98">
        <v>2.5000000000000001E-2</v>
      </c>
      <c r="X303" s="98">
        <v>5.3900000000000003E-2</v>
      </c>
      <c r="Y303" s="96" t="s">
        <v>411</v>
      </c>
      <c r="Z303" s="96"/>
      <c r="AA303" s="97">
        <v>20824.062493000001</v>
      </c>
      <c r="AB303" s="97">
        <v>1</v>
      </c>
      <c r="AC303" s="97">
        <v>95.53</v>
      </c>
      <c r="AD303" s="97"/>
      <c r="AE303" s="97">
        <v>19.893225999999999</v>
      </c>
      <c r="AF303" s="96"/>
      <c r="AG303" s="96"/>
      <c r="AH303" s="96"/>
      <c r="AI303" s="98">
        <v>2.1999999999999999E-5</v>
      </c>
      <c r="AJ303" s="98">
        <v>1.552E-3</v>
      </c>
      <c r="AK303" s="98">
        <v>3.7800000000000003E-4</v>
      </c>
      <c r="AL303" s="106"/>
    </row>
    <row r="304" spans="1:38" ht="15" customHeight="1">
      <c r="A304" s="106"/>
      <c r="B304" s="96">
        <v>286</v>
      </c>
      <c r="C304" s="96">
        <v>1445</v>
      </c>
      <c r="D304" s="96" t="s">
        <v>2003</v>
      </c>
      <c r="E304" s="96">
        <v>511396046</v>
      </c>
      <c r="F304" s="96" t="s">
        <v>308</v>
      </c>
      <c r="G304" s="96" t="s">
        <v>2004</v>
      </c>
      <c r="H304" s="96" t="s">
        <v>2005</v>
      </c>
      <c r="I304" s="96" t="s">
        <v>320</v>
      </c>
      <c r="J304" s="96" t="s">
        <v>754</v>
      </c>
      <c r="K304" s="96" t="s">
        <v>203</v>
      </c>
      <c r="L304" s="96" t="s">
        <v>203</v>
      </c>
      <c r="M304" s="96" t="s">
        <v>324</v>
      </c>
      <c r="N304" s="96" t="s">
        <v>339</v>
      </c>
      <c r="O304" s="96" t="s">
        <v>483</v>
      </c>
      <c r="P304" s="96" t="s">
        <v>338</v>
      </c>
      <c r="Q304" s="96" t="s">
        <v>409</v>
      </c>
      <c r="R304" s="96" t="s">
        <v>409</v>
      </c>
      <c r="S304" s="96" t="s">
        <v>409</v>
      </c>
      <c r="T304" s="96" t="s">
        <v>1200</v>
      </c>
      <c r="U304" s="97">
        <v>0.08</v>
      </c>
      <c r="V304" s="100">
        <v>45533</v>
      </c>
      <c r="W304" s="98">
        <v>6.4500000000000002E-2</v>
      </c>
      <c r="X304" s="98">
        <v>9.99</v>
      </c>
      <c r="Y304" s="96" t="s">
        <v>411</v>
      </c>
      <c r="Z304" s="96"/>
      <c r="AA304" s="97">
        <v>15269.908615</v>
      </c>
      <c r="AB304" s="97">
        <v>1</v>
      </c>
      <c r="AC304" s="97">
        <v>81.599999999999994</v>
      </c>
      <c r="AD304" s="97"/>
      <c r="AE304" s="97">
        <v>12.460245</v>
      </c>
      <c r="AF304" s="96"/>
      <c r="AG304" s="96"/>
      <c r="AH304" s="96"/>
      <c r="AI304" s="98">
        <v>1.8E-5</v>
      </c>
      <c r="AJ304" s="98">
        <v>9.7199999999999999E-4</v>
      </c>
      <c r="AK304" s="98">
        <v>2.3699999999999999E-4</v>
      </c>
      <c r="AL304" s="106"/>
    </row>
    <row r="305" spans="1:38" ht="15" customHeight="1">
      <c r="A305" s="106"/>
      <c r="B305" s="96">
        <v>286</v>
      </c>
      <c r="C305" s="96">
        <v>1445</v>
      </c>
      <c r="D305" s="96" t="s">
        <v>1565</v>
      </c>
      <c r="E305" s="96">
        <v>520033234</v>
      </c>
      <c r="F305" s="96" t="s">
        <v>308</v>
      </c>
      <c r="G305" s="96" t="s">
        <v>2006</v>
      </c>
      <c r="H305" s="96" t="s">
        <v>1695</v>
      </c>
      <c r="I305" s="96" t="s">
        <v>320</v>
      </c>
      <c r="J305" s="96" t="s">
        <v>952</v>
      </c>
      <c r="K305" s="96" t="s">
        <v>203</v>
      </c>
      <c r="L305" s="96" t="s">
        <v>203</v>
      </c>
      <c r="M305" s="96" t="s">
        <v>326</v>
      </c>
      <c r="N305" s="96" t="s">
        <v>339</v>
      </c>
      <c r="O305" s="96" t="s">
        <v>464</v>
      </c>
      <c r="P305" s="96" t="s">
        <v>337</v>
      </c>
      <c r="Q305" s="96" t="s">
        <v>1309</v>
      </c>
      <c r="R305" s="96" t="s">
        <v>414</v>
      </c>
      <c r="S305" s="96" t="s">
        <v>406</v>
      </c>
      <c r="T305" s="96" t="s">
        <v>1200</v>
      </c>
      <c r="U305" s="97">
        <v>4.0999999999999996</v>
      </c>
      <c r="V305" s="100">
        <v>47299</v>
      </c>
      <c r="W305" s="98">
        <v>5.5E-2</v>
      </c>
      <c r="X305" s="98">
        <v>8.5300000000000001E-2</v>
      </c>
      <c r="Y305" s="96" t="s">
        <v>411</v>
      </c>
      <c r="Z305" s="96"/>
      <c r="AA305" s="97">
        <v>21391.004126</v>
      </c>
      <c r="AB305" s="97">
        <v>1</v>
      </c>
      <c r="AC305" s="97">
        <v>88.947699999999998</v>
      </c>
      <c r="AD305" s="97"/>
      <c r="AE305" s="97">
        <v>19.026803999999998</v>
      </c>
      <c r="AF305" s="96"/>
      <c r="AG305" s="96"/>
      <c r="AH305" s="96"/>
      <c r="AI305" s="98">
        <v>3.6999999999999998E-5</v>
      </c>
      <c r="AJ305" s="98">
        <v>1.4840000000000001E-3</v>
      </c>
      <c r="AK305" s="98">
        <v>3.6200000000000002E-4</v>
      </c>
      <c r="AL305" s="106"/>
    </row>
    <row r="306" spans="1:38" ht="15" customHeight="1">
      <c r="A306" s="106"/>
      <c r="B306" s="96">
        <v>286</v>
      </c>
      <c r="C306" s="96">
        <v>1445</v>
      </c>
      <c r="D306" s="96" t="s">
        <v>1421</v>
      </c>
      <c r="E306" s="96">
        <v>520026683</v>
      </c>
      <c r="F306" s="96" t="s">
        <v>308</v>
      </c>
      <c r="G306" s="96" t="s">
        <v>2007</v>
      </c>
      <c r="H306" s="96" t="s">
        <v>2008</v>
      </c>
      <c r="I306" s="96" t="s">
        <v>320</v>
      </c>
      <c r="J306" s="96" t="s">
        <v>753</v>
      </c>
      <c r="K306" s="96" t="s">
        <v>203</v>
      </c>
      <c r="L306" s="96" t="s">
        <v>203</v>
      </c>
      <c r="M306" s="96" t="s">
        <v>324</v>
      </c>
      <c r="N306" s="96" t="s">
        <v>339</v>
      </c>
      <c r="O306" s="96" t="s">
        <v>463</v>
      </c>
      <c r="P306" s="96" t="s">
        <v>338</v>
      </c>
      <c r="Q306" s="96" t="s">
        <v>1336</v>
      </c>
      <c r="R306" s="96" t="s">
        <v>414</v>
      </c>
      <c r="S306" s="96" t="s">
        <v>406</v>
      </c>
      <c r="T306" s="96" t="s">
        <v>1200</v>
      </c>
      <c r="U306" s="97">
        <v>3.54</v>
      </c>
      <c r="V306" s="100">
        <v>47394</v>
      </c>
      <c r="W306" s="98">
        <v>1.14E-2</v>
      </c>
      <c r="X306" s="98">
        <v>3.15E-2</v>
      </c>
      <c r="Y306" s="96" t="s">
        <v>411</v>
      </c>
      <c r="Z306" s="96"/>
      <c r="AA306" s="97">
        <v>142714.871338</v>
      </c>
      <c r="AB306" s="97">
        <v>1</v>
      </c>
      <c r="AC306" s="97">
        <v>105.17</v>
      </c>
      <c r="AD306" s="97"/>
      <c r="AE306" s="97">
        <v>150.09323000000001</v>
      </c>
      <c r="AF306" s="96"/>
      <c r="AG306" s="96"/>
      <c r="AH306" s="96"/>
      <c r="AI306" s="98">
        <v>6.0000000000000002E-5</v>
      </c>
      <c r="AJ306" s="98">
        <v>1.171E-2</v>
      </c>
      <c r="AK306" s="98">
        <v>2.8579999999999999E-3</v>
      </c>
      <c r="AL306" s="106"/>
    </row>
    <row r="307" spans="1:38" ht="15" customHeight="1">
      <c r="A307" s="106"/>
      <c r="B307" s="96">
        <v>286</v>
      </c>
      <c r="C307" s="96">
        <v>1445</v>
      </c>
      <c r="D307" s="96" t="s">
        <v>1406</v>
      </c>
      <c r="E307" s="96">
        <v>520025586</v>
      </c>
      <c r="F307" s="96" t="s">
        <v>308</v>
      </c>
      <c r="G307" s="96" t="s">
        <v>2009</v>
      </c>
      <c r="H307" s="96" t="s">
        <v>2010</v>
      </c>
      <c r="I307" s="96" t="s">
        <v>320</v>
      </c>
      <c r="J307" s="96" t="s">
        <v>952</v>
      </c>
      <c r="K307" s="96" t="s">
        <v>203</v>
      </c>
      <c r="L307" s="96" t="s">
        <v>203</v>
      </c>
      <c r="M307" s="96" t="s">
        <v>324</v>
      </c>
      <c r="N307" s="96" t="s">
        <v>339</v>
      </c>
      <c r="O307" s="96" t="s">
        <v>450</v>
      </c>
      <c r="P307" s="96" t="s">
        <v>338</v>
      </c>
      <c r="Q307" s="96" t="s">
        <v>409</v>
      </c>
      <c r="R307" s="96" t="s">
        <v>409</v>
      </c>
      <c r="S307" s="96" t="s">
        <v>409</v>
      </c>
      <c r="T307" s="96" t="s">
        <v>1200</v>
      </c>
      <c r="U307" s="97">
        <v>6.34</v>
      </c>
      <c r="V307" s="100">
        <v>49490</v>
      </c>
      <c r="W307" s="98">
        <v>7.5999999999999998E-2</v>
      </c>
      <c r="X307" s="98">
        <v>7.5700000000000003E-2</v>
      </c>
      <c r="Y307" s="96" t="s">
        <v>411</v>
      </c>
      <c r="Z307" s="96"/>
      <c r="AA307" s="97">
        <v>8212.0064839999995</v>
      </c>
      <c r="AB307" s="97">
        <v>1</v>
      </c>
      <c r="AC307" s="97">
        <v>102.6</v>
      </c>
      <c r="AD307" s="97"/>
      <c r="AE307" s="97">
        <v>8.4255180000000003</v>
      </c>
      <c r="AF307" s="96"/>
      <c r="AG307" s="96"/>
      <c r="AH307" s="96"/>
      <c r="AI307" s="98">
        <v>6.7999999999999999E-5</v>
      </c>
      <c r="AJ307" s="98">
        <v>6.5700000000000003E-4</v>
      </c>
      <c r="AK307" s="98">
        <v>1.6000000000000001E-4</v>
      </c>
      <c r="AL307" s="106"/>
    </row>
    <row r="308" spans="1:38" ht="15" customHeight="1">
      <c r="A308" s="106"/>
      <c r="B308" s="96">
        <v>286</v>
      </c>
      <c r="C308" s="96">
        <v>1445</v>
      </c>
      <c r="D308" s="96" t="s">
        <v>2011</v>
      </c>
      <c r="E308" s="96">
        <v>514892801</v>
      </c>
      <c r="F308" s="96" t="s">
        <v>308</v>
      </c>
      <c r="G308" s="96" t="s">
        <v>2012</v>
      </c>
      <c r="H308" s="96" t="s">
        <v>2013</v>
      </c>
      <c r="I308" s="96" t="s">
        <v>320</v>
      </c>
      <c r="J308" s="96" t="s">
        <v>952</v>
      </c>
      <c r="K308" s="96" t="s">
        <v>203</v>
      </c>
      <c r="L308" s="96" t="s">
        <v>203</v>
      </c>
      <c r="M308" s="96" t="s">
        <v>324</v>
      </c>
      <c r="N308" s="96" t="s">
        <v>339</v>
      </c>
      <c r="O308" s="96" t="s">
        <v>462</v>
      </c>
      <c r="P308" s="96" t="s">
        <v>338</v>
      </c>
      <c r="Q308" s="96" t="s">
        <v>1320</v>
      </c>
      <c r="R308" s="96" t="s">
        <v>412</v>
      </c>
      <c r="S308" s="96" t="s">
        <v>406</v>
      </c>
      <c r="T308" s="96" t="s">
        <v>1200</v>
      </c>
      <c r="U308" s="97">
        <v>5.69</v>
      </c>
      <c r="V308" s="100">
        <v>50374</v>
      </c>
      <c r="W308" s="98">
        <v>2.3400000000000001E-2</v>
      </c>
      <c r="X308" s="98">
        <v>6.13E-2</v>
      </c>
      <c r="Y308" s="96" t="s">
        <v>411</v>
      </c>
      <c r="Z308" s="96"/>
      <c r="AA308" s="97">
        <v>38201.805765999998</v>
      </c>
      <c r="AB308" s="97">
        <v>1</v>
      </c>
      <c r="AC308" s="97">
        <v>80.680000000000007</v>
      </c>
      <c r="AD308" s="97"/>
      <c r="AE308" s="97">
        <v>30.821216</v>
      </c>
      <c r="AF308" s="96"/>
      <c r="AG308" s="96"/>
      <c r="AH308" s="96"/>
      <c r="AI308" s="98">
        <v>3.8000000000000002E-5</v>
      </c>
      <c r="AJ308" s="98">
        <v>2.4039999999999999E-3</v>
      </c>
      <c r="AK308" s="98">
        <v>5.8600000000000004E-4</v>
      </c>
      <c r="AL308" s="106"/>
    </row>
    <row r="309" spans="1:38" ht="15" customHeight="1">
      <c r="A309" s="106"/>
      <c r="B309" s="96">
        <v>286</v>
      </c>
      <c r="C309" s="96">
        <v>1445</v>
      </c>
      <c r="D309" s="96" t="s">
        <v>1459</v>
      </c>
      <c r="E309" s="96">
        <v>520033424</v>
      </c>
      <c r="F309" s="96" t="s">
        <v>308</v>
      </c>
      <c r="G309" s="96" t="s">
        <v>2014</v>
      </c>
      <c r="H309" s="96" t="s">
        <v>1461</v>
      </c>
      <c r="I309" s="96" t="s">
        <v>320</v>
      </c>
      <c r="J309" s="96" t="s">
        <v>952</v>
      </c>
      <c r="K309" s="96" t="s">
        <v>203</v>
      </c>
      <c r="L309" s="96" t="s">
        <v>203</v>
      </c>
      <c r="M309" s="96" t="s">
        <v>326</v>
      </c>
      <c r="N309" s="96" t="s">
        <v>339</v>
      </c>
      <c r="O309" s="96" t="s">
        <v>446</v>
      </c>
      <c r="P309" s="96" t="s">
        <v>338</v>
      </c>
      <c r="Q309" s="96" t="s">
        <v>1320</v>
      </c>
      <c r="R309" s="96" t="s">
        <v>412</v>
      </c>
      <c r="S309" s="96" t="s">
        <v>406</v>
      </c>
      <c r="T309" s="96" t="s">
        <v>1200</v>
      </c>
      <c r="U309" s="97">
        <v>3.48</v>
      </c>
      <c r="V309" s="100">
        <v>48029</v>
      </c>
      <c r="W309" s="98">
        <v>0.05</v>
      </c>
      <c r="X309" s="98">
        <v>6.3500000000000001E-2</v>
      </c>
      <c r="Y309" s="96" t="s">
        <v>411</v>
      </c>
      <c r="Z309" s="96"/>
      <c r="AA309" s="97">
        <v>6417.301238</v>
      </c>
      <c r="AB309" s="97">
        <v>1</v>
      </c>
      <c r="AC309" s="97">
        <v>95.834400000000002</v>
      </c>
      <c r="AD309" s="97"/>
      <c r="AE309" s="97">
        <v>6.1499800000000002</v>
      </c>
      <c r="AF309" s="96"/>
      <c r="AG309" s="96"/>
      <c r="AH309" s="96"/>
      <c r="AI309" s="98">
        <v>2.4000000000000001E-5</v>
      </c>
      <c r="AJ309" s="98">
        <v>4.7899999999999999E-4</v>
      </c>
      <c r="AK309" s="98">
        <v>1.17E-4</v>
      </c>
      <c r="AL309" s="106"/>
    </row>
    <row r="310" spans="1:38" ht="15" customHeight="1">
      <c r="A310" s="106"/>
      <c r="B310" s="96">
        <v>286</v>
      </c>
      <c r="C310" s="96">
        <v>1445</v>
      </c>
      <c r="D310" s="96" t="s">
        <v>1203</v>
      </c>
      <c r="E310" s="96">
        <v>520000118</v>
      </c>
      <c r="F310" s="96" t="s">
        <v>308</v>
      </c>
      <c r="G310" s="96" t="s">
        <v>2015</v>
      </c>
      <c r="H310" s="96" t="s">
        <v>2016</v>
      </c>
      <c r="I310" s="96" t="s">
        <v>320</v>
      </c>
      <c r="J310" s="96" t="s">
        <v>753</v>
      </c>
      <c r="K310" s="96" t="s">
        <v>203</v>
      </c>
      <c r="L310" s="96" t="s">
        <v>203</v>
      </c>
      <c r="M310" s="96" t="s">
        <v>324</v>
      </c>
      <c r="N310" s="96" t="s">
        <v>339</v>
      </c>
      <c r="O310" s="96" t="s">
        <v>447</v>
      </c>
      <c r="P310" s="96" t="s">
        <v>338</v>
      </c>
      <c r="Q310" s="96" t="s">
        <v>1332</v>
      </c>
      <c r="R310" s="96" t="s">
        <v>412</v>
      </c>
      <c r="S310" s="96" t="s">
        <v>406</v>
      </c>
      <c r="T310" s="96" t="s">
        <v>1200</v>
      </c>
      <c r="U310" s="97">
        <v>0.76</v>
      </c>
      <c r="V310" s="100">
        <v>45750</v>
      </c>
      <c r="W310" s="98">
        <v>2.0199999999999999E-2</v>
      </c>
      <c r="X310" s="98">
        <v>3.5499999999999997E-2</v>
      </c>
      <c r="Y310" s="96" t="s">
        <v>410</v>
      </c>
      <c r="Z310" s="96"/>
      <c r="AA310" s="97">
        <v>84773.844222999993</v>
      </c>
      <c r="AB310" s="97">
        <v>1</v>
      </c>
      <c r="AC310" s="97">
        <v>112.81</v>
      </c>
      <c r="AD310" s="97"/>
      <c r="AE310" s="97">
        <v>95.633373000000006</v>
      </c>
      <c r="AF310" s="96"/>
      <c r="AG310" s="96"/>
      <c r="AH310" s="96"/>
      <c r="AI310" s="98">
        <v>8.0000000000000007E-5</v>
      </c>
      <c r="AJ310" s="98">
        <v>7.4609999999999998E-3</v>
      </c>
      <c r="AK310" s="98">
        <v>1.8209999999999999E-3</v>
      </c>
      <c r="AL310" s="106"/>
    </row>
    <row r="311" spans="1:38" ht="15" customHeight="1">
      <c r="A311" s="106"/>
      <c r="B311" s="96">
        <v>286</v>
      </c>
      <c r="C311" s="96">
        <v>1445</v>
      </c>
      <c r="D311" s="96" t="s">
        <v>1462</v>
      </c>
      <c r="E311" s="96">
        <v>520000472</v>
      </c>
      <c r="F311" s="96" t="s">
        <v>308</v>
      </c>
      <c r="G311" s="96" t="s">
        <v>2017</v>
      </c>
      <c r="H311" s="96" t="s">
        <v>2018</v>
      </c>
      <c r="I311" s="96" t="s">
        <v>320</v>
      </c>
      <c r="J311" s="96" t="s">
        <v>753</v>
      </c>
      <c r="K311" s="96" t="s">
        <v>203</v>
      </c>
      <c r="L311" s="96" t="s">
        <v>203</v>
      </c>
      <c r="M311" s="96" t="s">
        <v>324</v>
      </c>
      <c r="N311" s="96" t="s">
        <v>339</v>
      </c>
      <c r="O311" s="96" t="s">
        <v>439</v>
      </c>
      <c r="P311" s="96" t="s">
        <v>338</v>
      </c>
      <c r="Q311" s="96" t="s">
        <v>1301</v>
      </c>
      <c r="R311" s="96" t="s">
        <v>414</v>
      </c>
      <c r="S311" s="96" t="s">
        <v>406</v>
      </c>
      <c r="T311" s="96" t="s">
        <v>1200</v>
      </c>
      <c r="U311" s="97">
        <v>1.1299999999999999</v>
      </c>
      <c r="V311" s="100">
        <v>46081</v>
      </c>
      <c r="W311" s="98">
        <v>4.4999999999999998E-2</v>
      </c>
      <c r="X311" s="98">
        <v>2.6599999999999999E-2</v>
      </c>
      <c r="Y311" s="96" t="s">
        <v>411</v>
      </c>
      <c r="Z311" s="96"/>
      <c r="AA311" s="97">
        <v>161565.003509</v>
      </c>
      <c r="AB311" s="97">
        <v>1</v>
      </c>
      <c r="AC311" s="97">
        <v>119.29</v>
      </c>
      <c r="AD311" s="97"/>
      <c r="AE311" s="97">
        <v>192.73089200000001</v>
      </c>
      <c r="AF311" s="96"/>
      <c r="AG311" s="96"/>
      <c r="AH311" s="96"/>
      <c r="AI311" s="98">
        <v>5.3999999999999998E-5</v>
      </c>
      <c r="AJ311" s="98">
        <v>1.5036000000000001E-2</v>
      </c>
      <c r="AK311" s="98">
        <v>3.6700000000000001E-3</v>
      </c>
      <c r="AL311" s="106"/>
    </row>
    <row r="312" spans="1:38" ht="15" customHeight="1">
      <c r="A312" s="106"/>
      <c r="B312" s="96">
        <v>286</v>
      </c>
      <c r="C312" s="96">
        <v>1445</v>
      </c>
      <c r="D312" s="96" t="s">
        <v>1704</v>
      </c>
      <c r="E312" s="96">
        <v>513834200</v>
      </c>
      <c r="F312" s="96" t="s">
        <v>308</v>
      </c>
      <c r="G312" s="96" t="s">
        <v>2019</v>
      </c>
      <c r="H312" s="96" t="s">
        <v>2020</v>
      </c>
      <c r="I312" s="96" t="s">
        <v>320</v>
      </c>
      <c r="J312" s="96" t="s">
        <v>952</v>
      </c>
      <c r="K312" s="96" t="s">
        <v>203</v>
      </c>
      <c r="L312" s="96" t="s">
        <v>203</v>
      </c>
      <c r="M312" s="96" t="s">
        <v>324</v>
      </c>
      <c r="N312" s="96" t="s">
        <v>339</v>
      </c>
      <c r="O312" s="96" t="s">
        <v>444</v>
      </c>
      <c r="P312" s="96" t="s">
        <v>338</v>
      </c>
      <c r="Q312" s="96" t="s">
        <v>1305</v>
      </c>
      <c r="R312" s="96" t="s">
        <v>414</v>
      </c>
      <c r="S312" s="96" t="s">
        <v>406</v>
      </c>
      <c r="T312" s="96" t="s">
        <v>1200</v>
      </c>
      <c r="U312" s="97">
        <v>7.53</v>
      </c>
      <c r="V312" s="100">
        <v>48579</v>
      </c>
      <c r="W312" s="98">
        <v>2.63E-2</v>
      </c>
      <c r="X312" s="98">
        <v>6.2E-2</v>
      </c>
      <c r="Y312" s="96" t="s">
        <v>411</v>
      </c>
      <c r="Z312" s="96"/>
      <c r="AA312" s="97">
        <v>39597.440340000001</v>
      </c>
      <c r="AB312" s="97">
        <v>1</v>
      </c>
      <c r="AC312" s="97">
        <v>77.16</v>
      </c>
      <c r="AD312" s="97"/>
      <c r="AE312" s="97">
        <v>30.553384000000001</v>
      </c>
      <c r="AF312" s="96"/>
      <c r="AG312" s="96"/>
      <c r="AH312" s="96"/>
      <c r="AI312" s="98">
        <v>5.7000000000000003E-5</v>
      </c>
      <c r="AJ312" s="98">
        <v>2.3830000000000001E-3</v>
      </c>
      <c r="AK312" s="98">
        <v>5.8100000000000003E-4</v>
      </c>
      <c r="AL312" s="106"/>
    </row>
    <row r="313" spans="1:38" ht="15" customHeight="1">
      <c r="A313" s="106"/>
      <c r="B313" s="96">
        <v>286</v>
      </c>
      <c r="C313" s="96">
        <v>1445</v>
      </c>
      <c r="D313" s="96" t="s">
        <v>1648</v>
      </c>
      <c r="E313" s="96">
        <v>515846558</v>
      </c>
      <c r="F313" s="96" t="s">
        <v>308</v>
      </c>
      <c r="G313" s="96" t="s">
        <v>2021</v>
      </c>
      <c r="H313" s="96" t="s">
        <v>2022</v>
      </c>
      <c r="I313" s="96" t="s">
        <v>320</v>
      </c>
      <c r="J313" s="96" t="s">
        <v>753</v>
      </c>
      <c r="K313" s="96" t="s">
        <v>203</v>
      </c>
      <c r="L313" s="96" t="s">
        <v>203</v>
      </c>
      <c r="M313" s="96" t="s">
        <v>324</v>
      </c>
      <c r="N313" s="96" t="s">
        <v>339</v>
      </c>
      <c r="O313" s="96" t="s">
        <v>450</v>
      </c>
      <c r="P313" s="96" t="s">
        <v>337</v>
      </c>
      <c r="Q313" s="96" t="s">
        <v>1320</v>
      </c>
      <c r="R313" s="96" t="s">
        <v>412</v>
      </c>
      <c r="S313" s="96" t="s">
        <v>406</v>
      </c>
      <c r="T313" s="96" t="s">
        <v>1200</v>
      </c>
      <c r="U313" s="97">
        <v>4.0599999999999996</v>
      </c>
      <c r="V313" s="100">
        <v>48029</v>
      </c>
      <c r="W313" s="98">
        <v>7.4999999999999997E-3</v>
      </c>
      <c r="X313" s="98">
        <v>3.7100000000000001E-2</v>
      </c>
      <c r="Y313" s="96" t="s">
        <v>411</v>
      </c>
      <c r="Z313" s="96"/>
      <c r="AA313" s="97">
        <v>22612.229557999999</v>
      </c>
      <c r="AB313" s="97">
        <v>1</v>
      </c>
      <c r="AC313" s="97">
        <v>99.42</v>
      </c>
      <c r="AD313" s="97"/>
      <c r="AE313" s="97">
        <v>22.481078</v>
      </c>
      <c r="AF313" s="96"/>
      <c r="AG313" s="96"/>
      <c r="AH313" s="96"/>
      <c r="AI313" s="98">
        <v>5.0000000000000002E-5</v>
      </c>
      <c r="AJ313" s="98">
        <v>1.753E-3</v>
      </c>
      <c r="AK313" s="98">
        <v>4.28E-4</v>
      </c>
      <c r="AL313" s="106"/>
    </row>
    <row r="314" spans="1:38" ht="15" customHeight="1">
      <c r="A314" s="106"/>
      <c r="B314" s="96">
        <v>286</v>
      </c>
      <c r="C314" s="96">
        <v>1445</v>
      </c>
      <c r="D314" s="96" t="s">
        <v>1608</v>
      </c>
      <c r="E314" s="96">
        <v>510609761</v>
      </c>
      <c r="F314" s="96" t="s">
        <v>308</v>
      </c>
      <c r="G314" s="96" t="s">
        <v>2023</v>
      </c>
      <c r="H314" s="96" t="s">
        <v>2024</v>
      </c>
      <c r="I314" s="96" t="s">
        <v>320</v>
      </c>
      <c r="J314" s="96" t="s">
        <v>952</v>
      </c>
      <c r="K314" s="96" t="s">
        <v>203</v>
      </c>
      <c r="L314" s="96" t="s">
        <v>203</v>
      </c>
      <c r="M314" s="96" t="s">
        <v>324</v>
      </c>
      <c r="N314" s="96" t="s">
        <v>339</v>
      </c>
      <c r="O314" s="96" t="s">
        <v>446</v>
      </c>
      <c r="P314" s="96" t="s">
        <v>338</v>
      </c>
      <c r="Q314" s="96" t="s">
        <v>1328</v>
      </c>
      <c r="R314" s="96" t="s">
        <v>412</v>
      </c>
      <c r="S314" s="96" t="s">
        <v>406</v>
      </c>
      <c r="T314" s="96" t="s">
        <v>1200</v>
      </c>
      <c r="U314" s="97">
        <v>0.01</v>
      </c>
      <c r="V314" s="100">
        <v>45474</v>
      </c>
      <c r="W314" s="98">
        <v>4.2000000000000003E-2</v>
      </c>
      <c r="X314" s="98">
        <v>0.1133</v>
      </c>
      <c r="Y314" s="96" t="s">
        <v>411</v>
      </c>
      <c r="Z314" s="96"/>
      <c r="AA314" s="97">
        <v>1554.6154529999999</v>
      </c>
      <c r="AB314" s="97">
        <v>1</v>
      </c>
      <c r="AC314" s="97">
        <v>102.01</v>
      </c>
      <c r="AD314" s="97"/>
      <c r="AE314" s="97">
        <v>1.585863</v>
      </c>
      <c r="AF314" s="96"/>
      <c r="AG314" s="96"/>
      <c r="AH314" s="96"/>
      <c r="AI314" s="98">
        <v>3.4E-5</v>
      </c>
      <c r="AJ314" s="98">
        <v>1.2300000000000001E-4</v>
      </c>
      <c r="AK314" s="98">
        <v>3.0000000000000001E-5</v>
      </c>
      <c r="AL314" s="106"/>
    </row>
    <row r="315" spans="1:38" ht="15" customHeight="1">
      <c r="A315" s="106"/>
      <c r="B315" s="96">
        <v>286</v>
      </c>
      <c r="C315" s="96">
        <v>1445</v>
      </c>
      <c r="D315" s="96" t="s">
        <v>1392</v>
      </c>
      <c r="E315" s="96">
        <v>513708818</v>
      </c>
      <c r="F315" s="96" t="s">
        <v>308</v>
      </c>
      <c r="G315" s="96" t="s">
        <v>2025</v>
      </c>
      <c r="H315" s="96" t="s">
        <v>2026</v>
      </c>
      <c r="I315" s="96" t="s">
        <v>320</v>
      </c>
      <c r="J315" s="96" t="s">
        <v>753</v>
      </c>
      <c r="K315" s="96" t="s">
        <v>203</v>
      </c>
      <c r="L315" s="96" t="s">
        <v>203</v>
      </c>
      <c r="M315" s="96" t="s">
        <v>324</v>
      </c>
      <c r="N315" s="96" t="s">
        <v>339</v>
      </c>
      <c r="O315" s="96" t="s">
        <v>439</v>
      </c>
      <c r="P315" s="96" t="s">
        <v>338</v>
      </c>
      <c r="Q315" s="96" t="s">
        <v>1309</v>
      </c>
      <c r="R315" s="96" t="s">
        <v>414</v>
      </c>
      <c r="S315" s="96" t="s">
        <v>406</v>
      </c>
      <c r="T315" s="96" t="s">
        <v>1200</v>
      </c>
      <c r="U315" s="97">
        <v>3.69</v>
      </c>
      <c r="V315" s="100">
        <v>48121</v>
      </c>
      <c r="W315" s="98">
        <v>1.7999999999999999E-2</v>
      </c>
      <c r="X315" s="98">
        <v>3.5799999999999998E-2</v>
      </c>
      <c r="Y315" s="96" t="s">
        <v>411</v>
      </c>
      <c r="Z315" s="96"/>
      <c r="AA315" s="97">
        <v>7293.2107770000002</v>
      </c>
      <c r="AB315" s="97">
        <v>1</v>
      </c>
      <c r="AC315" s="97">
        <v>106.94</v>
      </c>
      <c r="AD315" s="97"/>
      <c r="AE315" s="97">
        <v>7.7993589999999999</v>
      </c>
      <c r="AF315" s="96"/>
      <c r="AG315" s="96"/>
      <c r="AH315" s="96"/>
      <c r="AI315" s="98">
        <v>6.9999999999999999E-6</v>
      </c>
      <c r="AJ315" s="98">
        <v>6.0800000000000003E-4</v>
      </c>
      <c r="AK315" s="98">
        <v>1.4799999999999999E-4</v>
      </c>
      <c r="AL315" s="106"/>
    </row>
    <row r="316" spans="1:38" ht="15" customHeight="1">
      <c r="A316" s="106"/>
      <c r="B316" s="96">
        <v>286</v>
      </c>
      <c r="C316" s="96">
        <v>1445</v>
      </c>
      <c r="D316" s="96" t="s">
        <v>2027</v>
      </c>
      <c r="E316" s="96">
        <v>516339777</v>
      </c>
      <c r="F316" s="96" t="s">
        <v>308</v>
      </c>
      <c r="G316" s="96" t="s">
        <v>2028</v>
      </c>
      <c r="H316" s="96" t="s">
        <v>2029</v>
      </c>
      <c r="I316" s="96" t="s">
        <v>320</v>
      </c>
      <c r="J316" s="96" t="s">
        <v>952</v>
      </c>
      <c r="K316" s="96" t="s">
        <v>203</v>
      </c>
      <c r="L316" s="96" t="s">
        <v>203</v>
      </c>
      <c r="M316" s="96" t="s">
        <v>326</v>
      </c>
      <c r="N316" s="96" t="s">
        <v>339</v>
      </c>
      <c r="O316" s="96" t="s">
        <v>440</v>
      </c>
      <c r="P316" s="96" t="s">
        <v>338</v>
      </c>
      <c r="Q316" s="96" t="s">
        <v>409</v>
      </c>
      <c r="R316" s="96" t="s">
        <v>409</v>
      </c>
      <c r="S316" s="96" t="s">
        <v>409</v>
      </c>
      <c r="T316" s="96" t="s">
        <v>1200</v>
      </c>
      <c r="U316" s="97">
        <v>1.96</v>
      </c>
      <c r="V316" s="100">
        <v>46203</v>
      </c>
      <c r="W316" s="98">
        <v>2.5000000000000001E-2</v>
      </c>
      <c r="X316" s="98">
        <v>8.2199999999999995E-2</v>
      </c>
      <c r="Y316" s="96" t="s">
        <v>411</v>
      </c>
      <c r="Z316" s="96"/>
      <c r="AA316" s="97">
        <v>17825.836771999999</v>
      </c>
      <c r="AB316" s="97">
        <v>1</v>
      </c>
      <c r="AC316" s="97">
        <v>89.921099999999996</v>
      </c>
      <c r="AD316" s="97"/>
      <c r="AE316" s="97">
        <v>16.029187</v>
      </c>
      <c r="AF316" s="96"/>
      <c r="AG316" s="96"/>
      <c r="AH316" s="96"/>
      <c r="AI316" s="98">
        <v>5.3000000000000001E-5</v>
      </c>
      <c r="AJ316" s="98">
        <v>1.25E-3</v>
      </c>
      <c r="AK316" s="98">
        <v>3.0499999999999999E-4</v>
      </c>
      <c r="AL316" s="106"/>
    </row>
    <row r="317" spans="1:38" ht="15" customHeight="1">
      <c r="A317" s="106"/>
      <c r="B317" s="96">
        <v>286</v>
      </c>
      <c r="C317" s="96">
        <v>1445</v>
      </c>
      <c r="D317" s="96" t="s">
        <v>1354</v>
      </c>
      <c r="E317" s="96">
        <v>513893123</v>
      </c>
      <c r="F317" s="96" t="s">
        <v>308</v>
      </c>
      <c r="G317" s="96" t="s">
        <v>2030</v>
      </c>
      <c r="H317" s="96" t="s">
        <v>1786</v>
      </c>
      <c r="I317" s="96" t="s">
        <v>320</v>
      </c>
      <c r="J317" s="96" t="s">
        <v>753</v>
      </c>
      <c r="K317" s="96" t="s">
        <v>203</v>
      </c>
      <c r="L317" s="96" t="s">
        <v>203</v>
      </c>
      <c r="M317" s="96" t="s">
        <v>326</v>
      </c>
      <c r="N317" s="96" t="s">
        <v>339</v>
      </c>
      <c r="O317" s="96" t="s">
        <v>442</v>
      </c>
      <c r="P317" s="96" t="s">
        <v>338</v>
      </c>
      <c r="Q317" s="96" t="s">
        <v>1357</v>
      </c>
      <c r="R317" s="96" t="s">
        <v>414</v>
      </c>
      <c r="S317" s="96" t="s">
        <v>406</v>
      </c>
      <c r="T317" s="96" t="s">
        <v>1200</v>
      </c>
      <c r="U317" s="97">
        <v>1.88</v>
      </c>
      <c r="V317" s="100">
        <v>46477</v>
      </c>
      <c r="W317" s="98">
        <v>3.5400000000000001E-2</v>
      </c>
      <c r="X317" s="98">
        <v>3.7199999999999997E-2</v>
      </c>
      <c r="Y317" s="96" t="s">
        <v>411</v>
      </c>
      <c r="Z317" s="96"/>
      <c r="AA317" s="97">
        <v>1917.0954159999999</v>
      </c>
      <c r="AB317" s="97">
        <v>1</v>
      </c>
      <c r="AC317" s="97">
        <v>106.05110000000001</v>
      </c>
      <c r="AD317" s="97"/>
      <c r="AE317" s="97">
        <v>2.0331009999999998</v>
      </c>
      <c r="AF317" s="96"/>
      <c r="AG317" s="96"/>
      <c r="AH317" s="96"/>
      <c r="AI317" s="98">
        <v>9.9999999999999995E-7</v>
      </c>
      <c r="AJ317" s="98">
        <v>1.5799999999999999E-4</v>
      </c>
      <c r="AK317" s="98">
        <v>3.8000000000000002E-5</v>
      </c>
      <c r="AL317" s="106"/>
    </row>
    <row r="318" spans="1:38" ht="15" customHeight="1">
      <c r="A318" s="106"/>
      <c r="B318" s="96">
        <v>286</v>
      </c>
      <c r="C318" s="96">
        <v>1445</v>
      </c>
      <c r="D318" s="96" t="s">
        <v>1704</v>
      </c>
      <c r="E318" s="96">
        <v>513834200</v>
      </c>
      <c r="F318" s="96" t="s">
        <v>308</v>
      </c>
      <c r="G318" s="96" t="s">
        <v>2031</v>
      </c>
      <c r="H318" s="96" t="s">
        <v>2032</v>
      </c>
      <c r="I318" s="96" t="s">
        <v>320</v>
      </c>
      <c r="J318" s="96" t="s">
        <v>952</v>
      </c>
      <c r="K318" s="96" t="s">
        <v>203</v>
      </c>
      <c r="L318" s="96" t="s">
        <v>203</v>
      </c>
      <c r="M318" s="96" t="s">
        <v>324</v>
      </c>
      <c r="N318" s="96" t="s">
        <v>339</v>
      </c>
      <c r="O318" s="96" t="s">
        <v>444</v>
      </c>
      <c r="P318" s="96" t="s">
        <v>338</v>
      </c>
      <c r="Q318" s="96" t="s">
        <v>1305</v>
      </c>
      <c r="R318" s="96" t="s">
        <v>414</v>
      </c>
      <c r="S318" s="96" t="s">
        <v>406</v>
      </c>
      <c r="T318" s="96" t="s">
        <v>1200</v>
      </c>
      <c r="U318" s="97">
        <v>5.89</v>
      </c>
      <c r="V318" s="100">
        <v>47848</v>
      </c>
      <c r="W318" s="98">
        <v>3.0499999999999999E-2</v>
      </c>
      <c r="X318" s="98">
        <v>5.8900000000000001E-2</v>
      </c>
      <c r="Y318" s="96" t="s">
        <v>411</v>
      </c>
      <c r="Z318" s="96"/>
      <c r="AA318" s="97">
        <v>31373.472719000001</v>
      </c>
      <c r="AB318" s="97">
        <v>1</v>
      </c>
      <c r="AC318" s="97">
        <v>85.24</v>
      </c>
      <c r="AD318" s="97"/>
      <c r="AE318" s="97">
        <v>26.742747999999999</v>
      </c>
      <c r="AF318" s="96"/>
      <c r="AG318" s="96"/>
      <c r="AH318" s="96"/>
      <c r="AI318" s="98">
        <v>4.3000000000000002E-5</v>
      </c>
      <c r="AJ318" s="98">
        <v>2.0860000000000002E-3</v>
      </c>
      <c r="AK318" s="98">
        <v>5.0900000000000001E-4</v>
      </c>
      <c r="AL318" s="106"/>
    </row>
    <row r="319" spans="1:38" ht="15" customHeight="1">
      <c r="A319" s="106"/>
      <c r="B319" s="96">
        <v>286</v>
      </c>
      <c r="C319" s="96">
        <v>1445</v>
      </c>
      <c r="D319" s="96" t="s">
        <v>1551</v>
      </c>
      <c r="E319" s="96">
        <v>511659401</v>
      </c>
      <c r="F319" s="96" t="s">
        <v>308</v>
      </c>
      <c r="G319" s="96" t="s">
        <v>2033</v>
      </c>
      <c r="H319" s="96" t="s">
        <v>2034</v>
      </c>
      <c r="I319" s="96" t="s">
        <v>320</v>
      </c>
      <c r="J319" s="96" t="s">
        <v>753</v>
      </c>
      <c r="K319" s="96" t="s">
        <v>203</v>
      </c>
      <c r="L319" s="96" t="s">
        <v>203</v>
      </c>
      <c r="M319" s="96" t="s">
        <v>324</v>
      </c>
      <c r="N319" s="96" t="s">
        <v>339</v>
      </c>
      <c r="O319" s="96" t="s">
        <v>463</v>
      </c>
      <c r="P319" s="96" t="s">
        <v>338</v>
      </c>
      <c r="Q319" s="96" t="s">
        <v>1313</v>
      </c>
      <c r="R319" s="96" t="s">
        <v>412</v>
      </c>
      <c r="S319" s="96" t="s">
        <v>406</v>
      </c>
      <c r="T319" s="96" t="s">
        <v>1200</v>
      </c>
      <c r="U319" s="97">
        <v>8.1999999999999993</v>
      </c>
      <c r="V319" s="100">
        <v>50890</v>
      </c>
      <c r="W319" s="98">
        <v>2.64E-2</v>
      </c>
      <c r="X319" s="98">
        <v>3.4000000000000002E-2</v>
      </c>
      <c r="Y319" s="96" t="s">
        <v>411</v>
      </c>
      <c r="Z319" s="96"/>
      <c r="AA319" s="97">
        <v>36486.763372000001</v>
      </c>
      <c r="AB319" s="97">
        <v>1</v>
      </c>
      <c r="AC319" s="97">
        <v>98.16</v>
      </c>
      <c r="AD319" s="97"/>
      <c r="AE319" s="97">
        <v>35.815406000000003</v>
      </c>
      <c r="AF319" s="96"/>
      <c r="AG319" s="96"/>
      <c r="AH319" s="96"/>
      <c r="AI319" s="98">
        <v>1.21E-4</v>
      </c>
      <c r="AJ319" s="98">
        <v>2.794E-3</v>
      </c>
      <c r="AK319" s="98">
        <v>6.8199999999999999E-4</v>
      </c>
      <c r="AL319" s="106"/>
    </row>
    <row r="320" spans="1:38" ht="15" customHeight="1">
      <c r="A320" s="106"/>
      <c r="B320" s="96">
        <v>286</v>
      </c>
      <c r="C320" s="96">
        <v>1445</v>
      </c>
      <c r="D320" s="96" t="s">
        <v>1477</v>
      </c>
      <c r="E320" s="96">
        <v>520029935</v>
      </c>
      <c r="F320" s="96" t="s">
        <v>308</v>
      </c>
      <c r="G320" s="96" t="s">
        <v>2035</v>
      </c>
      <c r="H320" s="96" t="s">
        <v>2036</v>
      </c>
      <c r="I320" s="96" t="s">
        <v>320</v>
      </c>
      <c r="J320" s="96" t="s">
        <v>753</v>
      </c>
      <c r="K320" s="96" t="s">
        <v>203</v>
      </c>
      <c r="L320" s="96" t="s">
        <v>203</v>
      </c>
      <c r="M320" s="96" t="s">
        <v>324</v>
      </c>
      <c r="N320" s="96" t="s">
        <v>339</v>
      </c>
      <c r="O320" s="96" t="s">
        <v>447</v>
      </c>
      <c r="P320" s="96" t="s">
        <v>338</v>
      </c>
      <c r="Q320" s="96" t="s">
        <v>1211</v>
      </c>
      <c r="R320" s="96" t="s">
        <v>414</v>
      </c>
      <c r="S320" s="96" t="s">
        <v>406</v>
      </c>
      <c r="T320" s="96" t="s">
        <v>1200</v>
      </c>
      <c r="U320" s="97">
        <v>3.96</v>
      </c>
      <c r="V320" s="100">
        <v>48441</v>
      </c>
      <c r="W320" s="98">
        <v>2E-3</v>
      </c>
      <c r="X320" s="98">
        <v>2.58E-2</v>
      </c>
      <c r="Y320" s="96" t="s">
        <v>411</v>
      </c>
      <c r="Z320" s="96"/>
      <c r="AA320" s="97">
        <v>135235.241782</v>
      </c>
      <c r="AB320" s="97">
        <v>1</v>
      </c>
      <c r="AC320" s="97">
        <v>100.85</v>
      </c>
      <c r="AD320" s="97"/>
      <c r="AE320" s="97">
        <v>136.38474099999999</v>
      </c>
      <c r="AF320" s="96"/>
      <c r="AG320" s="96"/>
      <c r="AH320" s="96"/>
      <c r="AI320" s="98">
        <v>3.4999999999999997E-5</v>
      </c>
      <c r="AJ320" s="98">
        <v>1.064E-2</v>
      </c>
      <c r="AK320" s="98">
        <v>2.5969999999999999E-3</v>
      </c>
      <c r="AL320" s="106"/>
    </row>
    <row r="321" spans="1:38" ht="15" customHeight="1">
      <c r="A321" s="106"/>
      <c r="B321" s="96">
        <v>286</v>
      </c>
      <c r="C321" s="96">
        <v>1445</v>
      </c>
      <c r="D321" s="96" t="s">
        <v>1546</v>
      </c>
      <c r="E321" s="96">
        <v>511930125</v>
      </c>
      <c r="F321" s="96" t="s">
        <v>308</v>
      </c>
      <c r="G321" s="96" t="s">
        <v>2037</v>
      </c>
      <c r="H321" s="96" t="s">
        <v>2038</v>
      </c>
      <c r="I321" s="96" t="s">
        <v>320</v>
      </c>
      <c r="J321" s="96" t="s">
        <v>952</v>
      </c>
      <c r="K321" s="96" t="s">
        <v>203</v>
      </c>
      <c r="L321" s="96" t="s">
        <v>203</v>
      </c>
      <c r="M321" s="96" t="s">
        <v>324</v>
      </c>
      <c r="N321" s="96" t="s">
        <v>339</v>
      </c>
      <c r="O321" s="96" t="s">
        <v>483</v>
      </c>
      <c r="P321" s="96" t="s">
        <v>337</v>
      </c>
      <c r="Q321" s="96" t="s">
        <v>1320</v>
      </c>
      <c r="R321" s="96" t="s">
        <v>412</v>
      </c>
      <c r="S321" s="96" t="s">
        <v>406</v>
      </c>
      <c r="T321" s="96" t="s">
        <v>1200</v>
      </c>
      <c r="U321" s="97">
        <v>1.48</v>
      </c>
      <c r="V321" s="100">
        <v>46208</v>
      </c>
      <c r="W321" s="98">
        <v>3.5499999999999997E-2</v>
      </c>
      <c r="X321" s="98">
        <v>5.3699999999999998E-2</v>
      </c>
      <c r="Y321" s="96" t="s">
        <v>411</v>
      </c>
      <c r="Z321" s="96"/>
      <c r="AA321" s="97">
        <v>14064.24014</v>
      </c>
      <c r="AB321" s="97">
        <v>1</v>
      </c>
      <c r="AC321" s="97">
        <v>97.46</v>
      </c>
      <c r="AD321" s="97">
        <v>5.2740900000000002</v>
      </c>
      <c r="AE321" s="97">
        <v>18.981097999999999</v>
      </c>
      <c r="AF321" s="96"/>
      <c r="AG321" s="96"/>
      <c r="AH321" s="96"/>
      <c r="AI321" s="98">
        <v>4.8999999999999998E-5</v>
      </c>
      <c r="AJ321" s="98">
        <v>1.48E-3</v>
      </c>
      <c r="AK321" s="98">
        <v>3.6099999999999999E-4</v>
      </c>
      <c r="AL321" s="106"/>
    </row>
    <row r="322" spans="1:38" ht="15" customHeight="1">
      <c r="A322" s="106"/>
      <c r="B322" s="96">
        <v>286</v>
      </c>
      <c r="C322" s="96">
        <v>1445</v>
      </c>
      <c r="D322" s="96" t="s">
        <v>1484</v>
      </c>
      <c r="E322" s="96">
        <v>520036617</v>
      </c>
      <c r="F322" s="96" t="s">
        <v>308</v>
      </c>
      <c r="G322" s="96" t="s">
        <v>2039</v>
      </c>
      <c r="H322" s="96" t="s">
        <v>1778</v>
      </c>
      <c r="I322" s="96" t="s">
        <v>320</v>
      </c>
      <c r="J322" s="96" t="s">
        <v>753</v>
      </c>
      <c r="K322" s="96" t="s">
        <v>203</v>
      </c>
      <c r="L322" s="96" t="s">
        <v>203</v>
      </c>
      <c r="M322" s="96" t="s">
        <v>326</v>
      </c>
      <c r="N322" s="96" t="s">
        <v>339</v>
      </c>
      <c r="O322" s="96" t="s">
        <v>463</v>
      </c>
      <c r="P322" s="96" t="s">
        <v>338</v>
      </c>
      <c r="Q322" s="96" t="s">
        <v>1328</v>
      </c>
      <c r="R322" s="96" t="s">
        <v>412</v>
      </c>
      <c r="S322" s="96" t="s">
        <v>406</v>
      </c>
      <c r="T322" s="96" t="s">
        <v>1200</v>
      </c>
      <c r="U322" s="97">
        <v>4.79</v>
      </c>
      <c r="V322" s="100">
        <v>47848</v>
      </c>
      <c r="W322" s="98">
        <v>8.9999999999999993E-3</v>
      </c>
      <c r="X322" s="98">
        <v>3.8399999999999997E-2</v>
      </c>
      <c r="Y322" s="96" t="s">
        <v>411</v>
      </c>
      <c r="Z322" s="96"/>
      <c r="AA322" s="97">
        <v>543.29969600000004</v>
      </c>
      <c r="AB322" s="97">
        <v>1</v>
      </c>
      <c r="AC322" s="97">
        <v>96.476200000000006</v>
      </c>
      <c r="AD322" s="97"/>
      <c r="AE322" s="97">
        <v>0.52415400000000001</v>
      </c>
      <c r="AF322" s="96"/>
      <c r="AG322" s="96"/>
      <c r="AH322" s="96"/>
      <c r="AI322" s="98">
        <v>9.9999999999999995E-7</v>
      </c>
      <c r="AJ322" s="98">
        <v>4.0000000000000003E-5</v>
      </c>
      <c r="AK322" s="98">
        <v>9.0000000000000002E-6</v>
      </c>
      <c r="AL322" s="106"/>
    </row>
    <row r="323" spans="1:38" ht="15" customHeight="1">
      <c r="A323" s="106"/>
      <c r="B323" s="96">
        <v>286</v>
      </c>
      <c r="C323" s="96">
        <v>1445</v>
      </c>
      <c r="D323" s="96" t="s">
        <v>1771</v>
      </c>
      <c r="E323" s="96">
        <v>515364891</v>
      </c>
      <c r="F323" s="96" t="s">
        <v>308</v>
      </c>
      <c r="G323" s="96" t="s">
        <v>2040</v>
      </c>
      <c r="H323" s="96" t="s">
        <v>1773</v>
      </c>
      <c r="I323" s="96" t="s">
        <v>320</v>
      </c>
      <c r="J323" s="96" t="s">
        <v>753</v>
      </c>
      <c r="K323" s="96" t="s">
        <v>203</v>
      </c>
      <c r="L323" s="96" t="s">
        <v>203</v>
      </c>
      <c r="M323" s="96" t="s">
        <v>326</v>
      </c>
      <c r="N323" s="96" t="s">
        <v>339</v>
      </c>
      <c r="O323" s="96" t="s">
        <v>440</v>
      </c>
      <c r="P323" s="96" t="s">
        <v>338</v>
      </c>
      <c r="Q323" s="96" t="s">
        <v>409</v>
      </c>
      <c r="R323" s="96" t="s">
        <v>409</v>
      </c>
      <c r="S323" s="96" t="s">
        <v>409</v>
      </c>
      <c r="T323" s="96" t="s">
        <v>1200</v>
      </c>
      <c r="U323" s="97">
        <v>2.96</v>
      </c>
      <c r="V323" s="100">
        <v>46934</v>
      </c>
      <c r="W323" s="98">
        <v>1.5800000000000002E-2</v>
      </c>
      <c r="X323" s="98">
        <v>4.87E-2</v>
      </c>
      <c r="Y323" s="96" t="s">
        <v>411</v>
      </c>
      <c r="Z323" s="96"/>
      <c r="AA323" s="97">
        <v>2268.300651</v>
      </c>
      <c r="AB323" s="97">
        <v>1</v>
      </c>
      <c r="AC323" s="97">
        <v>101.7467</v>
      </c>
      <c r="AD323" s="97"/>
      <c r="AE323" s="97">
        <v>2.3079209999999999</v>
      </c>
      <c r="AF323" s="96"/>
      <c r="AG323" s="96"/>
      <c r="AH323" s="96"/>
      <c r="AI323" s="98">
        <v>6.0000000000000002E-6</v>
      </c>
      <c r="AJ323" s="98">
        <v>1.8000000000000001E-4</v>
      </c>
      <c r="AK323" s="98">
        <v>4.3000000000000002E-5</v>
      </c>
      <c r="AL323" s="106"/>
    </row>
    <row r="324" spans="1:38" ht="15" customHeight="1">
      <c r="A324" s="106"/>
      <c r="B324" s="96">
        <v>286</v>
      </c>
      <c r="C324" s="96">
        <v>1445</v>
      </c>
      <c r="D324" s="96" t="s">
        <v>1367</v>
      </c>
      <c r="E324" s="96">
        <v>513141879</v>
      </c>
      <c r="F324" s="96" t="s">
        <v>308</v>
      </c>
      <c r="G324" s="96" t="s">
        <v>2041</v>
      </c>
      <c r="H324" s="96" t="s">
        <v>2042</v>
      </c>
      <c r="I324" s="96" t="s">
        <v>320</v>
      </c>
      <c r="J324" s="96" t="s">
        <v>753</v>
      </c>
      <c r="K324" s="96" t="s">
        <v>203</v>
      </c>
      <c r="L324" s="96" t="s">
        <v>203</v>
      </c>
      <c r="M324" s="96" t="s">
        <v>324</v>
      </c>
      <c r="N324" s="96" t="s">
        <v>339</v>
      </c>
      <c r="O324" s="96" t="s">
        <v>447</v>
      </c>
      <c r="P324" s="96" t="s">
        <v>338</v>
      </c>
      <c r="Q324" s="96" t="s">
        <v>1305</v>
      </c>
      <c r="R324" s="96" t="s">
        <v>414</v>
      </c>
      <c r="S324" s="96" t="s">
        <v>406</v>
      </c>
      <c r="T324" s="96" t="s">
        <v>1200</v>
      </c>
      <c r="U324" s="97">
        <v>1.96</v>
      </c>
      <c r="V324" s="100">
        <v>46196</v>
      </c>
      <c r="W324" s="98">
        <v>2.3199999999999998E-2</v>
      </c>
      <c r="X324" s="98">
        <v>2.69E-2</v>
      </c>
      <c r="Y324" s="96" t="s">
        <v>410</v>
      </c>
      <c r="Z324" s="96"/>
      <c r="AA324" s="97">
        <v>19027.295318</v>
      </c>
      <c r="AB324" s="97">
        <v>1</v>
      </c>
      <c r="AC324" s="97">
        <v>112.91</v>
      </c>
      <c r="AD324" s="97"/>
      <c r="AE324" s="97">
        <v>21.483719000000001</v>
      </c>
      <c r="AF324" s="96"/>
      <c r="AG324" s="96"/>
      <c r="AH324" s="96"/>
      <c r="AI324" s="98">
        <v>6.3E-5</v>
      </c>
      <c r="AJ324" s="98">
        <v>1.676E-3</v>
      </c>
      <c r="AK324" s="98">
        <v>4.0900000000000002E-4</v>
      </c>
      <c r="AL324" s="106"/>
    </row>
    <row r="325" spans="1:38" ht="15" customHeight="1">
      <c r="A325" s="106"/>
      <c r="B325" s="96">
        <v>286</v>
      </c>
      <c r="C325" s="96">
        <v>1445</v>
      </c>
      <c r="D325" s="96" t="s">
        <v>1718</v>
      </c>
      <c r="E325" s="96">
        <v>511996803</v>
      </c>
      <c r="F325" s="96" t="s">
        <v>308</v>
      </c>
      <c r="G325" s="96" t="s">
        <v>2043</v>
      </c>
      <c r="H325" s="96" t="s">
        <v>1720</v>
      </c>
      <c r="I325" s="96" t="s">
        <v>320</v>
      </c>
      <c r="J325" s="96" t="s">
        <v>952</v>
      </c>
      <c r="K325" s="96" t="s">
        <v>203</v>
      </c>
      <c r="L325" s="96" t="s">
        <v>203</v>
      </c>
      <c r="M325" s="96" t="s">
        <v>326</v>
      </c>
      <c r="N325" s="96" t="s">
        <v>339</v>
      </c>
      <c r="O325" s="96" t="s">
        <v>446</v>
      </c>
      <c r="P325" s="96" t="s">
        <v>338</v>
      </c>
      <c r="Q325" s="96" t="s">
        <v>1309</v>
      </c>
      <c r="R325" s="96" t="s">
        <v>414</v>
      </c>
      <c r="S325" s="96" t="s">
        <v>406</v>
      </c>
      <c r="T325" s="96" t="s">
        <v>1200</v>
      </c>
      <c r="U325" s="97">
        <v>2.4900000000000002</v>
      </c>
      <c r="V325" s="100">
        <v>46752</v>
      </c>
      <c r="W325" s="98">
        <v>4.53E-2</v>
      </c>
      <c r="X325" s="98">
        <v>6.4000000000000001E-2</v>
      </c>
      <c r="Y325" s="96" t="s">
        <v>411</v>
      </c>
      <c r="Z325" s="96"/>
      <c r="AA325" s="97">
        <v>2710.8940739999998</v>
      </c>
      <c r="AB325" s="97">
        <v>1</v>
      </c>
      <c r="AC325" s="97">
        <v>95.759600000000006</v>
      </c>
      <c r="AD325" s="97"/>
      <c r="AE325" s="97">
        <v>2.5959400000000001</v>
      </c>
      <c r="AF325" s="96"/>
      <c r="AG325" s="96"/>
      <c r="AH325" s="96"/>
      <c r="AI325" s="98">
        <v>3.0000000000000001E-6</v>
      </c>
      <c r="AJ325" s="98">
        <v>2.02E-4</v>
      </c>
      <c r="AK325" s="98">
        <v>4.8999999999999998E-5</v>
      </c>
      <c r="AL325" s="106"/>
    </row>
    <row r="326" spans="1:38" ht="15" customHeight="1">
      <c r="A326" s="106"/>
      <c r="B326" s="96">
        <v>286</v>
      </c>
      <c r="C326" s="96">
        <v>1445</v>
      </c>
      <c r="D326" s="96" t="s">
        <v>1203</v>
      </c>
      <c r="E326" s="96">
        <v>520000118</v>
      </c>
      <c r="F326" s="96" t="s">
        <v>308</v>
      </c>
      <c r="G326" s="96" t="s">
        <v>2044</v>
      </c>
      <c r="H326" s="96" t="s">
        <v>2045</v>
      </c>
      <c r="I326" s="96" t="s">
        <v>320</v>
      </c>
      <c r="J326" s="96" t="s">
        <v>753</v>
      </c>
      <c r="K326" s="96" t="s">
        <v>203</v>
      </c>
      <c r="L326" s="96" t="s">
        <v>203</v>
      </c>
      <c r="M326" s="96" t="s">
        <v>324</v>
      </c>
      <c r="N326" s="96" t="s">
        <v>339</v>
      </c>
      <c r="O326" s="96" t="s">
        <v>447</v>
      </c>
      <c r="P326" s="96" t="s">
        <v>338</v>
      </c>
      <c r="Q326" s="96" t="s">
        <v>1332</v>
      </c>
      <c r="R326" s="96" t="s">
        <v>412</v>
      </c>
      <c r="S326" s="96" t="s">
        <v>406</v>
      </c>
      <c r="T326" s="96" t="s">
        <v>1200</v>
      </c>
      <c r="U326" s="97">
        <v>4.12</v>
      </c>
      <c r="V326" s="100">
        <v>47086</v>
      </c>
      <c r="W326" s="98">
        <v>3.09E-2</v>
      </c>
      <c r="X326" s="98">
        <v>3.27E-2</v>
      </c>
      <c r="Y326" s="96" t="s">
        <v>410</v>
      </c>
      <c r="Z326" s="96"/>
      <c r="AA326" s="97">
        <v>29655.859225</v>
      </c>
      <c r="AB326" s="97">
        <v>1</v>
      </c>
      <c r="AC326" s="97">
        <v>106.53</v>
      </c>
      <c r="AD326" s="97"/>
      <c r="AE326" s="97">
        <v>31.592386000000001</v>
      </c>
      <c r="AF326" s="96"/>
      <c r="AG326" s="96"/>
      <c r="AH326" s="96"/>
      <c r="AI326" s="98">
        <v>3.1000000000000001E-5</v>
      </c>
      <c r="AJ326" s="98">
        <v>2.464E-3</v>
      </c>
      <c r="AK326" s="98">
        <v>6.0099999999999997E-4</v>
      </c>
      <c r="AL326" s="106"/>
    </row>
    <row r="327" spans="1:38" ht="15" customHeight="1">
      <c r="A327" s="106"/>
      <c r="B327" s="96">
        <v>286</v>
      </c>
      <c r="C327" s="96">
        <v>1445</v>
      </c>
      <c r="D327" s="96" t="s">
        <v>1427</v>
      </c>
      <c r="E327" s="96">
        <v>520031931</v>
      </c>
      <c r="F327" s="96" t="s">
        <v>308</v>
      </c>
      <c r="G327" s="96" t="s">
        <v>2046</v>
      </c>
      <c r="H327" s="96" t="s">
        <v>2047</v>
      </c>
      <c r="I327" s="96" t="s">
        <v>320</v>
      </c>
      <c r="J327" s="96" t="s">
        <v>952</v>
      </c>
      <c r="K327" s="96" t="s">
        <v>203</v>
      </c>
      <c r="L327" s="96" t="s">
        <v>203</v>
      </c>
      <c r="M327" s="96" t="s">
        <v>324</v>
      </c>
      <c r="N327" s="96" t="s">
        <v>339</v>
      </c>
      <c r="O327" s="96" t="s">
        <v>483</v>
      </c>
      <c r="P327" s="96" t="s">
        <v>338</v>
      </c>
      <c r="Q327" s="96" t="s">
        <v>1336</v>
      </c>
      <c r="R327" s="96" t="s">
        <v>414</v>
      </c>
      <c r="S327" s="96" t="s">
        <v>406</v>
      </c>
      <c r="T327" s="96" t="s">
        <v>1200</v>
      </c>
      <c r="U327" s="97">
        <v>3.63</v>
      </c>
      <c r="V327" s="100">
        <v>47635</v>
      </c>
      <c r="W327" s="98">
        <v>3.2000000000000001E-2</v>
      </c>
      <c r="X327" s="98">
        <v>5.2900000000000003E-2</v>
      </c>
      <c r="Y327" s="96" t="s">
        <v>411</v>
      </c>
      <c r="Z327" s="96"/>
      <c r="AA327" s="97">
        <v>48114.600192999998</v>
      </c>
      <c r="AB327" s="97">
        <v>1</v>
      </c>
      <c r="AC327" s="97">
        <v>93.25</v>
      </c>
      <c r="AD327" s="97"/>
      <c r="AE327" s="97">
        <v>44.866864</v>
      </c>
      <c r="AF327" s="96"/>
      <c r="AG327" s="96"/>
      <c r="AH327" s="96"/>
      <c r="AI327" s="98">
        <v>3.4E-5</v>
      </c>
      <c r="AJ327" s="98">
        <v>3.5000000000000001E-3</v>
      </c>
      <c r="AK327" s="98">
        <v>8.5400000000000005E-4</v>
      </c>
      <c r="AL327" s="106"/>
    </row>
    <row r="328" spans="1:38" ht="15" customHeight="1">
      <c r="A328" s="106"/>
      <c r="B328" s="96">
        <v>286</v>
      </c>
      <c r="C328" s="96">
        <v>1445</v>
      </c>
      <c r="D328" s="96" t="s">
        <v>1771</v>
      </c>
      <c r="E328" s="96">
        <v>515364891</v>
      </c>
      <c r="F328" s="96" t="s">
        <v>308</v>
      </c>
      <c r="G328" s="96" t="s">
        <v>2048</v>
      </c>
      <c r="H328" s="96" t="s">
        <v>1773</v>
      </c>
      <c r="I328" s="96" t="s">
        <v>320</v>
      </c>
      <c r="J328" s="96" t="s">
        <v>753</v>
      </c>
      <c r="K328" s="96" t="s">
        <v>203</v>
      </c>
      <c r="L328" s="96" t="s">
        <v>203</v>
      </c>
      <c r="M328" s="96" t="s">
        <v>324</v>
      </c>
      <c r="N328" s="96" t="s">
        <v>339</v>
      </c>
      <c r="O328" s="96" t="s">
        <v>440</v>
      </c>
      <c r="P328" s="96" t="s">
        <v>338</v>
      </c>
      <c r="Q328" s="96" t="s">
        <v>409</v>
      </c>
      <c r="R328" s="96" t="s">
        <v>409</v>
      </c>
      <c r="S328" s="96" t="s">
        <v>409</v>
      </c>
      <c r="T328" s="96" t="s">
        <v>1200</v>
      </c>
      <c r="U328" s="97">
        <v>2.96</v>
      </c>
      <c r="V328" s="100">
        <v>46934</v>
      </c>
      <c r="W328" s="98">
        <v>1.5800000000000002E-2</v>
      </c>
      <c r="X328" s="98">
        <v>4.3700000000000003E-2</v>
      </c>
      <c r="Y328" s="96" t="s">
        <v>411</v>
      </c>
      <c r="Z328" s="96"/>
      <c r="AA328" s="97">
        <v>7054.3307519999998</v>
      </c>
      <c r="AB328" s="97">
        <v>1</v>
      </c>
      <c r="AC328" s="97">
        <v>103.21</v>
      </c>
      <c r="AD328" s="97"/>
      <c r="AE328" s="97">
        <v>7.2807740000000001</v>
      </c>
      <c r="AF328" s="96"/>
      <c r="AG328" s="96"/>
      <c r="AH328" s="96"/>
      <c r="AI328" s="98">
        <v>1.8E-5</v>
      </c>
      <c r="AJ328" s="98">
        <v>5.6800000000000004E-4</v>
      </c>
      <c r="AK328" s="98">
        <v>1.3799999999999999E-4</v>
      </c>
      <c r="AL328" s="106"/>
    </row>
    <row r="329" spans="1:38" ht="15" customHeight="1">
      <c r="A329" s="106"/>
      <c r="B329" s="96">
        <v>286</v>
      </c>
      <c r="C329" s="96">
        <v>1445</v>
      </c>
      <c r="D329" s="96" t="s">
        <v>1658</v>
      </c>
      <c r="E329" s="96">
        <v>520038506</v>
      </c>
      <c r="F329" s="96" t="s">
        <v>308</v>
      </c>
      <c r="G329" s="96" t="s">
        <v>2049</v>
      </c>
      <c r="H329" s="96" t="s">
        <v>2050</v>
      </c>
      <c r="I329" s="96" t="s">
        <v>320</v>
      </c>
      <c r="J329" s="96" t="s">
        <v>753</v>
      </c>
      <c r="K329" s="96" t="s">
        <v>203</v>
      </c>
      <c r="L329" s="96" t="s">
        <v>203</v>
      </c>
      <c r="M329" s="96" t="s">
        <v>324</v>
      </c>
      <c r="N329" s="96" t="s">
        <v>339</v>
      </c>
      <c r="O329" s="96" t="s">
        <v>463</v>
      </c>
      <c r="P329" s="96" t="s">
        <v>337</v>
      </c>
      <c r="Q329" s="96" t="s">
        <v>1305</v>
      </c>
      <c r="R329" s="96" t="s">
        <v>414</v>
      </c>
      <c r="S329" s="96" t="s">
        <v>406</v>
      </c>
      <c r="T329" s="96" t="s">
        <v>1200</v>
      </c>
      <c r="U329" s="97">
        <v>7.13</v>
      </c>
      <c r="V329" s="100">
        <v>50099</v>
      </c>
      <c r="W329" s="98">
        <v>2.5600000000000001E-2</v>
      </c>
      <c r="X329" s="98">
        <v>4.53E-2</v>
      </c>
      <c r="Y329" s="96" t="s">
        <v>411</v>
      </c>
      <c r="Z329" s="96"/>
      <c r="AA329" s="97">
        <v>29851.254639999999</v>
      </c>
      <c r="AB329" s="97">
        <v>1</v>
      </c>
      <c r="AC329" s="97">
        <v>93.07</v>
      </c>
      <c r="AD329" s="97"/>
      <c r="AE329" s="97">
        <v>27.782561999999999</v>
      </c>
      <c r="AF329" s="96"/>
      <c r="AG329" s="96"/>
      <c r="AH329" s="96"/>
      <c r="AI329" s="98">
        <v>2.8E-5</v>
      </c>
      <c r="AJ329" s="98">
        <v>2.1670000000000001E-3</v>
      </c>
      <c r="AK329" s="98">
        <v>5.2899999999999996E-4</v>
      </c>
      <c r="AL329" s="106"/>
    </row>
    <row r="330" spans="1:38" ht="15" customHeight="1">
      <c r="A330" s="106"/>
      <c r="B330" s="96">
        <v>286</v>
      </c>
      <c r="C330" s="96">
        <v>1445</v>
      </c>
      <c r="D330" s="96" t="s">
        <v>2051</v>
      </c>
      <c r="E330" s="96">
        <v>513436394</v>
      </c>
      <c r="F330" s="96" t="s">
        <v>308</v>
      </c>
      <c r="G330" s="96" t="s">
        <v>2052</v>
      </c>
      <c r="H330" s="96" t="s">
        <v>2053</v>
      </c>
      <c r="I330" s="96" t="s">
        <v>320</v>
      </c>
      <c r="J330" s="96" t="s">
        <v>753</v>
      </c>
      <c r="K330" s="96" t="s">
        <v>203</v>
      </c>
      <c r="L330" s="96" t="s">
        <v>203</v>
      </c>
      <c r="M330" s="96" t="s">
        <v>324</v>
      </c>
      <c r="N330" s="96" t="s">
        <v>339</v>
      </c>
      <c r="O330" s="96" t="s">
        <v>476</v>
      </c>
      <c r="P330" s="96" t="s">
        <v>338</v>
      </c>
      <c r="Q330" s="96" t="s">
        <v>1301</v>
      </c>
      <c r="R330" s="96" t="s">
        <v>414</v>
      </c>
      <c r="S330" s="96" t="s">
        <v>406</v>
      </c>
      <c r="T330" s="96" t="s">
        <v>1200</v>
      </c>
      <c r="U330" s="97">
        <v>5.72</v>
      </c>
      <c r="V330" s="100">
        <v>48760</v>
      </c>
      <c r="W330" s="98">
        <v>2.6499999999999999E-2</v>
      </c>
      <c r="X330" s="98">
        <v>2.81E-2</v>
      </c>
      <c r="Y330" s="96" t="s">
        <v>411</v>
      </c>
      <c r="Z330" s="96"/>
      <c r="AA330" s="97">
        <v>85893.643937000001</v>
      </c>
      <c r="AB330" s="97">
        <v>1</v>
      </c>
      <c r="AC330" s="97">
        <v>113.29</v>
      </c>
      <c r="AD330" s="97"/>
      <c r="AE330" s="97">
        <v>97.308909</v>
      </c>
      <c r="AF330" s="96"/>
      <c r="AG330" s="96"/>
      <c r="AH330" s="96"/>
      <c r="AI330" s="98">
        <v>5.8E-5</v>
      </c>
      <c r="AJ330" s="98">
        <v>7.5919999999999998E-3</v>
      </c>
      <c r="AK330" s="98">
        <v>1.853E-3</v>
      </c>
      <c r="AL330" s="106"/>
    </row>
    <row r="331" spans="1:38" ht="15" customHeight="1">
      <c r="A331" s="106"/>
      <c r="B331" s="96">
        <v>286</v>
      </c>
      <c r="C331" s="96">
        <v>1445</v>
      </c>
      <c r="D331" s="96" t="s">
        <v>1197</v>
      </c>
      <c r="E331" s="96">
        <v>520018078</v>
      </c>
      <c r="F331" s="96" t="s">
        <v>308</v>
      </c>
      <c r="G331" s="96" t="s">
        <v>2054</v>
      </c>
      <c r="H331" s="96" t="s">
        <v>2055</v>
      </c>
      <c r="I331" s="96" t="s">
        <v>320</v>
      </c>
      <c r="J331" s="96" t="s">
        <v>952</v>
      </c>
      <c r="K331" s="96" t="s">
        <v>203</v>
      </c>
      <c r="L331" s="96" t="s">
        <v>203</v>
      </c>
      <c r="M331" s="96" t="s">
        <v>324</v>
      </c>
      <c r="N331" s="96" t="s">
        <v>339</v>
      </c>
      <c r="O331" s="96" t="s">
        <v>447</v>
      </c>
      <c r="P331" s="96" t="s">
        <v>338</v>
      </c>
      <c r="Q331" s="96" t="s">
        <v>1199</v>
      </c>
      <c r="R331" s="96" t="s">
        <v>412</v>
      </c>
      <c r="S331" s="96" t="s">
        <v>406</v>
      </c>
      <c r="T331" s="96" t="s">
        <v>1200</v>
      </c>
      <c r="U331" s="97">
        <v>0.66</v>
      </c>
      <c r="V331" s="100">
        <v>45716</v>
      </c>
      <c r="W331" s="98">
        <v>2.0199999999999999E-2</v>
      </c>
      <c r="X331" s="98">
        <v>4.4600000000000001E-2</v>
      </c>
      <c r="Y331" s="96" t="s">
        <v>411</v>
      </c>
      <c r="Z331" s="96"/>
      <c r="AA331" s="97">
        <v>28521.338834999999</v>
      </c>
      <c r="AB331" s="97">
        <v>1</v>
      </c>
      <c r="AC331" s="97">
        <v>99.11</v>
      </c>
      <c r="AD331" s="97"/>
      <c r="AE331" s="97">
        <v>28.267498</v>
      </c>
      <c r="AF331" s="96"/>
      <c r="AG331" s="96"/>
      <c r="AH331" s="96"/>
      <c r="AI331" s="98">
        <v>3.3000000000000003E-5</v>
      </c>
      <c r="AJ331" s="98">
        <v>2.2049999999999999E-3</v>
      </c>
      <c r="AK331" s="98">
        <v>5.3799999999999996E-4</v>
      </c>
      <c r="AL331" s="106"/>
    </row>
    <row r="332" spans="1:38" ht="15" customHeight="1">
      <c r="A332" s="106"/>
      <c r="B332" s="96">
        <v>286</v>
      </c>
      <c r="C332" s="96">
        <v>1445</v>
      </c>
      <c r="D332" s="96" t="s">
        <v>1302</v>
      </c>
      <c r="E332" s="96">
        <v>513623314</v>
      </c>
      <c r="F332" s="96" t="s">
        <v>308</v>
      </c>
      <c r="G332" s="96" t="s">
        <v>2056</v>
      </c>
      <c r="H332" s="96" t="s">
        <v>2057</v>
      </c>
      <c r="I332" s="96" t="s">
        <v>320</v>
      </c>
      <c r="J332" s="96" t="s">
        <v>753</v>
      </c>
      <c r="K332" s="96" t="s">
        <v>203</v>
      </c>
      <c r="L332" s="96" t="s">
        <v>203</v>
      </c>
      <c r="M332" s="96" t="s">
        <v>324</v>
      </c>
      <c r="N332" s="96" t="s">
        <v>339</v>
      </c>
      <c r="O332" s="96" t="s">
        <v>463</v>
      </c>
      <c r="P332" s="96" t="s">
        <v>337</v>
      </c>
      <c r="Q332" s="96" t="s">
        <v>1313</v>
      </c>
      <c r="R332" s="96" t="s">
        <v>412</v>
      </c>
      <c r="S332" s="96" t="s">
        <v>406</v>
      </c>
      <c r="T332" s="96" t="s">
        <v>1200</v>
      </c>
      <c r="U332" s="97">
        <v>3.15</v>
      </c>
      <c r="V332" s="100">
        <v>46680</v>
      </c>
      <c r="W332" s="98">
        <v>1.8200000000000001E-2</v>
      </c>
      <c r="X332" s="98">
        <v>2.7199999999999998E-2</v>
      </c>
      <c r="Y332" s="96" t="s">
        <v>411</v>
      </c>
      <c r="Z332" s="96"/>
      <c r="AA332" s="97">
        <v>15137.176842000001</v>
      </c>
      <c r="AB332" s="97">
        <v>1</v>
      </c>
      <c r="AC332" s="97">
        <v>110.75</v>
      </c>
      <c r="AD332" s="97"/>
      <c r="AE332" s="97">
        <v>16.764423000000001</v>
      </c>
      <c r="AF332" s="96"/>
      <c r="AG332" s="96"/>
      <c r="AH332" s="96"/>
      <c r="AI332" s="98">
        <v>3.0000000000000001E-5</v>
      </c>
      <c r="AJ332" s="98">
        <v>1.307E-3</v>
      </c>
      <c r="AK332" s="98">
        <v>3.19E-4</v>
      </c>
      <c r="AL332" s="106"/>
    </row>
    <row r="333" spans="1:38" ht="15" customHeight="1">
      <c r="A333" s="106"/>
      <c r="B333" s="96">
        <v>286</v>
      </c>
      <c r="C333" s="96">
        <v>1445</v>
      </c>
      <c r="D333" s="96" t="s">
        <v>1474</v>
      </c>
      <c r="E333" s="96">
        <v>1737</v>
      </c>
      <c r="F333" s="96" t="s">
        <v>80</v>
      </c>
      <c r="G333" s="96" t="s">
        <v>2058</v>
      </c>
      <c r="H333" s="96" t="s">
        <v>1724</v>
      </c>
      <c r="I333" s="96" t="s">
        <v>320</v>
      </c>
      <c r="J333" s="96" t="s">
        <v>952</v>
      </c>
      <c r="K333" s="96" t="s">
        <v>203</v>
      </c>
      <c r="L333" s="96" t="s">
        <v>203</v>
      </c>
      <c r="M333" s="96" t="s">
        <v>326</v>
      </c>
      <c r="N333" s="96" t="s">
        <v>339</v>
      </c>
      <c r="O333" s="96" t="s">
        <v>464</v>
      </c>
      <c r="P333" s="96" t="s">
        <v>338</v>
      </c>
      <c r="Q333" s="96" t="s">
        <v>1313</v>
      </c>
      <c r="R333" s="96" t="s">
        <v>412</v>
      </c>
      <c r="S333" s="96" t="s">
        <v>406</v>
      </c>
      <c r="T333" s="96" t="s">
        <v>1200</v>
      </c>
      <c r="U333" s="97">
        <v>2.38</v>
      </c>
      <c r="V333" s="100">
        <v>46752</v>
      </c>
      <c r="W333" s="98">
        <v>3.49E-2</v>
      </c>
      <c r="X333" s="98">
        <v>7.6200000000000004E-2</v>
      </c>
      <c r="Y333" s="96" t="s">
        <v>411</v>
      </c>
      <c r="Z333" s="96"/>
      <c r="AA333" s="97">
        <v>28495.770167999999</v>
      </c>
      <c r="AB333" s="97">
        <v>1</v>
      </c>
      <c r="AC333" s="97">
        <v>91.099199999999996</v>
      </c>
      <c r="AD333" s="97"/>
      <c r="AE333" s="97">
        <v>25.959427999999999</v>
      </c>
      <c r="AF333" s="96"/>
      <c r="AG333" s="96"/>
      <c r="AH333" s="96"/>
      <c r="AI333" s="98">
        <v>3.0000000000000001E-5</v>
      </c>
      <c r="AJ333" s="98">
        <v>2.0249999999999999E-3</v>
      </c>
      <c r="AK333" s="98">
        <v>4.9399999999999997E-4</v>
      </c>
      <c r="AL333" s="106"/>
    </row>
    <row r="334" spans="1:38" ht="15" customHeight="1">
      <c r="A334" s="106"/>
      <c r="B334" s="96">
        <v>286</v>
      </c>
      <c r="C334" s="96">
        <v>1445</v>
      </c>
      <c r="D334" s="96" t="s">
        <v>1414</v>
      </c>
      <c r="E334" s="96">
        <v>520037789</v>
      </c>
      <c r="F334" s="96" t="s">
        <v>308</v>
      </c>
      <c r="G334" s="96" t="s">
        <v>2059</v>
      </c>
      <c r="H334" s="96" t="s">
        <v>2060</v>
      </c>
      <c r="I334" s="96" t="s">
        <v>320</v>
      </c>
      <c r="J334" s="96" t="s">
        <v>753</v>
      </c>
      <c r="K334" s="96" t="s">
        <v>203</v>
      </c>
      <c r="L334" s="96" t="s">
        <v>203</v>
      </c>
      <c r="M334" s="96" t="s">
        <v>324</v>
      </c>
      <c r="N334" s="96" t="s">
        <v>339</v>
      </c>
      <c r="O334" s="96" t="s">
        <v>463</v>
      </c>
      <c r="P334" s="96" t="s">
        <v>337</v>
      </c>
      <c r="Q334" s="96" t="s">
        <v>1313</v>
      </c>
      <c r="R334" s="96" t="s">
        <v>412</v>
      </c>
      <c r="S334" s="96" t="s">
        <v>406</v>
      </c>
      <c r="T334" s="96" t="s">
        <v>1200</v>
      </c>
      <c r="U334" s="97">
        <v>1.76</v>
      </c>
      <c r="V334" s="100">
        <v>46139</v>
      </c>
      <c r="W334" s="98">
        <v>2.1499999999999998E-2</v>
      </c>
      <c r="X334" s="98">
        <v>2.6100000000000002E-2</v>
      </c>
      <c r="Y334" s="96" t="s">
        <v>411</v>
      </c>
      <c r="Z334" s="96"/>
      <c r="AA334" s="97">
        <v>56748.235925000001</v>
      </c>
      <c r="AB334" s="97">
        <v>1</v>
      </c>
      <c r="AC334" s="97">
        <v>115.16</v>
      </c>
      <c r="AD334" s="97"/>
      <c r="AE334" s="97">
        <v>65.351268000000005</v>
      </c>
      <c r="AF334" s="96"/>
      <c r="AG334" s="96"/>
      <c r="AH334" s="96"/>
      <c r="AI334" s="98">
        <v>4.6999999999999997E-5</v>
      </c>
      <c r="AJ334" s="98">
        <v>5.0980000000000001E-3</v>
      </c>
      <c r="AK334" s="98">
        <v>1.2440000000000001E-3</v>
      </c>
      <c r="AL334" s="106"/>
    </row>
    <row r="335" spans="1:38" ht="15" customHeight="1">
      <c r="A335" s="106"/>
      <c r="B335" s="96">
        <v>286</v>
      </c>
      <c r="C335" s="96">
        <v>1445</v>
      </c>
      <c r="D335" s="96" t="s">
        <v>1484</v>
      </c>
      <c r="E335" s="96">
        <v>520036617</v>
      </c>
      <c r="F335" s="96" t="s">
        <v>308</v>
      </c>
      <c r="G335" s="96" t="s">
        <v>2061</v>
      </c>
      <c r="H335" s="96" t="s">
        <v>2062</v>
      </c>
      <c r="I335" s="96" t="s">
        <v>320</v>
      </c>
      <c r="J335" s="96" t="s">
        <v>952</v>
      </c>
      <c r="K335" s="96" t="s">
        <v>203</v>
      </c>
      <c r="L335" s="96" t="s">
        <v>203</v>
      </c>
      <c r="M335" s="96" t="s">
        <v>324</v>
      </c>
      <c r="N335" s="96" t="s">
        <v>339</v>
      </c>
      <c r="O335" s="96" t="s">
        <v>463</v>
      </c>
      <c r="P335" s="96" t="s">
        <v>338</v>
      </c>
      <c r="Q335" s="96" t="s">
        <v>1328</v>
      </c>
      <c r="R335" s="96" t="s">
        <v>412</v>
      </c>
      <c r="S335" s="96" t="s">
        <v>406</v>
      </c>
      <c r="T335" s="96" t="s">
        <v>1200</v>
      </c>
      <c r="U335" s="97">
        <v>2.4900000000000002</v>
      </c>
      <c r="V335" s="100">
        <v>47392</v>
      </c>
      <c r="W335" s="98">
        <v>5.2999999999999999E-2</v>
      </c>
      <c r="X335" s="98">
        <v>5.7200000000000001E-2</v>
      </c>
      <c r="Y335" s="96" t="s">
        <v>411</v>
      </c>
      <c r="Z335" s="96"/>
      <c r="AA335" s="97">
        <v>3780.535449</v>
      </c>
      <c r="AB335" s="97">
        <v>1</v>
      </c>
      <c r="AC335" s="97">
        <v>100.33</v>
      </c>
      <c r="AD335" s="97"/>
      <c r="AE335" s="97">
        <v>3.7930109999999999</v>
      </c>
      <c r="AF335" s="96"/>
      <c r="AG335" s="96"/>
      <c r="AH335" s="96"/>
      <c r="AI335" s="98">
        <v>7.9999999999999996E-6</v>
      </c>
      <c r="AJ335" s="98">
        <v>2.9500000000000001E-4</v>
      </c>
      <c r="AK335" s="98">
        <v>7.2000000000000002E-5</v>
      </c>
      <c r="AL335" s="106"/>
    </row>
    <row r="336" spans="1:38" ht="15" customHeight="1">
      <c r="A336" s="106"/>
      <c r="B336" s="96">
        <v>286</v>
      </c>
      <c r="C336" s="96">
        <v>1445</v>
      </c>
      <c r="D336" s="96" t="s">
        <v>1611</v>
      </c>
      <c r="E336" s="96">
        <v>520001736</v>
      </c>
      <c r="F336" s="96" t="s">
        <v>308</v>
      </c>
      <c r="G336" s="96" t="s">
        <v>2063</v>
      </c>
      <c r="H336" s="96" t="s">
        <v>2064</v>
      </c>
      <c r="I336" s="96" t="s">
        <v>320</v>
      </c>
      <c r="J336" s="96" t="s">
        <v>753</v>
      </c>
      <c r="K336" s="96" t="s">
        <v>203</v>
      </c>
      <c r="L336" s="96" t="s">
        <v>203</v>
      </c>
      <c r="M336" s="96" t="s">
        <v>324</v>
      </c>
      <c r="N336" s="96" t="s">
        <v>339</v>
      </c>
      <c r="O336" s="96" t="s">
        <v>463</v>
      </c>
      <c r="P336" s="96" t="s">
        <v>338</v>
      </c>
      <c r="Q336" s="96" t="s">
        <v>1313</v>
      </c>
      <c r="R336" s="96" t="s">
        <v>412</v>
      </c>
      <c r="S336" s="96" t="s">
        <v>406</v>
      </c>
      <c r="T336" s="96" t="s">
        <v>1200</v>
      </c>
      <c r="U336" s="97">
        <v>4.21</v>
      </c>
      <c r="V336" s="100">
        <v>48760</v>
      </c>
      <c r="W336" s="98">
        <v>5.0000000000000001E-3</v>
      </c>
      <c r="X336" s="98">
        <v>3.3500000000000002E-2</v>
      </c>
      <c r="Y336" s="96" t="s">
        <v>411</v>
      </c>
      <c r="Z336" s="96"/>
      <c r="AA336" s="97">
        <v>35665.776940000003</v>
      </c>
      <c r="AB336" s="97">
        <v>1</v>
      </c>
      <c r="AC336" s="97">
        <v>100.45</v>
      </c>
      <c r="AD336" s="97"/>
      <c r="AE336" s="97">
        <v>35.826272000000003</v>
      </c>
      <c r="AF336" s="96"/>
      <c r="AG336" s="96"/>
      <c r="AH336" s="96"/>
      <c r="AI336" s="98">
        <v>2.1999999999999999E-5</v>
      </c>
      <c r="AJ336" s="98">
        <v>2.7950000000000002E-3</v>
      </c>
      <c r="AK336" s="98">
        <v>6.8199999999999999E-4</v>
      </c>
      <c r="AL336" s="106"/>
    </row>
    <row r="337" spans="1:38" ht="15" customHeight="1">
      <c r="A337" s="106"/>
      <c r="B337" s="96">
        <v>286</v>
      </c>
      <c r="C337" s="96">
        <v>1445</v>
      </c>
      <c r="D337" s="96" t="s">
        <v>2065</v>
      </c>
      <c r="E337" s="96">
        <v>520038910</v>
      </c>
      <c r="F337" s="96" t="s">
        <v>308</v>
      </c>
      <c r="G337" s="96" t="s">
        <v>2066</v>
      </c>
      <c r="H337" s="96" t="s">
        <v>2067</v>
      </c>
      <c r="I337" s="96" t="s">
        <v>320</v>
      </c>
      <c r="J337" s="96" t="s">
        <v>952</v>
      </c>
      <c r="K337" s="96" t="s">
        <v>203</v>
      </c>
      <c r="L337" s="96" t="s">
        <v>203</v>
      </c>
      <c r="M337" s="96" t="s">
        <v>324</v>
      </c>
      <c r="N337" s="96" t="s">
        <v>339</v>
      </c>
      <c r="O337" s="96" t="s">
        <v>463</v>
      </c>
      <c r="P337" s="96" t="s">
        <v>338</v>
      </c>
      <c r="Q337" s="96" t="s">
        <v>1313</v>
      </c>
      <c r="R337" s="96" t="s">
        <v>412</v>
      </c>
      <c r="S337" s="96" t="s">
        <v>406</v>
      </c>
      <c r="T337" s="96" t="s">
        <v>1200</v>
      </c>
      <c r="U337" s="97">
        <v>4.83</v>
      </c>
      <c r="V337" s="100">
        <v>48213</v>
      </c>
      <c r="W337" s="98">
        <v>4.8899999999999999E-2</v>
      </c>
      <c r="X337" s="98">
        <v>5.5899999999999998E-2</v>
      </c>
      <c r="Y337" s="96" t="s">
        <v>411</v>
      </c>
      <c r="Z337" s="96"/>
      <c r="AA337" s="97">
        <v>27517.404107999999</v>
      </c>
      <c r="AB337" s="97">
        <v>1</v>
      </c>
      <c r="AC337" s="97">
        <v>97.07</v>
      </c>
      <c r="AD337" s="97"/>
      <c r="AE337" s="97">
        <v>26.711144000000001</v>
      </c>
      <c r="AF337" s="96"/>
      <c r="AG337" s="96"/>
      <c r="AH337" s="96"/>
      <c r="AI337" s="98">
        <v>9.1000000000000003E-5</v>
      </c>
      <c r="AJ337" s="98">
        <v>2.0830000000000002E-3</v>
      </c>
      <c r="AK337" s="98">
        <v>5.0799999999999999E-4</v>
      </c>
      <c r="AL337" s="106"/>
    </row>
    <row r="338" spans="1:38" ht="15" customHeight="1">
      <c r="A338" s="106"/>
      <c r="B338" s="96">
        <v>286</v>
      </c>
      <c r="C338" s="96">
        <v>1445</v>
      </c>
      <c r="D338" s="96" t="s">
        <v>1385</v>
      </c>
      <c r="E338" s="96">
        <v>520017807</v>
      </c>
      <c r="F338" s="96" t="s">
        <v>308</v>
      </c>
      <c r="G338" s="96" t="s">
        <v>2068</v>
      </c>
      <c r="H338" s="96" t="s">
        <v>2069</v>
      </c>
      <c r="I338" s="96" t="s">
        <v>320</v>
      </c>
      <c r="J338" s="96" t="s">
        <v>753</v>
      </c>
      <c r="K338" s="96" t="s">
        <v>203</v>
      </c>
      <c r="L338" s="96" t="s">
        <v>203</v>
      </c>
      <c r="M338" s="96" t="s">
        <v>324</v>
      </c>
      <c r="N338" s="96" t="s">
        <v>339</v>
      </c>
      <c r="O338" s="96" t="s">
        <v>463</v>
      </c>
      <c r="P338" s="96" t="s">
        <v>337</v>
      </c>
      <c r="Q338" s="96" t="s">
        <v>1336</v>
      </c>
      <c r="R338" s="96" t="s">
        <v>414</v>
      </c>
      <c r="S338" s="96" t="s">
        <v>406</v>
      </c>
      <c r="T338" s="96" t="s">
        <v>1200</v>
      </c>
      <c r="U338" s="97">
        <v>4.99</v>
      </c>
      <c r="V338" s="100">
        <v>47583</v>
      </c>
      <c r="W338" s="98">
        <v>8.3999999999999995E-3</v>
      </c>
      <c r="X338" s="98">
        <v>3.2099999999999997E-2</v>
      </c>
      <c r="Y338" s="96" t="s">
        <v>411</v>
      </c>
      <c r="Z338" s="96"/>
      <c r="AA338" s="97">
        <v>11219.851676</v>
      </c>
      <c r="AB338" s="97">
        <v>1</v>
      </c>
      <c r="AC338" s="97">
        <v>100.43</v>
      </c>
      <c r="AD338" s="97"/>
      <c r="AE338" s="97">
        <v>11.268096999999999</v>
      </c>
      <c r="AF338" s="96"/>
      <c r="AG338" s="96"/>
      <c r="AH338" s="96"/>
      <c r="AI338" s="98">
        <v>1.4E-5</v>
      </c>
      <c r="AJ338" s="98">
        <v>8.7900000000000001E-4</v>
      </c>
      <c r="AK338" s="98">
        <v>2.14E-4</v>
      </c>
      <c r="AL338" s="106"/>
    </row>
    <row r="339" spans="1:38" ht="15" customHeight="1">
      <c r="A339" s="106"/>
      <c r="B339" s="96">
        <v>286</v>
      </c>
      <c r="C339" s="96">
        <v>1445</v>
      </c>
      <c r="D339" s="96" t="s">
        <v>2070</v>
      </c>
      <c r="E339" s="96" t="s">
        <v>2071</v>
      </c>
      <c r="F339" s="96" t="s">
        <v>312</v>
      </c>
      <c r="G339" s="96" t="s">
        <v>2072</v>
      </c>
      <c r="H339" s="96" t="s">
        <v>2073</v>
      </c>
      <c r="I339" s="96" t="s">
        <v>320</v>
      </c>
      <c r="J339" s="96" t="s">
        <v>754</v>
      </c>
      <c r="K339" s="96" t="s">
        <v>204</v>
      </c>
      <c r="L339" s="96" t="s">
        <v>223</v>
      </c>
      <c r="M339" s="96" t="s">
        <v>324</v>
      </c>
      <c r="N339" s="96" t="s">
        <v>313</v>
      </c>
      <c r="O339" s="96" t="s">
        <v>535</v>
      </c>
      <c r="P339" s="96" t="s">
        <v>338</v>
      </c>
      <c r="Q339" s="96" t="s">
        <v>2074</v>
      </c>
      <c r="R339" s="96" t="s">
        <v>432</v>
      </c>
      <c r="S339" s="96" t="s">
        <v>406</v>
      </c>
      <c r="T339" s="96" t="s">
        <v>1201</v>
      </c>
      <c r="U339" s="97">
        <v>5.22</v>
      </c>
      <c r="V339" s="100">
        <v>47616</v>
      </c>
      <c r="W339" s="98">
        <v>2.9559999999999999E-2</v>
      </c>
      <c r="X339" s="98">
        <v>5.4600000000000003E-2</v>
      </c>
      <c r="Y339" s="96" t="s">
        <v>411</v>
      </c>
      <c r="Z339" s="96"/>
      <c r="AA339" s="97">
        <v>2399.3259050000001</v>
      </c>
      <c r="AB339" s="97">
        <v>3.7589999999999999</v>
      </c>
      <c r="AC339" s="97">
        <v>87.935900000000004</v>
      </c>
      <c r="AD339" s="97"/>
      <c r="AE339" s="97">
        <v>7.9309979999999998</v>
      </c>
      <c r="AF339" s="96"/>
      <c r="AG339" s="96"/>
      <c r="AH339" s="96"/>
      <c r="AI339" s="98">
        <v>0</v>
      </c>
      <c r="AJ339" s="98">
        <v>6.1799999999999995E-4</v>
      </c>
      <c r="AK339" s="98">
        <v>1.5100000000000001E-4</v>
      </c>
      <c r="AL339" s="106"/>
    </row>
    <row r="340" spans="1:38" ht="15" customHeight="1">
      <c r="A340" s="106"/>
      <c r="B340" s="96">
        <v>286</v>
      </c>
      <c r="C340" s="96">
        <v>1445</v>
      </c>
      <c r="D340" s="96" t="s">
        <v>2075</v>
      </c>
      <c r="E340" s="96" t="s">
        <v>2076</v>
      </c>
      <c r="F340" s="96" t="s">
        <v>312</v>
      </c>
      <c r="G340" s="96" t="s">
        <v>2077</v>
      </c>
      <c r="H340" s="96" t="s">
        <v>2078</v>
      </c>
      <c r="I340" s="96" t="s">
        <v>320</v>
      </c>
      <c r="J340" s="96" t="s">
        <v>754</v>
      </c>
      <c r="K340" s="96" t="s">
        <v>204</v>
      </c>
      <c r="L340" s="96" t="s">
        <v>206</v>
      </c>
      <c r="M340" s="96" t="s">
        <v>332</v>
      </c>
      <c r="N340" s="96" t="s">
        <v>313</v>
      </c>
      <c r="O340" s="96" t="s">
        <v>491</v>
      </c>
      <c r="P340" s="96" t="s">
        <v>338</v>
      </c>
      <c r="Q340" s="96" t="s">
        <v>1698</v>
      </c>
      <c r="R340" s="96" t="s">
        <v>422</v>
      </c>
      <c r="S340" s="96" t="s">
        <v>406</v>
      </c>
      <c r="T340" s="96" t="s">
        <v>1201</v>
      </c>
      <c r="U340" s="97">
        <v>3.81</v>
      </c>
      <c r="V340" s="100">
        <v>47041</v>
      </c>
      <c r="W340" s="98">
        <v>0.06</v>
      </c>
      <c r="X340" s="98">
        <v>5.9700000000000003E-2</v>
      </c>
      <c r="Y340" s="96" t="s">
        <v>411</v>
      </c>
      <c r="Z340" s="96"/>
      <c r="AA340" s="97">
        <v>775.16683</v>
      </c>
      <c r="AB340" s="97">
        <v>3.7589999999999999</v>
      </c>
      <c r="AC340" s="97">
        <v>102.81789999999999</v>
      </c>
      <c r="AD340" s="97"/>
      <c r="AE340" s="97">
        <v>2.995962</v>
      </c>
      <c r="AF340" s="96"/>
      <c r="AG340" s="96"/>
      <c r="AH340" s="96"/>
      <c r="AI340" s="98">
        <v>0</v>
      </c>
      <c r="AJ340" s="98">
        <v>2.33E-4</v>
      </c>
      <c r="AK340" s="98">
        <v>5.7000000000000003E-5</v>
      </c>
      <c r="AL340" s="106"/>
    </row>
    <row r="341" spans="1:38" ht="15" customHeight="1">
      <c r="A341" s="106"/>
      <c r="B341" s="96">
        <v>286</v>
      </c>
      <c r="C341" s="96">
        <v>1445</v>
      </c>
      <c r="D341" s="96" t="s">
        <v>1197</v>
      </c>
      <c r="E341" s="96">
        <v>520018078</v>
      </c>
      <c r="F341" s="96" t="s">
        <v>308</v>
      </c>
      <c r="G341" s="96" t="s">
        <v>2079</v>
      </c>
      <c r="H341" s="96" t="s">
        <v>2080</v>
      </c>
      <c r="I341" s="96" t="s">
        <v>320</v>
      </c>
      <c r="J341" s="96" t="s">
        <v>754</v>
      </c>
      <c r="K341" s="96" t="s">
        <v>204</v>
      </c>
      <c r="L341" s="96" t="s">
        <v>203</v>
      </c>
      <c r="M341" s="96" t="s">
        <v>324</v>
      </c>
      <c r="N341" s="96" t="s">
        <v>313</v>
      </c>
      <c r="O341" s="96" t="s">
        <v>535</v>
      </c>
      <c r="P341" s="96" t="s">
        <v>338</v>
      </c>
      <c r="Q341" s="96" t="s">
        <v>1698</v>
      </c>
      <c r="R341" s="96" t="s">
        <v>432</v>
      </c>
      <c r="S341" s="96" t="s">
        <v>406</v>
      </c>
      <c r="T341" s="96" t="s">
        <v>1201</v>
      </c>
      <c r="U341" s="97">
        <v>1.46</v>
      </c>
      <c r="V341" s="100">
        <v>46051</v>
      </c>
      <c r="W341" s="98">
        <v>3.2750000000000001E-2</v>
      </c>
      <c r="X341" s="98">
        <v>8.1900000000000001E-2</v>
      </c>
      <c r="Y341" s="96" t="s">
        <v>410</v>
      </c>
      <c r="Z341" s="96"/>
      <c r="AA341" s="97">
        <v>22705.124812999999</v>
      </c>
      <c r="AB341" s="97">
        <v>3.7589999999999999</v>
      </c>
      <c r="AC341" s="97">
        <v>94.245599999999996</v>
      </c>
      <c r="AD341" s="97"/>
      <c r="AE341" s="97">
        <v>80.437335000000004</v>
      </c>
      <c r="AF341" s="96"/>
      <c r="AG341" s="96"/>
      <c r="AH341" s="96"/>
      <c r="AI341" s="98">
        <v>3.0000000000000001E-5</v>
      </c>
      <c r="AJ341" s="98">
        <v>6.2750000000000002E-3</v>
      </c>
      <c r="AK341" s="98">
        <v>1.531E-3</v>
      </c>
      <c r="AL341" s="106"/>
    </row>
    <row r="342" spans="1:38" ht="15" customHeight="1">
      <c r="A342" s="106"/>
      <c r="B342" s="96">
        <v>286</v>
      </c>
      <c r="C342" s="96">
        <v>1445</v>
      </c>
      <c r="D342" s="96" t="s">
        <v>2081</v>
      </c>
      <c r="E342" s="96" t="s">
        <v>2082</v>
      </c>
      <c r="F342" s="96" t="s">
        <v>312</v>
      </c>
      <c r="G342" s="96" t="s">
        <v>2083</v>
      </c>
      <c r="H342" s="96" t="s">
        <v>2084</v>
      </c>
      <c r="I342" s="96" t="s">
        <v>320</v>
      </c>
      <c r="J342" s="96" t="s">
        <v>754</v>
      </c>
      <c r="K342" s="96" t="s">
        <v>204</v>
      </c>
      <c r="L342" s="96" t="s">
        <v>232</v>
      </c>
      <c r="M342" s="96" t="s">
        <v>324</v>
      </c>
      <c r="N342" s="96" t="s">
        <v>369</v>
      </c>
      <c r="O342" s="96" t="s">
        <v>541</v>
      </c>
      <c r="P342" s="96" t="s">
        <v>338</v>
      </c>
      <c r="Q342" s="96" t="s">
        <v>2085</v>
      </c>
      <c r="R342" s="96" t="s">
        <v>430</v>
      </c>
      <c r="S342" s="96" t="s">
        <v>406</v>
      </c>
      <c r="T342" s="96" t="s">
        <v>1205</v>
      </c>
      <c r="U342" s="97">
        <v>5.95</v>
      </c>
      <c r="V342" s="100">
        <v>48197</v>
      </c>
      <c r="W342" s="98">
        <v>6.8750000000000006E-2</v>
      </c>
      <c r="X342" s="98">
        <v>7.7100000000000002E-2</v>
      </c>
      <c r="Y342" s="96" t="s">
        <v>410</v>
      </c>
      <c r="Z342" s="96"/>
      <c r="AA342" s="97">
        <v>3399.8545210000002</v>
      </c>
      <c r="AB342" s="97">
        <v>4.7504999999999997</v>
      </c>
      <c r="AC342" s="97">
        <v>95.347700000000003</v>
      </c>
      <c r="AD342" s="97"/>
      <c r="AE342" s="97">
        <v>15.399625</v>
      </c>
      <c r="AF342" s="96"/>
      <c r="AG342" s="96"/>
      <c r="AH342" s="96"/>
      <c r="AI342" s="98">
        <v>6.0000000000000002E-6</v>
      </c>
      <c r="AJ342" s="98">
        <v>1.201E-3</v>
      </c>
      <c r="AK342" s="98">
        <v>2.9300000000000002E-4</v>
      </c>
      <c r="AL342" s="106"/>
    </row>
    <row r="343" spans="1:38" ht="15" customHeight="1">
      <c r="A343" s="106"/>
      <c r="B343" s="96">
        <v>286</v>
      </c>
      <c r="C343" s="96">
        <v>1445</v>
      </c>
      <c r="D343" s="96" t="s">
        <v>2086</v>
      </c>
      <c r="E343" s="96" t="s">
        <v>2087</v>
      </c>
      <c r="F343" s="96" t="s">
        <v>312</v>
      </c>
      <c r="G343" s="96" t="s">
        <v>2088</v>
      </c>
      <c r="H343" s="96" t="s">
        <v>2089</v>
      </c>
      <c r="I343" s="96" t="s">
        <v>320</v>
      </c>
      <c r="J343" s="96" t="s">
        <v>955</v>
      </c>
      <c r="K343" s="96" t="s">
        <v>204</v>
      </c>
      <c r="L343" s="96" t="s">
        <v>232</v>
      </c>
      <c r="M343" s="96" t="s">
        <v>324</v>
      </c>
      <c r="N343" s="96" t="s">
        <v>369</v>
      </c>
      <c r="O343" s="96" t="s">
        <v>536</v>
      </c>
      <c r="P343" s="96" t="s">
        <v>338</v>
      </c>
      <c r="Q343" s="96" t="s">
        <v>2090</v>
      </c>
      <c r="R343" s="96" t="s">
        <v>432</v>
      </c>
      <c r="S343" s="96" t="s">
        <v>406</v>
      </c>
      <c r="T343" s="96" t="s">
        <v>1205</v>
      </c>
      <c r="U343" s="97">
        <v>3.05</v>
      </c>
      <c r="V343" s="100">
        <v>46558</v>
      </c>
      <c r="W343" s="98">
        <v>5.7500000000000002E-2</v>
      </c>
      <c r="X343" s="98">
        <v>7.7200000000000005E-2</v>
      </c>
      <c r="Y343" s="96" t="s">
        <v>410</v>
      </c>
      <c r="Z343" s="96"/>
      <c r="AA343" s="97">
        <v>971.38700600000004</v>
      </c>
      <c r="AB343" s="97">
        <v>4.7504999999999997</v>
      </c>
      <c r="AC343" s="97">
        <v>94.259100000000004</v>
      </c>
      <c r="AD343" s="97"/>
      <c r="AE343" s="97">
        <v>4.3496560000000004</v>
      </c>
      <c r="AF343" s="96"/>
      <c r="AG343" s="96"/>
      <c r="AH343" s="96"/>
      <c r="AI343" s="98">
        <v>9.9999999999999995E-7</v>
      </c>
      <c r="AJ343" s="98">
        <v>3.39E-4</v>
      </c>
      <c r="AK343" s="98">
        <v>8.2000000000000001E-5</v>
      </c>
      <c r="AL343" s="106"/>
    </row>
    <row r="344" spans="1:38" ht="15" customHeight="1">
      <c r="A344" s="106"/>
      <c r="B344" s="96">
        <v>286</v>
      </c>
      <c r="C344" s="96">
        <v>1445</v>
      </c>
      <c r="D344" s="96" t="s">
        <v>2091</v>
      </c>
      <c r="E344" s="96" t="s">
        <v>2092</v>
      </c>
      <c r="F344" s="96" t="s">
        <v>312</v>
      </c>
      <c r="G344" s="96" t="s">
        <v>2093</v>
      </c>
      <c r="H344" s="96" t="s">
        <v>2094</v>
      </c>
      <c r="I344" s="96" t="s">
        <v>320</v>
      </c>
      <c r="J344" s="96" t="s">
        <v>754</v>
      </c>
      <c r="K344" s="96" t="s">
        <v>204</v>
      </c>
      <c r="L344" s="96" t="s">
        <v>280</v>
      </c>
      <c r="M344" s="96" t="s">
        <v>324</v>
      </c>
      <c r="N344" s="96" t="s">
        <v>363</v>
      </c>
      <c r="O344" s="96" t="s">
        <v>535</v>
      </c>
      <c r="P344" s="96" t="s">
        <v>338</v>
      </c>
      <c r="Q344" s="96" t="s">
        <v>2095</v>
      </c>
      <c r="R344" s="96" t="s">
        <v>430</v>
      </c>
      <c r="S344" s="96" t="s">
        <v>406</v>
      </c>
      <c r="T344" s="96" t="s">
        <v>1202</v>
      </c>
      <c r="U344" s="97">
        <v>3.51</v>
      </c>
      <c r="V344" s="100">
        <v>46993</v>
      </c>
      <c r="W344" s="98">
        <v>5.5E-2</v>
      </c>
      <c r="X344" s="98">
        <v>4.3700000000000003E-2</v>
      </c>
      <c r="Y344" s="96" t="s">
        <v>411</v>
      </c>
      <c r="Z344" s="96"/>
      <c r="AA344" s="97">
        <v>3691.2706229999999</v>
      </c>
      <c r="AB344" s="97">
        <v>4.0202</v>
      </c>
      <c r="AC344" s="97">
        <v>108.8822</v>
      </c>
      <c r="AD344" s="97"/>
      <c r="AE344" s="97">
        <v>16.157744000000001</v>
      </c>
      <c r="AF344" s="96"/>
      <c r="AG344" s="96"/>
      <c r="AH344" s="96"/>
      <c r="AI344" s="98">
        <v>3.0000000000000001E-6</v>
      </c>
      <c r="AJ344" s="98">
        <v>1.2600000000000001E-3</v>
      </c>
      <c r="AK344" s="98">
        <v>3.0699999999999998E-4</v>
      </c>
      <c r="AL344" s="106"/>
    </row>
    <row r="345" spans="1:38" ht="15" customHeight="1">
      <c r="A345" s="106"/>
      <c r="B345" s="96">
        <v>286</v>
      </c>
      <c r="C345" s="96">
        <v>1445</v>
      </c>
      <c r="D345" s="96" t="s">
        <v>2091</v>
      </c>
      <c r="E345" s="96" t="s">
        <v>2092</v>
      </c>
      <c r="F345" s="96" t="s">
        <v>312</v>
      </c>
      <c r="G345" s="96" t="s">
        <v>2096</v>
      </c>
      <c r="H345" s="96" t="s">
        <v>2097</v>
      </c>
      <c r="I345" s="96" t="s">
        <v>320</v>
      </c>
      <c r="J345" s="96" t="s">
        <v>754</v>
      </c>
      <c r="K345" s="96" t="s">
        <v>204</v>
      </c>
      <c r="L345" s="96" t="s">
        <v>280</v>
      </c>
      <c r="M345" s="96" t="s">
        <v>324</v>
      </c>
      <c r="N345" s="96" t="s">
        <v>363</v>
      </c>
      <c r="O345" s="96" t="s">
        <v>535</v>
      </c>
      <c r="P345" s="96" t="s">
        <v>338</v>
      </c>
      <c r="Q345" s="96" t="s">
        <v>1698</v>
      </c>
      <c r="R345" s="96" t="s">
        <v>432</v>
      </c>
      <c r="S345" s="96" t="s">
        <v>406</v>
      </c>
      <c r="T345" s="96" t="s">
        <v>1202</v>
      </c>
      <c r="U345" s="97">
        <v>4.74</v>
      </c>
      <c r="V345" s="100">
        <v>47384</v>
      </c>
      <c r="W345" s="98">
        <v>6.5000000000000002E-2</v>
      </c>
      <c r="X345" s="98">
        <v>6.4600000000000005E-2</v>
      </c>
      <c r="Y345" s="96" t="s">
        <v>410</v>
      </c>
      <c r="Z345" s="96"/>
      <c r="AA345" s="97">
        <v>1418.2250280000001</v>
      </c>
      <c r="AB345" s="97">
        <v>4.0202</v>
      </c>
      <c r="AC345" s="97">
        <v>100.31529999999999</v>
      </c>
      <c r="AD345" s="97"/>
      <c r="AE345" s="97">
        <v>5.7195299999999998</v>
      </c>
      <c r="AF345" s="96"/>
      <c r="AG345" s="96"/>
      <c r="AH345" s="96"/>
      <c r="AI345" s="98">
        <v>9.9999999999999995E-7</v>
      </c>
      <c r="AJ345" s="98">
        <v>4.46E-4</v>
      </c>
      <c r="AK345" s="98">
        <v>1.08E-4</v>
      </c>
      <c r="AL345" s="106"/>
    </row>
    <row r="346" spans="1:38" ht="15" customHeight="1">
      <c r="A346" s="106"/>
      <c r="B346" s="96">
        <v>286</v>
      </c>
      <c r="C346" s="96">
        <v>1445</v>
      </c>
      <c r="D346" s="96" t="s">
        <v>2098</v>
      </c>
      <c r="E346" s="96" t="s">
        <v>2099</v>
      </c>
      <c r="F346" s="96" t="s">
        <v>312</v>
      </c>
      <c r="G346" s="96" t="s">
        <v>2100</v>
      </c>
      <c r="H346" s="96" t="s">
        <v>2101</v>
      </c>
      <c r="I346" s="96" t="s">
        <v>320</v>
      </c>
      <c r="J346" s="96" t="s">
        <v>754</v>
      </c>
      <c r="K346" s="96" t="s">
        <v>204</v>
      </c>
      <c r="L346" s="96" t="s">
        <v>280</v>
      </c>
      <c r="M346" s="96" t="s">
        <v>324</v>
      </c>
      <c r="N346" s="96" t="s">
        <v>313</v>
      </c>
      <c r="O346" s="96" t="s">
        <v>553</v>
      </c>
      <c r="P346" s="96" t="s">
        <v>338</v>
      </c>
      <c r="Q346" s="96" t="s">
        <v>2102</v>
      </c>
      <c r="R346" s="96" t="s">
        <v>432</v>
      </c>
      <c r="S346" s="96" t="s">
        <v>406</v>
      </c>
      <c r="T346" s="96" t="s">
        <v>1201</v>
      </c>
      <c r="U346" s="97">
        <v>3.36</v>
      </c>
      <c r="V346" s="100">
        <v>46866</v>
      </c>
      <c r="W346" s="98">
        <v>5.7000000000000002E-2</v>
      </c>
      <c r="X346" s="98">
        <v>5.4199999999999998E-2</v>
      </c>
      <c r="Y346" s="96" t="s">
        <v>411</v>
      </c>
      <c r="Z346" s="96"/>
      <c r="AA346" s="97">
        <v>863.56304799999998</v>
      </c>
      <c r="AB346" s="97">
        <v>3.7589999999999999</v>
      </c>
      <c r="AC346" s="97">
        <v>101.5476</v>
      </c>
      <c r="AD346" s="97"/>
      <c r="AE346" s="97">
        <v>3.2963719999999999</v>
      </c>
      <c r="AF346" s="96"/>
      <c r="AG346" s="96"/>
      <c r="AH346" s="96"/>
      <c r="AI346" s="98">
        <v>0</v>
      </c>
      <c r="AJ346" s="98">
        <v>2.5700000000000001E-4</v>
      </c>
      <c r="AK346" s="98">
        <v>6.2000000000000003E-5</v>
      </c>
      <c r="AL346" s="106"/>
    </row>
    <row r="347" spans="1:38" ht="15" customHeight="1">
      <c r="A347" s="106"/>
      <c r="B347" s="96">
        <v>286</v>
      </c>
      <c r="C347" s="96">
        <v>1445</v>
      </c>
      <c r="D347" s="96" t="s">
        <v>2103</v>
      </c>
      <c r="E347" s="96" t="s">
        <v>2104</v>
      </c>
      <c r="F347" s="96" t="s">
        <v>312</v>
      </c>
      <c r="G347" s="96" t="s">
        <v>2105</v>
      </c>
      <c r="H347" s="96" t="s">
        <v>2106</v>
      </c>
      <c r="I347" s="96" t="s">
        <v>320</v>
      </c>
      <c r="J347" s="96" t="s">
        <v>754</v>
      </c>
      <c r="K347" s="96" t="s">
        <v>204</v>
      </c>
      <c r="L347" s="96" t="s">
        <v>263</v>
      </c>
      <c r="M347" s="96" t="s">
        <v>324</v>
      </c>
      <c r="N347" s="96" t="s">
        <v>313</v>
      </c>
      <c r="O347" s="96" t="s">
        <v>486</v>
      </c>
      <c r="P347" s="96" t="s">
        <v>338</v>
      </c>
      <c r="Q347" s="96" t="s">
        <v>2107</v>
      </c>
      <c r="R347" s="96" t="s">
        <v>430</v>
      </c>
      <c r="S347" s="96" t="s">
        <v>406</v>
      </c>
      <c r="T347" s="96" t="s">
        <v>1201</v>
      </c>
      <c r="U347" s="97">
        <v>4.9800000000000004</v>
      </c>
      <c r="V347" s="100">
        <v>47784</v>
      </c>
      <c r="W347" s="98">
        <v>5.9499999999999997E-2</v>
      </c>
      <c r="X347" s="98">
        <v>0.10009999999999999</v>
      </c>
      <c r="Y347" s="96" t="s">
        <v>411</v>
      </c>
      <c r="Z347" s="96"/>
      <c r="AA347" s="97">
        <v>4303.244436</v>
      </c>
      <c r="AB347" s="97">
        <v>3.7589999999999999</v>
      </c>
      <c r="AC347" s="97">
        <v>83.268199999999993</v>
      </c>
      <c r="AD347" s="97"/>
      <c r="AE347" s="97">
        <v>13.469379999999999</v>
      </c>
      <c r="AF347" s="96"/>
      <c r="AG347" s="96"/>
      <c r="AH347" s="96"/>
      <c r="AI347" s="98">
        <v>9.9999999999999995E-7</v>
      </c>
      <c r="AJ347" s="98">
        <v>1.0499999999999999E-3</v>
      </c>
      <c r="AK347" s="98">
        <v>2.5599999999999999E-4</v>
      </c>
      <c r="AL347" s="106"/>
    </row>
    <row r="348" spans="1:38" ht="15" customHeight="1">
      <c r="A348" s="106"/>
      <c r="B348" s="96">
        <v>286</v>
      </c>
      <c r="C348" s="96">
        <v>1445</v>
      </c>
      <c r="D348" s="96" t="s">
        <v>2108</v>
      </c>
      <c r="E348" s="96" t="s">
        <v>2109</v>
      </c>
      <c r="F348" s="96" t="s">
        <v>312</v>
      </c>
      <c r="G348" s="96" t="s">
        <v>2110</v>
      </c>
      <c r="H348" s="96" t="s">
        <v>2111</v>
      </c>
      <c r="I348" s="96" t="s">
        <v>320</v>
      </c>
      <c r="J348" s="96" t="s">
        <v>754</v>
      </c>
      <c r="K348" s="96" t="s">
        <v>204</v>
      </c>
      <c r="L348" s="96" t="s">
        <v>223</v>
      </c>
      <c r="M348" s="96" t="s">
        <v>324</v>
      </c>
      <c r="N348" s="96" t="s">
        <v>313</v>
      </c>
      <c r="O348" s="96" t="s">
        <v>499</v>
      </c>
      <c r="P348" s="96" t="s">
        <v>338</v>
      </c>
      <c r="Q348" s="96" t="s">
        <v>2112</v>
      </c>
      <c r="R348" s="96" t="s">
        <v>430</v>
      </c>
      <c r="S348" s="96" t="s">
        <v>406</v>
      </c>
      <c r="T348" s="96" t="s">
        <v>1201</v>
      </c>
      <c r="U348" s="97">
        <v>3.07</v>
      </c>
      <c r="V348" s="100">
        <v>46006</v>
      </c>
      <c r="W348" s="98">
        <v>0.06</v>
      </c>
      <c r="X348" s="98">
        <v>5.91E-2</v>
      </c>
      <c r="Y348" s="96" t="s">
        <v>411</v>
      </c>
      <c r="Z348" s="96"/>
      <c r="AA348" s="97">
        <v>5828.3220359999996</v>
      </c>
      <c r="AB348" s="97">
        <v>3.7589999999999999</v>
      </c>
      <c r="AC348" s="97">
        <v>100.524</v>
      </c>
      <c r="AD348" s="97"/>
      <c r="AE348" s="97">
        <v>22.023463</v>
      </c>
      <c r="AF348" s="96"/>
      <c r="AG348" s="96"/>
      <c r="AH348" s="96"/>
      <c r="AI348" s="98">
        <v>3.0000000000000001E-6</v>
      </c>
      <c r="AJ348" s="98">
        <v>1.7179999999999999E-3</v>
      </c>
      <c r="AK348" s="98">
        <v>4.1899999999999999E-4</v>
      </c>
      <c r="AL348" s="106"/>
    </row>
    <row r="349" spans="1:38" ht="15" customHeight="1">
      <c r="A349" s="106"/>
      <c r="B349" s="96">
        <v>286</v>
      </c>
      <c r="C349" s="96">
        <v>1445</v>
      </c>
      <c r="D349" s="96" t="s">
        <v>2113</v>
      </c>
      <c r="E349" s="96" t="s">
        <v>2114</v>
      </c>
      <c r="F349" s="96" t="s">
        <v>312</v>
      </c>
      <c r="G349" s="96" t="s">
        <v>2115</v>
      </c>
      <c r="H349" s="96" t="s">
        <v>2116</v>
      </c>
      <c r="I349" s="96" t="s">
        <v>320</v>
      </c>
      <c r="J349" s="96" t="s">
        <v>754</v>
      </c>
      <c r="K349" s="96" t="s">
        <v>204</v>
      </c>
      <c r="L349" s="96" t="s">
        <v>223</v>
      </c>
      <c r="M349" s="96" t="s">
        <v>324</v>
      </c>
      <c r="N349" s="96" t="s">
        <v>343</v>
      </c>
      <c r="O349" s="96" t="s">
        <v>530</v>
      </c>
      <c r="P349" s="96" t="s">
        <v>338</v>
      </c>
      <c r="Q349" s="96" t="s">
        <v>2117</v>
      </c>
      <c r="R349" s="96" t="s">
        <v>430</v>
      </c>
      <c r="S349" s="96" t="s">
        <v>406</v>
      </c>
      <c r="T349" s="96" t="s">
        <v>1201</v>
      </c>
      <c r="U349" s="97">
        <v>6.16</v>
      </c>
      <c r="V349" s="100">
        <v>47969</v>
      </c>
      <c r="W349" s="98">
        <v>2.6249999999999999E-2</v>
      </c>
      <c r="X349" s="98">
        <v>5.8200000000000002E-2</v>
      </c>
      <c r="Y349" s="96" t="s">
        <v>411</v>
      </c>
      <c r="Z349" s="96"/>
      <c r="AA349" s="97">
        <v>971.38700600000004</v>
      </c>
      <c r="AB349" s="97">
        <v>3.7589999999999999</v>
      </c>
      <c r="AC349" s="97">
        <v>82.716399999999993</v>
      </c>
      <c r="AD349" s="97"/>
      <c r="AE349" s="97">
        <v>3.0203440000000001</v>
      </c>
      <c r="AF349" s="96"/>
      <c r="AG349" s="96"/>
      <c r="AH349" s="96"/>
      <c r="AI349" s="98">
        <v>0</v>
      </c>
      <c r="AJ349" s="98">
        <v>2.3499999999999999E-4</v>
      </c>
      <c r="AK349" s="98">
        <v>5.7000000000000003E-5</v>
      </c>
      <c r="AL349" s="106"/>
    </row>
    <row r="350" spans="1:38" ht="15" customHeight="1">
      <c r="A350" s="106"/>
      <c r="B350" s="96">
        <v>286</v>
      </c>
      <c r="C350" s="96">
        <v>1445</v>
      </c>
      <c r="D350" s="96" t="s">
        <v>2118</v>
      </c>
      <c r="E350" s="96" t="s">
        <v>2119</v>
      </c>
      <c r="F350" s="96" t="s">
        <v>312</v>
      </c>
      <c r="G350" s="96" t="s">
        <v>2120</v>
      </c>
      <c r="H350" s="96" t="s">
        <v>2121</v>
      </c>
      <c r="I350" s="96" t="s">
        <v>320</v>
      </c>
      <c r="J350" s="96" t="s">
        <v>754</v>
      </c>
      <c r="K350" s="96" t="s">
        <v>204</v>
      </c>
      <c r="L350" s="96" t="s">
        <v>232</v>
      </c>
      <c r="M350" s="96" t="s">
        <v>332</v>
      </c>
      <c r="N350" s="96" t="s">
        <v>369</v>
      </c>
      <c r="O350" s="96" t="s">
        <v>486</v>
      </c>
      <c r="P350" s="96" t="s">
        <v>338</v>
      </c>
      <c r="Q350" s="96" t="s">
        <v>2102</v>
      </c>
      <c r="R350" s="96" t="s">
        <v>432</v>
      </c>
      <c r="S350" s="96" t="s">
        <v>406</v>
      </c>
      <c r="T350" s="96" t="s">
        <v>1202</v>
      </c>
      <c r="U350" s="97">
        <v>1.85</v>
      </c>
      <c r="V350" s="100">
        <v>46103</v>
      </c>
      <c r="W350" s="98">
        <v>3.2500000000000001E-2</v>
      </c>
      <c r="X350" s="98">
        <v>4.41E-2</v>
      </c>
      <c r="Y350" s="96" t="s">
        <v>410</v>
      </c>
      <c r="Z350" s="96"/>
      <c r="AA350" s="97">
        <v>19.42774</v>
      </c>
      <c r="AB350" s="97">
        <v>4.0202</v>
      </c>
      <c r="AC350" s="97">
        <v>97.916200000000003</v>
      </c>
      <c r="AD350" s="97"/>
      <c r="AE350" s="97">
        <v>7.6475000000000001E-2</v>
      </c>
      <c r="AF350" s="96"/>
      <c r="AG350" s="96"/>
      <c r="AH350" s="96"/>
      <c r="AI350" s="98">
        <v>0</v>
      </c>
      <c r="AJ350" s="98">
        <v>5.0000000000000004E-6</v>
      </c>
      <c r="AK350" s="98">
        <v>9.9999999999999995E-7</v>
      </c>
      <c r="AL350" s="106"/>
    </row>
    <row r="351" spans="1:38" ht="15" customHeight="1">
      <c r="A351" s="106"/>
      <c r="B351" s="96">
        <v>286</v>
      </c>
      <c r="C351" s="96">
        <v>1445</v>
      </c>
      <c r="D351" s="96" t="s">
        <v>2122</v>
      </c>
      <c r="E351" s="96" t="s">
        <v>2123</v>
      </c>
      <c r="F351" s="96" t="s">
        <v>312</v>
      </c>
      <c r="G351" s="96" t="s">
        <v>2124</v>
      </c>
      <c r="H351" s="96" t="s">
        <v>2125</v>
      </c>
      <c r="I351" s="96" t="s">
        <v>320</v>
      </c>
      <c r="J351" s="96" t="s">
        <v>754</v>
      </c>
      <c r="K351" s="96" t="s">
        <v>204</v>
      </c>
      <c r="L351" s="96" t="s">
        <v>223</v>
      </c>
      <c r="M351" s="96" t="s">
        <v>324</v>
      </c>
      <c r="N351" s="96" t="s">
        <v>369</v>
      </c>
      <c r="O351" s="96" t="s">
        <v>499</v>
      </c>
      <c r="P351" s="96" t="s">
        <v>338</v>
      </c>
      <c r="Q351" s="96" t="s">
        <v>2112</v>
      </c>
      <c r="R351" s="96" t="s">
        <v>430</v>
      </c>
      <c r="S351" s="96" t="s">
        <v>406</v>
      </c>
      <c r="T351" s="96" t="s">
        <v>1201</v>
      </c>
      <c r="U351" s="97">
        <v>3.46</v>
      </c>
      <c r="V351" s="100">
        <v>45503</v>
      </c>
      <c r="W351" s="98">
        <v>0.04</v>
      </c>
      <c r="X351" s="98">
        <v>5.62E-2</v>
      </c>
      <c r="Y351" s="96" t="s">
        <v>411</v>
      </c>
      <c r="Z351" s="96"/>
      <c r="AA351" s="97">
        <v>582.83220300000005</v>
      </c>
      <c r="AB351" s="97">
        <v>3.7589999999999999</v>
      </c>
      <c r="AC351" s="97">
        <v>95.128500000000003</v>
      </c>
      <c r="AD351" s="97"/>
      <c r="AE351" s="97">
        <v>2.084139</v>
      </c>
      <c r="AF351" s="96"/>
      <c r="AG351" s="96"/>
      <c r="AH351" s="96"/>
      <c r="AI351" s="98">
        <v>0</v>
      </c>
      <c r="AJ351" s="98">
        <v>1.6200000000000001E-4</v>
      </c>
      <c r="AK351" s="98">
        <v>3.8999999999999999E-5</v>
      </c>
      <c r="AL351" s="106"/>
    </row>
    <row r="352" spans="1:38" ht="15" customHeight="1">
      <c r="A352" s="106"/>
      <c r="B352" s="96">
        <v>286</v>
      </c>
      <c r="C352" s="96">
        <v>1445</v>
      </c>
      <c r="D352" s="96" t="s">
        <v>2126</v>
      </c>
      <c r="E352" s="96" t="s">
        <v>2127</v>
      </c>
      <c r="F352" s="96" t="s">
        <v>312</v>
      </c>
      <c r="G352" s="96" t="s">
        <v>2128</v>
      </c>
      <c r="H352" s="96" t="s">
        <v>2129</v>
      </c>
      <c r="I352" s="96" t="s">
        <v>320</v>
      </c>
      <c r="J352" s="96" t="s">
        <v>754</v>
      </c>
      <c r="K352" s="96" t="s">
        <v>204</v>
      </c>
      <c r="L352" s="96" t="s">
        <v>223</v>
      </c>
      <c r="M352" s="96" t="s">
        <v>324</v>
      </c>
      <c r="N352" s="96" t="s">
        <v>343</v>
      </c>
      <c r="O352" s="96" t="s">
        <v>530</v>
      </c>
      <c r="P352" s="96" t="s">
        <v>338</v>
      </c>
      <c r="Q352" s="96" t="s">
        <v>2112</v>
      </c>
      <c r="R352" s="96" t="s">
        <v>430</v>
      </c>
      <c r="S352" s="96" t="s">
        <v>406</v>
      </c>
      <c r="T352" s="96" t="s">
        <v>1201</v>
      </c>
      <c r="U352" s="97">
        <v>0.55000000000000004</v>
      </c>
      <c r="V352" s="100">
        <v>45689</v>
      </c>
      <c r="W352" s="98">
        <v>5.3749999999999999E-2</v>
      </c>
      <c r="X352" s="98">
        <v>5.9299999999999999E-2</v>
      </c>
      <c r="Y352" s="96" t="s">
        <v>411</v>
      </c>
      <c r="Z352" s="96"/>
      <c r="AA352" s="97">
        <v>971.38700600000004</v>
      </c>
      <c r="AB352" s="97">
        <v>3.7589999999999999</v>
      </c>
      <c r="AC352" s="97">
        <v>101.9036</v>
      </c>
      <c r="AD352" s="97"/>
      <c r="AE352" s="97">
        <v>3.7209539999999999</v>
      </c>
      <c r="AF352" s="96"/>
      <c r="AG352" s="96"/>
      <c r="AH352" s="96"/>
      <c r="AI352" s="98">
        <v>0</v>
      </c>
      <c r="AJ352" s="98">
        <v>2.9E-4</v>
      </c>
      <c r="AK352" s="98">
        <v>6.9999999999999994E-5</v>
      </c>
      <c r="AL352" s="106"/>
    </row>
    <row r="353" spans="1:38" ht="15" customHeight="1">
      <c r="A353" s="106"/>
      <c r="B353" s="96">
        <v>286</v>
      </c>
      <c r="C353" s="96">
        <v>1445</v>
      </c>
      <c r="D353" s="96" t="s">
        <v>2130</v>
      </c>
      <c r="E353" s="96" t="s">
        <v>2131</v>
      </c>
      <c r="F353" s="96" t="s">
        <v>312</v>
      </c>
      <c r="G353" s="96" t="s">
        <v>2132</v>
      </c>
      <c r="H353" s="96" t="s">
        <v>2133</v>
      </c>
      <c r="I353" s="96" t="s">
        <v>320</v>
      </c>
      <c r="J353" s="96" t="s">
        <v>754</v>
      </c>
      <c r="K353" s="96" t="s">
        <v>204</v>
      </c>
      <c r="L353" s="96" t="s">
        <v>223</v>
      </c>
      <c r="M353" s="96" t="s">
        <v>332</v>
      </c>
      <c r="N353" s="96" t="s">
        <v>313</v>
      </c>
      <c r="O353" s="96" t="s">
        <v>539</v>
      </c>
      <c r="P353" s="96" t="s">
        <v>338</v>
      </c>
      <c r="Q353" s="96" t="s">
        <v>2134</v>
      </c>
      <c r="R353" s="96" t="s">
        <v>432</v>
      </c>
      <c r="S353" s="96" t="s">
        <v>406</v>
      </c>
      <c r="T353" s="96" t="s">
        <v>1201</v>
      </c>
      <c r="U353" s="97">
        <v>2.33</v>
      </c>
      <c r="V353" s="100">
        <v>46430</v>
      </c>
      <c r="W353" s="98">
        <v>4.8750000000000002E-2</v>
      </c>
      <c r="X353" s="98">
        <v>8.2900000000000001E-2</v>
      </c>
      <c r="Y353" s="96" t="s">
        <v>410</v>
      </c>
      <c r="Z353" s="96"/>
      <c r="AA353" s="97">
        <v>777.10960399999999</v>
      </c>
      <c r="AB353" s="97">
        <v>3.7589999999999999</v>
      </c>
      <c r="AC353" s="97">
        <v>93.973699999999994</v>
      </c>
      <c r="AD353" s="97"/>
      <c r="AE353" s="97">
        <v>2.7451180000000002</v>
      </c>
      <c r="AF353" s="96"/>
      <c r="AG353" s="96"/>
      <c r="AH353" s="96"/>
      <c r="AI353" s="98">
        <v>0</v>
      </c>
      <c r="AJ353" s="98">
        <v>2.14E-4</v>
      </c>
      <c r="AK353" s="98">
        <v>5.1999999999999997E-5</v>
      </c>
      <c r="AL353" s="106"/>
    </row>
    <row r="354" spans="1:38" ht="15" customHeight="1">
      <c r="A354" s="106"/>
      <c r="B354" s="96">
        <v>286</v>
      </c>
      <c r="C354" s="96">
        <v>1445</v>
      </c>
      <c r="D354" s="96" t="s">
        <v>2103</v>
      </c>
      <c r="E354" s="96" t="s">
        <v>2104</v>
      </c>
      <c r="F354" s="96" t="s">
        <v>312</v>
      </c>
      <c r="G354" s="96" t="s">
        <v>2135</v>
      </c>
      <c r="H354" s="96" t="s">
        <v>2136</v>
      </c>
      <c r="I354" s="96" t="s">
        <v>320</v>
      </c>
      <c r="J354" s="96" t="s">
        <v>754</v>
      </c>
      <c r="K354" s="96" t="s">
        <v>204</v>
      </c>
      <c r="L354" s="96" t="s">
        <v>263</v>
      </c>
      <c r="M354" s="96" t="s">
        <v>324</v>
      </c>
      <c r="N354" s="96" t="s">
        <v>313</v>
      </c>
      <c r="O354" s="96" t="s">
        <v>486</v>
      </c>
      <c r="P354" s="96" t="s">
        <v>338</v>
      </c>
      <c r="Q354" s="96" t="s">
        <v>2107</v>
      </c>
      <c r="R354" s="96" t="s">
        <v>430</v>
      </c>
      <c r="S354" s="96" t="s">
        <v>406</v>
      </c>
      <c r="T354" s="96" t="s">
        <v>1201</v>
      </c>
      <c r="U354" s="97">
        <v>4.8899999999999997</v>
      </c>
      <c r="V354" s="100">
        <v>48168</v>
      </c>
      <c r="W354" s="98">
        <v>6.7000000000000004E-2</v>
      </c>
      <c r="X354" s="98">
        <v>0.1014</v>
      </c>
      <c r="Y354" s="96" t="s">
        <v>411</v>
      </c>
      <c r="Z354" s="96"/>
      <c r="AA354" s="97">
        <v>3903.0329900000002</v>
      </c>
      <c r="AB354" s="97">
        <v>3.7589999999999999</v>
      </c>
      <c r="AC354" s="97">
        <v>86.198800000000006</v>
      </c>
      <c r="AD354" s="97"/>
      <c r="AE354" s="97">
        <v>12.64667</v>
      </c>
      <c r="AF354" s="96"/>
      <c r="AG354" s="96"/>
      <c r="AH354" s="96"/>
      <c r="AI354" s="98">
        <v>0</v>
      </c>
      <c r="AJ354" s="98">
        <v>9.859999999999999E-4</v>
      </c>
      <c r="AK354" s="98">
        <v>2.4000000000000001E-4</v>
      </c>
      <c r="AL354" s="106"/>
    </row>
    <row r="355" spans="1:38" ht="15" customHeight="1">
      <c r="A355" s="106"/>
      <c r="B355" s="96">
        <v>286</v>
      </c>
      <c r="C355" s="96">
        <v>1445</v>
      </c>
      <c r="D355" s="96" t="s">
        <v>2122</v>
      </c>
      <c r="E355" s="96" t="s">
        <v>2123</v>
      </c>
      <c r="F355" s="96" t="s">
        <v>312</v>
      </c>
      <c r="G355" s="96" t="s">
        <v>2137</v>
      </c>
      <c r="H355" s="96" t="s">
        <v>2138</v>
      </c>
      <c r="I355" s="96" t="s">
        <v>320</v>
      </c>
      <c r="J355" s="96" t="s">
        <v>754</v>
      </c>
      <c r="K355" s="96" t="s">
        <v>204</v>
      </c>
      <c r="L355" s="96" t="s">
        <v>223</v>
      </c>
      <c r="M355" s="96" t="s">
        <v>324</v>
      </c>
      <c r="N355" s="96" t="s">
        <v>369</v>
      </c>
      <c r="O355" s="96" t="s">
        <v>499</v>
      </c>
      <c r="P355" s="96" t="s">
        <v>338</v>
      </c>
      <c r="Q355" s="96" t="s">
        <v>2112</v>
      </c>
      <c r="R355" s="96" t="s">
        <v>430</v>
      </c>
      <c r="S355" s="96" t="s">
        <v>406</v>
      </c>
      <c r="T355" s="96" t="s">
        <v>1201</v>
      </c>
      <c r="U355" s="97">
        <v>2.81</v>
      </c>
      <c r="V355" s="100">
        <v>45512</v>
      </c>
      <c r="W355" s="98">
        <v>4.3749999999999997E-2</v>
      </c>
      <c r="X355" s="98">
        <v>5.7000000000000002E-2</v>
      </c>
      <c r="Y355" s="96" t="s">
        <v>411</v>
      </c>
      <c r="Z355" s="96"/>
      <c r="AA355" s="97">
        <v>1942.7740120000001</v>
      </c>
      <c r="AB355" s="97">
        <v>3.7589999999999999</v>
      </c>
      <c r="AC355" s="97">
        <v>97.896600000000007</v>
      </c>
      <c r="AD355" s="97"/>
      <c r="AE355" s="97">
        <v>7.1492800000000001</v>
      </c>
      <c r="AF355" s="96"/>
      <c r="AG355" s="96"/>
      <c r="AH355" s="96"/>
      <c r="AI355" s="98">
        <v>3.0000000000000001E-6</v>
      </c>
      <c r="AJ355" s="98">
        <v>5.5699999999999999E-4</v>
      </c>
      <c r="AK355" s="98">
        <v>1.36E-4</v>
      </c>
      <c r="AL355" s="106"/>
    </row>
    <row r="356" spans="1:38" ht="15" customHeight="1">
      <c r="A356" s="106"/>
      <c r="B356" s="96">
        <v>286</v>
      </c>
      <c r="C356" s="96">
        <v>1445</v>
      </c>
      <c r="D356" s="96" t="s">
        <v>2139</v>
      </c>
      <c r="E356" s="96" t="s">
        <v>2140</v>
      </c>
      <c r="F356" s="96" t="s">
        <v>312</v>
      </c>
      <c r="G356" s="96" t="s">
        <v>2141</v>
      </c>
      <c r="H356" s="96" t="s">
        <v>2142</v>
      </c>
      <c r="I356" s="96" t="s">
        <v>320</v>
      </c>
      <c r="J356" s="96" t="s">
        <v>754</v>
      </c>
      <c r="K356" s="96" t="s">
        <v>204</v>
      </c>
      <c r="L356" s="96" t="s">
        <v>263</v>
      </c>
      <c r="M356" s="96" t="s">
        <v>324</v>
      </c>
      <c r="N356" s="96" t="s">
        <v>313</v>
      </c>
      <c r="O356" s="96" t="s">
        <v>488</v>
      </c>
      <c r="P356" s="96" t="s">
        <v>338</v>
      </c>
      <c r="Q356" s="96" t="s">
        <v>1698</v>
      </c>
      <c r="R356" s="96" t="s">
        <v>422</v>
      </c>
      <c r="S356" s="96" t="s">
        <v>406</v>
      </c>
      <c r="T356" s="96" t="s">
        <v>1201</v>
      </c>
      <c r="U356" s="97">
        <v>4.5599999999999996</v>
      </c>
      <c r="V356" s="100">
        <v>45615</v>
      </c>
      <c r="W356" s="98">
        <v>5.45E-2</v>
      </c>
      <c r="X356" s="98">
        <v>5.8400000000000001E-2</v>
      </c>
      <c r="Y356" s="96" t="s">
        <v>411</v>
      </c>
      <c r="Z356" s="96"/>
      <c r="AA356" s="97">
        <v>4662.6576290000003</v>
      </c>
      <c r="AB356" s="97">
        <v>3.7589999999999999</v>
      </c>
      <c r="AC356" s="97">
        <v>98.808599999999998</v>
      </c>
      <c r="AD356" s="97"/>
      <c r="AE356" s="97">
        <v>17.31813</v>
      </c>
      <c r="AF356" s="96"/>
      <c r="AG356" s="96"/>
      <c r="AH356" s="96"/>
      <c r="AI356" s="98">
        <v>6.0000000000000002E-6</v>
      </c>
      <c r="AJ356" s="98">
        <v>1.351E-3</v>
      </c>
      <c r="AK356" s="98">
        <v>3.2899999999999997E-4</v>
      </c>
      <c r="AL356" s="106"/>
    </row>
    <row r="357" spans="1:38" ht="15" customHeight="1">
      <c r="A357" s="106"/>
      <c r="B357" s="96">
        <v>286</v>
      </c>
      <c r="C357" s="96">
        <v>1445</v>
      </c>
      <c r="D357" s="96" t="s">
        <v>2091</v>
      </c>
      <c r="E357" s="96" t="s">
        <v>2092</v>
      </c>
      <c r="F357" s="96" t="s">
        <v>312</v>
      </c>
      <c r="G357" s="96" t="s">
        <v>2143</v>
      </c>
      <c r="H357" s="96" t="s">
        <v>2144</v>
      </c>
      <c r="I357" s="96" t="s">
        <v>320</v>
      </c>
      <c r="J357" s="96" t="s">
        <v>754</v>
      </c>
      <c r="K357" s="96" t="s">
        <v>204</v>
      </c>
      <c r="L357" s="96" t="s">
        <v>280</v>
      </c>
      <c r="M357" s="96" t="s">
        <v>324</v>
      </c>
      <c r="N357" s="96" t="s">
        <v>363</v>
      </c>
      <c r="O357" s="96" t="s">
        <v>535</v>
      </c>
      <c r="P357" s="96" t="s">
        <v>338</v>
      </c>
      <c r="Q357" s="96" t="s">
        <v>1698</v>
      </c>
      <c r="R357" s="96" t="s">
        <v>432</v>
      </c>
      <c r="S357" s="96" t="s">
        <v>406</v>
      </c>
      <c r="T357" s="96" t="s">
        <v>1202</v>
      </c>
      <c r="U357" s="97">
        <v>3.98</v>
      </c>
      <c r="V357" s="100">
        <v>47019</v>
      </c>
      <c r="W357" s="98">
        <v>7.2499999999999995E-2</v>
      </c>
      <c r="X357" s="98">
        <v>6.4199999999999993E-2</v>
      </c>
      <c r="Y357" s="96" t="s">
        <v>410</v>
      </c>
      <c r="Z357" s="96"/>
      <c r="AA357" s="97">
        <v>1981.629492</v>
      </c>
      <c r="AB357" s="97">
        <v>4.0202</v>
      </c>
      <c r="AC357" s="97">
        <v>103.4659</v>
      </c>
      <c r="AD357" s="97"/>
      <c r="AE357" s="97">
        <v>8.2426650000000006</v>
      </c>
      <c r="AF357" s="96"/>
      <c r="AG357" s="96"/>
      <c r="AH357" s="96"/>
      <c r="AI357" s="98">
        <v>9.9999999999999995E-7</v>
      </c>
      <c r="AJ357" s="98">
        <v>6.4300000000000002E-4</v>
      </c>
      <c r="AK357" s="98">
        <v>1.56E-4</v>
      </c>
      <c r="AL357" s="106"/>
    </row>
    <row r="358" spans="1:38" ht="15" customHeight="1">
      <c r="A358" s="106"/>
      <c r="B358" s="96">
        <v>286</v>
      </c>
      <c r="C358" s="96">
        <v>1445</v>
      </c>
      <c r="D358" s="96" t="s">
        <v>2145</v>
      </c>
      <c r="E358" s="96" t="s">
        <v>2146</v>
      </c>
      <c r="F358" s="96" t="s">
        <v>312</v>
      </c>
      <c r="G358" s="96" t="s">
        <v>2147</v>
      </c>
      <c r="H358" s="96" t="s">
        <v>2148</v>
      </c>
      <c r="I358" s="96" t="s">
        <v>320</v>
      </c>
      <c r="J358" s="96" t="s">
        <v>955</v>
      </c>
      <c r="K358" s="96" t="s">
        <v>204</v>
      </c>
      <c r="L358" s="96" t="s">
        <v>232</v>
      </c>
      <c r="M358" s="96" t="s">
        <v>324</v>
      </c>
      <c r="N358" s="96" t="s">
        <v>369</v>
      </c>
      <c r="O358" s="96" t="s">
        <v>535</v>
      </c>
      <c r="P358" s="96" t="s">
        <v>338</v>
      </c>
      <c r="Q358" s="96" t="s">
        <v>2149</v>
      </c>
      <c r="R358" s="96" t="s">
        <v>432</v>
      </c>
      <c r="S358" s="96" t="s">
        <v>406</v>
      </c>
      <c r="T358" s="96" t="s">
        <v>1205</v>
      </c>
      <c r="U358" s="97">
        <v>3.12</v>
      </c>
      <c r="V358" s="100">
        <v>46645</v>
      </c>
      <c r="W358" s="98">
        <v>8.8749999999999996E-2</v>
      </c>
      <c r="X358" s="98">
        <v>8.0699999999999994E-2</v>
      </c>
      <c r="Y358" s="96" t="s">
        <v>410</v>
      </c>
      <c r="Z358" s="96"/>
      <c r="AA358" s="97">
        <v>1295.247433</v>
      </c>
      <c r="AB358" s="97">
        <v>4.7504999999999997</v>
      </c>
      <c r="AC358" s="97">
        <v>102.8937</v>
      </c>
      <c r="AD358" s="97"/>
      <c r="AE358" s="97">
        <v>6.3311260000000003</v>
      </c>
      <c r="AF358" s="96"/>
      <c r="AG358" s="96"/>
      <c r="AH358" s="96"/>
      <c r="AI358" s="98">
        <v>9.9999999999999995E-7</v>
      </c>
      <c r="AJ358" s="98">
        <v>4.9299999999999995E-4</v>
      </c>
      <c r="AK358" s="98">
        <v>1.2E-4</v>
      </c>
      <c r="AL358" s="106"/>
    </row>
    <row r="359" spans="1:38" ht="15" customHeight="1">
      <c r="A359" s="106"/>
      <c r="B359" s="96">
        <v>286</v>
      </c>
      <c r="C359" s="96">
        <v>1445</v>
      </c>
      <c r="D359" s="96" t="s">
        <v>2150</v>
      </c>
      <c r="E359" s="96" t="s">
        <v>2151</v>
      </c>
      <c r="F359" s="96" t="s">
        <v>312</v>
      </c>
      <c r="G359" s="96" t="s">
        <v>2152</v>
      </c>
      <c r="H359" s="96" t="s">
        <v>2153</v>
      </c>
      <c r="I359" s="96" t="s">
        <v>320</v>
      </c>
      <c r="J359" s="96" t="s">
        <v>754</v>
      </c>
      <c r="K359" s="96" t="s">
        <v>204</v>
      </c>
      <c r="L359" s="96" t="s">
        <v>223</v>
      </c>
      <c r="M359" s="96" t="s">
        <v>324</v>
      </c>
      <c r="N359" s="96" t="s">
        <v>313</v>
      </c>
      <c r="O359" s="96" t="s">
        <v>535</v>
      </c>
      <c r="P359" s="96" t="s">
        <v>338</v>
      </c>
      <c r="Q359" s="96" t="s">
        <v>2074</v>
      </c>
      <c r="R359" s="96" t="s">
        <v>432</v>
      </c>
      <c r="S359" s="96" t="s">
        <v>406</v>
      </c>
      <c r="T359" s="96" t="s">
        <v>1201</v>
      </c>
      <c r="U359" s="97">
        <v>0.73</v>
      </c>
      <c r="V359" s="100">
        <v>45755</v>
      </c>
      <c r="W359" s="98">
        <v>3.1060000000000001E-2</v>
      </c>
      <c r="X359" s="98">
        <v>5.8400000000000001E-2</v>
      </c>
      <c r="Y359" s="96" t="s">
        <v>411</v>
      </c>
      <c r="Z359" s="96"/>
      <c r="AA359" s="97">
        <v>6042.0271769999999</v>
      </c>
      <c r="AB359" s="97">
        <v>3.7589999999999999</v>
      </c>
      <c r="AC359" s="97">
        <v>98.678399999999996</v>
      </c>
      <c r="AD359" s="97"/>
      <c r="AE359" s="97">
        <v>22.411836000000001</v>
      </c>
      <c r="AF359" s="96"/>
      <c r="AG359" s="96"/>
      <c r="AH359" s="96"/>
      <c r="AI359" s="98">
        <v>9.9999999999999995E-7</v>
      </c>
      <c r="AJ359" s="98">
        <v>1.748E-3</v>
      </c>
      <c r="AK359" s="98">
        <v>4.26E-4</v>
      </c>
      <c r="AL359" s="106"/>
    </row>
    <row r="360" spans="1:38" ht="15" customHeight="1">
      <c r="A360" s="106"/>
      <c r="B360" s="96">
        <v>286</v>
      </c>
      <c r="C360" s="96">
        <v>1445</v>
      </c>
      <c r="D360" s="96" t="s">
        <v>2154</v>
      </c>
      <c r="E360" s="96" t="s">
        <v>2155</v>
      </c>
      <c r="F360" s="96" t="s">
        <v>312</v>
      </c>
      <c r="G360" s="96" t="s">
        <v>2156</v>
      </c>
      <c r="H360" s="96" t="s">
        <v>2157</v>
      </c>
      <c r="I360" s="96" t="s">
        <v>320</v>
      </c>
      <c r="J360" s="96" t="s">
        <v>754</v>
      </c>
      <c r="K360" s="96" t="s">
        <v>204</v>
      </c>
      <c r="L360" s="96" t="s">
        <v>211</v>
      </c>
      <c r="M360" s="96" t="s">
        <v>324</v>
      </c>
      <c r="N360" s="96" t="s">
        <v>313</v>
      </c>
      <c r="O360" s="96" t="s">
        <v>541</v>
      </c>
      <c r="P360" s="96" t="s">
        <v>338</v>
      </c>
      <c r="Q360" s="96" t="s">
        <v>2112</v>
      </c>
      <c r="R360" s="96" t="s">
        <v>430</v>
      </c>
      <c r="S360" s="96" t="s">
        <v>406</v>
      </c>
      <c r="T360" s="96" t="s">
        <v>1202</v>
      </c>
      <c r="U360" s="97">
        <v>1.28</v>
      </c>
      <c r="V360" s="100">
        <v>45982</v>
      </c>
      <c r="W360" s="98">
        <v>4.5960000000000001E-2</v>
      </c>
      <c r="X360" s="98">
        <v>4.65E-2</v>
      </c>
      <c r="Y360" s="96" t="s">
        <v>410</v>
      </c>
      <c r="Z360" s="96"/>
      <c r="AA360" s="97">
        <v>3555.2764419999999</v>
      </c>
      <c r="AB360" s="97">
        <v>4.0202</v>
      </c>
      <c r="AC360" s="97">
        <v>102.6918</v>
      </c>
      <c r="AD360" s="97"/>
      <c r="AE360" s="97">
        <v>14.677673</v>
      </c>
      <c r="AF360" s="96"/>
      <c r="AG360" s="96"/>
      <c r="AH360" s="96"/>
      <c r="AI360" s="98">
        <v>3.0000000000000001E-6</v>
      </c>
      <c r="AJ360" s="98">
        <v>1.145E-3</v>
      </c>
      <c r="AK360" s="98">
        <v>2.7900000000000001E-4</v>
      </c>
      <c r="AL360" s="106"/>
    </row>
    <row r="361" spans="1:38" ht="15" customHeight="1">
      <c r="A361" s="106"/>
      <c r="B361" s="96">
        <v>286</v>
      </c>
      <c r="C361" s="96">
        <v>1445</v>
      </c>
      <c r="D361" s="96" t="s">
        <v>2158</v>
      </c>
      <c r="E361" s="96" t="s">
        <v>2159</v>
      </c>
      <c r="F361" s="96" t="s">
        <v>312</v>
      </c>
      <c r="G361" s="96" t="s">
        <v>2160</v>
      </c>
      <c r="H361" s="96" t="s">
        <v>2161</v>
      </c>
      <c r="I361" s="96" t="s">
        <v>320</v>
      </c>
      <c r="J361" s="96" t="s">
        <v>955</v>
      </c>
      <c r="K361" s="96" t="s">
        <v>204</v>
      </c>
      <c r="L361" s="96" t="s">
        <v>232</v>
      </c>
      <c r="M361" s="96" t="s">
        <v>324</v>
      </c>
      <c r="N361" s="96" t="s">
        <v>363</v>
      </c>
      <c r="O361" s="96" t="s">
        <v>535</v>
      </c>
      <c r="P361" s="96" t="s">
        <v>338</v>
      </c>
      <c r="Q361" s="96" t="s">
        <v>2149</v>
      </c>
      <c r="R361" s="96" t="s">
        <v>432</v>
      </c>
      <c r="S361" s="96" t="s">
        <v>406</v>
      </c>
      <c r="T361" s="96" t="s">
        <v>1205</v>
      </c>
      <c r="U361" s="97">
        <v>0.47</v>
      </c>
      <c r="V361" s="100">
        <v>45653</v>
      </c>
      <c r="W361" s="98">
        <v>5.1249999999999997E-2</v>
      </c>
      <c r="X361" s="98">
        <v>7.6899999999999996E-2</v>
      </c>
      <c r="Y361" s="96" t="s">
        <v>410</v>
      </c>
      <c r="Z361" s="96"/>
      <c r="AA361" s="97">
        <v>4788.9379390000004</v>
      </c>
      <c r="AB361" s="97">
        <v>4.7504999999999997</v>
      </c>
      <c r="AC361" s="97">
        <v>98.816699999999997</v>
      </c>
      <c r="AD361" s="97"/>
      <c r="AE361" s="97">
        <v>22.480651999999999</v>
      </c>
      <c r="AF361" s="96"/>
      <c r="AG361" s="96"/>
      <c r="AH361" s="96"/>
      <c r="AI361" s="98">
        <v>9.0000000000000002E-6</v>
      </c>
      <c r="AJ361" s="98">
        <v>1.753E-3</v>
      </c>
      <c r="AK361" s="98">
        <v>4.2700000000000002E-4</v>
      </c>
      <c r="AL361" s="106"/>
    </row>
    <row r="362" spans="1:38" ht="15" customHeight="1">
      <c r="A362" s="106"/>
      <c r="B362" s="96">
        <v>286</v>
      </c>
      <c r="C362" s="96">
        <v>1445</v>
      </c>
      <c r="D362" s="96" t="s">
        <v>2162</v>
      </c>
      <c r="E362" s="96" t="s">
        <v>2163</v>
      </c>
      <c r="F362" s="96" t="s">
        <v>312</v>
      </c>
      <c r="G362" s="96" t="s">
        <v>2164</v>
      </c>
      <c r="H362" s="96" t="s">
        <v>2165</v>
      </c>
      <c r="I362" s="96" t="s">
        <v>320</v>
      </c>
      <c r="J362" s="96" t="s">
        <v>754</v>
      </c>
      <c r="K362" s="96" t="s">
        <v>204</v>
      </c>
      <c r="L362" s="96" t="s">
        <v>223</v>
      </c>
      <c r="M362" s="96" t="s">
        <v>324</v>
      </c>
      <c r="N362" s="96" t="s">
        <v>343</v>
      </c>
      <c r="O362" s="96" t="s">
        <v>544</v>
      </c>
      <c r="P362" s="96" t="s">
        <v>338</v>
      </c>
      <c r="Q362" s="96" t="s">
        <v>2102</v>
      </c>
      <c r="R362" s="96" t="s">
        <v>422</v>
      </c>
      <c r="S362" s="96" t="s">
        <v>406</v>
      </c>
      <c r="T362" s="96" t="s">
        <v>1201</v>
      </c>
      <c r="U362" s="97">
        <v>5.74</v>
      </c>
      <c r="V362" s="100">
        <v>47710</v>
      </c>
      <c r="W362" s="98">
        <v>2.3E-2</v>
      </c>
      <c r="X362" s="98">
        <v>5.2900000000000003E-2</v>
      </c>
      <c r="Y362" s="96" t="s">
        <v>411</v>
      </c>
      <c r="Z362" s="96"/>
      <c r="AA362" s="97">
        <v>8240.2759709999991</v>
      </c>
      <c r="AB362" s="97">
        <v>3.7589999999999999</v>
      </c>
      <c r="AC362" s="97">
        <v>84.257499999999993</v>
      </c>
      <c r="AD362" s="97"/>
      <c r="AE362" s="97">
        <v>26.098925999999999</v>
      </c>
      <c r="AF362" s="96"/>
      <c r="AG362" s="96"/>
      <c r="AH362" s="96"/>
      <c r="AI362" s="98">
        <v>9.0000000000000002E-6</v>
      </c>
      <c r="AJ362" s="98">
        <v>2.0349999999999999E-3</v>
      </c>
      <c r="AK362" s="98">
        <v>4.9600000000000002E-4</v>
      </c>
      <c r="AL362" s="106"/>
    </row>
    <row r="363" spans="1:38" ht="15" customHeight="1">
      <c r="A363" s="106"/>
      <c r="B363" s="96">
        <v>286</v>
      </c>
      <c r="C363" s="96">
        <v>1445</v>
      </c>
      <c r="D363" s="96" t="s">
        <v>2075</v>
      </c>
      <c r="E363" s="96" t="s">
        <v>2076</v>
      </c>
      <c r="F363" s="96" t="s">
        <v>312</v>
      </c>
      <c r="G363" s="96" t="s">
        <v>2166</v>
      </c>
      <c r="H363" s="96" t="s">
        <v>2167</v>
      </c>
      <c r="I363" s="96" t="s">
        <v>320</v>
      </c>
      <c r="J363" s="96" t="s">
        <v>754</v>
      </c>
      <c r="K363" s="96" t="s">
        <v>204</v>
      </c>
      <c r="L363" s="96" t="s">
        <v>231</v>
      </c>
      <c r="M363" s="96" t="s">
        <v>332</v>
      </c>
      <c r="N363" s="96" t="s">
        <v>343</v>
      </c>
      <c r="O363" s="96" t="s">
        <v>491</v>
      </c>
      <c r="P363" s="96" t="s">
        <v>338</v>
      </c>
      <c r="Q363" s="96" t="s">
        <v>1698</v>
      </c>
      <c r="R363" s="96" t="s">
        <v>422</v>
      </c>
      <c r="S363" s="96" t="s">
        <v>406</v>
      </c>
      <c r="T363" s="96" t="s">
        <v>1201</v>
      </c>
      <c r="U363" s="97">
        <v>4.62</v>
      </c>
      <c r="V363" s="100">
        <v>47406</v>
      </c>
      <c r="W363" s="98">
        <v>0.05</v>
      </c>
      <c r="X363" s="98">
        <v>6.0600000000000001E-2</v>
      </c>
      <c r="Y363" s="96" t="s">
        <v>411</v>
      </c>
      <c r="Z363" s="96"/>
      <c r="AA363" s="97">
        <v>388.554802</v>
      </c>
      <c r="AB363" s="97">
        <v>3.7589999999999999</v>
      </c>
      <c r="AC363" s="97">
        <v>97.357600000000005</v>
      </c>
      <c r="AD363" s="97"/>
      <c r="AE363" s="97">
        <v>1.4219839999999999</v>
      </c>
      <c r="AF363" s="96"/>
      <c r="AG363" s="96"/>
      <c r="AH363" s="96"/>
      <c r="AI363" s="98">
        <v>0</v>
      </c>
      <c r="AJ363" s="98">
        <v>1.1E-4</v>
      </c>
      <c r="AK363" s="98">
        <v>2.6999999999999999E-5</v>
      </c>
      <c r="AL363" s="106"/>
    </row>
    <row r="364" spans="1:38" ht="15" customHeight="1">
      <c r="A364" s="106"/>
      <c r="B364" s="96">
        <v>286</v>
      </c>
      <c r="C364" s="96">
        <v>1445</v>
      </c>
      <c r="D364" s="96" t="s">
        <v>2168</v>
      </c>
      <c r="E364" s="96" t="s">
        <v>2169</v>
      </c>
      <c r="F364" s="96" t="s">
        <v>312</v>
      </c>
      <c r="G364" s="96" t="s">
        <v>2170</v>
      </c>
      <c r="H364" s="96" t="s">
        <v>2171</v>
      </c>
      <c r="I364" s="96" t="s">
        <v>320</v>
      </c>
      <c r="J364" s="96" t="s">
        <v>754</v>
      </c>
      <c r="K364" s="96" t="s">
        <v>204</v>
      </c>
      <c r="L364" s="96" t="s">
        <v>237</v>
      </c>
      <c r="M364" s="96" t="s">
        <v>324</v>
      </c>
      <c r="N364" s="96" t="s">
        <v>313</v>
      </c>
      <c r="O364" s="96" t="s">
        <v>539</v>
      </c>
      <c r="P364" s="96" t="s">
        <v>338</v>
      </c>
      <c r="Q364" s="96" t="s">
        <v>2172</v>
      </c>
      <c r="R364" s="96" t="s">
        <v>430</v>
      </c>
      <c r="S364" s="96" t="s">
        <v>406</v>
      </c>
      <c r="T364" s="96" t="s">
        <v>1201</v>
      </c>
      <c r="U364" s="97">
        <v>0.77</v>
      </c>
      <c r="V364" s="100">
        <v>45777</v>
      </c>
      <c r="W364" s="98">
        <v>7.4999999999999997E-2</v>
      </c>
      <c r="X364" s="98">
        <v>8.8400000000000006E-2</v>
      </c>
      <c r="Y364" s="96" t="s">
        <v>410</v>
      </c>
      <c r="Z364" s="96"/>
      <c r="AA364" s="97">
        <v>971.38700600000004</v>
      </c>
      <c r="AB364" s="97">
        <v>3.7589999999999999</v>
      </c>
      <c r="AC364" s="97">
        <v>100.1279</v>
      </c>
      <c r="AD364" s="97"/>
      <c r="AE364" s="97">
        <v>3.6561170000000001</v>
      </c>
      <c r="AF364" s="96"/>
      <c r="AG364" s="96"/>
      <c r="AH364" s="96"/>
      <c r="AI364" s="98">
        <v>0</v>
      </c>
      <c r="AJ364" s="98">
        <v>2.8499999999999999E-4</v>
      </c>
      <c r="AK364" s="98">
        <v>6.8999999999999997E-5</v>
      </c>
      <c r="AL364" s="106"/>
    </row>
    <row r="365" spans="1:38" ht="15" customHeight="1">
      <c r="A365" s="106"/>
      <c r="B365" s="96">
        <v>286</v>
      </c>
      <c r="C365" s="96">
        <v>1445</v>
      </c>
      <c r="D365" s="96" t="s">
        <v>2173</v>
      </c>
      <c r="E365" s="96" t="s">
        <v>2174</v>
      </c>
      <c r="F365" s="96" t="s">
        <v>312</v>
      </c>
      <c r="G365" s="96" t="s">
        <v>2175</v>
      </c>
      <c r="H365" s="96" t="s">
        <v>2176</v>
      </c>
      <c r="I365" s="96" t="s">
        <v>320</v>
      </c>
      <c r="J365" s="96" t="s">
        <v>754</v>
      </c>
      <c r="K365" s="96" t="s">
        <v>204</v>
      </c>
      <c r="L365" s="96" t="s">
        <v>274</v>
      </c>
      <c r="M365" s="96" t="s">
        <v>324</v>
      </c>
      <c r="N365" s="96" t="s">
        <v>313</v>
      </c>
      <c r="O365" s="96" t="s">
        <v>567</v>
      </c>
      <c r="P365" s="96" t="s">
        <v>338</v>
      </c>
      <c r="Q365" s="96" t="s">
        <v>2177</v>
      </c>
      <c r="R365" s="96" t="s">
        <v>430</v>
      </c>
      <c r="S365" s="96" t="s">
        <v>406</v>
      </c>
      <c r="T365" s="96" t="s">
        <v>1202</v>
      </c>
      <c r="U365" s="97">
        <v>1.75</v>
      </c>
      <c r="V365" s="100">
        <v>46238</v>
      </c>
      <c r="W365" s="98">
        <v>3.6249999999999998E-2</v>
      </c>
      <c r="X365" s="98">
        <v>0.25559999999999999</v>
      </c>
      <c r="Y365" s="96" t="s">
        <v>410</v>
      </c>
      <c r="Z365" s="96"/>
      <c r="AA365" s="97">
        <v>4634.2931280000003</v>
      </c>
      <c r="AB365" s="97">
        <v>4.0202</v>
      </c>
      <c r="AC365" s="97">
        <v>66.849299999999999</v>
      </c>
      <c r="AD365" s="97"/>
      <c r="AE365" s="97">
        <v>12.454566</v>
      </c>
      <c r="AF365" s="96"/>
      <c r="AG365" s="96"/>
      <c r="AH365" s="96"/>
      <c r="AI365" s="98">
        <v>1.2999999999999999E-5</v>
      </c>
      <c r="AJ365" s="98">
        <v>9.7099999999999997E-4</v>
      </c>
      <c r="AK365" s="98">
        <v>2.3699999999999999E-4</v>
      </c>
      <c r="AL365" s="106"/>
    </row>
    <row r="366" spans="1:38" ht="15" customHeight="1">
      <c r="A366" s="106"/>
      <c r="B366" s="96">
        <v>286</v>
      </c>
      <c r="C366" s="96">
        <v>1445</v>
      </c>
      <c r="D366" s="96" t="s">
        <v>2178</v>
      </c>
      <c r="E366" s="96" t="s">
        <v>2179</v>
      </c>
      <c r="F366" s="96" t="s">
        <v>312</v>
      </c>
      <c r="G366" s="96" t="s">
        <v>2180</v>
      </c>
      <c r="H366" s="96" t="s">
        <v>2181</v>
      </c>
      <c r="I366" s="96" t="s">
        <v>320</v>
      </c>
      <c r="J366" s="96" t="s">
        <v>754</v>
      </c>
      <c r="K366" s="96" t="s">
        <v>204</v>
      </c>
      <c r="L366" s="96" t="s">
        <v>211</v>
      </c>
      <c r="M366" s="96" t="s">
        <v>324</v>
      </c>
      <c r="N366" s="96" t="s">
        <v>313</v>
      </c>
      <c r="O366" s="96" t="s">
        <v>535</v>
      </c>
      <c r="P366" s="96" t="s">
        <v>338</v>
      </c>
      <c r="Q366" s="96" t="s">
        <v>2149</v>
      </c>
      <c r="R366" s="96" t="s">
        <v>422</v>
      </c>
      <c r="S366" s="96" t="s">
        <v>406</v>
      </c>
      <c r="T366" s="96" t="s">
        <v>1202</v>
      </c>
      <c r="U366" s="97">
        <v>5.61</v>
      </c>
      <c r="V366" s="100">
        <v>48092</v>
      </c>
      <c r="W366" s="98">
        <v>5.8749999999999997E-2</v>
      </c>
      <c r="X366" s="98">
        <v>6.6500000000000004E-2</v>
      </c>
      <c r="Y366" s="96" t="s">
        <v>410</v>
      </c>
      <c r="Z366" s="96"/>
      <c r="AA366" s="97">
        <v>1113.2095079999999</v>
      </c>
      <c r="AB366" s="97">
        <v>4.0202</v>
      </c>
      <c r="AC366" s="97">
        <v>100.5625</v>
      </c>
      <c r="AD366" s="97"/>
      <c r="AE366" s="97">
        <v>4.5005009999999999</v>
      </c>
      <c r="AF366" s="96"/>
      <c r="AG366" s="96"/>
      <c r="AH366" s="96"/>
      <c r="AI366" s="98">
        <v>9.9999999999999995E-7</v>
      </c>
      <c r="AJ366" s="98">
        <v>3.5100000000000002E-4</v>
      </c>
      <c r="AK366" s="98">
        <v>8.5000000000000006E-5</v>
      </c>
      <c r="AL366" s="106"/>
    </row>
    <row r="367" spans="1:38" ht="15" customHeight="1">
      <c r="A367" s="106"/>
      <c r="B367" s="96">
        <v>286</v>
      </c>
      <c r="C367" s="96">
        <v>1445</v>
      </c>
      <c r="D367" s="96" t="s">
        <v>2182</v>
      </c>
      <c r="E367" s="96" t="s">
        <v>2183</v>
      </c>
      <c r="F367" s="96" t="s">
        <v>312</v>
      </c>
      <c r="G367" s="96" t="s">
        <v>2184</v>
      </c>
      <c r="H367" s="96" t="s">
        <v>2185</v>
      </c>
      <c r="I367" s="96" t="s">
        <v>320</v>
      </c>
      <c r="J367" s="96" t="s">
        <v>754</v>
      </c>
      <c r="K367" s="96" t="s">
        <v>204</v>
      </c>
      <c r="L367" s="96" t="s">
        <v>244</v>
      </c>
      <c r="M367" s="96" t="s">
        <v>324</v>
      </c>
      <c r="N367" s="96" t="s">
        <v>363</v>
      </c>
      <c r="O367" s="96" t="s">
        <v>535</v>
      </c>
      <c r="P367" s="96" t="s">
        <v>338</v>
      </c>
      <c r="Q367" s="96" t="s">
        <v>2112</v>
      </c>
      <c r="R367" s="96" t="s">
        <v>430</v>
      </c>
      <c r="S367" s="96" t="s">
        <v>406</v>
      </c>
      <c r="T367" s="96" t="s">
        <v>1202</v>
      </c>
      <c r="U367" s="97">
        <v>1.41</v>
      </c>
      <c r="V367" s="100">
        <v>46020</v>
      </c>
      <c r="W367" s="98">
        <v>4.6249999999999999E-2</v>
      </c>
      <c r="X367" s="98">
        <v>5.8900000000000001E-2</v>
      </c>
      <c r="Y367" s="96" t="s">
        <v>410</v>
      </c>
      <c r="Z367" s="96"/>
      <c r="AA367" s="97">
        <v>6100.3103979999996</v>
      </c>
      <c r="AB367" s="97">
        <v>4.0202</v>
      </c>
      <c r="AC367" s="97">
        <v>98.232799999999997</v>
      </c>
      <c r="AD367" s="97"/>
      <c r="AE367" s="97">
        <v>24.091083000000001</v>
      </c>
      <c r="AF367" s="96"/>
      <c r="AG367" s="96"/>
      <c r="AH367" s="96"/>
      <c r="AI367" s="98">
        <v>6.0000000000000002E-6</v>
      </c>
      <c r="AJ367" s="98">
        <v>1.879E-3</v>
      </c>
      <c r="AK367" s="98">
        <v>4.5800000000000002E-4</v>
      </c>
      <c r="AL367" s="106"/>
    </row>
    <row r="368" spans="1:38" ht="15" customHeight="1">
      <c r="A368" s="106"/>
      <c r="B368" s="96">
        <v>286</v>
      </c>
      <c r="C368" s="96">
        <v>1445</v>
      </c>
      <c r="D368" s="96" t="s">
        <v>2186</v>
      </c>
      <c r="E368" s="96" t="s">
        <v>2187</v>
      </c>
      <c r="F368" s="96" t="s">
        <v>312</v>
      </c>
      <c r="G368" s="96" t="s">
        <v>2188</v>
      </c>
      <c r="H368" s="96" t="s">
        <v>2189</v>
      </c>
      <c r="I368" s="96" t="s">
        <v>320</v>
      </c>
      <c r="J368" s="96" t="s">
        <v>955</v>
      </c>
      <c r="K368" s="96" t="s">
        <v>204</v>
      </c>
      <c r="L368" s="96" t="s">
        <v>271</v>
      </c>
      <c r="M368" s="96" t="s">
        <v>324</v>
      </c>
      <c r="N368" s="96" t="s">
        <v>343</v>
      </c>
      <c r="O368" s="96" t="s">
        <v>535</v>
      </c>
      <c r="P368" s="96" t="s">
        <v>338</v>
      </c>
      <c r="Q368" s="96" t="s">
        <v>2117</v>
      </c>
      <c r="R368" s="96" t="s">
        <v>430</v>
      </c>
      <c r="S368" s="96" t="s">
        <v>406</v>
      </c>
      <c r="T368" s="96" t="s">
        <v>1202</v>
      </c>
      <c r="U368" s="97">
        <v>3.48</v>
      </c>
      <c r="V368" s="100">
        <v>46703</v>
      </c>
      <c r="W368" s="98">
        <v>4.1250000000000002E-2</v>
      </c>
      <c r="X368" s="98">
        <v>7.1099999999999997E-2</v>
      </c>
      <c r="Y368" s="96" t="s">
        <v>410</v>
      </c>
      <c r="Z368" s="96"/>
      <c r="AA368" s="97">
        <v>2564.4616959999998</v>
      </c>
      <c r="AB368" s="97">
        <v>4.0202</v>
      </c>
      <c r="AC368" s="97">
        <v>90.526899999999998</v>
      </c>
      <c r="AD368" s="97"/>
      <c r="AE368" s="97">
        <v>9.3330149999999996</v>
      </c>
      <c r="AF368" s="96"/>
      <c r="AG368" s="96"/>
      <c r="AH368" s="96"/>
      <c r="AI368" s="98">
        <v>3.0000000000000001E-6</v>
      </c>
      <c r="AJ368" s="98">
        <v>7.2800000000000002E-4</v>
      </c>
      <c r="AK368" s="98">
        <v>1.7699999999999999E-4</v>
      </c>
      <c r="AL368" s="106"/>
    </row>
    <row r="369" spans="1:38" ht="15" customHeight="1">
      <c r="A369" s="106"/>
      <c r="B369" s="96">
        <v>286</v>
      </c>
      <c r="C369" s="96">
        <v>1445</v>
      </c>
      <c r="D369" s="96" t="s">
        <v>2190</v>
      </c>
      <c r="E369" s="96" t="s">
        <v>2191</v>
      </c>
      <c r="F369" s="96" t="s">
        <v>312</v>
      </c>
      <c r="G369" s="96" t="s">
        <v>2192</v>
      </c>
      <c r="H369" s="96" t="s">
        <v>2193</v>
      </c>
      <c r="I369" s="96" t="s">
        <v>320</v>
      </c>
      <c r="J369" s="96" t="s">
        <v>754</v>
      </c>
      <c r="K369" s="96" t="s">
        <v>204</v>
      </c>
      <c r="L369" s="96" t="s">
        <v>223</v>
      </c>
      <c r="M369" s="96" t="s">
        <v>324</v>
      </c>
      <c r="N369" s="96" t="s">
        <v>343</v>
      </c>
      <c r="O369" s="96" t="s">
        <v>548</v>
      </c>
      <c r="P369" s="96" t="s">
        <v>338</v>
      </c>
      <c r="Q369" s="96" t="s">
        <v>2102</v>
      </c>
      <c r="R369" s="96" t="s">
        <v>432</v>
      </c>
      <c r="S369" s="96" t="s">
        <v>406</v>
      </c>
      <c r="T369" s="96" t="s">
        <v>1201</v>
      </c>
      <c r="U369" s="97">
        <v>7.27</v>
      </c>
      <c r="V369" s="100">
        <v>48898</v>
      </c>
      <c r="W369" s="98">
        <v>5.3999999999999999E-2</v>
      </c>
      <c r="X369" s="98">
        <v>5.3999999999999999E-2</v>
      </c>
      <c r="Y369" s="96" t="s">
        <v>411</v>
      </c>
      <c r="Z369" s="96"/>
      <c r="AA369" s="97">
        <v>1359.941808</v>
      </c>
      <c r="AB369" s="97">
        <v>3.7589999999999999</v>
      </c>
      <c r="AC369" s="97">
        <v>102.0119</v>
      </c>
      <c r="AD369" s="97"/>
      <c r="AE369" s="97">
        <v>5.2148750000000001</v>
      </c>
      <c r="AF369" s="96"/>
      <c r="AG369" s="96"/>
      <c r="AH369" s="96"/>
      <c r="AI369" s="98">
        <v>0</v>
      </c>
      <c r="AJ369" s="98">
        <v>4.06E-4</v>
      </c>
      <c r="AK369" s="98">
        <v>9.8999999999999994E-5</v>
      </c>
      <c r="AL369" s="106"/>
    </row>
    <row r="370" spans="1:38" ht="15" customHeight="1">
      <c r="A370" s="106"/>
      <c r="B370" s="96">
        <v>286</v>
      </c>
      <c r="C370" s="96">
        <v>1445</v>
      </c>
      <c r="D370" s="96" t="s">
        <v>2194</v>
      </c>
      <c r="E370" s="96" t="s">
        <v>2195</v>
      </c>
      <c r="F370" s="96" t="s">
        <v>312</v>
      </c>
      <c r="G370" s="96" t="s">
        <v>2196</v>
      </c>
      <c r="H370" s="96" t="s">
        <v>2197</v>
      </c>
      <c r="I370" s="96" t="s">
        <v>320</v>
      </c>
      <c r="J370" s="96" t="s">
        <v>754</v>
      </c>
      <c r="K370" s="96" t="s">
        <v>204</v>
      </c>
      <c r="L370" s="96" t="s">
        <v>222</v>
      </c>
      <c r="M370" s="96" t="s">
        <v>324</v>
      </c>
      <c r="N370" s="96" t="s">
        <v>313</v>
      </c>
      <c r="O370" s="96" t="s">
        <v>518</v>
      </c>
      <c r="P370" s="96" t="s">
        <v>338</v>
      </c>
      <c r="Q370" s="96" t="s">
        <v>2090</v>
      </c>
      <c r="R370" s="96" t="s">
        <v>422</v>
      </c>
      <c r="S370" s="96" t="s">
        <v>406</v>
      </c>
      <c r="T370" s="96" t="s">
        <v>1201</v>
      </c>
      <c r="U370" s="97">
        <v>5.63</v>
      </c>
      <c r="V370" s="100">
        <v>47770</v>
      </c>
      <c r="W370" s="98">
        <v>3.125E-2</v>
      </c>
      <c r="X370" s="98">
        <v>5.9799999999999999E-2</v>
      </c>
      <c r="Y370" s="96" t="s">
        <v>411</v>
      </c>
      <c r="Z370" s="96"/>
      <c r="AA370" s="97">
        <v>8459.8094349999992</v>
      </c>
      <c r="AB370" s="97">
        <v>3.7589999999999999</v>
      </c>
      <c r="AC370" s="97">
        <v>86.133399999999995</v>
      </c>
      <c r="AD370" s="97"/>
      <c r="AE370" s="97">
        <v>27.390794</v>
      </c>
      <c r="AF370" s="96"/>
      <c r="AG370" s="96"/>
      <c r="AH370" s="96"/>
      <c r="AI370" s="98">
        <v>1.2E-5</v>
      </c>
      <c r="AJ370" s="98">
        <v>2.1359999999999999E-3</v>
      </c>
      <c r="AK370" s="98">
        <v>5.1999999999999995E-4</v>
      </c>
      <c r="AL370" s="106"/>
    </row>
    <row r="371" spans="1:38" ht="15" customHeight="1">
      <c r="A371" s="106"/>
      <c r="B371" s="96">
        <v>286</v>
      </c>
      <c r="C371" s="96">
        <v>1445</v>
      </c>
      <c r="D371" s="96" t="s">
        <v>2113</v>
      </c>
      <c r="E371" s="96" t="s">
        <v>2114</v>
      </c>
      <c r="F371" s="96" t="s">
        <v>312</v>
      </c>
      <c r="G371" s="96" t="s">
        <v>2198</v>
      </c>
      <c r="H371" s="96" t="s">
        <v>2199</v>
      </c>
      <c r="I371" s="96" t="s">
        <v>320</v>
      </c>
      <c r="J371" s="96" t="s">
        <v>754</v>
      </c>
      <c r="K371" s="96" t="s">
        <v>204</v>
      </c>
      <c r="L371" s="96" t="s">
        <v>223</v>
      </c>
      <c r="M371" s="96" t="s">
        <v>324</v>
      </c>
      <c r="N371" s="96" t="s">
        <v>313</v>
      </c>
      <c r="O371" s="96" t="s">
        <v>530</v>
      </c>
      <c r="P371" s="96" t="s">
        <v>338</v>
      </c>
      <c r="Q371" s="96" t="s">
        <v>2117</v>
      </c>
      <c r="R371" s="96" t="s">
        <v>430</v>
      </c>
      <c r="S371" s="96" t="s">
        <v>406</v>
      </c>
      <c r="T371" s="96" t="s">
        <v>1201</v>
      </c>
      <c r="U371" s="97">
        <v>4.91</v>
      </c>
      <c r="V371" s="100">
        <v>45703</v>
      </c>
      <c r="W371" s="98">
        <v>3.3750000000000002E-2</v>
      </c>
      <c r="X371" s="98">
        <v>5.79E-2</v>
      </c>
      <c r="Y371" s="96" t="s">
        <v>411</v>
      </c>
      <c r="Z371" s="96"/>
      <c r="AA371" s="97">
        <v>7381.9584130000003</v>
      </c>
      <c r="AB371" s="97">
        <v>3.7589999999999999</v>
      </c>
      <c r="AC371" s="97">
        <v>89.777600000000007</v>
      </c>
      <c r="AD371" s="97"/>
      <c r="AE371" s="97">
        <v>24.912196000000002</v>
      </c>
      <c r="AF371" s="96"/>
      <c r="AG371" s="96"/>
      <c r="AH371" s="96"/>
      <c r="AI371" s="98">
        <v>3.0000000000000001E-6</v>
      </c>
      <c r="AJ371" s="98">
        <v>1.9430000000000001E-3</v>
      </c>
      <c r="AK371" s="98">
        <v>4.73E-4</v>
      </c>
      <c r="AL371" s="106"/>
    </row>
    <row r="372" spans="1:38" ht="15" customHeight="1">
      <c r="A372" s="106"/>
      <c r="B372" s="96">
        <v>286</v>
      </c>
      <c r="C372" s="96">
        <v>1445</v>
      </c>
      <c r="D372" s="96" t="s">
        <v>2200</v>
      </c>
      <c r="E372" s="96" t="s">
        <v>2201</v>
      </c>
      <c r="F372" s="96" t="s">
        <v>312</v>
      </c>
      <c r="G372" s="96" t="s">
        <v>2202</v>
      </c>
      <c r="H372" s="96" t="s">
        <v>2203</v>
      </c>
      <c r="I372" s="96" t="s">
        <v>320</v>
      </c>
      <c r="J372" s="96" t="s">
        <v>754</v>
      </c>
      <c r="K372" s="96" t="s">
        <v>204</v>
      </c>
      <c r="L372" s="96" t="s">
        <v>223</v>
      </c>
      <c r="M372" s="96" t="s">
        <v>324</v>
      </c>
      <c r="N372" s="96" t="s">
        <v>313</v>
      </c>
      <c r="O372" s="96" t="s">
        <v>533</v>
      </c>
      <c r="P372" s="96" t="s">
        <v>338</v>
      </c>
      <c r="Q372" s="96" t="s">
        <v>1698</v>
      </c>
      <c r="R372" s="96" t="s">
        <v>422</v>
      </c>
      <c r="S372" s="96" t="s">
        <v>406</v>
      </c>
      <c r="T372" s="96" t="s">
        <v>1201</v>
      </c>
      <c r="U372" s="97">
        <v>5.55</v>
      </c>
      <c r="V372" s="100">
        <v>47636</v>
      </c>
      <c r="W372" s="98">
        <v>2.1999999999999999E-2</v>
      </c>
      <c r="X372" s="98">
        <v>5.4100000000000002E-2</v>
      </c>
      <c r="Y372" s="96" t="s">
        <v>411</v>
      </c>
      <c r="Z372" s="96"/>
      <c r="AA372" s="97">
        <v>5828.3220359999996</v>
      </c>
      <c r="AB372" s="97">
        <v>3.7589999999999999</v>
      </c>
      <c r="AC372" s="97">
        <v>84.069100000000006</v>
      </c>
      <c r="AD372" s="97"/>
      <c r="AE372" s="97">
        <v>18.418417000000002</v>
      </c>
      <c r="AF372" s="96"/>
      <c r="AG372" s="96"/>
      <c r="AH372" s="96"/>
      <c r="AI372" s="98">
        <v>5.0000000000000004E-6</v>
      </c>
      <c r="AJ372" s="98">
        <v>1.4369999999999999E-3</v>
      </c>
      <c r="AK372" s="98">
        <v>3.5E-4</v>
      </c>
      <c r="AL372" s="106"/>
    </row>
    <row r="373" spans="1:38" ht="15" customHeight="1">
      <c r="A373" s="106"/>
      <c r="B373" s="96">
        <v>286</v>
      </c>
      <c r="C373" s="96">
        <v>1445</v>
      </c>
      <c r="D373" s="96" t="s">
        <v>2204</v>
      </c>
      <c r="E373" s="96" t="s">
        <v>2205</v>
      </c>
      <c r="F373" s="96" t="s">
        <v>312</v>
      </c>
      <c r="G373" s="96" t="s">
        <v>2206</v>
      </c>
      <c r="H373" s="96" t="s">
        <v>2207</v>
      </c>
      <c r="I373" s="96" t="s">
        <v>320</v>
      </c>
      <c r="J373" s="96" t="s">
        <v>754</v>
      </c>
      <c r="K373" s="96" t="s">
        <v>204</v>
      </c>
      <c r="L373" s="96" t="s">
        <v>244</v>
      </c>
      <c r="M373" s="96" t="s">
        <v>324</v>
      </c>
      <c r="N373" s="96" t="s">
        <v>313</v>
      </c>
      <c r="O373" s="96" t="s">
        <v>541</v>
      </c>
      <c r="P373" s="96" t="s">
        <v>338</v>
      </c>
      <c r="Q373" s="96" t="s">
        <v>1698</v>
      </c>
      <c r="R373" s="96" t="s">
        <v>422</v>
      </c>
      <c r="S373" s="96" t="s">
        <v>406</v>
      </c>
      <c r="T373" s="96" t="s">
        <v>1201</v>
      </c>
      <c r="U373" s="97">
        <v>0.99</v>
      </c>
      <c r="V373" s="100">
        <v>45884</v>
      </c>
      <c r="W373" s="98">
        <v>5.7500000000000002E-2</v>
      </c>
      <c r="X373" s="98">
        <v>6.5500000000000003E-2</v>
      </c>
      <c r="Y373" s="96" t="s">
        <v>410</v>
      </c>
      <c r="Z373" s="96"/>
      <c r="AA373" s="97">
        <v>6022.5994369999999</v>
      </c>
      <c r="AB373" s="97">
        <v>3.7589999999999999</v>
      </c>
      <c r="AC373" s="97">
        <v>104.1692</v>
      </c>
      <c r="AD373" s="97"/>
      <c r="AE373" s="97">
        <v>23.582825</v>
      </c>
      <c r="AF373" s="96"/>
      <c r="AG373" s="96"/>
      <c r="AH373" s="96"/>
      <c r="AI373" s="98">
        <v>7.9999999999999996E-6</v>
      </c>
      <c r="AJ373" s="98">
        <v>1.8389999999999999E-3</v>
      </c>
      <c r="AK373" s="98">
        <v>4.4900000000000002E-4</v>
      </c>
      <c r="AL373" s="106"/>
    </row>
    <row r="374" spans="1:38" ht="15" customHeight="1">
      <c r="A374" s="106"/>
      <c r="B374" s="96">
        <v>286</v>
      </c>
      <c r="C374" s="96">
        <v>1445</v>
      </c>
      <c r="D374" s="96" t="s">
        <v>2139</v>
      </c>
      <c r="E374" s="96" t="s">
        <v>2140</v>
      </c>
      <c r="F374" s="96" t="s">
        <v>312</v>
      </c>
      <c r="G374" s="96" t="s">
        <v>2208</v>
      </c>
      <c r="H374" s="96" t="s">
        <v>2209</v>
      </c>
      <c r="I374" s="96" t="s">
        <v>320</v>
      </c>
      <c r="J374" s="96" t="s">
        <v>754</v>
      </c>
      <c r="K374" s="96" t="s">
        <v>204</v>
      </c>
      <c r="L374" s="96" t="s">
        <v>263</v>
      </c>
      <c r="M374" s="96" t="s">
        <v>324</v>
      </c>
      <c r="N374" s="96" t="s">
        <v>313</v>
      </c>
      <c r="O374" s="96" t="s">
        <v>488</v>
      </c>
      <c r="P374" s="96" t="s">
        <v>338</v>
      </c>
      <c r="Q374" s="96" t="s">
        <v>1698</v>
      </c>
      <c r="R374" s="96" t="s">
        <v>422</v>
      </c>
      <c r="S374" s="96" t="s">
        <v>406</v>
      </c>
      <c r="T374" s="96" t="s">
        <v>1201</v>
      </c>
      <c r="U374" s="97">
        <v>5.13</v>
      </c>
      <c r="V374" s="100">
        <v>45917</v>
      </c>
      <c r="W374" s="98">
        <v>5.1999999999999998E-2</v>
      </c>
      <c r="X374" s="98">
        <v>5.9299999999999999E-2</v>
      </c>
      <c r="Y374" s="96" t="s">
        <v>411</v>
      </c>
      <c r="Z374" s="96"/>
      <c r="AA374" s="97">
        <v>1049.097966</v>
      </c>
      <c r="AB374" s="97">
        <v>3.7589999999999999</v>
      </c>
      <c r="AC374" s="97">
        <v>100.37139999999999</v>
      </c>
      <c r="AD374" s="97"/>
      <c r="AE374" s="97">
        <v>3.9582069999999998</v>
      </c>
      <c r="AF374" s="96"/>
      <c r="AG374" s="96"/>
      <c r="AH374" s="96"/>
      <c r="AI374" s="98">
        <v>9.9999999999999995E-7</v>
      </c>
      <c r="AJ374" s="98">
        <v>3.0800000000000001E-4</v>
      </c>
      <c r="AK374" s="98">
        <v>7.4999999999999993E-5</v>
      </c>
      <c r="AL374" s="106"/>
    </row>
    <row r="375" spans="1:38" ht="15" customHeight="1">
      <c r="A375" s="106"/>
      <c r="B375" s="96">
        <v>286</v>
      </c>
      <c r="C375" s="96">
        <v>1445</v>
      </c>
      <c r="D375" s="96" t="s">
        <v>2145</v>
      </c>
      <c r="E375" s="96" t="s">
        <v>2146</v>
      </c>
      <c r="F375" s="96" t="s">
        <v>312</v>
      </c>
      <c r="G375" s="96" t="s">
        <v>2210</v>
      </c>
      <c r="H375" s="96" t="s">
        <v>2211</v>
      </c>
      <c r="I375" s="96" t="s">
        <v>320</v>
      </c>
      <c r="J375" s="96" t="s">
        <v>754</v>
      </c>
      <c r="K375" s="96" t="s">
        <v>204</v>
      </c>
      <c r="L375" s="96" t="s">
        <v>232</v>
      </c>
      <c r="M375" s="96" t="s">
        <v>324</v>
      </c>
      <c r="N375" s="96" t="s">
        <v>343</v>
      </c>
      <c r="O375" s="96" t="s">
        <v>535</v>
      </c>
      <c r="P375" s="96" t="s">
        <v>338</v>
      </c>
      <c r="Q375" s="96" t="s">
        <v>2074</v>
      </c>
      <c r="R375" s="96" t="s">
        <v>432</v>
      </c>
      <c r="S375" s="96" t="s">
        <v>406</v>
      </c>
      <c r="T375" s="96" t="s">
        <v>1201</v>
      </c>
      <c r="U375" s="97">
        <v>2.75</v>
      </c>
      <c r="V375" s="100">
        <v>46974</v>
      </c>
      <c r="W375" s="98">
        <v>5.5010000000000003E-2</v>
      </c>
      <c r="X375" s="98">
        <v>5.5599999999999997E-2</v>
      </c>
      <c r="Y375" s="96" t="s">
        <v>411</v>
      </c>
      <c r="Z375" s="96"/>
      <c r="AA375" s="97">
        <v>1214.233757</v>
      </c>
      <c r="AB375" s="97">
        <v>3.7589999999999999</v>
      </c>
      <c r="AC375" s="97">
        <v>101.9575</v>
      </c>
      <c r="AD375" s="97"/>
      <c r="AE375" s="97">
        <v>4.6536530000000003</v>
      </c>
      <c r="AF375" s="96"/>
      <c r="AG375" s="96"/>
      <c r="AH375" s="96"/>
      <c r="AI375" s="98">
        <v>0</v>
      </c>
      <c r="AJ375" s="98">
        <v>3.6299999999999999E-4</v>
      </c>
      <c r="AK375" s="98">
        <v>8.7999999999999998E-5</v>
      </c>
      <c r="AL375" s="106"/>
    </row>
    <row r="376" spans="1:38" ht="15" customHeight="1">
      <c r="A376" s="106"/>
      <c r="B376" s="96">
        <v>286</v>
      </c>
      <c r="C376" s="96">
        <v>1445</v>
      </c>
      <c r="D376" s="96" t="s">
        <v>2204</v>
      </c>
      <c r="E376" s="96" t="s">
        <v>2205</v>
      </c>
      <c r="F376" s="96" t="s">
        <v>312</v>
      </c>
      <c r="G376" s="96" t="s">
        <v>2212</v>
      </c>
      <c r="H376" s="96" t="s">
        <v>2213</v>
      </c>
      <c r="I376" s="96" t="s">
        <v>320</v>
      </c>
      <c r="J376" s="96" t="s">
        <v>754</v>
      </c>
      <c r="K376" s="96" t="s">
        <v>204</v>
      </c>
      <c r="L376" s="96" t="s">
        <v>244</v>
      </c>
      <c r="M376" s="96" t="s">
        <v>332</v>
      </c>
      <c r="N376" s="96" t="s">
        <v>313</v>
      </c>
      <c r="O376" s="96" t="s">
        <v>541</v>
      </c>
      <c r="P376" s="96" t="s">
        <v>338</v>
      </c>
      <c r="Q376" s="96" t="s">
        <v>1698</v>
      </c>
      <c r="R376" s="96" t="s">
        <v>422</v>
      </c>
      <c r="S376" s="96" t="s">
        <v>406</v>
      </c>
      <c r="T376" s="96" t="s">
        <v>1201</v>
      </c>
      <c r="U376" s="97">
        <v>2.64</v>
      </c>
      <c r="V376" s="100">
        <v>46614</v>
      </c>
      <c r="W376" s="98">
        <v>5.6250000000000001E-2</v>
      </c>
      <c r="X376" s="98">
        <v>6.1400000000000003E-2</v>
      </c>
      <c r="Y376" s="96" t="s">
        <v>410</v>
      </c>
      <c r="Z376" s="96"/>
      <c r="AA376" s="97">
        <v>38.85548</v>
      </c>
      <c r="AB376" s="97">
        <v>3.7589999999999999</v>
      </c>
      <c r="AC376" s="97">
        <v>103.4738</v>
      </c>
      <c r="AD376" s="97"/>
      <c r="AE376" s="97">
        <v>0.15113099999999999</v>
      </c>
      <c r="AF376" s="96"/>
      <c r="AG376" s="96"/>
      <c r="AH376" s="96"/>
      <c r="AI376" s="98">
        <v>0</v>
      </c>
      <c r="AJ376" s="98">
        <v>1.1E-5</v>
      </c>
      <c r="AK376" s="98">
        <v>1.9999999999999999E-6</v>
      </c>
      <c r="AL376" s="106"/>
    </row>
    <row r="377" spans="1:38" ht="15" customHeight="1">
      <c r="A377" s="106"/>
      <c r="B377" s="96">
        <v>286</v>
      </c>
      <c r="C377" s="96">
        <v>1445</v>
      </c>
      <c r="D377" s="96" t="s">
        <v>2214</v>
      </c>
      <c r="E377" s="96" t="s">
        <v>2215</v>
      </c>
      <c r="F377" s="96" t="s">
        <v>312</v>
      </c>
      <c r="G377" s="96" t="s">
        <v>2216</v>
      </c>
      <c r="H377" s="96" t="s">
        <v>2217</v>
      </c>
      <c r="I377" s="96" t="s">
        <v>320</v>
      </c>
      <c r="J377" s="96" t="s">
        <v>754</v>
      </c>
      <c r="K377" s="96" t="s">
        <v>204</v>
      </c>
      <c r="L377" s="96" t="s">
        <v>211</v>
      </c>
      <c r="M377" s="96" t="s">
        <v>324</v>
      </c>
      <c r="N377" s="96" t="s">
        <v>313</v>
      </c>
      <c r="O377" s="96" t="s">
        <v>523</v>
      </c>
      <c r="P377" s="96" t="s">
        <v>338</v>
      </c>
      <c r="Q377" s="96" t="s">
        <v>409</v>
      </c>
      <c r="R377" s="96" t="s">
        <v>409</v>
      </c>
      <c r="S377" s="96" t="s">
        <v>409</v>
      </c>
      <c r="T377" s="96" t="s">
        <v>1202</v>
      </c>
      <c r="U377" s="97">
        <v>3.06</v>
      </c>
      <c r="V377" s="100">
        <v>46574</v>
      </c>
      <c r="W377" s="98">
        <v>1.2500000000000001E-2</v>
      </c>
      <c r="X377" s="98">
        <v>3.9300000000000002E-2</v>
      </c>
      <c r="Y377" s="96" t="s">
        <v>411</v>
      </c>
      <c r="Z377" s="96"/>
      <c r="AA377" s="97">
        <v>5789.4665560000003</v>
      </c>
      <c r="AB377" s="97">
        <v>4.0202</v>
      </c>
      <c r="AC377" s="97">
        <v>92.8446</v>
      </c>
      <c r="AD377" s="97"/>
      <c r="AE377" s="97">
        <v>21.609421999999999</v>
      </c>
      <c r="AF377" s="96"/>
      <c r="AG377" s="96"/>
      <c r="AH377" s="96"/>
      <c r="AI377" s="98">
        <v>1.0000000000000001E-5</v>
      </c>
      <c r="AJ377" s="98">
        <v>1.6850000000000001E-3</v>
      </c>
      <c r="AK377" s="98">
        <v>4.1100000000000002E-4</v>
      </c>
      <c r="AL377" s="106"/>
    </row>
    <row r="378" spans="1:38" ht="15" customHeight="1">
      <c r="A378" s="106"/>
      <c r="B378" s="96">
        <v>286</v>
      </c>
      <c r="C378" s="96">
        <v>1445</v>
      </c>
      <c r="D378" s="96" t="s">
        <v>2091</v>
      </c>
      <c r="E378" s="96" t="s">
        <v>2092</v>
      </c>
      <c r="F378" s="96" t="s">
        <v>312</v>
      </c>
      <c r="G378" s="96" t="s">
        <v>2096</v>
      </c>
      <c r="H378" s="96" t="s">
        <v>2097</v>
      </c>
      <c r="I378" s="96" t="s">
        <v>320</v>
      </c>
      <c r="J378" s="96" t="s">
        <v>754</v>
      </c>
      <c r="K378" s="96" t="s">
        <v>204</v>
      </c>
      <c r="L378" s="96" t="s">
        <v>280</v>
      </c>
      <c r="M378" s="96" t="s">
        <v>332</v>
      </c>
      <c r="N378" s="96" t="s">
        <v>363</v>
      </c>
      <c r="O378" s="96" t="s">
        <v>535</v>
      </c>
      <c r="P378" s="96" t="s">
        <v>338</v>
      </c>
      <c r="Q378" s="96" t="s">
        <v>1698</v>
      </c>
      <c r="R378" s="96" t="s">
        <v>432</v>
      </c>
      <c r="S378" s="96" t="s">
        <v>406</v>
      </c>
      <c r="T378" s="96" t="s">
        <v>1202</v>
      </c>
      <c r="U378" s="97">
        <v>4.74</v>
      </c>
      <c r="V378" s="100">
        <v>47384</v>
      </c>
      <c r="W378" s="98">
        <v>6.5000000000000002E-2</v>
      </c>
      <c r="X378" s="98">
        <v>6.4600000000000005E-2</v>
      </c>
      <c r="Y378" s="96" t="s">
        <v>410</v>
      </c>
      <c r="Z378" s="96"/>
      <c r="AA378" s="97">
        <v>58.28322</v>
      </c>
      <c r="AB378" s="97">
        <v>4.0202</v>
      </c>
      <c r="AC378" s="97">
        <v>100.31529999999999</v>
      </c>
      <c r="AD378" s="97"/>
      <c r="AE378" s="97">
        <v>0.23504900000000001</v>
      </c>
      <c r="AF378" s="96"/>
      <c r="AG378" s="96"/>
      <c r="AH378" s="96"/>
      <c r="AI378" s="98">
        <v>0</v>
      </c>
      <c r="AJ378" s="98">
        <v>1.8E-5</v>
      </c>
      <c r="AK378" s="98">
        <v>3.9999999999999998E-6</v>
      </c>
      <c r="AL378" s="106"/>
    </row>
    <row r="379" spans="1:38" ht="15" customHeight="1">
      <c r="A379" s="106"/>
      <c r="B379" s="96">
        <v>286</v>
      </c>
      <c r="C379" s="96">
        <v>1445</v>
      </c>
      <c r="D379" s="96" t="s">
        <v>2103</v>
      </c>
      <c r="E379" s="96" t="s">
        <v>2104</v>
      </c>
      <c r="F379" s="96" t="s">
        <v>312</v>
      </c>
      <c r="G379" s="96" t="s">
        <v>2135</v>
      </c>
      <c r="H379" s="96" t="s">
        <v>2136</v>
      </c>
      <c r="I379" s="96" t="s">
        <v>320</v>
      </c>
      <c r="J379" s="96" t="s">
        <v>754</v>
      </c>
      <c r="K379" s="96" t="s">
        <v>204</v>
      </c>
      <c r="L379" s="96" t="s">
        <v>263</v>
      </c>
      <c r="M379" s="96" t="s">
        <v>332</v>
      </c>
      <c r="N379" s="96" t="s">
        <v>313</v>
      </c>
      <c r="O379" s="96" t="s">
        <v>486</v>
      </c>
      <c r="P379" s="96" t="s">
        <v>338</v>
      </c>
      <c r="Q379" s="96" t="s">
        <v>2107</v>
      </c>
      <c r="R379" s="96" t="s">
        <v>430</v>
      </c>
      <c r="S379" s="96" t="s">
        <v>406</v>
      </c>
      <c r="T379" s="96" t="s">
        <v>1201</v>
      </c>
      <c r="U379" s="97">
        <v>4.8899999999999997</v>
      </c>
      <c r="V379" s="100">
        <v>48168</v>
      </c>
      <c r="W379" s="98">
        <v>6.7000000000000004E-2</v>
      </c>
      <c r="X379" s="98">
        <v>0.1014</v>
      </c>
      <c r="Y379" s="96" t="s">
        <v>411</v>
      </c>
      <c r="Z379" s="96"/>
      <c r="AA379" s="97">
        <v>224.390398</v>
      </c>
      <c r="AB379" s="97">
        <v>3.7589999999999999</v>
      </c>
      <c r="AC379" s="97">
        <v>86.198800000000006</v>
      </c>
      <c r="AD379" s="97"/>
      <c r="AE379" s="97">
        <v>0.72707299999999997</v>
      </c>
      <c r="AF379" s="96"/>
      <c r="AG379" s="96"/>
      <c r="AH379" s="96"/>
      <c r="AI379" s="98">
        <v>0</v>
      </c>
      <c r="AJ379" s="98">
        <v>5.5999999999999999E-5</v>
      </c>
      <c r="AK379" s="98">
        <v>1.2999999999999999E-5</v>
      </c>
      <c r="AL379" s="106"/>
    </row>
    <row r="380" spans="1:38" ht="15" customHeight="1">
      <c r="A380" s="106"/>
      <c r="B380" s="96">
        <v>286</v>
      </c>
      <c r="C380" s="96">
        <v>1445</v>
      </c>
      <c r="D380" s="96" t="s">
        <v>2168</v>
      </c>
      <c r="E380" s="96" t="s">
        <v>2169</v>
      </c>
      <c r="F380" s="96" t="s">
        <v>312</v>
      </c>
      <c r="G380" s="96" t="s">
        <v>2218</v>
      </c>
      <c r="H380" s="96" t="s">
        <v>2219</v>
      </c>
      <c r="I380" s="96" t="s">
        <v>320</v>
      </c>
      <c r="J380" s="96" t="s">
        <v>754</v>
      </c>
      <c r="K380" s="96" t="s">
        <v>204</v>
      </c>
      <c r="L380" s="96" t="s">
        <v>237</v>
      </c>
      <c r="M380" s="96" t="s">
        <v>324</v>
      </c>
      <c r="N380" s="96" t="s">
        <v>313</v>
      </c>
      <c r="O380" s="96" t="s">
        <v>539</v>
      </c>
      <c r="P380" s="96" t="s">
        <v>338</v>
      </c>
      <c r="Q380" s="96" t="s">
        <v>2172</v>
      </c>
      <c r="R380" s="96" t="s">
        <v>430</v>
      </c>
      <c r="S380" s="96" t="s">
        <v>406</v>
      </c>
      <c r="T380" s="96" t="s">
        <v>1202</v>
      </c>
      <c r="U380" s="97">
        <v>2.11</v>
      </c>
      <c r="V380" s="100">
        <v>46356</v>
      </c>
      <c r="W380" s="98">
        <v>4.4999999999999998E-2</v>
      </c>
      <c r="X380" s="98">
        <v>9.6100000000000005E-2</v>
      </c>
      <c r="Y380" s="96" t="s">
        <v>410</v>
      </c>
      <c r="Z380" s="96"/>
      <c r="AA380" s="97">
        <v>1165.664407</v>
      </c>
      <c r="AB380" s="97">
        <v>4.0202</v>
      </c>
      <c r="AC380" s="97">
        <v>90.209000000000003</v>
      </c>
      <c r="AD380" s="97"/>
      <c r="AE380" s="97">
        <v>4.2273769999999997</v>
      </c>
      <c r="AF380" s="96"/>
      <c r="AG380" s="96"/>
      <c r="AH380" s="96"/>
      <c r="AI380" s="98">
        <v>0</v>
      </c>
      <c r="AJ380" s="98">
        <v>3.2899999999999997E-4</v>
      </c>
      <c r="AK380" s="98">
        <v>8.0000000000000007E-5</v>
      </c>
      <c r="AL380" s="106"/>
    </row>
    <row r="381" spans="1:38" ht="15" customHeight="1">
      <c r="A381" s="106"/>
      <c r="B381" s="96">
        <v>286</v>
      </c>
      <c r="C381" s="96">
        <v>1445</v>
      </c>
      <c r="D381" s="96" t="s">
        <v>2173</v>
      </c>
      <c r="E381" s="96" t="s">
        <v>2174</v>
      </c>
      <c r="F381" s="96" t="s">
        <v>312</v>
      </c>
      <c r="G381" s="96" t="s">
        <v>2175</v>
      </c>
      <c r="H381" s="96" t="s">
        <v>2176</v>
      </c>
      <c r="I381" s="96" t="s">
        <v>320</v>
      </c>
      <c r="J381" s="96" t="s">
        <v>754</v>
      </c>
      <c r="K381" s="96" t="s">
        <v>204</v>
      </c>
      <c r="L381" s="96" t="s">
        <v>274</v>
      </c>
      <c r="M381" s="96" t="s">
        <v>332</v>
      </c>
      <c r="N381" s="96" t="s">
        <v>313</v>
      </c>
      <c r="O381" s="96" t="s">
        <v>567</v>
      </c>
      <c r="P381" s="96" t="s">
        <v>338</v>
      </c>
      <c r="Q381" s="96" t="s">
        <v>2177</v>
      </c>
      <c r="R381" s="96" t="s">
        <v>430</v>
      </c>
      <c r="S381" s="96" t="s">
        <v>406</v>
      </c>
      <c r="T381" s="96" t="s">
        <v>1202</v>
      </c>
      <c r="U381" s="97">
        <v>1.75</v>
      </c>
      <c r="V381" s="100">
        <v>46238</v>
      </c>
      <c r="W381" s="98">
        <v>3.6249999999999998E-2</v>
      </c>
      <c r="X381" s="98">
        <v>0.25559999999999999</v>
      </c>
      <c r="Y381" s="96" t="s">
        <v>410</v>
      </c>
      <c r="Z381" s="96"/>
      <c r="AA381" s="97">
        <v>222.64190099999999</v>
      </c>
      <c r="AB381" s="97">
        <v>4.0202</v>
      </c>
      <c r="AC381" s="97">
        <v>66.849299999999999</v>
      </c>
      <c r="AD381" s="97"/>
      <c r="AE381" s="97">
        <v>0.59834500000000002</v>
      </c>
      <c r="AF381" s="96"/>
      <c r="AG381" s="96"/>
      <c r="AH381" s="96"/>
      <c r="AI381" s="98">
        <v>0</v>
      </c>
      <c r="AJ381" s="98">
        <v>4.6E-5</v>
      </c>
      <c r="AK381" s="98">
        <v>1.1E-5</v>
      </c>
      <c r="AL381" s="106"/>
    </row>
    <row r="382" spans="1:38" ht="15" customHeight="1">
      <c r="A382" s="106"/>
      <c r="B382" s="96">
        <v>286</v>
      </c>
      <c r="C382" s="96">
        <v>1445</v>
      </c>
      <c r="D382" s="96" t="s">
        <v>2162</v>
      </c>
      <c r="E382" s="96" t="s">
        <v>2163</v>
      </c>
      <c r="F382" s="96" t="s">
        <v>312</v>
      </c>
      <c r="G382" s="96" t="s">
        <v>2220</v>
      </c>
      <c r="H382" s="96" t="s">
        <v>2221</v>
      </c>
      <c r="I382" s="96" t="s">
        <v>320</v>
      </c>
      <c r="J382" s="96" t="s">
        <v>754</v>
      </c>
      <c r="K382" s="96" t="s">
        <v>204</v>
      </c>
      <c r="L382" s="96" t="s">
        <v>223</v>
      </c>
      <c r="M382" s="96" t="s">
        <v>324</v>
      </c>
      <c r="N382" s="96" t="s">
        <v>343</v>
      </c>
      <c r="O382" s="96" t="s">
        <v>544</v>
      </c>
      <c r="P382" s="96" t="s">
        <v>338</v>
      </c>
      <c r="Q382" s="96" t="s">
        <v>2102</v>
      </c>
      <c r="R382" s="96" t="s">
        <v>422</v>
      </c>
      <c r="S382" s="96" t="s">
        <v>406</v>
      </c>
      <c r="T382" s="96" t="s">
        <v>1201</v>
      </c>
      <c r="U382" s="97">
        <v>6.14</v>
      </c>
      <c r="V382" s="100">
        <v>48274</v>
      </c>
      <c r="W382" s="98">
        <v>5.6000000000000001E-2</v>
      </c>
      <c r="X382" s="98">
        <v>5.45E-2</v>
      </c>
      <c r="Y382" s="96" t="s">
        <v>411</v>
      </c>
      <c r="Z382" s="96"/>
      <c r="AA382" s="97">
        <v>971.38700600000004</v>
      </c>
      <c r="AB382" s="97">
        <v>3.7589999999999999</v>
      </c>
      <c r="AC382" s="97">
        <v>101.3781</v>
      </c>
      <c r="AD382" s="97"/>
      <c r="AE382" s="97">
        <v>3.7017639999999998</v>
      </c>
      <c r="AF382" s="96"/>
      <c r="AG382" s="96"/>
      <c r="AH382" s="96"/>
      <c r="AI382" s="98">
        <v>9.9999999999999995E-7</v>
      </c>
      <c r="AJ382" s="98">
        <v>2.8800000000000001E-4</v>
      </c>
      <c r="AK382" s="98">
        <v>6.9999999999999994E-5</v>
      </c>
      <c r="AL382" s="106"/>
    </row>
    <row r="383" spans="1:38" ht="15" customHeight="1">
      <c r="A383" s="106"/>
      <c r="B383" s="96">
        <v>286</v>
      </c>
      <c r="C383" s="96">
        <v>1445</v>
      </c>
      <c r="D383" s="96" t="s">
        <v>2222</v>
      </c>
      <c r="E383" s="96" t="s">
        <v>2223</v>
      </c>
      <c r="F383" s="96" t="s">
        <v>312</v>
      </c>
      <c r="G383" s="96" t="s">
        <v>2224</v>
      </c>
      <c r="H383" s="96" t="s">
        <v>2225</v>
      </c>
      <c r="I383" s="96" t="s">
        <v>320</v>
      </c>
      <c r="J383" s="96" t="s">
        <v>754</v>
      </c>
      <c r="K383" s="96" t="s">
        <v>204</v>
      </c>
      <c r="L383" s="96" t="s">
        <v>280</v>
      </c>
      <c r="M383" s="96" t="s">
        <v>324</v>
      </c>
      <c r="N383" s="96" t="s">
        <v>363</v>
      </c>
      <c r="O383" s="96" t="s">
        <v>535</v>
      </c>
      <c r="P383" s="96" t="s">
        <v>338</v>
      </c>
      <c r="Q383" s="96" t="s">
        <v>2117</v>
      </c>
      <c r="R383" s="96" t="s">
        <v>430</v>
      </c>
      <c r="S383" s="96" t="s">
        <v>406</v>
      </c>
      <c r="T383" s="96" t="s">
        <v>1202</v>
      </c>
      <c r="U383" s="97">
        <v>4.76</v>
      </c>
      <c r="V383" s="100">
        <v>47645</v>
      </c>
      <c r="W383" s="98">
        <v>7.3749999999999996E-2</v>
      </c>
      <c r="X383" s="98">
        <v>6.5199999999999994E-2</v>
      </c>
      <c r="Y383" s="96" t="s">
        <v>410</v>
      </c>
      <c r="Z383" s="96"/>
      <c r="AA383" s="97">
        <v>1942.7740120000001</v>
      </c>
      <c r="AB383" s="97">
        <v>4.0202</v>
      </c>
      <c r="AC383" s="97">
        <v>104.5312</v>
      </c>
      <c r="AD383" s="97"/>
      <c r="AE383" s="97">
        <v>8.1642449999999993</v>
      </c>
      <c r="AF383" s="96"/>
      <c r="AG383" s="96"/>
      <c r="AH383" s="96"/>
      <c r="AI383" s="98">
        <v>9.9999999999999995E-7</v>
      </c>
      <c r="AJ383" s="98">
        <v>6.3599999999999996E-4</v>
      </c>
      <c r="AK383" s="98">
        <v>1.55E-4</v>
      </c>
      <c r="AL383" s="106"/>
    </row>
    <row r="384" spans="1:38" ht="15" customHeight="1">
      <c r="A384" s="106"/>
      <c r="B384" s="96">
        <v>286</v>
      </c>
      <c r="C384" s="96">
        <v>1445</v>
      </c>
      <c r="D384" s="96" t="s">
        <v>2098</v>
      </c>
      <c r="E384" s="96" t="s">
        <v>2099</v>
      </c>
      <c r="F384" s="96" t="s">
        <v>312</v>
      </c>
      <c r="G384" s="96" t="s">
        <v>2226</v>
      </c>
      <c r="H384" s="96" t="s">
        <v>2227</v>
      </c>
      <c r="I384" s="96" t="s">
        <v>320</v>
      </c>
      <c r="J384" s="96" t="s">
        <v>754</v>
      </c>
      <c r="K384" s="96" t="s">
        <v>204</v>
      </c>
      <c r="L384" s="96" t="s">
        <v>280</v>
      </c>
      <c r="M384" s="96" t="s">
        <v>324</v>
      </c>
      <c r="N384" s="96" t="s">
        <v>369</v>
      </c>
      <c r="O384" s="96" t="s">
        <v>553</v>
      </c>
      <c r="P384" s="96" t="s">
        <v>338</v>
      </c>
      <c r="Q384" s="96" t="s">
        <v>2228</v>
      </c>
      <c r="R384" s="96" t="s">
        <v>432</v>
      </c>
      <c r="S384" s="96" t="s">
        <v>406</v>
      </c>
      <c r="T384" s="96" t="s">
        <v>1205</v>
      </c>
      <c r="U384" s="97">
        <v>1.42</v>
      </c>
      <c r="V384" s="100">
        <v>46051</v>
      </c>
      <c r="W384" s="98">
        <v>0.06</v>
      </c>
      <c r="X384" s="98">
        <v>7.6999999999999999E-2</v>
      </c>
      <c r="Y384" s="96" t="s">
        <v>410</v>
      </c>
      <c r="Z384" s="96"/>
      <c r="AA384" s="97">
        <v>3225.00486</v>
      </c>
      <c r="AB384" s="97">
        <v>4.7504999999999997</v>
      </c>
      <c r="AC384" s="97">
        <v>100.03660000000001</v>
      </c>
      <c r="AD384" s="97"/>
      <c r="AE384" s="97">
        <v>15.326003</v>
      </c>
      <c r="AF384" s="96"/>
      <c r="AG384" s="96"/>
      <c r="AH384" s="96"/>
      <c r="AI384" s="98">
        <v>1.9999999999999999E-6</v>
      </c>
      <c r="AJ384" s="98">
        <v>1.1950000000000001E-3</v>
      </c>
      <c r="AK384" s="98">
        <v>2.9100000000000003E-4</v>
      </c>
      <c r="AL384" s="106"/>
    </row>
    <row r="385" spans="1:38" ht="15" customHeight="1">
      <c r="A385" s="106"/>
      <c r="B385" s="96">
        <v>286</v>
      </c>
      <c r="C385" s="96">
        <v>1445</v>
      </c>
      <c r="D385" s="96" t="s">
        <v>2113</v>
      </c>
      <c r="E385" s="96" t="s">
        <v>2114</v>
      </c>
      <c r="F385" s="96" t="s">
        <v>312</v>
      </c>
      <c r="G385" s="96" t="s">
        <v>2229</v>
      </c>
      <c r="H385" s="96" t="s">
        <v>2230</v>
      </c>
      <c r="I385" s="96" t="s">
        <v>320</v>
      </c>
      <c r="J385" s="96" t="s">
        <v>754</v>
      </c>
      <c r="K385" s="96" t="s">
        <v>204</v>
      </c>
      <c r="L385" s="96" t="s">
        <v>223</v>
      </c>
      <c r="M385" s="96" t="s">
        <v>324</v>
      </c>
      <c r="N385" s="96" t="s">
        <v>313</v>
      </c>
      <c r="O385" s="96" t="s">
        <v>530</v>
      </c>
      <c r="P385" s="96" t="s">
        <v>338</v>
      </c>
      <c r="Q385" s="96" t="s">
        <v>2117</v>
      </c>
      <c r="R385" s="96" t="s">
        <v>430</v>
      </c>
      <c r="S385" s="96" t="s">
        <v>406</v>
      </c>
      <c r="T385" s="96" t="s">
        <v>1201</v>
      </c>
      <c r="U385" s="97">
        <v>4.71</v>
      </c>
      <c r="V385" s="100">
        <v>45641</v>
      </c>
      <c r="W385" s="98">
        <v>4.6249999999999999E-2</v>
      </c>
      <c r="X385" s="98">
        <v>5.8200000000000002E-2</v>
      </c>
      <c r="Y385" s="96" t="s">
        <v>411</v>
      </c>
      <c r="Z385" s="96"/>
      <c r="AA385" s="97">
        <v>2477.036865</v>
      </c>
      <c r="AB385" s="97">
        <v>3.7589999999999999</v>
      </c>
      <c r="AC385" s="97">
        <v>94.651700000000005</v>
      </c>
      <c r="AD385" s="97"/>
      <c r="AE385" s="97">
        <v>8.8131920000000008</v>
      </c>
      <c r="AF385" s="96"/>
      <c r="AG385" s="96"/>
      <c r="AH385" s="96"/>
      <c r="AI385" s="98">
        <v>0</v>
      </c>
      <c r="AJ385" s="98">
        <v>6.87E-4</v>
      </c>
      <c r="AK385" s="98">
        <v>1.6699999999999999E-4</v>
      </c>
      <c r="AL385" s="106"/>
    </row>
    <row r="386" spans="1:38" ht="15" customHeight="1">
      <c r="A386" s="106"/>
      <c r="B386" s="96">
        <v>286</v>
      </c>
      <c r="C386" s="96">
        <v>1445</v>
      </c>
      <c r="D386" s="96" t="s">
        <v>2103</v>
      </c>
      <c r="E386" s="96" t="s">
        <v>2104</v>
      </c>
      <c r="F386" s="96" t="s">
        <v>312</v>
      </c>
      <c r="G386" s="96" t="s">
        <v>2231</v>
      </c>
      <c r="H386" s="96" t="s">
        <v>2232</v>
      </c>
      <c r="I386" s="96" t="s">
        <v>320</v>
      </c>
      <c r="J386" s="96" t="s">
        <v>754</v>
      </c>
      <c r="K386" s="96" t="s">
        <v>204</v>
      </c>
      <c r="L386" s="96" t="s">
        <v>263</v>
      </c>
      <c r="M386" s="96" t="s">
        <v>332</v>
      </c>
      <c r="N386" s="96" t="s">
        <v>313</v>
      </c>
      <c r="O386" s="96" t="s">
        <v>486</v>
      </c>
      <c r="P386" s="96" t="s">
        <v>338</v>
      </c>
      <c r="Q386" s="96" t="s">
        <v>2107</v>
      </c>
      <c r="R386" s="96" t="s">
        <v>430</v>
      </c>
      <c r="S386" s="96" t="s">
        <v>406</v>
      </c>
      <c r="T386" s="96" t="s">
        <v>1201</v>
      </c>
      <c r="U386" s="97">
        <v>5.47</v>
      </c>
      <c r="V386" s="100">
        <v>48525</v>
      </c>
      <c r="W386" s="98">
        <v>0.1</v>
      </c>
      <c r="X386" s="98">
        <v>9.9199999999999997E-2</v>
      </c>
      <c r="Y386" s="96" t="s">
        <v>411</v>
      </c>
      <c r="Z386" s="96"/>
      <c r="AA386" s="97">
        <v>2500.3501529999999</v>
      </c>
      <c r="AB386" s="97">
        <v>3.7589999999999999</v>
      </c>
      <c r="AC386" s="97">
        <v>104.4012</v>
      </c>
      <c r="AD386" s="97"/>
      <c r="AE386" s="97">
        <v>9.8124789999999997</v>
      </c>
      <c r="AF386" s="96"/>
      <c r="AG386" s="96"/>
      <c r="AH386" s="96"/>
      <c r="AI386" s="98">
        <v>9.9999999999999995E-7</v>
      </c>
      <c r="AJ386" s="98">
        <v>7.6499999999999995E-4</v>
      </c>
      <c r="AK386" s="98">
        <v>1.8599999999999999E-4</v>
      </c>
      <c r="AL386" s="106"/>
    </row>
    <row r="387" spans="1:38" ht="15" customHeight="1">
      <c r="A387" s="106"/>
      <c r="B387" s="96">
        <v>286</v>
      </c>
      <c r="C387" s="96">
        <v>1445</v>
      </c>
      <c r="D387" s="96" t="s">
        <v>2150</v>
      </c>
      <c r="E387" s="96" t="s">
        <v>2151</v>
      </c>
      <c r="F387" s="96" t="s">
        <v>312</v>
      </c>
      <c r="G387" s="96" t="s">
        <v>2233</v>
      </c>
      <c r="H387" s="96" t="s">
        <v>2234</v>
      </c>
      <c r="I387" s="96" t="s">
        <v>320</v>
      </c>
      <c r="J387" s="96" t="s">
        <v>754</v>
      </c>
      <c r="K387" s="96" t="s">
        <v>204</v>
      </c>
      <c r="L387" s="96" t="s">
        <v>223</v>
      </c>
      <c r="M387" s="96" t="s">
        <v>324</v>
      </c>
      <c r="N387" s="96" t="s">
        <v>313</v>
      </c>
      <c r="O387" s="96" t="s">
        <v>535</v>
      </c>
      <c r="P387" s="96" t="s">
        <v>338</v>
      </c>
      <c r="Q387" s="96" t="s">
        <v>2085</v>
      </c>
      <c r="R387" s="96" t="s">
        <v>430</v>
      </c>
      <c r="S387" s="96" t="s">
        <v>406</v>
      </c>
      <c r="T387" s="96" t="s">
        <v>1201</v>
      </c>
      <c r="U387" s="97">
        <v>6.75</v>
      </c>
      <c r="V387" s="100">
        <v>48724</v>
      </c>
      <c r="W387" s="98">
        <v>6.1740000000000003E-2</v>
      </c>
      <c r="X387" s="98">
        <v>5.9499999999999997E-2</v>
      </c>
      <c r="Y387" s="96" t="s">
        <v>411</v>
      </c>
      <c r="Z387" s="96"/>
      <c r="AA387" s="97">
        <v>3289.1164020000001</v>
      </c>
      <c r="AB387" s="97">
        <v>3.7589999999999999</v>
      </c>
      <c r="AC387" s="97">
        <v>102.1062</v>
      </c>
      <c r="AD387" s="97"/>
      <c r="AE387" s="97">
        <v>12.6242</v>
      </c>
      <c r="AF387" s="96"/>
      <c r="AG387" s="96"/>
      <c r="AH387" s="96"/>
      <c r="AI387" s="98">
        <v>9.9999999999999995E-7</v>
      </c>
      <c r="AJ387" s="98">
        <v>9.8400000000000007E-4</v>
      </c>
      <c r="AK387" s="98">
        <v>2.4000000000000001E-4</v>
      </c>
      <c r="AL387" s="106"/>
    </row>
    <row r="388" spans="1:38" ht="15" customHeight="1">
      <c r="A388" s="106"/>
      <c r="B388" s="96">
        <v>286</v>
      </c>
      <c r="C388" s="96">
        <v>1445</v>
      </c>
      <c r="D388" s="96" t="s">
        <v>2139</v>
      </c>
      <c r="E388" s="96" t="s">
        <v>2140</v>
      </c>
      <c r="F388" s="96" t="s">
        <v>312</v>
      </c>
      <c r="G388" s="96" t="s">
        <v>2235</v>
      </c>
      <c r="H388" s="96" t="s">
        <v>2236</v>
      </c>
      <c r="I388" s="96" t="s">
        <v>320</v>
      </c>
      <c r="J388" s="96" t="s">
        <v>754</v>
      </c>
      <c r="K388" s="96" t="s">
        <v>204</v>
      </c>
      <c r="L388" s="96" t="s">
        <v>263</v>
      </c>
      <c r="M388" s="96" t="s">
        <v>332</v>
      </c>
      <c r="N388" s="96" t="s">
        <v>313</v>
      </c>
      <c r="O388" s="96" t="s">
        <v>488</v>
      </c>
      <c r="P388" s="96" t="s">
        <v>338</v>
      </c>
      <c r="Q388" s="96" t="s">
        <v>2134</v>
      </c>
      <c r="R388" s="96" t="s">
        <v>422</v>
      </c>
      <c r="S388" s="96" t="s">
        <v>406</v>
      </c>
      <c r="T388" s="96" t="s">
        <v>1201</v>
      </c>
      <c r="U388" s="97">
        <v>1.76</v>
      </c>
      <c r="V388" s="100">
        <v>46181</v>
      </c>
      <c r="W388" s="98">
        <v>5.1249999999999997E-2</v>
      </c>
      <c r="X388" s="98">
        <v>7.2400000000000006E-2</v>
      </c>
      <c r="Y388" s="96" t="s">
        <v>410</v>
      </c>
      <c r="Z388" s="96"/>
      <c r="AA388" s="97">
        <v>135.99418</v>
      </c>
      <c r="AB388" s="97">
        <v>3.7589999999999999</v>
      </c>
      <c r="AC388" s="97">
        <v>100.43980000000001</v>
      </c>
      <c r="AD388" s="97"/>
      <c r="AE388" s="97">
        <v>0.51344999999999996</v>
      </c>
      <c r="AF388" s="96"/>
      <c r="AG388" s="96"/>
      <c r="AH388" s="96"/>
      <c r="AI388" s="98">
        <v>0</v>
      </c>
      <c r="AJ388" s="98">
        <v>4.0000000000000003E-5</v>
      </c>
      <c r="AK388" s="98">
        <v>9.0000000000000002E-6</v>
      </c>
      <c r="AL388" s="106"/>
    </row>
    <row r="389" spans="1:38" ht="15" customHeight="1">
      <c r="A389" s="106"/>
      <c r="B389" s="96">
        <v>286</v>
      </c>
      <c r="C389" s="96">
        <v>1445</v>
      </c>
      <c r="D389" s="96" t="s">
        <v>2139</v>
      </c>
      <c r="E389" s="96" t="s">
        <v>2140</v>
      </c>
      <c r="F389" s="96" t="s">
        <v>312</v>
      </c>
      <c r="G389" s="96" t="s">
        <v>2235</v>
      </c>
      <c r="H389" s="96" t="s">
        <v>2236</v>
      </c>
      <c r="I389" s="96" t="s">
        <v>320</v>
      </c>
      <c r="J389" s="96" t="s">
        <v>754</v>
      </c>
      <c r="K389" s="96" t="s">
        <v>204</v>
      </c>
      <c r="L389" s="96" t="s">
        <v>263</v>
      </c>
      <c r="M389" s="96" t="s">
        <v>324</v>
      </c>
      <c r="N389" s="96" t="s">
        <v>313</v>
      </c>
      <c r="O389" s="96" t="s">
        <v>488</v>
      </c>
      <c r="P389" s="96" t="s">
        <v>338</v>
      </c>
      <c r="Q389" s="96" t="s">
        <v>2134</v>
      </c>
      <c r="R389" s="96" t="s">
        <v>422</v>
      </c>
      <c r="S389" s="96" t="s">
        <v>406</v>
      </c>
      <c r="T389" s="96" t="s">
        <v>1201</v>
      </c>
      <c r="U389" s="97">
        <v>1.76</v>
      </c>
      <c r="V389" s="100">
        <v>46181</v>
      </c>
      <c r="W389" s="98">
        <v>5.1249999999999997E-2</v>
      </c>
      <c r="X389" s="98">
        <v>7.2400000000000006E-2</v>
      </c>
      <c r="Y389" s="96" t="s">
        <v>410</v>
      </c>
      <c r="Z389" s="96"/>
      <c r="AA389" s="97">
        <v>2001.0572320000001</v>
      </c>
      <c r="AB389" s="97">
        <v>3.7589999999999999</v>
      </c>
      <c r="AC389" s="97">
        <v>100.43980000000001</v>
      </c>
      <c r="AD389" s="97"/>
      <c r="AE389" s="97">
        <v>7.5550550000000003</v>
      </c>
      <c r="AF389" s="96"/>
      <c r="AG389" s="96"/>
      <c r="AH389" s="96"/>
      <c r="AI389" s="98">
        <v>1.9999999999999999E-6</v>
      </c>
      <c r="AJ389" s="98">
        <v>5.8900000000000001E-4</v>
      </c>
      <c r="AK389" s="98">
        <v>1.4300000000000001E-4</v>
      </c>
      <c r="AL389" s="106"/>
    </row>
    <row r="390" spans="1:38" ht="15" customHeight="1">
      <c r="A390" s="106"/>
      <c r="B390" s="96">
        <v>286</v>
      </c>
      <c r="C390" s="96">
        <v>1445</v>
      </c>
      <c r="D390" s="96" t="s">
        <v>2168</v>
      </c>
      <c r="E390" s="96" t="s">
        <v>2169</v>
      </c>
      <c r="F390" s="96" t="s">
        <v>312</v>
      </c>
      <c r="G390" s="96" t="s">
        <v>2237</v>
      </c>
      <c r="H390" s="96" t="s">
        <v>2238</v>
      </c>
      <c r="I390" s="96" t="s">
        <v>320</v>
      </c>
      <c r="J390" s="96" t="s">
        <v>754</v>
      </c>
      <c r="K390" s="96" t="s">
        <v>204</v>
      </c>
      <c r="L390" s="96" t="s">
        <v>237</v>
      </c>
      <c r="M390" s="96" t="s">
        <v>324</v>
      </c>
      <c r="N390" s="96" t="s">
        <v>313</v>
      </c>
      <c r="O390" s="96" t="s">
        <v>535</v>
      </c>
      <c r="P390" s="96" t="s">
        <v>338</v>
      </c>
      <c r="Q390" s="96" t="s">
        <v>2172</v>
      </c>
      <c r="R390" s="96" t="s">
        <v>430</v>
      </c>
      <c r="S390" s="96" t="s">
        <v>406</v>
      </c>
      <c r="T390" s="96" t="s">
        <v>1202</v>
      </c>
      <c r="U390" s="97">
        <v>3.09</v>
      </c>
      <c r="V390" s="100">
        <v>46722</v>
      </c>
      <c r="W390" s="98">
        <v>0.1</v>
      </c>
      <c r="X390" s="98">
        <v>7.5700000000000003E-2</v>
      </c>
      <c r="Y390" s="96" t="s">
        <v>410</v>
      </c>
      <c r="Z390" s="96"/>
      <c r="AA390" s="97">
        <v>4856.9350299999996</v>
      </c>
      <c r="AB390" s="97">
        <v>4.0202</v>
      </c>
      <c r="AC390" s="97">
        <v>109.43940000000001</v>
      </c>
      <c r="AD390" s="97"/>
      <c r="AE390" s="97">
        <v>21.368981000000002</v>
      </c>
      <c r="AF390" s="96"/>
      <c r="AG390" s="96"/>
      <c r="AH390" s="96"/>
      <c r="AI390" s="98">
        <v>3.0000000000000001E-6</v>
      </c>
      <c r="AJ390" s="98">
        <v>1.6670000000000001E-3</v>
      </c>
      <c r="AK390" s="98">
        <v>4.06E-4</v>
      </c>
      <c r="AL390" s="106"/>
    </row>
    <row r="391" spans="1:38" ht="15" customHeight="1">
      <c r="A391" s="106"/>
      <c r="B391" s="96">
        <v>286</v>
      </c>
      <c r="C391" s="96">
        <v>1445</v>
      </c>
      <c r="D391" s="96" t="s">
        <v>2194</v>
      </c>
      <c r="E391" s="96" t="s">
        <v>2195</v>
      </c>
      <c r="F391" s="96" t="s">
        <v>312</v>
      </c>
      <c r="G391" s="96" t="s">
        <v>2239</v>
      </c>
      <c r="H391" s="96" t="s">
        <v>2240</v>
      </c>
      <c r="I391" s="96" t="s">
        <v>320</v>
      </c>
      <c r="J391" s="96" t="s">
        <v>754</v>
      </c>
      <c r="K391" s="96" t="s">
        <v>204</v>
      </c>
      <c r="L391" s="96" t="s">
        <v>223</v>
      </c>
      <c r="M391" s="96" t="s">
        <v>324</v>
      </c>
      <c r="N391" s="96" t="s">
        <v>313</v>
      </c>
      <c r="O391" s="96" t="s">
        <v>518</v>
      </c>
      <c r="P391" s="96" t="s">
        <v>338</v>
      </c>
      <c r="Q391" s="96" t="s">
        <v>2090</v>
      </c>
      <c r="R391" s="96" t="s">
        <v>422</v>
      </c>
      <c r="S391" s="96" t="s">
        <v>406</v>
      </c>
      <c r="T391" s="96" t="s">
        <v>1201</v>
      </c>
      <c r="U391" s="97">
        <v>1.45</v>
      </c>
      <c r="V391" s="100">
        <v>46005</v>
      </c>
      <c r="W391" s="98">
        <v>2.375E-2</v>
      </c>
      <c r="X391" s="98">
        <v>0.06</v>
      </c>
      <c r="Y391" s="96" t="s">
        <v>411</v>
      </c>
      <c r="Z391" s="96"/>
      <c r="AA391" s="97">
        <v>388.554802</v>
      </c>
      <c r="AB391" s="97">
        <v>3.7589999999999999</v>
      </c>
      <c r="AC391" s="97">
        <v>95.8673</v>
      </c>
      <c r="AD391" s="97"/>
      <c r="AE391" s="97">
        <v>1.4002159999999999</v>
      </c>
      <c r="AF391" s="96"/>
      <c r="AG391" s="96"/>
      <c r="AH391" s="96"/>
      <c r="AI391" s="98">
        <v>0</v>
      </c>
      <c r="AJ391" s="98">
        <v>1.0900000000000001E-4</v>
      </c>
      <c r="AK391" s="98">
        <v>2.5999999999999998E-5</v>
      </c>
      <c r="AL391" s="106"/>
    </row>
    <row r="392" spans="1:38" ht="15" customHeight="1">
      <c r="A392" s="106"/>
      <c r="B392" s="96">
        <v>286</v>
      </c>
      <c r="C392" s="96">
        <v>1445</v>
      </c>
      <c r="D392" s="96" t="s">
        <v>2241</v>
      </c>
      <c r="E392" s="96" t="s">
        <v>2242</v>
      </c>
      <c r="F392" s="96" t="s">
        <v>312</v>
      </c>
      <c r="G392" s="96" t="s">
        <v>2243</v>
      </c>
      <c r="H392" s="96" t="s">
        <v>2244</v>
      </c>
      <c r="I392" s="96" t="s">
        <v>320</v>
      </c>
      <c r="J392" s="96" t="s">
        <v>754</v>
      </c>
      <c r="K392" s="96" t="s">
        <v>204</v>
      </c>
      <c r="L392" s="96" t="s">
        <v>223</v>
      </c>
      <c r="M392" s="96" t="s">
        <v>324</v>
      </c>
      <c r="N392" s="96" t="s">
        <v>313</v>
      </c>
      <c r="O392" s="96" t="s">
        <v>492</v>
      </c>
      <c r="P392" s="96" t="s">
        <v>338</v>
      </c>
      <c r="Q392" s="96" t="s">
        <v>2172</v>
      </c>
      <c r="R392" s="96" t="s">
        <v>430</v>
      </c>
      <c r="S392" s="96" t="s">
        <v>406</v>
      </c>
      <c r="T392" s="96" t="s">
        <v>1202</v>
      </c>
      <c r="U392" s="97">
        <v>4.34</v>
      </c>
      <c r="V392" s="100">
        <v>45506</v>
      </c>
      <c r="W392" s="98">
        <v>2.2499999999999999E-2</v>
      </c>
      <c r="X392" s="98">
        <v>4.4699999999999997E-2</v>
      </c>
      <c r="Y392" s="96" t="s">
        <v>411</v>
      </c>
      <c r="Z392" s="96"/>
      <c r="AA392" s="97">
        <v>4274.1028260000003</v>
      </c>
      <c r="AB392" s="97">
        <v>4.0202</v>
      </c>
      <c r="AC392" s="97">
        <v>92.447599999999994</v>
      </c>
      <c r="AD392" s="97"/>
      <c r="AE392" s="97">
        <v>15.885043</v>
      </c>
      <c r="AF392" s="96"/>
      <c r="AG392" s="96"/>
      <c r="AH392" s="96"/>
      <c r="AI392" s="98">
        <v>3.9999999999999998E-6</v>
      </c>
      <c r="AJ392" s="98">
        <v>1.2390000000000001E-3</v>
      </c>
      <c r="AK392" s="98">
        <v>3.0200000000000002E-4</v>
      </c>
      <c r="AL392" s="106"/>
    </row>
    <row r="393" spans="1:38" ht="15" customHeight="1">
      <c r="A393" s="106"/>
      <c r="B393" s="96">
        <v>286</v>
      </c>
      <c r="C393" s="96">
        <v>1445</v>
      </c>
      <c r="D393" s="96" t="s">
        <v>2145</v>
      </c>
      <c r="E393" s="96" t="s">
        <v>2146</v>
      </c>
      <c r="F393" s="96" t="s">
        <v>312</v>
      </c>
      <c r="G393" s="96" t="s">
        <v>2245</v>
      </c>
      <c r="H393" s="96" t="s">
        <v>2246</v>
      </c>
      <c r="I393" s="96" t="s">
        <v>320</v>
      </c>
      <c r="J393" s="96" t="s">
        <v>754</v>
      </c>
      <c r="K393" s="96" t="s">
        <v>204</v>
      </c>
      <c r="L393" s="96" t="s">
        <v>232</v>
      </c>
      <c r="M393" s="96" t="s">
        <v>324</v>
      </c>
      <c r="N393" s="96" t="s">
        <v>379</v>
      </c>
      <c r="O393" s="96" t="s">
        <v>535</v>
      </c>
      <c r="P393" s="96" t="s">
        <v>338</v>
      </c>
      <c r="Q393" s="96" t="s">
        <v>2247</v>
      </c>
      <c r="R393" s="96" t="s">
        <v>412</v>
      </c>
      <c r="S393" s="96" t="s">
        <v>406</v>
      </c>
      <c r="T393" s="96" t="s">
        <v>1202</v>
      </c>
      <c r="U393" s="97">
        <v>5.71</v>
      </c>
      <c r="V393" s="100">
        <v>47999</v>
      </c>
      <c r="W393" s="98">
        <v>4.9730000000000003E-2</v>
      </c>
      <c r="X393" s="98">
        <v>4.8899999999999999E-2</v>
      </c>
      <c r="Y393" s="96" t="s">
        <v>411</v>
      </c>
      <c r="Z393" s="96"/>
      <c r="AA393" s="97">
        <v>3496.9932210000002</v>
      </c>
      <c r="AB393" s="97">
        <v>4.0202</v>
      </c>
      <c r="AC393" s="97">
        <v>100.86539999999999</v>
      </c>
      <c r="AD393" s="97"/>
      <c r="AE393" s="97">
        <v>14.180277</v>
      </c>
      <c r="AF393" s="96"/>
      <c r="AG393" s="96"/>
      <c r="AH393" s="96"/>
      <c r="AI393" s="98">
        <v>1.9999999999999999E-6</v>
      </c>
      <c r="AJ393" s="98">
        <v>1.106E-3</v>
      </c>
      <c r="AK393" s="98">
        <v>2.7E-4</v>
      </c>
      <c r="AL393" s="106"/>
    </row>
    <row r="394" spans="1:38" ht="15" customHeight="1">
      <c r="A394" s="106"/>
      <c r="B394" s="96">
        <v>286</v>
      </c>
      <c r="C394" s="96">
        <v>1445</v>
      </c>
      <c r="D394" s="96" t="s">
        <v>2075</v>
      </c>
      <c r="E394" s="96" t="s">
        <v>2076</v>
      </c>
      <c r="F394" s="96" t="s">
        <v>312</v>
      </c>
      <c r="G394" s="96" t="s">
        <v>2077</v>
      </c>
      <c r="H394" s="96" t="s">
        <v>2078</v>
      </c>
      <c r="I394" s="96" t="s">
        <v>320</v>
      </c>
      <c r="J394" s="96" t="s">
        <v>754</v>
      </c>
      <c r="K394" s="96" t="s">
        <v>204</v>
      </c>
      <c r="L394" s="96" t="s">
        <v>206</v>
      </c>
      <c r="M394" s="96" t="s">
        <v>324</v>
      </c>
      <c r="N394" s="96" t="s">
        <v>313</v>
      </c>
      <c r="O394" s="96" t="s">
        <v>491</v>
      </c>
      <c r="P394" s="96" t="s">
        <v>338</v>
      </c>
      <c r="Q394" s="96" t="s">
        <v>1698</v>
      </c>
      <c r="R394" s="96" t="s">
        <v>422</v>
      </c>
      <c r="S394" s="96" t="s">
        <v>406</v>
      </c>
      <c r="T394" s="96" t="s">
        <v>1201</v>
      </c>
      <c r="U394" s="97">
        <v>3.81</v>
      </c>
      <c r="V394" s="100">
        <v>47041</v>
      </c>
      <c r="W394" s="98">
        <v>0.06</v>
      </c>
      <c r="X394" s="98">
        <v>5.9700000000000003E-2</v>
      </c>
      <c r="Y394" s="96" t="s">
        <v>411</v>
      </c>
      <c r="Z394" s="96"/>
      <c r="AA394" s="97">
        <v>196.22017500000001</v>
      </c>
      <c r="AB394" s="97">
        <v>3.7589999999999999</v>
      </c>
      <c r="AC394" s="97">
        <v>102.81789999999999</v>
      </c>
      <c r="AD394" s="97"/>
      <c r="AE394" s="97">
        <v>0.75837600000000005</v>
      </c>
      <c r="AF394" s="96"/>
      <c r="AG394" s="96"/>
      <c r="AH394" s="96"/>
      <c r="AI394" s="98">
        <v>0</v>
      </c>
      <c r="AJ394" s="98">
        <v>5.8999999999999998E-5</v>
      </c>
      <c r="AK394" s="98">
        <v>1.4E-5</v>
      </c>
      <c r="AL394" s="106"/>
    </row>
    <row r="395" spans="1:38" ht="15" customHeight="1">
      <c r="A395" s="106"/>
      <c r="B395" s="96">
        <v>286</v>
      </c>
      <c r="C395" s="96">
        <v>1445</v>
      </c>
      <c r="D395" s="96" t="s">
        <v>2248</v>
      </c>
      <c r="E395" s="96" t="s">
        <v>2249</v>
      </c>
      <c r="F395" s="96" t="s">
        <v>312</v>
      </c>
      <c r="G395" s="96" t="s">
        <v>2250</v>
      </c>
      <c r="H395" s="96" t="s">
        <v>2251</v>
      </c>
      <c r="I395" s="96" t="s">
        <v>320</v>
      </c>
      <c r="J395" s="96" t="s">
        <v>754</v>
      </c>
      <c r="K395" s="96" t="s">
        <v>204</v>
      </c>
      <c r="L395" s="96" t="s">
        <v>232</v>
      </c>
      <c r="M395" s="96" t="s">
        <v>324</v>
      </c>
      <c r="N395" s="96" t="s">
        <v>379</v>
      </c>
      <c r="O395" s="96" t="s">
        <v>549</v>
      </c>
      <c r="P395" s="96" t="s">
        <v>338</v>
      </c>
      <c r="Q395" s="96" t="s">
        <v>2090</v>
      </c>
      <c r="R395" s="96" t="s">
        <v>422</v>
      </c>
      <c r="S395" s="96" t="s">
        <v>406</v>
      </c>
      <c r="T395" s="96" t="s">
        <v>1202</v>
      </c>
      <c r="U395" s="97">
        <v>3.97</v>
      </c>
      <c r="V395" s="100">
        <v>47268</v>
      </c>
      <c r="W395" s="98">
        <v>6.5000000000000002E-2</v>
      </c>
      <c r="X395" s="98">
        <v>4.7300000000000002E-2</v>
      </c>
      <c r="Y395" s="96" t="s">
        <v>410</v>
      </c>
      <c r="Z395" s="96"/>
      <c r="AA395" s="97">
        <v>1942.7740120000001</v>
      </c>
      <c r="AB395" s="97">
        <v>4.0202</v>
      </c>
      <c r="AC395" s="97">
        <v>113.0939</v>
      </c>
      <c r="AD395" s="97"/>
      <c r="AE395" s="97">
        <v>8.8330210000000005</v>
      </c>
      <c r="AF395" s="96"/>
      <c r="AG395" s="96"/>
      <c r="AH395" s="96"/>
      <c r="AI395" s="98">
        <v>1.9999999999999999E-6</v>
      </c>
      <c r="AJ395" s="98">
        <v>6.8900000000000005E-4</v>
      </c>
      <c r="AK395" s="98">
        <v>1.6799999999999999E-4</v>
      </c>
      <c r="AL395" s="106"/>
    </row>
    <row r="396" spans="1:38" ht="15" customHeight="1">
      <c r="A396" s="106"/>
      <c r="B396" s="96">
        <v>286</v>
      </c>
      <c r="C396" s="96">
        <v>1445</v>
      </c>
      <c r="D396" s="96" t="s">
        <v>2252</v>
      </c>
      <c r="E396" s="96" t="s">
        <v>2253</v>
      </c>
      <c r="F396" s="96" t="s">
        <v>312</v>
      </c>
      <c r="G396" s="96" t="s">
        <v>2254</v>
      </c>
      <c r="H396" s="96" t="s">
        <v>2255</v>
      </c>
      <c r="I396" s="96" t="s">
        <v>320</v>
      </c>
      <c r="J396" s="96" t="s">
        <v>754</v>
      </c>
      <c r="K396" s="96" t="s">
        <v>204</v>
      </c>
      <c r="L396" s="96" t="s">
        <v>231</v>
      </c>
      <c r="M396" s="96" t="s">
        <v>324</v>
      </c>
      <c r="N396" s="96" t="s">
        <v>313</v>
      </c>
      <c r="O396" s="96" t="s">
        <v>524</v>
      </c>
      <c r="P396" s="96" t="s">
        <v>338</v>
      </c>
      <c r="Q396" s="96" t="s">
        <v>2112</v>
      </c>
      <c r="R396" s="96" t="s">
        <v>430</v>
      </c>
      <c r="S396" s="96" t="s">
        <v>406</v>
      </c>
      <c r="T396" s="96" t="s">
        <v>1201</v>
      </c>
      <c r="U396" s="97">
        <v>4.58</v>
      </c>
      <c r="V396" s="100">
        <v>45672</v>
      </c>
      <c r="W396" s="98">
        <v>5.5E-2</v>
      </c>
      <c r="X396" s="98">
        <v>5.8400000000000001E-2</v>
      </c>
      <c r="Y396" s="96" t="s">
        <v>411</v>
      </c>
      <c r="Z396" s="96"/>
      <c r="AA396" s="97">
        <v>1748.4966099999999</v>
      </c>
      <c r="AB396" s="97">
        <v>3.7589999999999999</v>
      </c>
      <c r="AC396" s="97">
        <v>100.94629999999999</v>
      </c>
      <c r="AD396" s="97"/>
      <c r="AE396" s="97">
        <v>6.6348000000000003</v>
      </c>
      <c r="AF396" s="96"/>
      <c r="AG396" s="96"/>
      <c r="AH396" s="96"/>
      <c r="AI396" s="98">
        <v>9.9999999999999995E-7</v>
      </c>
      <c r="AJ396" s="98">
        <v>5.1699999999999999E-4</v>
      </c>
      <c r="AK396" s="98">
        <v>1.25E-4</v>
      </c>
      <c r="AL396" s="106"/>
    </row>
    <row r="397" spans="1:38" ht="15" customHeight="1">
      <c r="A397" s="106"/>
      <c r="B397" s="96">
        <v>286</v>
      </c>
      <c r="C397" s="96">
        <v>1445</v>
      </c>
      <c r="D397" s="96" t="s">
        <v>2070</v>
      </c>
      <c r="E397" s="96" t="s">
        <v>2071</v>
      </c>
      <c r="F397" s="96" t="s">
        <v>312</v>
      </c>
      <c r="G397" s="96" t="s">
        <v>2256</v>
      </c>
      <c r="H397" s="96" t="s">
        <v>2257</v>
      </c>
      <c r="I397" s="96" t="s">
        <v>320</v>
      </c>
      <c r="J397" s="96" t="s">
        <v>754</v>
      </c>
      <c r="K397" s="96" t="s">
        <v>204</v>
      </c>
      <c r="L397" s="96" t="s">
        <v>223</v>
      </c>
      <c r="M397" s="96" t="s">
        <v>324</v>
      </c>
      <c r="N397" s="96" t="s">
        <v>313</v>
      </c>
      <c r="O397" s="96" t="s">
        <v>535</v>
      </c>
      <c r="P397" s="96" t="s">
        <v>338</v>
      </c>
      <c r="Q397" s="96" t="s">
        <v>2258</v>
      </c>
      <c r="R397" s="96" t="s">
        <v>432</v>
      </c>
      <c r="S397" s="96" t="s">
        <v>406</v>
      </c>
      <c r="T397" s="96" t="s">
        <v>1201</v>
      </c>
      <c r="U397" s="97">
        <v>6.48</v>
      </c>
      <c r="V397" s="100">
        <v>48238</v>
      </c>
      <c r="W397" s="98">
        <v>2.963E-2</v>
      </c>
      <c r="X397" s="98">
        <v>5.3699999999999998E-2</v>
      </c>
      <c r="Y397" s="96" t="s">
        <v>411</v>
      </c>
      <c r="Z397" s="96"/>
      <c r="AA397" s="97">
        <v>3302.7158199999999</v>
      </c>
      <c r="AB397" s="97">
        <v>3.7589999999999999</v>
      </c>
      <c r="AC397" s="97">
        <v>86.452100000000002</v>
      </c>
      <c r="AD397" s="97"/>
      <c r="AE397" s="97">
        <v>10.732961</v>
      </c>
      <c r="AF397" s="96"/>
      <c r="AG397" s="96"/>
      <c r="AH397" s="96"/>
      <c r="AI397" s="98">
        <v>0</v>
      </c>
      <c r="AJ397" s="98">
        <v>8.3699999999999996E-4</v>
      </c>
      <c r="AK397" s="98">
        <v>2.04E-4</v>
      </c>
      <c r="AL397" s="106"/>
    </row>
    <row r="398" spans="1:38" ht="15" customHeight="1">
      <c r="A398" s="106"/>
      <c r="B398" s="96">
        <v>286</v>
      </c>
      <c r="C398" s="96">
        <v>1445</v>
      </c>
      <c r="D398" s="96" t="s">
        <v>2103</v>
      </c>
      <c r="E398" s="96" t="s">
        <v>2104</v>
      </c>
      <c r="F398" s="96" t="s">
        <v>312</v>
      </c>
      <c r="G398" s="96" t="s">
        <v>2231</v>
      </c>
      <c r="H398" s="96" t="s">
        <v>2232</v>
      </c>
      <c r="I398" s="96" t="s">
        <v>320</v>
      </c>
      <c r="J398" s="96" t="s">
        <v>754</v>
      </c>
      <c r="K398" s="96" t="s">
        <v>204</v>
      </c>
      <c r="L398" s="96" t="s">
        <v>263</v>
      </c>
      <c r="M398" s="96" t="s">
        <v>324</v>
      </c>
      <c r="N398" s="96" t="s">
        <v>313</v>
      </c>
      <c r="O398" s="96" t="s">
        <v>486</v>
      </c>
      <c r="P398" s="96" t="s">
        <v>338</v>
      </c>
      <c r="Q398" s="96" t="s">
        <v>2107</v>
      </c>
      <c r="R398" s="96" t="s">
        <v>430</v>
      </c>
      <c r="S398" s="96" t="s">
        <v>406</v>
      </c>
      <c r="T398" s="96" t="s">
        <v>1201</v>
      </c>
      <c r="U398" s="97">
        <v>5.47</v>
      </c>
      <c r="V398" s="100">
        <v>48525</v>
      </c>
      <c r="W398" s="98">
        <v>0.1</v>
      </c>
      <c r="X398" s="98">
        <v>9.9199999999999997E-2</v>
      </c>
      <c r="Y398" s="96" t="s">
        <v>411</v>
      </c>
      <c r="Z398" s="96"/>
      <c r="AA398" s="97">
        <v>25.256062</v>
      </c>
      <c r="AB398" s="97">
        <v>3.7589999999999999</v>
      </c>
      <c r="AC398" s="97">
        <v>104.4012</v>
      </c>
      <c r="AD398" s="97"/>
      <c r="AE398" s="97">
        <v>9.9114999999999995E-2</v>
      </c>
      <c r="AF398" s="96"/>
      <c r="AG398" s="96"/>
      <c r="AH398" s="96"/>
      <c r="AI398" s="98">
        <v>0</v>
      </c>
      <c r="AJ398" s="98">
        <v>6.9999999999999999E-6</v>
      </c>
      <c r="AK398" s="98">
        <v>9.9999999999999995E-7</v>
      </c>
      <c r="AL398" s="106"/>
    </row>
    <row r="399" spans="1:38" ht="15" customHeight="1">
      <c r="A399" s="106"/>
      <c r="B399" s="96">
        <v>286</v>
      </c>
      <c r="C399" s="96">
        <v>1445</v>
      </c>
      <c r="D399" s="96" t="s">
        <v>2259</v>
      </c>
      <c r="E399" s="96" t="s">
        <v>2260</v>
      </c>
      <c r="F399" s="96" t="s">
        <v>312</v>
      </c>
      <c r="G399" s="96" t="s">
        <v>2261</v>
      </c>
      <c r="H399" s="96" t="s">
        <v>2262</v>
      </c>
      <c r="I399" s="96" t="s">
        <v>320</v>
      </c>
      <c r="J399" s="96" t="s">
        <v>754</v>
      </c>
      <c r="K399" s="96" t="s">
        <v>204</v>
      </c>
      <c r="L399" s="96" t="s">
        <v>280</v>
      </c>
      <c r="M399" s="96" t="s">
        <v>324</v>
      </c>
      <c r="N399" s="96" t="s">
        <v>363</v>
      </c>
      <c r="O399" s="96" t="s">
        <v>486</v>
      </c>
      <c r="P399" s="96" t="s">
        <v>338</v>
      </c>
      <c r="Q399" s="96" t="s">
        <v>2263</v>
      </c>
      <c r="R399" s="96" t="s">
        <v>430</v>
      </c>
      <c r="S399" s="96" t="s">
        <v>406</v>
      </c>
      <c r="T399" s="96" t="s">
        <v>1202</v>
      </c>
      <c r="U399" s="97">
        <v>5.26</v>
      </c>
      <c r="V399" s="100">
        <v>47638</v>
      </c>
      <c r="W399" s="98">
        <v>0.02</v>
      </c>
      <c r="X399" s="98">
        <v>4.6800000000000001E-2</v>
      </c>
      <c r="Y399" s="96" t="s">
        <v>410</v>
      </c>
      <c r="Z399" s="96"/>
      <c r="AA399" s="97">
        <v>6527.7206800000004</v>
      </c>
      <c r="AB399" s="97">
        <v>4.0202</v>
      </c>
      <c r="AC399" s="97">
        <v>88.042400000000001</v>
      </c>
      <c r="AD399" s="97"/>
      <c r="AE399" s="97">
        <v>23.104752000000001</v>
      </c>
      <c r="AF399" s="96"/>
      <c r="AG399" s="96"/>
      <c r="AH399" s="96"/>
      <c r="AI399" s="98">
        <v>6.0000000000000002E-6</v>
      </c>
      <c r="AJ399" s="98">
        <v>1.802E-3</v>
      </c>
      <c r="AK399" s="98">
        <v>4.3899999999999999E-4</v>
      </c>
      <c r="AL399" s="106"/>
    </row>
    <row r="400" spans="1:38" ht="15" customHeight="1">
      <c r="A400" s="106"/>
      <c r="B400" s="96">
        <v>286</v>
      </c>
      <c r="C400" s="96">
        <v>1445</v>
      </c>
      <c r="D400" s="96" t="s">
        <v>2264</v>
      </c>
      <c r="E400" s="96" t="s">
        <v>2265</v>
      </c>
      <c r="F400" s="96" t="s">
        <v>312</v>
      </c>
      <c r="G400" s="96" t="s">
        <v>2266</v>
      </c>
      <c r="H400" s="96" t="s">
        <v>2267</v>
      </c>
      <c r="I400" s="96" t="s">
        <v>320</v>
      </c>
      <c r="J400" s="96" t="s">
        <v>754</v>
      </c>
      <c r="K400" s="96" t="s">
        <v>204</v>
      </c>
      <c r="L400" s="96" t="s">
        <v>237</v>
      </c>
      <c r="M400" s="96" t="s">
        <v>324</v>
      </c>
      <c r="N400" s="96" t="s">
        <v>313</v>
      </c>
      <c r="O400" s="96" t="s">
        <v>557</v>
      </c>
      <c r="P400" s="96" t="s">
        <v>338</v>
      </c>
      <c r="Q400" s="96" t="s">
        <v>2117</v>
      </c>
      <c r="R400" s="96" t="s">
        <v>430</v>
      </c>
      <c r="S400" s="96" t="s">
        <v>406</v>
      </c>
      <c r="T400" s="96" t="s">
        <v>1201</v>
      </c>
      <c r="U400" s="97">
        <v>1.58</v>
      </c>
      <c r="V400" s="100">
        <v>46111</v>
      </c>
      <c r="W400" s="98">
        <v>6.6250000000000003E-2</v>
      </c>
      <c r="X400" s="98">
        <v>6.1699999999999998E-2</v>
      </c>
      <c r="Y400" s="96" t="s">
        <v>410</v>
      </c>
      <c r="Z400" s="96"/>
      <c r="AA400" s="97">
        <v>6226.2021539999996</v>
      </c>
      <c r="AB400" s="97">
        <v>3.7589999999999999</v>
      </c>
      <c r="AC400" s="97">
        <v>102.3462</v>
      </c>
      <c r="AD400" s="97"/>
      <c r="AE400" s="97">
        <v>23.953417000000002</v>
      </c>
      <c r="AF400" s="96"/>
      <c r="AG400" s="96"/>
      <c r="AH400" s="96"/>
      <c r="AI400" s="98">
        <v>1.9000000000000001E-5</v>
      </c>
      <c r="AJ400" s="98">
        <v>1.8680000000000001E-3</v>
      </c>
      <c r="AK400" s="98">
        <v>4.5600000000000003E-4</v>
      </c>
      <c r="AL400" s="106"/>
    </row>
    <row r="401" spans="1:38" ht="15" customHeight="1">
      <c r="A401" s="106"/>
      <c r="B401" s="96">
        <v>286</v>
      </c>
      <c r="C401" s="96">
        <v>1445</v>
      </c>
      <c r="D401" s="96" t="s">
        <v>2268</v>
      </c>
      <c r="E401" s="96" t="s">
        <v>2269</v>
      </c>
      <c r="F401" s="96" t="s">
        <v>312</v>
      </c>
      <c r="G401" s="96" t="s">
        <v>2270</v>
      </c>
      <c r="H401" s="96" t="s">
        <v>2271</v>
      </c>
      <c r="I401" s="96" t="s">
        <v>320</v>
      </c>
      <c r="J401" s="96" t="s">
        <v>754</v>
      </c>
      <c r="K401" s="96" t="s">
        <v>204</v>
      </c>
      <c r="L401" s="96" t="s">
        <v>211</v>
      </c>
      <c r="M401" s="96" t="s">
        <v>324</v>
      </c>
      <c r="N401" s="96" t="s">
        <v>313</v>
      </c>
      <c r="O401" s="96" t="s">
        <v>486</v>
      </c>
      <c r="P401" s="96" t="s">
        <v>338</v>
      </c>
      <c r="Q401" s="96" t="s">
        <v>2112</v>
      </c>
      <c r="R401" s="96" t="s">
        <v>430</v>
      </c>
      <c r="S401" s="96" t="s">
        <v>406</v>
      </c>
      <c r="T401" s="96" t="s">
        <v>1202</v>
      </c>
      <c r="U401" s="97">
        <v>4.3499999999999996</v>
      </c>
      <c r="V401" s="100">
        <v>47312</v>
      </c>
      <c r="W401" s="98">
        <v>3.3750000000000002E-2</v>
      </c>
      <c r="X401" s="98">
        <v>5.0299999999999997E-2</v>
      </c>
      <c r="Y401" s="96" t="s">
        <v>410</v>
      </c>
      <c r="Z401" s="96"/>
      <c r="AA401" s="97">
        <v>1942.7740120000001</v>
      </c>
      <c r="AB401" s="97">
        <v>4.0202</v>
      </c>
      <c r="AC401" s="97">
        <v>95.140799999999999</v>
      </c>
      <c r="AD401" s="97"/>
      <c r="AE401" s="97">
        <v>7.4308249999999996</v>
      </c>
      <c r="AF401" s="96"/>
      <c r="AG401" s="96"/>
      <c r="AH401" s="96"/>
      <c r="AI401" s="98">
        <v>9.9999999999999995E-7</v>
      </c>
      <c r="AJ401" s="98">
        <v>5.7899999999999998E-4</v>
      </c>
      <c r="AK401" s="98">
        <v>1.4100000000000001E-4</v>
      </c>
      <c r="AL401" s="106"/>
    </row>
    <row r="402" spans="1:38" ht="15" customHeight="1">
      <c r="A402" s="106"/>
      <c r="B402" s="96">
        <v>286</v>
      </c>
      <c r="C402" s="96">
        <v>1445</v>
      </c>
      <c r="D402" s="96" t="s">
        <v>2086</v>
      </c>
      <c r="E402" s="96" t="s">
        <v>2087</v>
      </c>
      <c r="F402" s="96" t="s">
        <v>312</v>
      </c>
      <c r="G402" s="96" t="s">
        <v>2272</v>
      </c>
      <c r="H402" s="96" t="s">
        <v>2273</v>
      </c>
      <c r="I402" s="96" t="s">
        <v>320</v>
      </c>
      <c r="J402" s="96" t="s">
        <v>955</v>
      </c>
      <c r="K402" s="96" t="s">
        <v>204</v>
      </c>
      <c r="L402" s="96" t="s">
        <v>232</v>
      </c>
      <c r="M402" s="96" t="s">
        <v>324</v>
      </c>
      <c r="N402" s="96" t="s">
        <v>369</v>
      </c>
      <c r="O402" s="96" t="s">
        <v>536</v>
      </c>
      <c r="P402" s="96" t="s">
        <v>338</v>
      </c>
      <c r="Q402" s="96" t="s">
        <v>2090</v>
      </c>
      <c r="R402" s="96" t="s">
        <v>432</v>
      </c>
      <c r="S402" s="96" t="s">
        <v>406</v>
      </c>
      <c r="T402" s="96" t="s">
        <v>1205</v>
      </c>
      <c r="U402" s="97">
        <v>0.92</v>
      </c>
      <c r="V402" s="100">
        <v>45646</v>
      </c>
      <c r="W402" s="98">
        <v>5.8749999999999997E-2</v>
      </c>
      <c r="X402" s="98">
        <v>6.4500000000000002E-2</v>
      </c>
      <c r="Y402" s="96" t="s">
        <v>410</v>
      </c>
      <c r="Z402" s="96"/>
      <c r="AA402" s="97">
        <v>6556.8622910000004</v>
      </c>
      <c r="AB402" s="97">
        <v>4.7504999999999997</v>
      </c>
      <c r="AC402" s="97">
        <v>99.619500000000002</v>
      </c>
      <c r="AD402" s="97"/>
      <c r="AE402" s="97">
        <v>31.029859999999999</v>
      </c>
      <c r="AF402" s="96"/>
      <c r="AG402" s="96"/>
      <c r="AH402" s="96"/>
      <c r="AI402" s="98">
        <v>1.0000000000000001E-5</v>
      </c>
      <c r="AJ402" s="98">
        <v>2.4199999999999998E-3</v>
      </c>
      <c r="AK402" s="98">
        <v>5.9000000000000003E-4</v>
      </c>
      <c r="AL402" s="106"/>
    </row>
    <row r="403" spans="1:38" ht="15" customHeight="1">
      <c r="A403" s="106"/>
      <c r="B403" s="96">
        <v>286</v>
      </c>
      <c r="C403" s="96">
        <v>1445</v>
      </c>
      <c r="D403" s="96" t="s">
        <v>2274</v>
      </c>
      <c r="E403" s="96" t="s">
        <v>2275</v>
      </c>
      <c r="F403" s="96" t="s">
        <v>312</v>
      </c>
      <c r="G403" s="96" t="s">
        <v>2276</v>
      </c>
      <c r="H403" s="96" t="s">
        <v>2277</v>
      </c>
      <c r="I403" s="96" t="s">
        <v>320</v>
      </c>
      <c r="J403" s="96" t="s">
        <v>754</v>
      </c>
      <c r="K403" s="96" t="s">
        <v>204</v>
      </c>
      <c r="L403" s="96" t="s">
        <v>231</v>
      </c>
      <c r="M403" s="96" t="s">
        <v>324</v>
      </c>
      <c r="N403" s="96" t="s">
        <v>313</v>
      </c>
      <c r="O403" s="96" t="s">
        <v>539</v>
      </c>
      <c r="P403" s="96" t="s">
        <v>338</v>
      </c>
      <c r="Q403" s="96" t="s">
        <v>2090</v>
      </c>
      <c r="R403" s="96" t="s">
        <v>422</v>
      </c>
      <c r="S403" s="96" t="s">
        <v>406</v>
      </c>
      <c r="T403" s="96" t="s">
        <v>1201</v>
      </c>
      <c r="U403" s="97">
        <v>5.97</v>
      </c>
      <c r="V403" s="100">
        <v>48111</v>
      </c>
      <c r="W403" s="98">
        <v>4.1250000000000002E-2</v>
      </c>
      <c r="X403" s="98">
        <v>6.2899999999999998E-2</v>
      </c>
      <c r="Y403" s="96" t="s">
        <v>411</v>
      </c>
      <c r="Z403" s="96"/>
      <c r="AA403" s="97">
        <v>5575.7614139999996</v>
      </c>
      <c r="AB403" s="97">
        <v>3.7589999999999999</v>
      </c>
      <c r="AC403" s="97">
        <v>88.734800000000007</v>
      </c>
      <c r="AD403" s="97"/>
      <c r="AE403" s="97">
        <v>18.598188</v>
      </c>
      <c r="AF403" s="96"/>
      <c r="AG403" s="96"/>
      <c r="AH403" s="96"/>
      <c r="AI403" s="98">
        <v>6.9999999999999999E-6</v>
      </c>
      <c r="AJ403" s="98">
        <v>1.451E-3</v>
      </c>
      <c r="AK403" s="98">
        <v>3.5399999999999999E-4</v>
      </c>
      <c r="AL403" s="106"/>
    </row>
    <row r="404" spans="1:38" ht="15" customHeight="1">
      <c r="A404" s="106"/>
      <c r="B404" s="96">
        <v>286</v>
      </c>
      <c r="C404" s="96">
        <v>1445</v>
      </c>
      <c r="D404" s="96" t="s">
        <v>2075</v>
      </c>
      <c r="E404" s="96" t="s">
        <v>2076</v>
      </c>
      <c r="F404" s="96" t="s">
        <v>312</v>
      </c>
      <c r="G404" s="96" t="s">
        <v>2166</v>
      </c>
      <c r="H404" s="96" t="s">
        <v>2167</v>
      </c>
      <c r="I404" s="96" t="s">
        <v>320</v>
      </c>
      <c r="J404" s="96" t="s">
        <v>754</v>
      </c>
      <c r="K404" s="96" t="s">
        <v>204</v>
      </c>
      <c r="L404" s="96" t="s">
        <v>231</v>
      </c>
      <c r="M404" s="96" t="s">
        <v>324</v>
      </c>
      <c r="N404" s="96" t="s">
        <v>343</v>
      </c>
      <c r="O404" s="96" t="s">
        <v>491</v>
      </c>
      <c r="P404" s="96" t="s">
        <v>338</v>
      </c>
      <c r="Q404" s="96" t="s">
        <v>1698</v>
      </c>
      <c r="R404" s="96" t="s">
        <v>422</v>
      </c>
      <c r="S404" s="96" t="s">
        <v>406</v>
      </c>
      <c r="T404" s="96" t="s">
        <v>1201</v>
      </c>
      <c r="U404" s="97">
        <v>4.62</v>
      </c>
      <c r="V404" s="100">
        <v>47406</v>
      </c>
      <c r="W404" s="98">
        <v>0.05</v>
      </c>
      <c r="X404" s="98">
        <v>6.0600000000000001E-2</v>
      </c>
      <c r="Y404" s="96" t="s">
        <v>411</v>
      </c>
      <c r="Z404" s="96"/>
      <c r="AA404" s="97">
        <v>2914.1610179999998</v>
      </c>
      <c r="AB404" s="97">
        <v>3.7589999999999999</v>
      </c>
      <c r="AC404" s="97">
        <v>97.357600000000005</v>
      </c>
      <c r="AD404" s="97"/>
      <c r="AE404" s="97">
        <v>10.664880999999999</v>
      </c>
      <c r="AF404" s="96"/>
      <c r="AG404" s="96"/>
      <c r="AH404" s="96"/>
      <c r="AI404" s="98">
        <v>1.9999999999999999E-6</v>
      </c>
      <c r="AJ404" s="98">
        <v>8.3199999999999995E-4</v>
      </c>
      <c r="AK404" s="98">
        <v>2.03E-4</v>
      </c>
      <c r="AL404" s="106"/>
    </row>
    <row r="405" spans="1:38" ht="15" customHeight="1">
      <c r="A405" s="106"/>
      <c r="B405" s="96">
        <v>286</v>
      </c>
      <c r="C405" s="96">
        <v>1445</v>
      </c>
      <c r="D405" s="96" t="s">
        <v>2252</v>
      </c>
      <c r="E405" s="96" t="s">
        <v>2253</v>
      </c>
      <c r="F405" s="96" t="s">
        <v>312</v>
      </c>
      <c r="G405" s="96" t="s">
        <v>2278</v>
      </c>
      <c r="H405" s="96" t="s">
        <v>2279</v>
      </c>
      <c r="I405" s="96" t="s">
        <v>320</v>
      </c>
      <c r="J405" s="96" t="s">
        <v>754</v>
      </c>
      <c r="K405" s="96" t="s">
        <v>204</v>
      </c>
      <c r="L405" s="96" t="s">
        <v>231</v>
      </c>
      <c r="M405" s="96" t="s">
        <v>324</v>
      </c>
      <c r="N405" s="96" t="s">
        <v>313</v>
      </c>
      <c r="O405" s="96" t="s">
        <v>524</v>
      </c>
      <c r="P405" s="96" t="s">
        <v>338</v>
      </c>
      <c r="Q405" s="96" t="s">
        <v>1698</v>
      </c>
      <c r="R405" s="96" t="s">
        <v>422</v>
      </c>
      <c r="S405" s="96" t="s">
        <v>406</v>
      </c>
      <c r="T405" s="96" t="s">
        <v>1201</v>
      </c>
      <c r="U405" s="97">
        <v>6.26</v>
      </c>
      <c r="V405" s="100">
        <v>46402</v>
      </c>
      <c r="W405" s="98">
        <v>3.6249999999999998E-2</v>
      </c>
      <c r="X405" s="98">
        <v>5.9299999999999999E-2</v>
      </c>
      <c r="Y405" s="96" t="s">
        <v>411</v>
      </c>
      <c r="Z405" s="96"/>
      <c r="AA405" s="97">
        <v>4837.5072899999996</v>
      </c>
      <c r="AB405" s="97">
        <v>3.7589999999999999</v>
      </c>
      <c r="AC405" s="97">
        <v>87.7774</v>
      </c>
      <c r="AD405" s="97"/>
      <c r="AE405" s="97">
        <v>15.961619000000001</v>
      </c>
      <c r="AF405" s="96"/>
      <c r="AG405" s="96"/>
      <c r="AH405" s="96"/>
      <c r="AI405" s="98">
        <v>5.0000000000000004E-6</v>
      </c>
      <c r="AJ405" s="98">
        <v>1.245E-3</v>
      </c>
      <c r="AK405" s="98">
        <v>3.0299999999999999E-4</v>
      </c>
      <c r="AL405" s="106"/>
    </row>
    <row r="406" spans="1:38" ht="15" customHeight="1">
      <c r="A406" s="106"/>
      <c r="B406" s="96">
        <v>286</v>
      </c>
      <c r="C406" s="96">
        <v>1445</v>
      </c>
      <c r="D406" s="96" t="s">
        <v>2091</v>
      </c>
      <c r="E406" s="96" t="s">
        <v>2092</v>
      </c>
      <c r="F406" s="96" t="s">
        <v>312</v>
      </c>
      <c r="G406" s="96" t="s">
        <v>2280</v>
      </c>
      <c r="H406" s="96" t="s">
        <v>2281</v>
      </c>
      <c r="I406" s="96" t="s">
        <v>320</v>
      </c>
      <c r="J406" s="96" t="s">
        <v>754</v>
      </c>
      <c r="K406" s="96" t="s">
        <v>204</v>
      </c>
      <c r="L406" s="96" t="s">
        <v>280</v>
      </c>
      <c r="M406" s="96" t="s">
        <v>324</v>
      </c>
      <c r="N406" s="96" t="s">
        <v>313</v>
      </c>
      <c r="O406" s="96" t="s">
        <v>535</v>
      </c>
      <c r="P406" s="96" t="s">
        <v>338</v>
      </c>
      <c r="Q406" s="96" t="s">
        <v>2263</v>
      </c>
      <c r="R406" s="96" t="s">
        <v>430</v>
      </c>
      <c r="S406" s="96" t="s">
        <v>406</v>
      </c>
      <c r="T406" s="96" t="s">
        <v>1201</v>
      </c>
      <c r="U406" s="97">
        <v>3.86</v>
      </c>
      <c r="V406" s="100">
        <v>47128</v>
      </c>
      <c r="W406" s="98">
        <v>5.3350000000000002E-2</v>
      </c>
      <c r="X406" s="98">
        <v>5.5399999999999998E-2</v>
      </c>
      <c r="Y406" s="96" t="s">
        <v>411</v>
      </c>
      <c r="Z406" s="96"/>
      <c r="AA406" s="97">
        <v>5828.3220359999996</v>
      </c>
      <c r="AB406" s="97">
        <v>3.7589999999999999</v>
      </c>
      <c r="AC406" s="97">
        <v>101.72490000000001</v>
      </c>
      <c r="AD406" s="97"/>
      <c r="AE406" s="97">
        <v>22.286574000000002</v>
      </c>
      <c r="AF406" s="96"/>
      <c r="AG406" s="96"/>
      <c r="AH406" s="96"/>
      <c r="AI406" s="98">
        <v>5.0000000000000004E-6</v>
      </c>
      <c r="AJ406" s="98">
        <v>1.738E-3</v>
      </c>
      <c r="AK406" s="98">
        <v>4.2400000000000001E-4</v>
      </c>
      <c r="AL406" s="106"/>
    </row>
    <row r="407" spans="1:38" ht="15" customHeight="1">
      <c r="A407" s="106"/>
      <c r="B407" s="96">
        <v>286</v>
      </c>
      <c r="C407" s="96">
        <v>1445</v>
      </c>
      <c r="D407" s="96" t="s">
        <v>2282</v>
      </c>
      <c r="E407" s="96" t="s">
        <v>2283</v>
      </c>
      <c r="F407" s="96" t="s">
        <v>312</v>
      </c>
      <c r="G407" s="96" t="s">
        <v>2284</v>
      </c>
      <c r="H407" s="96" t="s">
        <v>2285</v>
      </c>
      <c r="I407" s="96" t="s">
        <v>320</v>
      </c>
      <c r="J407" s="96" t="s">
        <v>754</v>
      </c>
      <c r="K407" s="96" t="s">
        <v>204</v>
      </c>
      <c r="L407" s="96" t="s">
        <v>231</v>
      </c>
      <c r="M407" s="96" t="s">
        <v>324</v>
      </c>
      <c r="N407" s="96" t="s">
        <v>313</v>
      </c>
      <c r="O407" s="96" t="s">
        <v>491</v>
      </c>
      <c r="P407" s="96" t="s">
        <v>338</v>
      </c>
      <c r="Q407" s="96" t="s">
        <v>1698</v>
      </c>
      <c r="R407" s="96" t="s">
        <v>422</v>
      </c>
      <c r="S407" s="96" t="s">
        <v>406</v>
      </c>
      <c r="T407" s="96" t="s">
        <v>1201</v>
      </c>
      <c r="U407" s="97">
        <v>2.2799999999999998</v>
      </c>
      <c r="V407" s="100">
        <v>46404</v>
      </c>
      <c r="W407" s="98">
        <v>5.5E-2</v>
      </c>
      <c r="X407" s="98">
        <v>5.6800000000000003E-2</v>
      </c>
      <c r="Y407" s="96" t="s">
        <v>411</v>
      </c>
      <c r="Z407" s="96"/>
      <c r="AA407" s="97">
        <v>1107.7697410000001</v>
      </c>
      <c r="AB407" s="97">
        <v>3.7589999999999999</v>
      </c>
      <c r="AC407" s="97">
        <v>102.07980000000001</v>
      </c>
      <c r="AD407" s="97"/>
      <c r="AE407" s="97">
        <v>4.250712</v>
      </c>
      <c r="AF407" s="96"/>
      <c r="AG407" s="96"/>
      <c r="AH407" s="96"/>
      <c r="AI407" s="98">
        <v>9.9999999999999995E-7</v>
      </c>
      <c r="AJ407" s="98">
        <v>3.3100000000000002E-4</v>
      </c>
      <c r="AK407" s="98">
        <v>8.0000000000000007E-5</v>
      </c>
      <c r="AL407" s="106"/>
    </row>
    <row r="408" spans="1:38" ht="15" customHeight="1">
      <c r="A408" s="106"/>
      <c r="B408" s="96">
        <v>286</v>
      </c>
      <c r="C408" s="96">
        <v>1445</v>
      </c>
      <c r="D408" s="96" t="s">
        <v>2286</v>
      </c>
      <c r="E408" s="96" t="s">
        <v>2287</v>
      </c>
      <c r="F408" s="96" t="s">
        <v>312</v>
      </c>
      <c r="G408" s="96" t="s">
        <v>2288</v>
      </c>
      <c r="H408" s="96" t="s">
        <v>2289</v>
      </c>
      <c r="I408" s="96" t="s">
        <v>320</v>
      </c>
      <c r="J408" s="96" t="s">
        <v>754</v>
      </c>
      <c r="K408" s="96" t="s">
        <v>204</v>
      </c>
      <c r="L408" s="96" t="s">
        <v>274</v>
      </c>
      <c r="M408" s="96" t="s">
        <v>324</v>
      </c>
      <c r="N408" s="96" t="s">
        <v>313</v>
      </c>
      <c r="O408" s="96" t="s">
        <v>567</v>
      </c>
      <c r="P408" s="96" t="s">
        <v>338</v>
      </c>
      <c r="Q408" s="96" t="s">
        <v>2290</v>
      </c>
      <c r="R408" s="96" t="s">
        <v>430</v>
      </c>
      <c r="S408" s="96" t="s">
        <v>406</v>
      </c>
      <c r="T408" s="96" t="s">
        <v>1202</v>
      </c>
      <c r="U408" s="97">
        <v>2.77</v>
      </c>
      <c r="V408" s="100">
        <v>46543</v>
      </c>
      <c r="W408" s="98">
        <v>2.6249999999999999E-2</v>
      </c>
      <c r="X408" s="98">
        <v>8.2500000000000004E-2</v>
      </c>
      <c r="Y408" s="96" t="s">
        <v>411</v>
      </c>
      <c r="Z408" s="96"/>
      <c r="AA408" s="97">
        <v>2622.7449160000001</v>
      </c>
      <c r="AB408" s="97">
        <v>4.0202</v>
      </c>
      <c r="AC408" s="97">
        <v>86.942999999999998</v>
      </c>
      <c r="AD408" s="97"/>
      <c r="AE408" s="97">
        <v>9.1672379999999993</v>
      </c>
      <c r="AF408" s="96"/>
      <c r="AG408" s="96"/>
      <c r="AH408" s="96"/>
      <c r="AI408" s="98">
        <v>1.0000000000000001E-5</v>
      </c>
      <c r="AJ408" s="98">
        <v>7.1500000000000003E-4</v>
      </c>
      <c r="AK408" s="98">
        <v>1.74E-4</v>
      </c>
      <c r="AL408" s="106"/>
    </row>
    <row r="409" spans="1:38" ht="15" customHeight="1">
      <c r="A409" s="106"/>
      <c r="B409" s="96">
        <v>286</v>
      </c>
      <c r="C409" s="96">
        <v>1445</v>
      </c>
      <c r="D409" s="96" t="s">
        <v>2274</v>
      </c>
      <c r="E409" s="96" t="s">
        <v>2275</v>
      </c>
      <c r="F409" s="96" t="s">
        <v>312</v>
      </c>
      <c r="G409" s="96" t="s">
        <v>2276</v>
      </c>
      <c r="H409" s="96" t="s">
        <v>2277</v>
      </c>
      <c r="I409" s="96" t="s">
        <v>320</v>
      </c>
      <c r="J409" s="96" t="s">
        <v>754</v>
      </c>
      <c r="K409" s="96" t="s">
        <v>204</v>
      </c>
      <c r="L409" s="96" t="s">
        <v>231</v>
      </c>
      <c r="M409" s="96" t="s">
        <v>332</v>
      </c>
      <c r="N409" s="96" t="s">
        <v>313</v>
      </c>
      <c r="O409" s="96" t="s">
        <v>539</v>
      </c>
      <c r="P409" s="96" t="s">
        <v>338</v>
      </c>
      <c r="Q409" s="96" t="s">
        <v>2090</v>
      </c>
      <c r="R409" s="96" t="s">
        <v>422</v>
      </c>
      <c r="S409" s="96" t="s">
        <v>406</v>
      </c>
      <c r="T409" s="96" t="s">
        <v>1201</v>
      </c>
      <c r="U409" s="97">
        <v>5.97</v>
      </c>
      <c r="V409" s="100">
        <v>48111</v>
      </c>
      <c r="W409" s="98">
        <v>4.1250000000000002E-2</v>
      </c>
      <c r="X409" s="98">
        <v>6.2899999999999998E-2</v>
      </c>
      <c r="Y409" s="96" t="s">
        <v>411</v>
      </c>
      <c r="Z409" s="96"/>
      <c r="AA409" s="97">
        <v>252.560621</v>
      </c>
      <c r="AB409" s="97">
        <v>3.7589999999999999</v>
      </c>
      <c r="AC409" s="97">
        <v>88.734800000000007</v>
      </c>
      <c r="AD409" s="97"/>
      <c r="AE409" s="97">
        <v>0.84242600000000001</v>
      </c>
      <c r="AF409" s="96"/>
      <c r="AG409" s="96"/>
      <c r="AH409" s="96"/>
      <c r="AI409" s="98">
        <v>0</v>
      </c>
      <c r="AJ409" s="98">
        <v>6.4999999999999994E-5</v>
      </c>
      <c r="AK409" s="98">
        <v>1.5999999999999999E-5</v>
      </c>
      <c r="AL409" s="106"/>
    </row>
    <row r="410" spans="1:38" ht="15" customHeight="1">
      <c r="A410" s="106"/>
      <c r="B410" s="96">
        <v>286</v>
      </c>
      <c r="C410" s="96">
        <v>1445</v>
      </c>
      <c r="D410" s="96" t="s">
        <v>2222</v>
      </c>
      <c r="E410" s="96" t="s">
        <v>2223</v>
      </c>
      <c r="F410" s="96" t="s">
        <v>312</v>
      </c>
      <c r="G410" s="96" t="s">
        <v>2291</v>
      </c>
      <c r="H410" s="96" t="s">
        <v>2292</v>
      </c>
      <c r="I410" s="96" t="s">
        <v>320</v>
      </c>
      <c r="J410" s="96" t="s">
        <v>754</v>
      </c>
      <c r="K410" s="96" t="s">
        <v>204</v>
      </c>
      <c r="L410" s="96" t="s">
        <v>280</v>
      </c>
      <c r="M410" s="96" t="s">
        <v>324</v>
      </c>
      <c r="N410" s="96" t="s">
        <v>363</v>
      </c>
      <c r="O410" s="96" t="s">
        <v>535</v>
      </c>
      <c r="P410" s="96" t="s">
        <v>338</v>
      </c>
      <c r="Q410" s="96" t="s">
        <v>2117</v>
      </c>
      <c r="R410" s="96" t="s">
        <v>430</v>
      </c>
      <c r="S410" s="96" t="s">
        <v>406</v>
      </c>
      <c r="T410" s="96" t="s">
        <v>1201</v>
      </c>
      <c r="U410" s="97">
        <v>1.03</v>
      </c>
      <c r="V410" s="100">
        <v>45888</v>
      </c>
      <c r="W410" s="98">
        <v>7.3749999999999996E-2</v>
      </c>
      <c r="X410" s="98">
        <v>7.4200000000000002E-2</v>
      </c>
      <c r="Y410" s="96" t="s">
        <v>410</v>
      </c>
      <c r="Z410" s="96"/>
      <c r="AA410" s="97">
        <v>6088.6537539999999</v>
      </c>
      <c r="AB410" s="97">
        <v>3.7589999999999999</v>
      </c>
      <c r="AC410" s="97">
        <v>102.6156</v>
      </c>
      <c r="AD410" s="97"/>
      <c r="AE410" s="97">
        <v>23.485906</v>
      </c>
      <c r="AF410" s="96"/>
      <c r="AG410" s="96"/>
      <c r="AH410" s="96"/>
      <c r="AI410" s="98">
        <v>3.9999999999999998E-6</v>
      </c>
      <c r="AJ410" s="98">
        <v>1.8320000000000001E-3</v>
      </c>
      <c r="AK410" s="98">
        <v>4.4700000000000002E-4</v>
      </c>
      <c r="AL410" s="106"/>
    </row>
    <row r="411" spans="1:38" ht="15" customHeight="1">
      <c r="A411" s="106"/>
      <c r="B411" s="96">
        <v>286</v>
      </c>
      <c r="C411" s="96">
        <v>1445</v>
      </c>
      <c r="D411" s="96" t="s">
        <v>2108</v>
      </c>
      <c r="E411" s="96" t="s">
        <v>2109</v>
      </c>
      <c r="F411" s="96" t="s">
        <v>312</v>
      </c>
      <c r="G411" s="96" t="s">
        <v>2293</v>
      </c>
      <c r="H411" s="96" t="s">
        <v>2294</v>
      </c>
      <c r="I411" s="96" t="s">
        <v>320</v>
      </c>
      <c r="J411" s="96" t="s">
        <v>754</v>
      </c>
      <c r="K411" s="96" t="s">
        <v>204</v>
      </c>
      <c r="L411" s="96" t="s">
        <v>223</v>
      </c>
      <c r="M411" s="96" t="s">
        <v>324</v>
      </c>
      <c r="N411" s="96" t="s">
        <v>343</v>
      </c>
      <c r="O411" s="96" t="s">
        <v>499</v>
      </c>
      <c r="P411" s="96" t="s">
        <v>338</v>
      </c>
      <c r="Q411" s="96" t="s">
        <v>2117</v>
      </c>
      <c r="R411" s="96" t="s">
        <v>430</v>
      </c>
      <c r="S411" s="96" t="s">
        <v>406</v>
      </c>
      <c r="T411" s="96" t="s">
        <v>1201</v>
      </c>
      <c r="U411" s="97">
        <v>3.08</v>
      </c>
      <c r="V411" s="100">
        <v>45503</v>
      </c>
      <c r="W411" s="98">
        <v>3.875E-2</v>
      </c>
      <c r="X411" s="98">
        <v>5.6899999999999999E-2</v>
      </c>
      <c r="Y411" s="96" t="s">
        <v>411</v>
      </c>
      <c r="Z411" s="96"/>
      <c r="AA411" s="97">
        <v>971.38700600000004</v>
      </c>
      <c r="AB411" s="97">
        <v>3.7589999999999999</v>
      </c>
      <c r="AC411" s="97">
        <v>94.988100000000003</v>
      </c>
      <c r="AD411" s="97"/>
      <c r="AE411" s="97">
        <v>3.4684379999999999</v>
      </c>
      <c r="AF411" s="96"/>
      <c r="AG411" s="96"/>
      <c r="AH411" s="96"/>
      <c r="AI411" s="98">
        <v>9.9999999999999995E-7</v>
      </c>
      <c r="AJ411" s="98">
        <v>2.7E-4</v>
      </c>
      <c r="AK411" s="98">
        <v>6.6000000000000005E-5</v>
      </c>
      <c r="AL411" s="106"/>
    </row>
    <row r="412" spans="1:38" ht="15" customHeight="1">
      <c r="A412" s="106"/>
      <c r="B412" s="96">
        <v>286</v>
      </c>
      <c r="C412" s="96">
        <v>1445</v>
      </c>
      <c r="D412" s="96" t="s">
        <v>2295</v>
      </c>
      <c r="E412" s="96" t="s">
        <v>2296</v>
      </c>
      <c r="F412" s="96" t="s">
        <v>312</v>
      </c>
      <c r="G412" s="96" t="s">
        <v>2297</v>
      </c>
      <c r="H412" s="96" t="s">
        <v>2298</v>
      </c>
      <c r="I412" s="96" t="s">
        <v>320</v>
      </c>
      <c r="J412" s="96" t="s">
        <v>754</v>
      </c>
      <c r="K412" s="96" t="s">
        <v>204</v>
      </c>
      <c r="L412" s="96" t="s">
        <v>223</v>
      </c>
      <c r="M412" s="96" t="s">
        <v>324</v>
      </c>
      <c r="N412" s="96" t="s">
        <v>313</v>
      </c>
      <c r="O412" s="96" t="s">
        <v>539</v>
      </c>
      <c r="P412" s="96" t="s">
        <v>338</v>
      </c>
      <c r="Q412" s="96" t="s">
        <v>1698</v>
      </c>
      <c r="R412" s="96" t="s">
        <v>422</v>
      </c>
      <c r="S412" s="96" t="s">
        <v>406</v>
      </c>
      <c r="T412" s="96" t="s">
        <v>1201</v>
      </c>
      <c r="U412" s="97">
        <v>5.31</v>
      </c>
      <c r="V412" s="100">
        <v>45717</v>
      </c>
      <c r="W412" s="98">
        <v>3.6249999999999998E-2</v>
      </c>
      <c r="X412" s="98">
        <v>5.6000000000000001E-2</v>
      </c>
      <c r="Y412" s="96" t="s">
        <v>411</v>
      </c>
      <c r="Z412" s="96"/>
      <c r="AA412" s="97">
        <v>1942.7740120000001</v>
      </c>
      <c r="AB412" s="97">
        <v>3.7589999999999999</v>
      </c>
      <c r="AC412" s="97">
        <v>90.974199999999996</v>
      </c>
      <c r="AD412" s="97"/>
      <c r="AE412" s="97">
        <v>6.6437480000000004</v>
      </c>
      <c r="AF412" s="96"/>
      <c r="AG412" s="96"/>
      <c r="AH412" s="96"/>
      <c r="AI412" s="98">
        <v>1.9999999999999999E-6</v>
      </c>
      <c r="AJ412" s="98">
        <v>5.1800000000000001E-4</v>
      </c>
      <c r="AK412" s="98">
        <v>1.26E-4</v>
      </c>
      <c r="AL412" s="106"/>
    </row>
    <row r="413" spans="1:38" ht="15" customHeight="1">
      <c r="A413" s="106"/>
      <c r="B413" s="96">
        <v>286</v>
      </c>
      <c r="C413" s="96">
        <v>1445</v>
      </c>
      <c r="D413" s="96" t="s">
        <v>1209</v>
      </c>
      <c r="E413" s="96">
        <v>520000522</v>
      </c>
      <c r="F413" s="96" t="s">
        <v>308</v>
      </c>
      <c r="G413" s="96" t="s">
        <v>2299</v>
      </c>
      <c r="H413" s="96" t="s">
        <v>2300</v>
      </c>
      <c r="I413" s="96" t="s">
        <v>320</v>
      </c>
      <c r="J413" s="96" t="s">
        <v>754</v>
      </c>
      <c r="K413" s="96" t="s">
        <v>204</v>
      </c>
      <c r="L413" s="96" t="s">
        <v>203</v>
      </c>
      <c r="M413" s="96" t="s">
        <v>324</v>
      </c>
      <c r="N413" s="96" t="s">
        <v>313</v>
      </c>
      <c r="O413" s="96" t="s">
        <v>535</v>
      </c>
      <c r="P413" s="96" t="s">
        <v>338</v>
      </c>
      <c r="Q413" s="96" t="s">
        <v>1698</v>
      </c>
      <c r="R413" s="96" t="s">
        <v>432</v>
      </c>
      <c r="S413" s="96" t="s">
        <v>406</v>
      </c>
      <c r="T413" s="96" t="s">
        <v>1201</v>
      </c>
      <c r="U413" s="97">
        <v>1.65</v>
      </c>
      <c r="V413" s="100">
        <v>46119</v>
      </c>
      <c r="W413" s="98">
        <v>3.0769999999999999E-2</v>
      </c>
      <c r="X413" s="98">
        <v>8.0799999999999997E-2</v>
      </c>
      <c r="Y413" s="96" t="s">
        <v>410</v>
      </c>
      <c r="Z413" s="96"/>
      <c r="AA413" s="97">
        <v>16618.671106000002</v>
      </c>
      <c r="AB413" s="97">
        <v>3.7589999999999999</v>
      </c>
      <c r="AC413" s="97">
        <v>92.632900000000006</v>
      </c>
      <c r="AD413" s="97"/>
      <c r="AE413" s="97">
        <v>57.867429000000001</v>
      </c>
      <c r="AF413" s="96"/>
      <c r="AG413" s="96"/>
      <c r="AH413" s="96"/>
      <c r="AI413" s="98">
        <v>2.6999999999999999E-5</v>
      </c>
      <c r="AJ413" s="98">
        <v>4.5139999999999998E-3</v>
      </c>
      <c r="AK413" s="98">
        <v>1.101E-3</v>
      </c>
      <c r="AL413" s="106"/>
    </row>
    <row r="414" spans="1:38" ht="15" customHeight="1">
      <c r="A414" s="106"/>
      <c r="B414" s="96">
        <v>286</v>
      </c>
      <c r="C414" s="96">
        <v>1445</v>
      </c>
      <c r="D414" s="96" t="s">
        <v>2145</v>
      </c>
      <c r="E414" s="96" t="s">
        <v>2146</v>
      </c>
      <c r="F414" s="96" t="s">
        <v>312</v>
      </c>
      <c r="G414" s="96" t="s">
        <v>2301</v>
      </c>
      <c r="H414" s="96" t="s">
        <v>2302</v>
      </c>
      <c r="I414" s="96" t="s">
        <v>320</v>
      </c>
      <c r="J414" s="96" t="s">
        <v>955</v>
      </c>
      <c r="K414" s="96" t="s">
        <v>204</v>
      </c>
      <c r="L414" s="96" t="s">
        <v>232</v>
      </c>
      <c r="M414" s="96" t="s">
        <v>324</v>
      </c>
      <c r="N414" s="96" t="s">
        <v>369</v>
      </c>
      <c r="O414" s="96" t="s">
        <v>535</v>
      </c>
      <c r="P414" s="96" t="s">
        <v>338</v>
      </c>
      <c r="Q414" s="96" t="s">
        <v>2149</v>
      </c>
      <c r="R414" s="96" t="s">
        <v>432</v>
      </c>
      <c r="S414" s="96" t="s">
        <v>406</v>
      </c>
      <c r="T414" s="96" t="s">
        <v>1205</v>
      </c>
      <c r="U414" s="97">
        <v>1.36</v>
      </c>
      <c r="V414" s="100">
        <v>46006</v>
      </c>
      <c r="W414" s="98">
        <v>6.3750000000000001E-2</v>
      </c>
      <c r="X414" s="98">
        <v>8.2100000000000006E-2</v>
      </c>
      <c r="Y414" s="96" t="s">
        <v>410</v>
      </c>
      <c r="Z414" s="96"/>
      <c r="AA414" s="97">
        <v>738.25412400000005</v>
      </c>
      <c r="AB414" s="97">
        <v>4.7504999999999997</v>
      </c>
      <c r="AC414" s="97">
        <v>97.773600000000002</v>
      </c>
      <c r="AD414" s="97"/>
      <c r="AE414" s="97">
        <v>3.428995</v>
      </c>
      <c r="AF414" s="96"/>
      <c r="AG414" s="96"/>
      <c r="AH414" s="96"/>
      <c r="AI414" s="98">
        <v>0</v>
      </c>
      <c r="AJ414" s="98">
        <v>2.6699999999999998E-4</v>
      </c>
      <c r="AK414" s="98">
        <v>6.4999999999999994E-5</v>
      </c>
      <c r="AL414" s="106"/>
    </row>
    <row r="415" spans="1:38" ht="15" customHeight="1">
      <c r="A415" s="106"/>
      <c r="B415" s="96">
        <v>286</v>
      </c>
      <c r="C415" s="96">
        <v>1445</v>
      </c>
      <c r="D415" s="96" t="s">
        <v>2118</v>
      </c>
      <c r="E415" s="96" t="s">
        <v>2119</v>
      </c>
      <c r="F415" s="96" t="s">
        <v>312</v>
      </c>
      <c r="G415" s="96" t="s">
        <v>2120</v>
      </c>
      <c r="H415" s="96" t="s">
        <v>2121</v>
      </c>
      <c r="I415" s="96" t="s">
        <v>320</v>
      </c>
      <c r="J415" s="96" t="s">
        <v>754</v>
      </c>
      <c r="K415" s="96" t="s">
        <v>204</v>
      </c>
      <c r="L415" s="96" t="s">
        <v>232</v>
      </c>
      <c r="M415" s="96" t="s">
        <v>324</v>
      </c>
      <c r="N415" s="96" t="s">
        <v>369</v>
      </c>
      <c r="O415" s="96" t="s">
        <v>486</v>
      </c>
      <c r="P415" s="96" t="s">
        <v>338</v>
      </c>
      <c r="Q415" s="96" t="s">
        <v>2102</v>
      </c>
      <c r="R415" s="96" t="s">
        <v>432</v>
      </c>
      <c r="S415" s="96" t="s">
        <v>406</v>
      </c>
      <c r="T415" s="96" t="s">
        <v>1202</v>
      </c>
      <c r="U415" s="97">
        <v>1.85</v>
      </c>
      <c r="V415" s="100">
        <v>46103</v>
      </c>
      <c r="W415" s="98">
        <v>3.2500000000000001E-2</v>
      </c>
      <c r="X415" s="98">
        <v>4.41E-2</v>
      </c>
      <c r="Y415" s="96" t="s">
        <v>410</v>
      </c>
      <c r="Z415" s="96"/>
      <c r="AA415" s="97">
        <v>6197.4490969999997</v>
      </c>
      <c r="AB415" s="97">
        <v>4.0202</v>
      </c>
      <c r="AC415" s="97">
        <v>97.916200000000003</v>
      </c>
      <c r="AD415" s="97"/>
      <c r="AE415" s="97">
        <v>24.395810999999998</v>
      </c>
      <c r="AF415" s="96"/>
      <c r="AG415" s="96"/>
      <c r="AH415" s="96"/>
      <c r="AI415" s="98">
        <v>1.9999999999999999E-6</v>
      </c>
      <c r="AJ415" s="98">
        <v>1.902E-3</v>
      </c>
      <c r="AK415" s="98">
        <v>4.64E-4</v>
      </c>
      <c r="AL415" s="106"/>
    </row>
    <row r="416" spans="1:38" ht="15" customHeight="1">
      <c r="A416" s="106"/>
      <c r="B416" s="96">
        <v>286</v>
      </c>
      <c r="C416" s="96">
        <v>1445</v>
      </c>
      <c r="D416" s="96" t="s">
        <v>2222</v>
      </c>
      <c r="E416" s="96" t="s">
        <v>2223</v>
      </c>
      <c r="F416" s="96" t="s">
        <v>312</v>
      </c>
      <c r="G416" s="96" t="s">
        <v>2303</v>
      </c>
      <c r="H416" s="96" t="s">
        <v>2304</v>
      </c>
      <c r="I416" s="96" t="s">
        <v>320</v>
      </c>
      <c r="J416" s="96" t="s">
        <v>754</v>
      </c>
      <c r="K416" s="96" t="s">
        <v>204</v>
      </c>
      <c r="L416" s="96" t="s">
        <v>280</v>
      </c>
      <c r="M416" s="96" t="s">
        <v>324</v>
      </c>
      <c r="N416" s="96" t="s">
        <v>363</v>
      </c>
      <c r="O416" s="96" t="s">
        <v>535</v>
      </c>
      <c r="P416" s="96" t="s">
        <v>338</v>
      </c>
      <c r="Q416" s="96" t="s">
        <v>2117</v>
      </c>
      <c r="R416" s="96" t="s">
        <v>430</v>
      </c>
      <c r="S416" s="96" t="s">
        <v>406</v>
      </c>
      <c r="T416" s="96" t="s">
        <v>1201</v>
      </c>
      <c r="U416" s="97">
        <v>4.6399999999999997</v>
      </c>
      <c r="V416" s="100">
        <v>47539</v>
      </c>
      <c r="W416" s="98">
        <v>4.4999999999999998E-2</v>
      </c>
      <c r="X416" s="98">
        <v>9.2399999999999996E-2</v>
      </c>
      <c r="Y416" s="96" t="s">
        <v>410</v>
      </c>
      <c r="Z416" s="96"/>
      <c r="AA416" s="97">
        <v>2914.1610179999998</v>
      </c>
      <c r="AB416" s="97">
        <v>3.7589999999999999</v>
      </c>
      <c r="AC416" s="97">
        <v>81.063900000000004</v>
      </c>
      <c r="AD416" s="97"/>
      <c r="AE416" s="97">
        <v>8.8800190000000008</v>
      </c>
      <c r="AF416" s="96"/>
      <c r="AG416" s="96"/>
      <c r="AH416" s="96"/>
      <c r="AI416" s="98">
        <v>9.9999999999999995E-7</v>
      </c>
      <c r="AJ416" s="98">
        <v>6.9200000000000002E-4</v>
      </c>
      <c r="AK416" s="98">
        <v>1.6899999999999999E-4</v>
      </c>
      <c r="AL416" s="106"/>
    </row>
    <row r="417" spans="1:38" ht="15" customHeight="1">
      <c r="A417" s="106"/>
      <c r="B417" s="96">
        <v>286</v>
      </c>
      <c r="C417" s="96">
        <v>1445</v>
      </c>
      <c r="D417" s="96" t="s">
        <v>2108</v>
      </c>
      <c r="E417" s="96" t="s">
        <v>2109</v>
      </c>
      <c r="F417" s="96" t="s">
        <v>312</v>
      </c>
      <c r="G417" s="96" t="s">
        <v>2305</v>
      </c>
      <c r="H417" s="96" t="s">
        <v>2306</v>
      </c>
      <c r="I417" s="96" t="s">
        <v>320</v>
      </c>
      <c r="J417" s="96" t="s">
        <v>754</v>
      </c>
      <c r="K417" s="96" t="s">
        <v>204</v>
      </c>
      <c r="L417" s="96" t="s">
        <v>223</v>
      </c>
      <c r="M417" s="96" t="s">
        <v>324</v>
      </c>
      <c r="N417" s="96" t="s">
        <v>343</v>
      </c>
      <c r="O417" s="96" t="s">
        <v>499</v>
      </c>
      <c r="P417" s="96" t="s">
        <v>338</v>
      </c>
      <c r="Q417" s="96" t="s">
        <v>2172</v>
      </c>
      <c r="R417" s="96" t="s">
        <v>430</v>
      </c>
      <c r="S417" s="96" t="s">
        <v>406</v>
      </c>
      <c r="T417" s="96" t="s">
        <v>1201</v>
      </c>
      <c r="U417" s="97">
        <v>6.24</v>
      </c>
      <c r="V417" s="100">
        <v>46218</v>
      </c>
      <c r="W417" s="98">
        <v>3.7499999999999999E-2</v>
      </c>
      <c r="X417" s="98">
        <v>5.8999999999999997E-2</v>
      </c>
      <c r="Y417" s="96" t="s">
        <v>411</v>
      </c>
      <c r="Z417" s="96"/>
      <c r="AA417" s="97">
        <v>3244.4326000000001</v>
      </c>
      <c r="AB417" s="97">
        <v>3.7589999999999999</v>
      </c>
      <c r="AC417" s="97">
        <v>88.7607</v>
      </c>
      <c r="AD417" s="97"/>
      <c r="AE417" s="97">
        <v>10.825103</v>
      </c>
      <c r="AF417" s="96"/>
      <c r="AG417" s="96"/>
      <c r="AH417" s="96"/>
      <c r="AI417" s="98">
        <v>3.9999999999999998E-6</v>
      </c>
      <c r="AJ417" s="98">
        <v>8.4400000000000002E-4</v>
      </c>
      <c r="AK417" s="98">
        <v>2.0599999999999999E-4</v>
      </c>
      <c r="AL417" s="106"/>
    </row>
    <row r="418" spans="1:38" ht="15" customHeight="1">
      <c r="A418" s="106"/>
      <c r="B418" s="96">
        <v>286</v>
      </c>
      <c r="C418" s="96">
        <v>1445</v>
      </c>
      <c r="D418" s="96" t="s">
        <v>2307</v>
      </c>
      <c r="E418" s="96" t="s">
        <v>2308</v>
      </c>
      <c r="F418" s="96" t="s">
        <v>312</v>
      </c>
      <c r="G418" s="96" t="s">
        <v>2309</v>
      </c>
      <c r="H418" s="96" t="s">
        <v>2310</v>
      </c>
      <c r="I418" s="96" t="s">
        <v>320</v>
      </c>
      <c r="J418" s="96" t="s">
        <v>754</v>
      </c>
      <c r="K418" s="96" t="s">
        <v>204</v>
      </c>
      <c r="L418" s="96" t="s">
        <v>276</v>
      </c>
      <c r="M418" s="96" t="s">
        <v>324</v>
      </c>
      <c r="N418" s="96" t="s">
        <v>363</v>
      </c>
      <c r="O418" s="96" t="s">
        <v>567</v>
      </c>
      <c r="P418" s="96" t="s">
        <v>338</v>
      </c>
      <c r="Q418" s="96" t="s">
        <v>2311</v>
      </c>
      <c r="R418" s="96" t="s">
        <v>430</v>
      </c>
      <c r="S418" s="96" t="s">
        <v>406</v>
      </c>
      <c r="T418" s="96" t="s">
        <v>1202</v>
      </c>
      <c r="U418" s="97">
        <v>1.61</v>
      </c>
      <c r="V418" s="100">
        <v>46183</v>
      </c>
      <c r="W418" s="98">
        <v>3.6249999999999998E-2</v>
      </c>
      <c r="X418" s="98">
        <v>0.26600000000000001</v>
      </c>
      <c r="Y418" s="96" t="s">
        <v>410</v>
      </c>
      <c r="Z418" s="96"/>
      <c r="AA418" s="97">
        <v>3035.001561</v>
      </c>
      <c r="AB418" s="97">
        <v>4.0202</v>
      </c>
      <c r="AC418" s="97">
        <v>68.023099999999999</v>
      </c>
      <c r="AD418" s="97"/>
      <c r="AE418" s="97">
        <v>8.2997160000000001</v>
      </c>
      <c r="AF418" s="96"/>
      <c r="AG418" s="96"/>
      <c r="AH418" s="96"/>
      <c r="AI418" s="98">
        <v>9.0000000000000002E-6</v>
      </c>
      <c r="AJ418" s="98">
        <v>6.4700000000000001E-4</v>
      </c>
      <c r="AK418" s="98">
        <v>1.5799999999999999E-4</v>
      </c>
      <c r="AL418" s="106"/>
    </row>
    <row r="419" spans="1:38" ht="15" customHeight="1">
      <c r="A419" s="106"/>
      <c r="B419" s="96">
        <v>286</v>
      </c>
      <c r="C419" s="96">
        <v>1445</v>
      </c>
      <c r="D419" s="96" t="s">
        <v>2252</v>
      </c>
      <c r="E419" s="96" t="s">
        <v>2253</v>
      </c>
      <c r="F419" s="96" t="s">
        <v>312</v>
      </c>
      <c r="G419" s="96" t="s">
        <v>2312</v>
      </c>
      <c r="H419" s="96" t="s">
        <v>2313</v>
      </c>
      <c r="I419" s="96" t="s">
        <v>320</v>
      </c>
      <c r="J419" s="96" t="s">
        <v>754</v>
      </c>
      <c r="K419" s="96" t="s">
        <v>204</v>
      </c>
      <c r="L419" s="96" t="s">
        <v>231</v>
      </c>
      <c r="M419" s="96" t="s">
        <v>332</v>
      </c>
      <c r="N419" s="96" t="s">
        <v>313</v>
      </c>
      <c r="O419" s="96" t="s">
        <v>524</v>
      </c>
      <c r="P419" s="96" t="s">
        <v>338</v>
      </c>
      <c r="Q419" s="96" t="s">
        <v>2112</v>
      </c>
      <c r="R419" s="96" t="s">
        <v>430</v>
      </c>
      <c r="S419" s="96" t="s">
        <v>406</v>
      </c>
      <c r="T419" s="96" t="s">
        <v>1201</v>
      </c>
      <c r="U419" s="97">
        <v>6.26</v>
      </c>
      <c r="V419" s="100">
        <v>46357</v>
      </c>
      <c r="W419" s="98">
        <v>3.7499999999999999E-2</v>
      </c>
      <c r="X419" s="98">
        <v>5.8599999999999999E-2</v>
      </c>
      <c r="Y419" s="96" t="s">
        <v>411</v>
      </c>
      <c r="Z419" s="96"/>
      <c r="AA419" s="97">
        <v>25.256062</v>
      </c>
      <c r="AB419" s="97">
        <v>3.7589999999999999</v>
      </c>
      <c r="AC419" s="97">
        <v>87.757000000000005</v>
      </c>
      <c r="AD419" s="97"/>
      <c r="AE419" s="97">
        <v>8.3313999999999999E-2</v>
      </c>
      <c r="AF419" s="96"/>
      <c r="AG419" s="96"/>
      <c r="AH419" s="96"/>
      <c r="AI419" s="98">
        <v>0</v>
      </c>
      <c r="AJ419" s="98">
        <v>6.0000000000000002E-6</v>
      </c>
      <c r="AK419" s="98">
        <v>9.9999999999999995E-7</v>
      </c>
      <c r="AL419" s="106"/>
    </row>
    <row r="420" spans="1:38" ht="15" customHeight="1">
      <c r="A420" s="106"/>
      <c r="B420" s="96">
        <v>286</v>
      </c>
      <c r="C420" s="96">
        <v>1445</v>
      </c>
      <c r="D420" s="96" t="s">
        <v>2126</v>
      </c>
      <c r="E420" s="96" t="s">
        <v>2127</v>
      </c>
      <c r="F420" s="96" t="s">
        <v>312</v>
      </c>
      <c r="G420" s="96" t="s">
        <v>2314</v>
      </c>
      <c r="H420" s="96" t="s">
        <v>2315</v>
      </c>
      <c r="I420" s="96" t="s">
        <v>320</v>
      </c>
      <c r="J420" s="96" t="s">
        <v>754</v>
      </c>
      <c r="K420" s="96" t="s">
        <v>204</v>
      </c>
      <c r="L420" s="96" t="s">
        <v>223</v>
      </c>
      <c r="M420" s="96" t="s">
        <v>324</v>
      </c>
      <c r="N420" s="96" t="s">
        <v>343</v>
      </c>
      <c r="O420" s="96" t="s">
        <v>530</v>
      </c>
      <c r="P420" s="96" t="s">
        <v>338</v>
      </c>
      <c r="Q420" s="96" t="s">
        <v>2112</v>
      </c>
      <c r="R420" s="96" t="s">
        <v>430</v>
      </c>
      <c r="S420" s="96" t="s">
        <v>406</v>
      </c>
      <c r="T420" s="96" t="s">
        <v>1201</v>
      </c>
      <c r="U420" s="97">
        <v>5.34</v>
      </c>
      <c r="V420" s="100">
        <v>47543</v>
      </c>
      <c r="W420" s="98">
        <v>3.5000000000000003E-2</v>
      </c>
      <c r="X420" s="98">
        <v>5.4199999999999998E-2</v>
      </c>
      <c r="Y420" s="96" t="s">
        <v>411</v>
      </c>
      <c r="Z420" s="96"/>
      <c r="AA420" s="97">
        <v>641.11542399999996</v>
      </c>
      <c r="AB420" s="97">
        <v>3.7589999999999999</v>
      </c>
      <c r="AC420" s="97">
        <v>91.188900000000004</v>
      </c>
      <c r="AD420" s="97"/>
      <c r="AE420" s="97">
        <v>2.1976100000000001</v>
      </c>
      <c r="AF420" s="96"/>
      <c r="AG420" s="96"/>
      <c r="AH420" s="96"/>
      <c r="AI420" s="98">
        <v>0</v>
      </c>
      <c r="AJ420" s="98">
        <v>1.7100000000000001E-4</v>
      </c>
      <c r="AK420" s="98">
        <v>4.1E-5</v>
      </c>
      <c r="AL420" s="106"/>
    </row>
    <row r="421" spans="1:38" ht="15" customHeight="1">
      <c r="A421" s="106"/>
      <c r="B421" s="96">
        <v>286</v>
      </c>
      <c r="C421" s="96">
        <v>1445</v>
      </c>
      <c r="D421" s="96" t="s">
        <v>2158</v>
      </c>
      <c r="E421" s="96" t="s">
        <v>2159</v>
      </c>
      <c r="F421" s="96" t="s">
        <v>312</v>
      </c>
      <c r="G421" s="96" t="s">
        <v>2316</v>
      </c>
      <c r="H421" s="96" t="s">
        <v>2317</v>
      </c>
      <c r="I421" s="96" t="s">
        <v>320</v>
      </c>
      <c r="J421" s="96" t="s">
        <v>754</v>
      </c>
      <c r="K421" s="96" t="s">
        <v>204</v>
      </c>
      <c r="L421" s="96" t="s">
        <v>232</v>
      </c>
      <c r="M421" s="96" t="s">
        <v>324</v>
      </c>
      <c r="N421" s="96" t="s">
        <v>313</v>
      </c>
      <c r="O421" s="96" t="s">
        <v>535</v>
      </c>
      <c r="P421" s="96" t="s">
        <v>338</v>
      </c>
      <c r="Q421" s="96" t="s">
        <v>2074</v>
      </c>
      <c r="R421" s="96" t="s">
        <v>432</v>
      </c>
      <c r="S421" s="96" t="s">
        <v>406</v>
      </c>
      <c r="T421" s="96" t="s">
        <v>1201</v>
      </c>
      <c r="U421" s="97">
        <v>7.06</v>
      </c>
      <c r="V421" s="100">
        <v>48949</v>
      </c>
      <c r="W421" s="98">
        <v>5.679E-2</v>
      </c>
      <c r="X421" s="98">
        <v>5.7099999999999998E-2</v>
      </c>
      <c r="Y421" s="96" t="s">
        <v>411</v>
      </c>
      <c r="Z421" s="96"/>
      <c r="AA421" s="97">
        <v>1942.7740120000001</v>
      </c>
      <c r="AB421" s="97">
        <v>3.7589999999999999</v>
      </c>
      <c r="AC421" s="97">
        <v>102.5321</v>
      </c>
      <c r="AD421" s="97"/>
      <c r="AE421" s="97">
        <v>7.4878090000000004</v>
      </c>
      <c r="AF421" s="96"/>
      <c r="AG421" s="96"/>
      <c r="AH421" s="96"/>
      <c r="AI421" s="98">
        <v>0</v>
      </c>
      <c r="AJ421" s="98">
        <v>5.8399999999999999E-4</v>
      </c>
      <c r="AK421" s="98">
        <v>1.4200000000000001E-4</v>
      </c>
      <c r="AL421" s="106"/>
    </row>
    <row r="422" spans="1:38" ht="15" customHeight="1">
      <c r="A422" s="106"/>
      <c r="B422" s="96">
        <v>286</v>
      </c>
      <c r="C422" s="96">
        <v>1445</v>
      </c>
      <c r="D422" s="96" t="s">
        <v>2145</v>
      </c>
      <c r="E422" s="96" t="s">
        <v>2146</v>
      </c>
      <c r="F422" s="96" t="s">
        <v>312</v>
      </c>
      <c r="G422" s="96" t="s">
        <v>2318</v>
      </c>
      <c r="H422" s="96" t="s">
        <v>2319</v>
      </c>
      <c r="I422" s="96" t="s">
        <v>320</v>
      </c>
      <c r="J422" s="96" t="s">
        <v>955</v>
      </c>
      <c r="K422" s="96" t="s">
        <v>204</v>
      </c>
      <c r="L422" s="96" t="s">
        <v>232</v>
      </c>
      <c r="M422" s="96" t="s">
        <v>324</v>
      </c>
      <c r="N422" s="96" t="s">
        <v>369</v>
      </c>
      <c r="O422" s="96" t="s">
        <v>535</v>
      </c>
      <c r="P422" s="96" t="s">
        <v>338</v>
      </c>
      <c r="Q422" s="96" t="s">
        <v>2149</v>
      </c>
      <c r="R422" s="96" t="s">
        <v>432</v>
      </c>
      <c r="S422" s="96" t="s">
        <v>406</v>
      </c>
      <c r="T422" s="96" t="s">
        <v>1205</v>
      </c>
      <c r="U422" s="97">
        <v>0.9</v>
      </c>
      <c r="V422" s="100">
        <v>45823</v>
      </c>
      <c r="W422" s="98">
        <v>7.1249999999999994E-2</v>
      </c>
      <c r="X422" s="98">
        <v>7.9100000000000004E-2</v>
      </c>
      <c r="Y422" s="96" t="s">
        <v>410</v>
      </c>
      <c r="Z422" s="96"/>
      <c r="AA422" s="97">
        <v>5245.4898320000002</v>
      </c>
      <c r="AB422" s="97">
        <v>4.7504999999999997</v>
      </c>
      <c r="AC422" s="97">
        <v>99.572000000000003</v>
      </c>
      <c r="AD422" s="97"/>
      <c r="AE422" s="97">
        <v>24.812048999999998</v>
      </c>
      <c r="AF422" s="96"/>
      <c r="AG422" s="96"/>
      <c r="AH422" s="96"/>
      <c r="AI422" s="98">
        <v>5.0000000000000004E-6</v>
      </c>
      <c r="AJ422" s="98">
        <v>1.9350000000000001E-3</v>
      </c>
      <c r="AK422" s="98">
        <v>4.7199999999999998E-4</v>
      </c>
      <c r="AL422" s="106"/>
    </row>
    <row r="423" spans="1:38" ht="15" customHeight="1">
      <c r="A423" s="106"/>
      <c r="B423" s="96">
        <v>286</v>
      </c>
      <c r="C423" s="96">
        <v>1445</v>
      </c>
      <c r="D423" s="96" t="s">
        <v>2320</v>
      </c>
      <c r="E423" s="96" t="s">
        <v>2321</v>
      </c>
      <c r="F423" s="96" t="s">
        <v>312</v>
      </c>
      <c r="G423" s="96" t="s">
        <v>2322</v>
      </c>
      <c r="H423" s="96" t="s">
        <v>2323</v>
      </c>
      <c r="I423" s="96" t="s">
        <v>320</v>
      </c>
      <c r="J423" s="96" t="s">
        <v>754</v>
      </c>
      <c r="K423" s="96" t="s">
        <v>204</v>
      </c>
      <c r="L423" s="96" t="s">
        <v>211</v>
      </c>
      <c r="M423" s="96" t="s">
        <v>324</v>
      </c>
      <c r="N423" s="96" t="s">
        <v>313</v>
      </c>
      <c r="O423" s="96" t="s">
        <v>535</v>
      </c>
      <c r="P423" s="96" t="s">
        <v>338</v>
      </c>
      <c r="Q423" s="96" t="s">
        <v>1698</v>
      </c>
      <c r="R423" s="96" t="s">
        <v>422</v>
      </c>
      <c r="S423" s="96" t="s">
        <v>406</v>
      </c>
      <c r="T423" s="96" t="s">
        <v>1202</v>
      </c>
      <c r="U423" s="97">
        <v>1.91</v>
      </c>
      <c r="V423" s="100">
        <v>46225</v>
      </c>
      <c r="W423" s="98">
        <v>2.1999999999999999E-2</v>
      </c>
      <c r="X423" s="98">
        <v>3.8800000000000001E-2</v>
      </c>
      <c r="Y423" s="96" t="s">
        <v>411</v>
      </c>
      <c r="Z423" s="96"/>
      <c r="AA423" s="97">
        <v>4274.1028260000003</v>
      </c>
      <c r="AB423" s="97">
        <v>4.0202</v>
      </c>
      <c r="AC423" s="97">
        <v>98.810500000000005</v>
      </c>
      <c r="AD423" s="97"/>
      <c r="AE423" s="97">
        <v>16.978368</v>
      </c>
      <c r="AF423" s="96"/>
      <c r="AG423" s="96"/>
      <c r="AH423" s="96"/>
      <c r="AI423" s="98">
        <v>3.0000000000000001E-6</v>
      </c>
      <c r="AJ423" s="98">
        <v>1.3240000000000001E-3</v>
      </c>
      <c r="AK423" s="98">
        <v>3.2299999999999999E-4</v>
      </c>
      <c r="AL423" s="106"/>
    </row>
    <row r="424" spans="1:38" ht="15" customHeight="1">
      <c r="A424" s="106"/>
      <c r="B424" s="96">
        <v>286</v>
      </c>
      <c r="C424" s="96">
        <v>1445</v>
      </c>
      <c r="D424" s="96" t="s">
        <v>2320</v>
      </c>
      <c r="E424" s="96" t="s">
        <v>2321</v>
      </c>
      <c r="F424" s="96" t="s">
        <v>312</v>
      </c>
      <c r="G424" s="96" t="s">
        <v>2324</v>
      </c>
      <c r="H424" s="96" t="s">
        <v>2325</v>
      </c>
      <c r="I424" s="96" t="s">
        <v>320</v>
      </c>
      <c r="J424" s="96" t="s">
        <v>754</v>
      </c>
      <c r="K424" s="96" t="s">
        <v>204</v>
      </c>
      <c r="L424" s="96" t="s">
        <v>211</v>
      </c>
      <c r="M424" s="96" t="s">
        <v>324</v>
      </c>
      <c r="N424" s="96" t="s">
        <v>313</v>
      </c>
      <c r="O424" s="96" t="s">
        <v>535</v>
      </c>
      <c r="P424" s="96" t="s">
        <v>338</v>
      </c>
      <c r="Q424" s="96" t="s">
        <v>2149</v>
      </c>
      <c r="R424" s="96" t="s">
        <v>422</v>
      </c>
      <c r="S424" s="96" t="s">
        <v>406</v>
      </c>
      <c r="T424" s="96" t="s">
        <v>1202</v>
      </c>
      <c r="U424" s="97">
        <v>1.76</v>
      </c>
      <c r="V424" s="100">
        <v>46176</v>
      </c>
      <c r="W424" s="98">
        <v>7.4999999999999997E-2</v>
      </c>
      <c r="X424" s="98">
        <v>6.1100000000000002E-2</v>
      </c>
      <c r="Y424" s="96" t="s">
        <v>410</v>
      </c>
      <c r="Z424" s="96"/>
      <c r="AA424" s="97">
        <v>5245.4898320000002</v>
      </c>
      <c r="AB424" s="97">
        <v>4.0202</v>
      </c>
      <c r="AC424" s="97">
        <v>103.02849999999999</v>
      </c>
      <c r="AD424" s="97"/>
      <c r="AE424" s="97">
        <v>21.726565000000001</v>
      </c>
      <c r="AF424" s="96"/>
      <c r="AG424" s="96"/>
      <c r="AH424" s="96"/>
      <c r="AI424" s="98">
        <v>5.0000000000000004E-6</v>
      </c>
      <c r="AJ424" s="98">
        <v>1.6949999999999999E-3</v>
      </c>
      <c r="AK424" s="98">
        <v>4.1300000000000001E-4</v>
      </c>
      <c r="AL424" s="106"/>
    </row>
    <row r="425" spans="1:38" ht="15" customHeight="1">
      <c r="A425" s="106"/>
      <c r="B425" s="96">
        <v>286</v>
      </c>
      <c r="C425" s="96">
        <v>1445</v>
      </c>
      <c r="D425" s="96" t="s">
        <v>2326</v>
      </c>
      <c r="E425" s="96" t="s">
        <v>2327</v>
      </c>
      <c r="F425" s="96" t="s">
        <v>312</v>
      </c>
      <c r="G425" s="96" t="s">
        <v>2328</v>
      </c>
      <c r="H425" s="96" t="s">
        <v>2329</v>
      </c>
      <c r="I425" s="96" t="s">
        <v>320</v>
      </c>
      <c r="J425" s="96" t="s">
        <v>754</v>
      </c>
      <c r="K425" s="96" t="s">
        <v>204</v>
      </c>
      <c r="L425" s="96" t="s">
        <v>207</v>
      </c>
      <c r="M425" s="96" t="s">
        <v>324</v>
      </c>
      <c r="N425" s="96" t="s">
        <v>313</v>
      </c>
      <c r="O425" s="96" t="s">
        <v>558</v>
      </c>
      <c r="P425" s="96" t="s">
        <v>338</v>
      </c>
      <c r="Q425" s="96" t="s">
        <v>2095</v>
      </c>
      <c r="R425" s="96" t="s">
        <v>430</v>
      </c>
      <c r="S425" s="96" t="s">
        <v>406</v>
      </c>
      <c r="T425" s="96" t="s">
        <v>1201</v>
      </c>
      <c r="U425" s="97">
        <v>5.12</v>
      </c>
      <c r="V425" s="100">
        <v>47658</v>
      </c>
      <c r="W425" s="98">
        <v>5.1249999999999997E-2</v>
      </c>
      <c r="X425" s="98">
        <v>6.5100000000000005E-2</v>
      </c>
      <c r="Y425" s="96" t="s">
        <v>410</v>
      </c>
      <c r="Z425" s="96"/>
      <c r="AA425" s="97">
        <v>3885.5480240000002</v>
      </c>
      <c r="AB425" s="97">
        <v>3.7589999999999999</v>
      </c>
      <c r="AC425" s="97">
        <v>94.329599999999999</v>
      </c>
      <c r="AD425" s="97"/>
      <c r="AE425" s="97">
        <v>13.777578</v>
      </c>
      <c r="AF425" s="96"/>
      <c r="AG425" s="96"/>
      <c r="AH425" s="96"/>
      <c r="AI425" s="98">
        <v>1.9999999999999999E-6</v>
      </c>
      <c r="AJ425" s="98">
        <v>1.0740000000000001E-3</v>
      </c>
      <c r="AK425" s="98">
        <v>2.6200000000000003E-4</v>
      </c>
      <c r="AL425" s="106"/>
    </row>
    <row r="426" spans="1:38" ht="15" customHeight="1">
      <c r="A426" s="106"/>
      <c r="B426" s="96">
        <v>286</v>
      </c>
      <c r="C426" s="96">
        <v>1445</v>
      </c>
      <c r="D426" s="96" t="s">
        <v>2098</v>
      </c>
      <c r="E426" s="96" t="s">
        <v>2099</v>
      </c>
      <c r="F426" s="96" t="s">
        <v>312</v>
      </c>
      <c r="G426" s="96" t="s">
        <v>2330</v>
      </c>
      <c r="H426" s="96" t="s">
        <v>2331</v>
      </c>
      <c r="I426" s="96" t="s">
        <v>320</v>
      </c>
      <c r="J426" s="96" t="s">
        <v>754</v>
      </c>
      <c r="K426" s="96" t="s">
        <v>204</v>
      </c>
      <c r="L426" s="96" t="s">
        <v>280</v>
      </c>
      <c r="M426" s="96" t="s">
        <v>324</v>
      </c>
      <c r="N426" s="96" t="s">
        <v>363</v>
      </c>
      <c r="O426" s="96" t="s">
        <v>553</v>
      </c>
      <c r="P426" s="96" t="s">
        <v>338</v>
      </c>
      <c r="Q426" s="96" t="s">
        <v>2228</v>
      </c>
      <c r="R426" s="96" t="s">
        <v>432</v>
      </c>
      <c r="S426" s="96" t="s">
        <v>406</v>
      </c>
      <c r="T426" s="96" t="s">
        <v>1205</v>
      </c>
      <c r="U426" s="97">
        <v>3.79</v>
      </c>
      <c r="V426" s="100">
        <v>47140</v>
      </c>
      <c r="W426" s="98">
        <v>5.8749999999999997E-2</v>
      </c>
      <c r="X426" s="98">
        <v>7.2300000000000003E-2</v>
      </c>
      <c r="Y426" s="96" t="s">
        <v>410</v>
      </c>
      <c r="Z426" s="96"/>
      <c r="AA426" s="97">
        <v>2525.6062149999998</v>
      </c>
      <c r="AB426" s="97">
        <v>4.7504999999999997</v>
      </c>
      <c r="AC426" s="97">
        <v>97.342200000000005</v>
      </c>
      <c r="AD426" s="97"/>
      <c r="AE426" s="97">
        <v>11.679012</v>
      </c>
      <c r="AF426" s="96"/>
      <c r="AG426" s="96"/>
      <c r="AH426" s="96"/>
      <c r="AI426" s="98">
        <v>3.0000000000000001E-6</v>
      </c>
      <c r="AJ426" s="98">
        <v>9.1100000000000003E-4</v>
      </c>
      <c r="AK426" s="98">
        <v>2.22E-4</v>
      </c>
      <c r="AL426" s="106"/>
    </row>
    <row r="427" spans="1:38" ht="15" customHeight="1">
      <c r="A427" s="106"/>
      <c r="B427" s="96">
        <v>286</v>
      </c>
      <c r="C427" s="96">
        <v>1445</v>
      </c>
      <c r="D427" s="96" t="s">
        <v>2320</v>
      </c>
      <c r="E427" s="96" t="s">
        <v>2321</v>
      </c>
      <c r="F427" s="96" t="s">
        <v>312</v>
      </c>
      <c r="G427" s="96" t="s">
        <v>2332</v>
      </c>
      <c r="H427" s="96" t="s">
        <v>2333</v>
      </c>
      <c r="I427" s="96" t="s">
        <v>320</v>
      </c>
      <c r="J427" s="96" t="s">
        <v>754</v>
      </c>
      <c r="K427" s="96" t="s">
        <v>204</v>
      </c>
      <c r="L427" s="96" t="s">
        <v>211</v>
      </c>
      <c r="M427" s="96" t="s">
        <v>324</v>
      </c>
      <c r="N427" s="96" t="s">
        <v>313</v>
      </c>
      <c r="O427" s="96" t="s">
        <v>535</v>
      </c>
      <c r="P427" s="96" t="s">
        <v>338</v>
      </c>
      <c r="Q427" s="96" t="s">
        <v>2311</v>
      </c>
      <c r="R427" s="96" t="s">
        <v>430</v>
      </c>
      <c r="S427" s="96" t="s">
        <v>406</v>
      </c>
      <c r="T427" s="96" t="s">
        <v>1202</v>
      </c>
      <c r="U427" s="97">
        <v>3.07</v>
      </c>
      <c r="V427" s="100">
        <v>46724</v>
      </c>
      <c r="W427" s="98">
        <v>4.4499999999999998E-2</v>
      </c>
      <c r="X427" s="98">
        <v>7.2599999999999998E-2</v>
      </c>
      <c r="Y427" s="96" t="s">
        <v>410</v>
      </c>
      <c r="Z427" s="96"/>
      <c r="AA427" s="97">
        <v>4079.825425</v>
      </c>
      <c r="AB427" s="97">
        <v>4.0202</v>
      </c>
      <c r="AC427" s="97">
        <v>91.934700000000007</v>
      </c>
      <c r="AD427" s="97"/>
      <c r="AE427" s="97">
        <v>15.078874000000001</v>
      </c>
      <c r="AF427" s="96"/>
      <c r="AG427" s="96"/>
      <c r="AH427" s="96"/>
      <c r="AI427" s="98">
        <v>5.0000000000000004E-6</v>
      </c>
      <c r="AJ427" s="98">
        <v>1.176E-3</v>
      </c>
      <c r="AK427" s="98">
        <v>2.8699999999999998E-4</v>
      </c>
      <c r="AL427" s="106"/>
    </row>
    <row r="428" spans="1:38" ht="15" customHeight="1">
      <c r="A428" s="106"/>
      <c r="B428" s="96">
        <v>286</v>
      </c>
      <c r="C428" s="96">
        <v>1445</v>
      </c>
      <c r="D428" s="96" t="s">
        <v>2139</v>
      </c>
      <c r="E428" s="96" t="s">
        <v>2140</v>
      </c>
      <c r="F428" s="96" t="s">
        <v>312</v>
      </c>
      <c r="G428" s="96" t="s">
        <v>2334</v>
      </c>
      <c r="H428" s="96" t="s">
        <v>2335</v>
      </c>
      <c r="I428" s="96" t="s">
        <v>320</v>
      </c>
      <c r="J428" s="96" t="s">
        <v>754</v>
      </c>
      <c r="K428" s="96" t="s">
        <v>204</v>
      </c>
      <c r="L428" s="96" t="s">
        <v>263</v>
      </c>
      <c r="M428" s="96" t="s">
        <v>324</v>
      </c>
      <c r="N428" s="96" t="s">
        <v>313</v>
      </c>
      <c r="O428" s="96" t="s">
        <v>488</v>
      </c>
      <c r="P428" s="96" t="s">
        <v>338</v>
      </c>
      <c r="Q428" s="96" t="s">
        <v>2134</v>
      </c>
      <c r="R428" s="96" t="s">
        <v>422</v>
      </c>
      <c r="S428" s="96" t="s">
        <v>406</v>
      </c>
      <c r="T428" s="96" t="s">
        <v>1201</v>
      </c>
      <c r="U428" s="97">
        <v>3.11</v>
      </c>
      <c r="V428" s="100">
        <v>46826</v>
      </c>
      <c r="W428" s="98">
        <v>9.1249999999999998E-2</v>
      </c>
      <c r="X428" s="98">
        <v>7.0000000000000007E-2</v>
      </c>
      <c r="Y428" s="96" t="s">
        <v>410</v>
      </c>
      <c r="Z428" s="96"/>
      <c r="AA428" s="97">
        <v>1942.7740120000001</v>
      </c>
      <c r="AB428" s="97">
        <v>3.7589999999999999</v>
      </c>
      <c r="AC428" s="97">
        <v>107.23650000000001</v>
      </c>
      <c r="AD428" s="97"/>
      <c r="AE428" s="97">
        <v>7.8313649999999999</v>
      </c>
      <c r="AF428" s="96"/>
      <c r="AG428" s="96"/>
      <c r="AH428" s="96"/>
      <c r="AI428" s="98">
        <v>9.9999999999999995E-7</v>
      </c>
      <c r="AJ428" s="98">
        <v>6.11E-4</v>
      </c>
      <c r="AK428" s="98">
        <v>1.4899999999999999E-4</v>
      </c>
      <c r="AL428" s="106"/>
    </row>
    <row r="429" spans="1:38" ht="15" customHeight="1">
      <c r="A429" s="106"/>
      <c r="B429" s="96">
        <v>286</v>
      </c>
      <c r="C429" s="96">
        <v>1445</v>
      </c>
      <c r="D429" s="96" t="s">
        <v>2158</v>
      </c>
      <c r="E429" s="96" t="s">
        <v>2159</v>
      </c>
      <c r="F429" s="96" t="s">
        <v>312</v>
      </c>
      <c r="G429" s="96" t="s">
        <v>2336</v>
      </c>
      <c r="H429" s="96" t="s">
        <v>2337</v>
      </c>
      <c r="I429" s="96" t="s">
        <v>320</v>
      </c>
      <c r="J429" s="96" t="s">
        <v>955</v>
      </c>
      <c r="K429" s="96" t="s">
        <v>204</v>
      </c>
      <c r="L429" s="96" t="s">
        <v>232</v>
      </c>
      <c r="M429" s="96" t="s">
        <v>324</v>
      </c>
      <c r="N429" s="96" t="s">
        <v>363</v>
      </c>
      <c r="O429" s="96" t="s">
        <v>535</v>
      </c>
      <c r="P429" s="96" t="s">
        <v>338</v>
      </c>
      <c r="Q429" s="96" t="s">
        <v>2149</v>
      </c>
      <c r="R429" s="96" t="s">
        <v>432</v>
      </c>
      <c r="S429" s="96" t="s">
        <v>406</v>
      </c>
      <c r="T429" s="96" t="s">
        <v>1205</v>
      </c>
      <c r="U429" s="97">
        <v>3.17</v>
      </c>
      <c r="V429" s="100">
        <v>46657</v>
      </c>
      <c r="W429" s="98">
        <v>8.5000000000000006E-2</v>
      </c>
      <c r="X429" s="98">
        <v>7.7700000000000005E-2</v>
      </c>
      <c r="Y429" s="96" t="s">
        <v>410</v>
      </c>
      <c r="Z429" s="96"/>
      <c r="AA429" s="97">
        <v>4769.5101990000003</v>
      </c>
      <c r="AB429" s="97">
        <v>4.7504999999999997</v>
      </c>
      <c r="AC429" s="97">
        <v>102.41379999999999</v>
      </c>
      <c r="AD429" s="97"/>
      <c r="AE429" s="97">
        <v>23.204473</v>
      </c>
      <c r="AF429" s="96"/>
      <c r="AG429" s="96"/>
      <c r="AH429" s="96"/>
      <c r="AI429" s="98">
        <v>6.0000000000000002E-6</v>
      </c>
      <c r="AJ429" s="98">
        <v>1.81E-3</v>
      </c>
      <c r="AK429" s="98">
        <v>4.4099999999999999E-4</v>
      </c>
      <c r="AL429" s="106"/>
    </row>
    <row r="430" spans="1:38" ht="15" customHeight="1">
      <c r="A430" s="106"/>
      <c r="B430" s="96">
        <v>286</v>
      </c>
      <c r="C430" s="96">
        <v>1445</v>
      </c>
      <c r="D430" s="96" t="s">
        <v>2145</v>
      </c>
      <c r="E430" s="96" t="s">
        <v>2146</v>
      </c>
      <c r="F430" s="96" t="s">
        <v>312</v>
      </c>
      <c r="G430" s="96" t="s">
        <v>2210</v>
      </c>
      <c r="H430" s="96" t="s">
        <v>2211</v>
      </c>
      <c r="I430" s="96" t="s">
        <v>320</v>
      </c>
      <c r="J430" s="96" t="s">
        <v>754</v>
      </c>
      <c r="K430" s="96" t="s">
        <v>204</v>
      </c>
      <c r="L430" s="96" t="s">
        <v>232</v>
      </c>
      <c r="M430" s="96" t="s">
        <v>332</v>
      </c>
      <c r="N430" s="96" t="s">
        <v>343</v>
      </c>
      <c r="O430" s="96" t="s">
        <v>535</v>
      </c>
      <c r="P430" s="96" t="s">
        <v>338</v>
      </c>
      <c r="Q430" s="96" t="s">
        <v>2074</v>
      </c>
      <c r="R430" s="96" t="s">
        <v>432</v>
      </c>
      <c r="S430" s="96" t="s">
        <v>406</v>
      </c>
      <c r="T430" s="96" t="s">
        <v>1201</v>
      </c>
      <c r="U430" s="97">
        <v>2.75</v>
      </c>
      <c r="V430" s="100">
        <v>46974</v>
      </c>
      <c r="W430" s="98">
        <v>5.5010000000000003E-2</v>
      </c>
      <c r="X430" s="98">
        <v>5.5599999999999997E-2</v>
      </c>
      <c r="Y430" s="96" t="s">
        <v>411</v>
      </c>
      <c r="Z430" s="96"/>
      <c r="AA430" s="97">
        <v>145.70804999999999</v>
      </c>
      <c r="AB430" s="97">
        <v>3.7589999999999999</v>
      </c>
      <c r="AC430" s="97">
        <v>101.9575</v>
      </c>
      <c r="AD430" s="97"/>
      <c r="AE430" s="97">
        <v>0.55843799999999999</v>
      </c>
      <c r="AF430" s="96"/>
      <c r="AG430" s="96"/>
      <c r="AH430" s="96"/>
      <c r="AI430" s="98">
        <v>0</v>
      </c>
      <c r="AJ430" s="98">
        <v>4.3000000000000002E-5</v>
      </c>
      <c r="AK430" s="98">
        <v>1.0000000000000001E-5</v>
      </c>
      <c r="AL430" s="106"/>
    </row>
    <row r="431" spans="1:38" ht="15" customHeight="1">
      <c r="A431" s="106"/>
      <c r="B431" s="96">
        <v>286</v>
      </c>
      <c r="C431" s="96">
        <v>1445</v>
      </c>
      <c r="D431" s="96" t="s">
        <v>2130</v>
      </c>
      <c r="E431" s="96" t="s">
        <v>2131</v>
      </c>
      <c r="F431" s="96" t="s">
        <v>312</v>
      </c>
      <c r="G431" s="96" t="s">
        <v>2132</v>
      </c>
      <c r="H431" s="96" t="s">
        <v>2133</v>
      </c>
      <c r="I431" s="96" t="s">
        <v>320</v>
      </c>
      <c r="J431" s="96" t="s">
        <v>754</v>
      </c>
      <c r="K431" s="96" t="s">
        <v>204</v>
      </c>
      <c r="L431" s="96" t="s">
        <v>223</v>
      </c>
      <c r="M431" s="96" t="s">
        <v>324</v>
      </c>
      <c r="N431" s="96" t="s">
        <v>313</v>
      </c>
      <c r="O431" s="96" t="s">
        <v>539</v>
      </c>
      <c r="P431" s="96" t="s">
        <v>338</v>
      </c>
      <c r="Q431" s="96" t="s">
        <v>2134</v>
      </c>
      <c r="R431" s="96" t="s">
        <v>432</v>
      </c>
      <c r="S431" s="96" t="s">
        <v>406</v>
      </c>
      <c r="T431" s="96" t="s">
        <v>1201</v>
      </c>
      <c r="U431" s="97">
        <v>2.33</v>
      </c>
      <c r="V431" s="100">
        <v>46430</v>
      </c>
      <c r="W431" s="98">
        <v>4.8750000000000002E-2</v>
      </c>
      <c r="X431" s="98">
        <v>8.2900000000000001E-2</v>
      </c>
      <c r="Y431" s="96" t="s">
        <v>410</v>
      </c>
      <c r="Z431" s="96"/>
      <c r="AA431" s="97">
        <v>2292.4733339999998</v>
      </c>
      <c r="AB431" s="97">
        <v>3.7589999999999999</v>
      </c>
      <c r="AC431" s="97">
        <v>93.973699999999994</v>
      </c>
      <c r="AD431" s="97"/>
      <c r="AE431" s="97">
        <v>8.0981000000000005</v>
      </c>
      <c r="AF431" s="96"/>
      <c r="AG431" s="96"/>
      <c r="AH431" s="96"/>
      <c r="AI431" s="98">
        <v>9.9999999999999995E-7</v>
      </c>
      <c r="AJ431" s="98">
        <v>6.3100000000000005E-4</v>
      </c>
      <c r="AK431" s="98">
        <v>1.54E-4</v>
      </c>
      <c r="AL431" s="106"/>
    </row>
    <row r="432" spans="1:38" ht="15" customHeight="1">
      <c r="A432" s="106"/>
      <c r="B432" s="96">
        <v>286</v>
      </c>
      <c r="C432" s="96">
        <v>1445</v>
      </c>
      <c r="D432" s="96" t="s">
        <v>2338</v>
      </c>
      <c r="E432" s="96">
        <v>520027830</v>
      </c>
      <c r="F432" s="96" t="s">
        <v>308</v>
      </c>
      <c r="G432" s="96" t="s">
        <v>2339</v>
      </c>
      <c r="H432" s="96" t="s">
        <v>2340</v>
      </c>
      <c r="I432" s="96" t="s">
        <v>320</v>
      </c>
      <c r="J432" s="96" t="s">
        <v>754</v>
      </c>
      <c r="K432" s="96" t="s">
        <v>204</v>
      </c>
      <c r="L432" s="96" t="s">
        <v>203</v>
      </c>
      <c r="M432" s="96" t="s">
        <v>324</v>
      </c>
      <c r="N432" s="96" t="s">
        <v>313</v>
      </c>
      <c r="O432" s="96" t="s">
        <v>487</v>
      </c>
      <c r="P432" s="96" t="s">
        <v>338</v>
      </c>
      <c r="Q432" s="96" t="s">
        <v>1698</v>
      </c>
      <c r="R432" s="96" t="s">
        <v>422</v>
      </c>
      <c r="S432" s="96" t="s">
        <v>406</v>
      </c>
      <c r="T432" s="96" t="s">
        <v>1201</v>
      </c>
      <c r="U432" s="97">
        <v>8.81</v>
      </c>
      <c r="V432" s="100">
        <v>50374</v>
      </c>
      <c r="W432" s="98">
        <v>6.3750000000000001E-2</v>
      </c>
      <c r="X432" s="98">
        <v>7.3599999999999999E-2</v>
      </c>
      <c r="Y432" s="96" t="s">
        <v>411</v>
      </c>
      <c r="Z432" s="96"/>
      <c r="AA432" s="97">
        <v>8960.9846849999994</v>
      </c>
      <c r="AB432" s="97">
        <v>3.7589999999999999</v>
      </c>
      <c r="AC432" s="97">
        <v>91.982200000000006</v>
      </c>
      <c r="AD432" s="97"/>
      <c r="AE432" s="97">
        <v>30.983615</v>
      </c>
      <c r="AF432" s="96"/>
      <c r="AG432" s="96"/>
      <c r="AH432" s="96"/>
      <c r="AI432" s="98">
        <v>1.2E-5</v>
      </c>
      <c r="AJ432" s="98">
        <v>2.4169999999999999E-3</v>
      </c>
      <c r="AK432" s="98">
        <v>5.9000000000000003E-4</v>
      </c>
      <c r="AL432" s="106"/>
    </row>
    <row r="433" spans="1:38" ht="15" customHeight="1">
      <c r="A433" s="106"/>
      <c r="B433" s="96">
        <v>286</v>
      </c>
      <c r="C433" s="96">
        <v>1445</v>
      </c>
      <c r="D433" s="96" t="s">
        <v>2122</v>
      </c>
      <c r="E433" s="96" t="s">
        <v>2123</v>
      </c>
      <c r="F433" s="96" t="s">
        <v>312</v>
      </c>
      <c r="G433" s="96" t="s">
        <v>2341</v>
      </c>
      <c r="H433" s="96" t="s">
        <v>2342</v>
      </c>
      <c r="I433" s="96" t="s">
        <v>320</v>
      </c>
      <c r="J433" s="96" t="s">
        <v>754</v>
      </c>
      <c r="K433" s="96" t="s">
        <v>204</v>
      </c>
      <c r="L433" s="96" t="s">
        <v>223</v>
      </c>
      <c r="M433" s="96" t="s">
        <v>324</v>
      </c>
      <c r="N433" s="96" t="s">
        <v>369</v>
      </c>
      <c r="O433" s="96" t="s">
        <v>499</v>
      </c>
      <c r="P433" s="96" t="s">
        <v>338</v>
      </c>
      <c r="Q433" s="96" t="s">
        <v>2112</v>
      </c>
      <c r="R433" s="96" t="s">
        <v>430</v>
      </c>
      <c r="S433" s="96" t="s">
        <v>406</v>
      </c>
      <c r="T433" s="96" t="s">
        <v>1201</v>
      </c>
      <c r="U433" s="97">
        <v>6.3</v>
      </c>
      <c r="V433" s="100">
        <v>48437</v>
      </c>
      <c r="W433" s="98">
        <v>5.5E-2</v>
      </c>
      <c r="X433" s="98">
        <v>5.8000000000000003E-2</v>
      </c>
      <c r="Y433" s="96" t="s">
        <v>411</v>
      </c>
      <c r="Z433" s="96"/>
      <c r="AA433" s="97">
        <v>971.38700600000004</v>
      </c>
      <c r="AB433" s="97">
        <v>3.7589999999999999</v>
      </c>
      <c r="AC433" s="97">
        <v>100.15860000000001</v>
      </c>
      <c r="AD433" s="97"/>
      <c r="AE433" s="97">
        <v>3.657235</v>
      </c>
      <c r="AF433" s="96"/>
      <c r="AG433" s="96"/>
      <c r="AH433" s="96"/>
      <c r="AI433" s="98">
        <v>9.9999999999999995E-7</v>
      </c>
      <c r="AJ433" s="98">
        <v>2.8499999999999999E-4</v>
      </c>
      <c r="AK433" s="98">
        <v>6.8999999999999997E-5</v>
      </c>
      <c r="AL433" s="106"/>
    </row>
    <row r="434" spans="1:38" ht="15" customHeight="1">
      <c r="A434" s="106"/>
      <c r="B434" s="96">
        <v>286</v>
      </c>
      <c r="C434" s="96">
        <v>1445</v>
      </c>
      <c r="D434" s="96" t="s">
        <v>2190</v>
      </c>
      <c r="E434" s="96" t="s">
        <v>2191</v>
      </c>
      <c r="F434" s="96" t="s">
        <v>312</v>
      </c>
      <c r="G434" s="96" t="s">
        <v>2343</v>
      </c>
      <c r="H434" s="96" t="s">
        <v>2344</v>
      </c>
      <c r="I434" s="96" t="s">
        <v>320</v>
      </c>
      <c r="J434" s="96" t="s">
        <v>754</v>
      </c>
      <c r="K434" s="96" t="s">
        <v>204</v>
      </c>
      <c r="L434" s="96" t="s">
        <v>223</v>
      </c>
      <c r="M434" s="96" t="s">
        <v>324</v>
      </c>
      <c r="N434" s="96" t="s">
        <v>343</v>
      </c>
      <c r="O434" s="96" t="s">
        <v>548</v>
      </c>
      <c r="P434" s="96" t="s">
        <v>338</v>
      </c>
      <c r="Q434" s="96" t="s">
        <v>2085</v>
      </c>
      <c r="R434" s="96" t="s">
        <v>430</v>
      </c>
      <c r="S434" s="96" t="s">
        <v>406</v>
      </c>
      <c r="T434" s="96" t="s">
        <v>1201</v>
      </c>
      <c r="U434" s="97">
        <v>6.67</v>
      </c>
      <c r="V434" s="100">
        <v>48153</v>
      </c>
      <c r="W434" s="98">
        <v>2.2499999999999999E-2</v>
      </c>
      <c r="X434" s="98">
        <v>5.3100000000000001E-2</v>
      </c>
      <c r="Y434" s="96" t="s">
        <v>411</v>
      </c>
      <c r="Z434" s="96"/>
      <c r="AA434" s="97">
        <v>1359.941808</v>
      </c>
      <c r="AB434" s="97">
        <v>3.7589999999999999</v>
      </c>
      <c r="AC434" s="97">
        <v>82.025199999999998</v>
      </c>
      <c r="AD434" s="97"/>
      <c r="AE434" s="97">
        <v>4.1931479999999999</v>
      </c>
      <c r="AF434" s="96"/>
      <c r="AG434" s="96"/>
      <c r="AH434" s="96"/>
      <c r="AI434" s="98">
        <v>0</v>
      </c>
      <c r="AJ434" s="98">
        <v>3.2699999999999998E-4</v>
      </c>
      <c r="AK434" s="98">
        <v>7.8999999999999996E-5</v>
      </c>
      <c r="AL434" s="106"/>
    </row>
    <row r="435" spans="1:38" ht="15" customHeight="1">
      <c r="A435" s="106"/>
      <c r="B435" s="96">
        <v>286</v>
      </c>
      <c r="C435" s="96">
        <v>1445</v>
      </c>
      <c r="D435" s="96" t="s">
        <v>2154</v>
      </c>
      <c r="E435" s="96" t="s">
        <v>2155</v>
      </c>
      <c r="F435" s="96" t="s">
        <v>312</v>
      </c>
      <c r="G435" s="96" t="s">
        <v>2345</v>
      </c>
      <c r="H435" s="96" t="s">
        <v>2346</v>
      </c>
      <c r="I435" s="96" t="s">
        <v>320</v>
      </c>
      <c r="J435" s="96" t="s">
        <v>754</v>
      </c>
      <c r="K435" s="96" t="s">
        <v>204</v>
      </c>
      <c r="L435" s="96" t="s">
        <v>211</v>
      </c>
      <c r="M435" s="96" t="s">
        <v>324</v>
      </c>
      <c r="N435" s="96" t="s">
        <v>369</v>
      </c>
      <c r="O435" s="96" t="s">
        <v>541</v>
      </c>
      <c r="P435" s="96" t="s">
        <v>338</v>
      </c>
      <c r="Q435" s="96" t="s">
        <v>2112</v>
      </c>
      <c r="R435" s="96" t="s">
        <v>430</v>
      </c>
      <c r="S435" s="96" t="s">
        <v>406</v>
      </c>
      <c r="T435" s="96" t="s">
        <v>1205</v>
      </c>
      <c r="U435" s="97">
        <v>1.78</v>
      </c>
      <c r="V435" s="100">
        <v>46189</v>
      </c>
      <c r="W435" s="98">
        <v>6.2689999999999996E-2</v>
      </c>
      <c r="X435" s="98">
        <v>5.96E-2</v>
      </c>
      <c r="Y435" s="96" t="s">
        <v>410</v>
      </c>
      <c r="Z435" s="96"/>
      <c r="AA435" s="97">
        <v>3390.1406510000002</v>
      </c>
      <c r="AB435" s="97">
        <v>4.7504999999999997</v>
      </c>
      <c r="AC435" s="97">
        <v>100.7717</v>
      </c>
      <c r="AD435" s="97"/>
      <c r="AE435" s="97">
        <v>16.22916</v>
      </c>
      <c r="AF435" s="96"/>
      <c r="AG435" s="96"/>
      <c r="AH435" s="96"/>
      <c r="AI435" s="98">
        <v>9.0000000000000002E-6</v>
      </c>
      <c r="AJ435" s="98">
        <v>1.266E-3</v>
      </c>
      <c r="AK435" s="98">
        <v>3.0899999999999998E-4</v>
      </c>
      <c r="AL435" s="106"/>
    </row>
    <row r="436" spans="1:38" ht="15" customHeight="1">
      <c r="A436" s="106"/>
      <c r="B436" s="96">
        <v>286</v>
      </c>
      <c r="C436" s="96">
        <v>1445</v>
      </c>
      <c r="D436" s="96" t="s">
        <v>2347</v>
      </c>
      <c r="E436" s="96" t="s">
        <v>2348</v>
      </c>
      <c r="F436" s="96" t="s">
        <v>312</v>
      </c>
      <c r="G436" s="96" t="s">
        <v>2349</v>
      </c>
      <c r="H436" s="96" t="s">
        <v>2350</v>
      </c>
      <c r="I436" s="96" t="s">
        <v>320</v>
      </c>
      <c r="J436" s="96" t="s">
        <v>754</v>
      </c>
      <c r="K436" s="96" t="s">
        <v>204</v>
      </c>
      <c r="L436" s="96" t="s">
        <v>232</v>
      </c>
      <c r="M436" s="96" t="s">
        <v>324</v>
      </c>
      <c r="N436" s="96" t="s">
        <v>343</v>
      </c>
      <c r="O436" s="96" t="s">
        <v>535</v>
      </c>
      <c r="P436" s="96" t="s">
        <v>338</v>
      </c>
      <c r="Q436" s="96" t="s">
        <v>2074</v>
      </c>
      <c r="R436" s="96" t="s">
        <v>432</v>
      </c>
      <c r="S436" s="96" t="s">
        <v>406</v>
      </c>
      <c r="T436" s="96" t="s">
        <v>1201</v>
      </c>
      <c r="U436" s="97">
        <v>6.1</v>
      </c>
      <c r="V436" s="100">
        <v>48886</v>
      </c>
      <c r="W436" s="98">
        <v>8.1129999999999994E-2</v>
      </c>
      <c r="X436" s="98">
        <v>6.08E-2</v>
      </c>
      <c r="Y436" s="96" t="s">
        <v>411</v>
      </c>
      <c r="Z436" s="96"/>
      <c r="AA436" s="97">
        <v>1942.7740120000001</v>
      </c>
      <c r="AB436" s="97">
        <v>3.7589999999999999</v>
      </c>
      <c r="AC436" s="97">
        <v>114.40949999999999</v>
      </c>
      <c r="AD436" s="97"/>
      <c r="AE436" s="97">
        <v>8.3552009999999992</v>
      </c>
      <c r="AF436" s="96"/>
      <c r="AG436" s="96"/>
      <c r="AH436" s="96"/>
      <c r="AI436" s="98">
        <v>0</v>
      </c>
      <c r="AJ436" s="98">
        <v>6.5099999999999999E-4</v>
      </c>
      <c r="AK436" s="98">
        <v>1.5899999999999999E-4</v>
      </c>
      <c r="AL436" s="106"/>
    </row>
    <row r="437" spans="1:38" ht="15" customHeight="1">
      <c r="A437" s="106"/>
      <c r="B437" s="96">
        <v>286</v>
      </c>
      <c r="C437" s="96">
        <v>1445</v>
      </c>
      <c r="D437" s="96" t="s">
        <v>2347</v>
      </c>
      <c r="E437" s="96" t="s">
        <v>2348</v>
      </c>
      <c r="F437" s="96" t="s">
        <v>312</v>
      </c>
      <c r="G437" s="96" t="s">
        <v>2351</v>
      </c>
      <c r="H437" s="96" t="s">
        <v>2352</v>
      </c>
      <c r="I437" s="96" t="s">
        <v>320</v>
      </c>
      <c r="J437" s="96" t="s">
        <v>754</v>
      </c>
      <c r="K437" s="96" t="s">
        <v>204</v>
      </c>
      <c r="L437" s="96" t="s">
        <v>232</v>
      </c>
      <c r="M437" s="96" t="s">
        <v>324</v>
      </c>
      <c r="N437" s="96" t="s">
        <v>343</v>
      </c>
      <c r="O437" s="96" t="s">
        <v>535</v>
      </c>
      <c r="P437" s="96" t="s">
        <v>338</v>
      </c>
      <c r="Q437" s="96" t="s">
        <v>2263</v>
      </c>
      <c r="R437" s="96" t="s">
        <v>430</v>
      </c>
      <c r="S437" s="96" t="s">
        <v>406</v>
      </c>
      <c r="T437" s="96" t="s">
        <v>1201</v>
      </c>
      <c r="U437" s="97">
        <v>4.33</v>
      </c>
      <c r="V437" s="100">
        <v>47625</v>
      </c>
      <c r="W437" s="98">
        <v>3.9730000000000001E-2</v>
      </c>
      <c r="X437" s="98">
        <v>5.5100000000000003E-2</v>
      </c>
      <c r="Y437" s="96" t="s">
        <v>411</v>
      </c>
      <c r="Z437" s="96"/>
      <c r="AA437" s="97">
        <v>2719.883617</v>
      </c>
      <c r="AB437" s="97">
        <v>3.7589999999999999</v>
      </c>
      <c r="AC437" s="97">
        <v>93.898399999999995</v>
      </c>
      <c r="AD437" s="97"/>
      <c r="AE437" s="97">
        <v>9.6002220000000005</v>
      </c>
      <c r="AF437" s="96"/>
      <c r="AG437" s="96"/>
      <c r="AH437" s="96"/>
      <c r="AI437" s="98">
        <v>0</v>
      </c>
      <c r="AJ437" s="98">
        <v>7.4899999999999999E-4</v>
      </c>
      <c r="AK437" s="98">
        <v>1.8200000000000001E-4</v>
      </c>
      <c r="AL437" s="106"/>
    </row>
    <row r="438" spans="1:38" ht="15" customHeight="1">
      <c r="A438" s="106"/>
      <c r="B438" s="96">
        <v>286</v>
      </c>
      <c r="C438" s="96">
        <v>1445</v>
      </c>
      <c r="D438" s="96" t="s">
        <v>2353</v>
      </c>
      <c r="E438" s="96" t="s">
        <v>2354</v>
      </c>
      <c r="F438" s="96" t="s">
        <v>312</v>
      </c>
      <c r="G438" s="96" t="s">
        <v>2355</v>
      </c>
      <c r="H438" s="96" t="s">
        <v>2356</v>
      </c>
      <c r="I438" s="96" t="s">
        <v>320</v>
      </c>
      <c r="J438" s="96" t="s">
        <v>754</v>
      </c>
      <c r="K438" s="96" t="s">
        <v>204</v>
      </c>
      <c r="L438" s="96" t="s">
        <v>267</v>
      </c>
      <c r="M438" s="96" t="s">
        <v>324</v>
      </c>
      <c r="N438" s="96" t="s">
        <v>379</v>
      </c>
      <c r="O438" s="96" t="s">
        <v>515</v>
      </c>
      <c r="P438" s="96" t="s">
        <v>338</v>
      </c>
      <c r="Q438" s="96" t="s">
        <v>1698</v>
      </c>
      <c r="R438" s="96" t="s">
        <v>422</v>
      </c>
      <c r="S438" s="96" t="s">
        <v>406</v>
      </c>
      <c r="T438" s="96" t="s">
        <v>1201</v>
      </c>
      <c r="U438" s="97">
        <v>1.27</v>
      </c>
      <c r="V438" s="100">
        <v>45928</v>
      </c>
      <c r="W438" s="98">
        <v>2.1250000000000002E-2</v>
      </c>
      <c r="X438" s="98">
        <v>5.6899999999999999E-2</v>
      </c>
      <c r="Y438" s="96" t="s">
        <v>411</v>
      </c>
      <c r="Z438" s="96"/>
      <c r="AA438" s="97">
        <v>1748.4966099999999</v>
      </c>
      <c r="AB438" s="97">
        <v>3.7589999999999999</v>
      </c>
      <c r="AC438" s="97">
        <v>95.879900000000006</v>
      </c>
      <c r="AD438" s="97"/>
      <c r="AE438" s="97">
        <v>6.3018049999999999</v>
      </c>
      <c r="AF438" s="96"/>
      <c r="AG438" s="96"/>
      <c r="AH438" s="96"/>
      <c r="AI438" s="98">
        <v>1.9999999999999999E-6</v>
      </c>
      <c r="AJ438" s="98">
        <v>4.9100000000000001E-4</v>
      </c>
      <c r="AK438" s="98">
        <v>1.2E-4</v>
      </c>
      <c r="AL438" s="106"/>
    </row>
    <row r="439" spans="1:38" ht="15" customHeight="1">
      <c r="A439" s="106"/>
      <c r="B439" s="96">
        <v>286</v>
      </c>
      <c r="C439" s="96">
        <v>1445</v>
      </c>
      <c r="D439" s="96" t="s">
        <v>2347</v>
      </c>
      <c r="E439" s="96" t="s">
        <v>2348</v>
      </c>
      <c r="F439" s="96" t="s">
        <v>312</v>
      </c>
      <c r="G439" s="96" t="s">
        <v>2357</v>
      </c>
      <c r="H439" s="96" t="s">
        <v>2358</v>
      </c>
      <c r="I439" s="96" t="s">
        <v>320</v>
      </c>
      <c r="J439" s="96" t="s">
        <v>754</v>
      </c>
      <c r="K439" s="96" t="s">
        <v>204</v>
      </c>
      <c r="L439" s="96" t="s">
        <v>232</v>
      </c>
      <c r="M439" s="96" t="s">
        <v>324</v>
      </c>
      <c r="N439" s="96" t="s">
        <v>343</v>
      </c>
      <c r="O439" s="96" t="s">
        <v>535</v>
      </c>
      <c r="P439" s="96" t="s">
        <v>338</v>
      </c>
      <c r="Q439" s="96" t="s">
        <v>2263</v>
      </c>
      <c r="R439" s="96" t="s">
        <v>430</v>
      </c>
      <c r="S439" s="96" t="s">
        <v>406</v>
      </c>
      <c r="T439" s="96" t="s">
        <v>1201</v>
      </c>
      <c r="U439" s="97">
        <v>5.29</v>
      </c>
      <c r="V439" s="100">
        <v>47638</v>
      </c>
      <c r="W439" s="98">
        <v>2.8479999999999998E-2</v>
      </c>
      <c r="X439" s="98">
        <v>5.57E-2</v>
      </c>
      <c r="Y439" s="96" t="s">
        <v>411</v>
      </c>
      <c r="Z439" s="96"/>
      <c r="AA439" s="97">
        <v>1942.7740120000001</v>
      </c>
      <c r="AB439" s="97">
        <v>3.7589999999999999</v>
      </c>
      <c r="AC439" s="97">
        <v>86.628600000000006</v>
      </c>
      <c r="AD439" s="97"/>
      <c r="AE439" s="97">
        <v>6.3263949999999998</v>
      </c>
      <c r="AF439" s="96"/>
      <c r="AG439" s="96"/>
      <c r="AH439" s="96"/>
      <c r="AI439" s="98">
        <v>9.9999999999999995E-7</v>
      </c>
      <c r="AJ439" s="98">
        <v>4.9299999999999995E-4</v>
      </c>
      <c r="AK439" s="98">
        <v>1.2E-4</v>
      </c>
      <c r="AL439" s="106"/>
    </row>
    <row r="440" spans="1:38" ht="15" customHeight="1">
      <c r="A440" s="106"/>
      <c r="B440" s="96">
        <v>286</v>
      </c>
      <c r="C440" s="96">
        <v>1445</v>
      </c>
      <c r="D440" s="96" t="s">
        <v>2145</v>
      </c>
      <c r="E440" s="96" t="s">
        <v>2146</v>
      </c>
      <c r="F440" s="96" t="s">
        <v>312</v>
      </c>
      <c r="G440" s="96" t="s">
        <v>2359</v>
      </c>
      <c r="H440" s="96" t="s">
        <v>2360</v>
      </c>
      <c r="I440" s="96" t="s">
        <v>320</v>
      </c>
      <c r="J440" s="96" t="s">
        <v>754</v>
      </c>
      <c r="K440" s="96" t="s">
        <v>204</v>
      </c>
      <c r="L440" s="96" t="s">
        <v>232</v>
      </c>
      <c r="M440" s="96" t="s">
        <v>324</v>
      </c>
      <c r="N440" s="96" t="s">
        <v>343</v>
      </c>
      <c r="O440" s="96" t="s">
        <v>535</v>
      </c>
      <c r="P440" s="96" t="s">
        <v>338</v>
      </c>
      <c r="Q440" s="96" t="s">
        <v>1698</v>
      </c>
      <c r="R440" s="96" t="s">
        <v>432</v>
      </c>
      <c r="S440" s="96" t="s">
        <v>406</v>
      </c>
      <c r="T440" s="96" t="s">
        <v>1201</v>
      </c>
      <c r="U440" s="97">
        <v>6.65</v>
      </c>
      <c r="V440" s="100">
        <v>48757</v>
      </c>
      <c r="W440" s="98">
        <v>7.1190000000000003E-2</v>
      </c>
      <c r="X440" s="98">
        <v>6.2100000000000002E-2</v>
      </c>
      <c r="Y440" s="96" t="s">
        <v>411</v>
      </c>
      <c r="Z440" s="96"/>
      <c r="AA440" s="97">
        <v>1942.7740120000001</v>
      </c>
      <c r="AB440" s="97">
        <v>3.7589999999999999</v>
      </c>
      <c r="AC440" s="97">
        <v>106.2323</v>
      </c>
      <c r="AD440" s="97"/>
      <c r="AE440" s="97">
        <v>7.7580270000000002</v>
      </c>
      <c r="AF440" s="96"/>
      <c r="AG440" s="96"/>
      <c r="AH440" s="96"/>
      <c r="AI440" s="98">
        <v>9.9999999999999995E-7</v>
      </c>
      <c r="AJ440" s="98">
        <v>6.0499999999999996E-4</v>
      </c>
      <c r="AK440" s="98">
        <v>1.47E-4</v>
      </c>
      <c r="AL440" s="106"/>
    </row>
    <row r="441" spans="1:38" ht="15" customHeight="1">
      <c r="A441" s="106"/>
      <c r="B441" s="96">
        <v>286</v>
      </c>
      <c r="C441" s="96">
        <v>1445</v>
      </c>
      <c r="D441" s="96" t="s">
        <v>2252</v>
      </c>
      <c r="E441" s="96" t="s">
        <v>2253</v>
      </c>
      <c r="F441" s="96" t="s">
        <v>312</v>
      </c>
      <c r="G441" s="96" t="s">
        <v>2312</v>
      </c>
      <c r="H441" s="96" t="s">
        <v>2313</v>
      </c>
      <c r="I441" s="96" t="s">
        <v>320</v>
      </c>
      <c r="J441" s="96" t="s">
        <v>754</v>
      </c>
      <c r="K441" s="96" t="s">
        <v>204</v>
      </c>
      <c r="L441" s="96" t="s">
        <v>231</v>
      </c>
      <c r="M441" s="96" t="s">
        <v>324</v>
      </c>
      <c r="N441" s="96" t="s">
        <v>313</v>
      </c>
      <c r="O441" s="96" t="s">
        <v>524</v>
      </c>
      <c r="P441" s="96" t="s">
        <v>338</v>
      </c>
      <c r="Q441" s="96" t="s">
        <v>2112</v>
      </c>
      <c r="R441" s="96" t="s">
        <v>430</v>
      </c>
      <c r="S441" s="96" t="s">
        <v>406</v>
      </c>
      <c r="T441" s="96" t="s">
        <v>1201</v>
      </c>
      <c r="U441" s="97">
        <v>6.26</v>
      </c>
      <c r="V441" s="100">
        <v>46357</v>
      </c>
      <c r="W441" s="98">
        <v>3.7499999999999999E-2</v>
      </c>
      <c r="X441" s="98">
        <v>5.8599999999999999E-2</v>
      </c>
      <c r="Y441" s="96" t="s">
        <v>411</v>
      </c>
      <c r="Z441" s="96"/>
      <c r="AA441" s="97">
        <v>2852.1865269999998</v>
      </c>
      <c r="AB441" s="97">
        <v>3.7589999999999999</v>
      </c>
      <c r="AC441" s="97">
        <v>87.757000000000005</v>
      </c>
      <c r="AD441" s="97"/>
      <c r="AE441" s="97">
        <v>9.4087599999999991</v>
      </c>
      <c r="AF441" s="96"/>
      <c r="AG441" s="96"/>
      <c r="AH441" s="96"/>
      <c r="AI441" s="98">
        <v>5.0000000000000004E-6</v>
      </c>
      <c r="AJ441" s="98">
        <v>7.3399999999999995E-4</v>
      </c>
      <c r="AK441" s="98">
        <v>1.7899999999999999E-4</v>
      </c>
      <c r="AL441" s="106"/>
    </row>
    <row r="442" spans="1:38" ht="15" customHeight="1">
      <c r="A442" s="106"/>
      <c r="B442" s="96">
        <v>286</v>
      </c>
      <c r="C442" s="96">
        <v>1445</v>
      </c>
      <c r="D442" s="96" t="s">
        <v>2139</v>
      </c>
      <c r="E442" s="96" t="s">
        <v>2140</v>
      </c>
      <c r="F442" s="96" t="s">
        <v>312</v>
      </c>
      <c r="G442" s="96" t="s">
        <v>2208</v>
      </c>
      <c r="H442" s="96" t="s">
        <v>2209</v>
      </c>
      <c r="I442" s="96" t="s">
        <v>320</v>
      </c>
      <c r="J442" s="96" t="s">
        <v>754</v>
      </c>
      <c r="K442" s="96" t="s">
        <v>204</v>
      </c>
      <c r="L442" s="96" t="s">
        <v>263</v>
      </c>
      <c r="M442" s="96" t="s">
        <v>332</v>
      </c>
      <c r="N442" s="96" t="s">
        <v>313</v>
      </c>
      <c r="O442" s="96" t="s">
        <v>488</v>
      </c>
      <c r="P442" s="96" t="s">
        <v>338</v>
      </c>
      <c r="Q442" s="96" t="s">
        <v>1698</v>
      </c>
      <c r="R442" s="96" t="s">
        <v>422</v>
      </c>
      <c r="S442" s="96" t="s">
        <v>406</v>
      </c>
      <c r="T442" s="96" t="s">
        <v>1201</v>
      </c>
      <c r="U442" s="97">
        <v>5.13</v>
      </c>
      <c r="V442" s="100">
        <v>45917</v>
      </c>
      <c r="W442" s="98">
        <v>5.1999999999999998E-2</v>
      </c>
      <c r="X442" s="98">
        <v>5.9299999999999999E-2</v>
      </c>
      <c r="Y442" s="96" t="s">
        <v>411</v>
      </c>
      <c r="Z442" s="96"/>
      <c r="AA442" s="97">
        <v>310.843841</v>
      </c>
      <c r="AB442" s="97">
        <v>3.7589999999999999</v>
      </c>
      <c r="AC442" s="97">
        <v>100.37139999999999</v>
      </c>
      <c r="AD442" s="97"/>
      <c r="AE442" s="97">
        <v>1.1728019999999999</v>
      </c>
      <c r="AF442" s="96"/>
      <c r="AG442" s="96"/>
      <c r="AH442" s="96"/>
      <c r="AI442" s="98">
        <v>0</v>
      </c>
      <c r="AJ442" s="98">
        <v>9.1000000000000003E-5</v>
      </c>
      <c r="AK442" s="98">
        <v>2.1999999999999999E-5</v>
      </c>
      <c r="AL442" s="106"/>
    </row>
    <row r="443" spans="1:38" ht="15" customHeight="1">
      <c r="A443" s="106"/>
      <c r="B443" s="96">
        <v>286</v>
      </c>
      <c r="C443" s="96">
        <v>1445</v>
      </c>
      <c r="D443" s="96" t="s">
        <v>2186</v>
      </c>
      <c r="E443" s="96" t="s">
        <v>2187</v>
      </c>
      <c r="F443" s="96" t="s">
        <v>312</v>
      </c>
      <c r="G443" s="96" t="s">
        <v>2361</v>
      </c>
      <c r="H443" s="96" t="s">
        <v>2362</v>
      </c>
      <c r="I443" s="96" t="s">
        <v>320</v>
      </c>
      <c r="J443" s="96" t="s">
        <v>955</v>
      </c>
      <c r="K443" s="96" t="s">
        <v>204</v>
      </c>
      <c r="L443" s="96" t="s">
        <v>271</v>
      </c>
      <c r="M443" s="96" t="s">
        <v>324</v>
      </c>
      <c r="N443" s="96" t="s">
        <v>363</v>
      </c>
      <c r="O443" s="96" t="s">
        <v>535</v>
      </c>
      <c r="P443" s="96" t="s">
        <v>338</v>
      </c>
      <c r="Q443" s="96" t="s">
        <v>2117</v>
      </c>
      <c r="R443" s="96" t="s">
        <v>430</v>
      </c>
      <c r="S443" s="96" t="s">
        <v>406</v>
      </c>
      <c r="T443" s="96" t="s">
        <v>1202</v>
      </c>
      <c r="U443" s="97">
        <v>1.44</v>
      </c>
      <c r="V443" s="100">
        <v>46036</v>
      </c>
      <c r="W443" s="98">
        <v>4.3749999999999997E-2</v>
      </c>
      <c r="X443" s="98">
        <v>7.1599999999999997E-2</v>
      </c>
      <c r="Y443" s="96" t="s">
        <v>410</v>
      </c>
      <c r="Z443" s="96"/>
      <c r="AA443" s="97">
        <v>3768.9815829999998</v>
      </c>
      <c r="AB443" s="97">
        <v>4.0202</v>
      </c>
      <c r="AC443" s="97">
        <v>96.916600000000003</v>
      </c>
      <c r="AD443" s="97"/>
      <c r="AE443" s="97">
        <v>14.684862000000001</v>
      </c>
      <c r="AF443" s="96"/>
      <c r="AG443" s="96"/>
      <c r="AH443" s="96"/>
      <c r="AI443" s="98">
        <v>1.9999999999999999E-6</v>
      </c>
      <c r="AJ443" s="98">
        <v>1.145E-3</v>
      </c>
      <c r="AK443" s="98">
        <v>2.7900000000000001E-4</v>
      </c>
      <c r="AL443" s="106"/>
    </row>
    <row r="444" spans="1:38" ht="15" customHeight="1">
      <c r="A444" s="106"/>
      <c r="B444" s="96">
        <v>286</v>
      </c>
      <c r="C444" s="96">
        <v>1445</v>
      </c>
      <c r="D444" s="96" t="s">
        <v>2108</v>
      </c>
      <c r="E444" s="96" t="s">
        <v>2109</v>
      </c>
      <c r="F444" s="96" t="s">
        <v>312</v>
      </c>
      <c r="G444" s="96" t="s">
        <v>2363</v>
      </c>
      <c r="H444" s="96" t="s">
        <v>2364</v>
      </c>
      <c r="I444" s="96" t="s">
        <v>320</v>
      </c>
      <c r="J444" s="96" t="s">
        <v>754</v>
      </c>
      <c r="K444" s="96" t="s">
        <v>204</v>
      </c>
      <c r="L444" s="96" t="s">
        <v>223</v>
      </c>
      <c r="M444" s="96" t="s">
        <v>324</v>
      </c>
      <c r="N444" s="96" t="s">
        <v>343</v>
      </c>
      <c r="O444" s="96" t="s">
        <v>499</v>
      </c>
      <c r="P444" s="96" t="s">
        <v>338</v>
      </c>
      <c r="Q444" s="96" t="s">
        <v>2172</v>
      </c>
      <c r="R444" s="96" t="s">
        <v>430</v>
      </c>
      <c r="S444" s="96" t="s">
        <v>406</v>
      </c>
      <c r="T444" s="96" t="s">
        <v>1201</v>
      </c>
      <c r="U444" s="97">
        <v>5.59</v>
      </c>
      <c r="V444" s="100">
        <v>45884</v>
      </c>
      <c r="W444" s="98">
        <v>3.875E-2</v>
      </c>
      <c r="X444" s="98">
        <v>5.8500000000000003E-2</v>
      </c>
      <c r="Y444" s="96" t="s">
        <v>411</v>
      </c>
      <c r="Z444" s="96"/>
      <c r="AA444" s="97">
        <v>5993.4578270000002</v>
      </c>
      <c r="AB444" s="97">
        <v>3.7589999999999999</v>
      </c>
      <c r="AC444" s="97">
        <v>90.718100000000007</v>
      </c>
      <c r="AD444" s="97"/>
      <c r="AE444" s="97">
        <v>20.438255999999999</v>
      </c>
      <c r="AF444" s="96"/>
      <c r="AG444" s="96"/>
      <c r="AH444" s="96"/>
      <c r="AI444" s="98">
        <v>5.0000000000000004E-6</v>
      </c>
      <c r="AJ444" s="98">
        <v>1.5939999999999999E-3</v>
      </c>
      <c r="AK444" s="98">
        <v>3.8900000000000002E-4</v>
      </c>
      <c r="AL444" s="106"/>
    </row>
    <row r="445" spans="1:38" ht="15" customHeight="1">
      <c r="A445" s="106"/>
      <c r="B445" s="96">
        <v>286</v>
      </c>
      <c r="C445" s="96">
        <v>1445</v>
      </c>
      <c r="D445" s="96" t="s">
        <v>2241</v>
      </c>
      <c r="E445" s="96" t="s">
        <v>2242</v>
      </c>
      <c r="F445" s="96" t="s">
        <v>312</v>
      </c>
      <c r="G445" s="96" t="s">
        <v>2365</v>
      </c>
      <c r="H445" s="96" t="s">
        <v>2366</v>
      </c>
      <c r="I445" s="96" t="s">
        <v>320</v>
      </c>
      <c r="J445" s="96" t="s">
        <v>754</v>
      </c>
      <c r="K445" s="96" t="s">
        <v>204</v>
      </c>
      <c r="L445" s="96" t="s">
        <v>223</v>
      </c>
      <c r="M445" s="96" t="s">
        <v>324</v>
      </c>
      <c r="N445" s="96" t="s">
        <v>363</v>
      </c>
      <c r="O445" s="96" t="s">
        <v>492</v>
      </c>
      <c r="P445" s="96" t="s">
        <v>338</v>
      </c>
      <c r="Q445" s="96" t="s">
        <v>2172</v>
      </c>
      <c r="R445" s="96" t="s">
        <v>430</v>
      </c>
      <c r="S445" s="96" t="s">
        <v>406</v>
      </c>
      <c r="T445" s="96" t="s">
        <v>1202</v>
      </c>
      <c r="U445" s="97">
        <v>3.3</v>
      </c>
      <c r="V445" s="100">
        <v>46949</v>
      </c>
      <c r="W445" s="98">
        <v>2.2499999999999999E-2</v>
      </c>
      <c r="X445" s="98">
        <v>4.3299999999999998E-2</v>
      </c>
      <c r="Y445" s="96" t="s">
        <v>411</v>
      </c>
      <c r="Z445" s="96"/>
      <c r="AA445" s="97">
        <v>3098.724549</v>
      </c>
      <c r="AB445" s="97">
        <v>4.0202</v>
      </c>
      <c r="AC445" s="97">
        <v>94.270200000000003</v>
      </c>
      <c r="AD445" s="97"/>
      <c r="AE445" s="97">
        <v>11.743709000000001</v>
      </c>
      <c r="AF445" s="96"/>
      <c r="AG445" s="96"/>
      <c r="AH445" s="96"/>
      <c r="AI445" s="98">
        <v>3.9999999999999998E-6</v>
      </c>
      <c r="AJ445" s="98">
        <v>9.1600000000000004E-4</v>
      </c>
      <c r="AK445" s="98">
        <v>2.23E-4</v>
      </c>
      <c r="AL445" s="106"/>
    </row>
    <row r="446" spans="1:38" ht="15" customHeight="1">
      <c r="A446" s="106"/>
      <c r="B446" s="96">
        <v>286</v>
      </c>
      <c r="C446" s="96">
        <v>1445</v>
      </c>
      <c r="D446" s="96" t="s">
        <v>2222</v>
      </c>
      <c r="E446" s="96" t="s">
        <v>2223</v>
      </c>
      <c r="F446" s="96" t="s">
        <v>312</v>
      </c>
      <c r="G446" s="96" t="s">
        <v>2367</v>
      </c>
      <c r="H446" s="96" t="s">
        <v>2368</v>
      </c>
      <c r="I446" s="96" t="s">
        <v>320</v>
      </c>
      <c r="J446" s="96" t="s">
        <v>754</v>
      </c>
      <c r="K446" s="96" t="s">
        <v>204</v>
      </c>
      <c r="L446" s="96" t="s">
        <v>280</v>
      </c>
      <c r="M446" s="96" t="s">
        <v>324</v>
      </c>
      <c r="N446" s="96" t="s">
        <v>313</v>
      </c>
      <c r="O446" s="96" t="s">
        <v>535</v>
      </c>
      <c r="P446" s="96" t="s">
        <v>338</v>
      </c>
      <c r="Q446" s="96" t="s">
        <v>2085</v>
      </c>
      <c r="R446" s="96" t="s">
        <v>430</v>
      </c>
      <c r="S446" s="96" t="s">
        <v>406</v>
      </c>
      <c r="T446" s="96" t="s">
        <v>1201</v>
      </c>
      <c r="U446" s="97">
        <v>3.26</v>
      </c>
      <c r="V446" s="100">
        <v>46813</v>
      </c>
      <c r="W446" s="98">
        <v>4.3749999999999997E-2</v>
      </c>
      <c r="X446" s="98">
        <v>6.0600000000000001E-2</v>
      </c>
      <c r="Y446" s="96" t="s">
        <v>411</v>
      </c>
      <c r="Z446" s="96"/>
      <c r="AA446" s="97">
        <v>971.38700600000004</v>
      </c>
      <c r="AB446" s="97">
        <v>3.7589999999999999</v>
      </c>
      <c r="AC446" s="97">
        <v>95.979399999999998</v>
      </c>
      <c r="AD446" s="97"/>
      <c r="AE446" s="97">
        <v>3.5046360000000001</v>
      </c>
      <c r="AF446" s="96"/>
      <c r="AG446" s="96"/>
      <c r="AH446" s="96"/>
      <c r="AI446" s="98">
        <v>0</v>
      </c>
      <c r="AJ446" s="98">
        <v>2.7300000000000002E-4</v>
      </c>
      <c r="AK446" s="98">
        <v>6.6000000000000005E-5</v>
      </c>
      <c r="AL446" s="106"/>
    </row>
    <row r="447" spans="1:38" ht="15" customHeight="1">
      <c r="A447" s="106"/>
      <c r="B447" s="96">
        <v>286</v>
      </c>
      <c r="C447" s="96">
        <v>1445</v>
      </c>
      <c r="D447" s="96" t="s">
        <v>2248</v>
      </c>
      <c r="E447" s="96" t="s">
        <v>2249</v>
      </c>
      <c r="F447" s="96" t="s">
        <v>312</v>
      </c>
      <c r="G447" s="96" t="s">
        <v>2369</v>
      </c>
      <c r="H447" s="96" t="s">
        <v>2370</v>
      </c>
      <c r="I447" s="96" t="s">
        <v>320</v>
      </c>
      <c r="J447" s="96" t="s">
        <v>754</v>
      </c>
      <c r="K447" s="96" t="s">
        <v>204</v>
      </c>
      <c r="L447" s="96" t="s">
        <v>232</v>
      </c>
      <c r="M447" s="96" t="s">
        <v>324</v>
      </c>
      <c r="N447" s="96" t="s">
        <v>369</v>
      </c>
      <c r="O447" s="96" t="s">
        <v>549</v>
      </c>
      <c r="P447" s="96" t="s">
        <v>338</v>
      </c>
      <c r="Q447" s="96" t="s">
        <v>2090</v>
      </c>
      <c r="R447" s="96" t="s">
        <v>422</v>
      </c>
      <c r="S447" s="96" t="s">
        <v>406</v>
      </c>
      <c r="T447" s="96" t="s">
        <v>1202</v>
      </c>
      <c r="U447" s="97">
        <v>5.07</v>
      </c>
      <c r="V447" s="100">
        <v>47630</v>
      </c>
      <c r="W447" s="98">
        <v>0.03</v>
      </c>
      <c r="X447" s="98">
        <v>4.87E-2</v>
      </c>
      <c r="Y447" s="96" t="s">
        <v>410</v>
      </c>
      <c r="Z447" s="96"/>
      <c r="AA447" s="97">
        <v>1942.7740120000001</v>
      </c>
      <c r="AB447" s="97">
        <v>4.0202</v>
      </c>
      <c r="AC447" s="97">
        <v>93.113900000000001</v>
      </c>
      <c r="AD447" s="97"/>
      <c r="AE447" s="97">
        <v>7.2725200000000001</v>
      </c>
      <c r="AF447" s="96"/>
      <c r="AG447" s="96"/>
      <c r="AH447" s="96"/>
      <c r="AI447" s="98">
        <v>9.9999999999999995E-7</v>
      </c>
      <c r="AJ447" s="98">
        <v>5.6700000000000001E-4</v>
      </c>
      <c r="AK447" s="98">
        <v>1.3799999999999999E-4</v>
      </c>
      <c r="AL447" s="106"/>
    </row>
    <row r="448" spans="1:38" ht="15" customHeight="1">
      <c r="A448" s="106"/>
      <c r="B448" s="96">
        <v>286</v>
      </c>
      <c r="C448" s="96">
        <v>1445</v>
      </c>
      <c r="D448" s="96" t="s">
        <v>2371</v>
      </c>
      <c r="E448" s="96" t="s">
        <v>2372</v>
      </c>
      <c r="F448" s="96" t="s">
        <v>312</v>
      </c>
      <c r="G448" s="96" t="s">
        <v>2373</v>
      </c>
      <c r="H448" s="96" t="s">
        <v>2374</v>
      </c>
      <c r="I448" s="96" t="s">
        <v>320</v>
      </c>
      <c r="J448" s="96" t="s">
        <v>754</v>
      </c>
      <c r="K448" s="96" t="s">
        <v>204</v>
      </c>
      <c r="L448" s="96" t="s">
        <v>280</v>
      </c>
      <c r="M448" s="96" t="s">
        <v>324</v>
      </c>
      <c r="N448" s="96" t="s">
        <v>367</v>
      </c>
      <c r="O448" s="96" t="s">
        <v>541</v>
      </c>
      <c r="P448" s="96" t="s">
        <v>338</v>
      </c>
      <c r="Q448" s="96" t="s">
        <v>2258</v>
      </c>
      <c r="R448" s="96" t="s">
        <v>432</v>
      </c>
      <c r="S448" s="96" t="s">
        <v>406</v>
      </c>
      <c r="T448" s="96" t="s">
        <v>1202</v>
      </c>
      <c r="U448" s="97">
        <v>6.66</v>
      </c>
      <c r="V448" s="100">
        <v>48467</v>
      </c>
      <c r="W448" s="98">
        <v>4.2500000000000003E-2</v>
      </c>
      <c r="X448" s="98">
        <v>4.6399999999999997E-2</v>
      </c>
      <c r="Y448" s="96" t="s">
        <v>410</v>
      </c>
      <c r="Z448" s="96"/>
      <c r="AA448" s="97">
        <v>3302.7158199999999</v>
      </c>
      <c r="AB448" s="97">
        <v>4.0202</v>
      </c>
      <c r="AC448" s="97">
        <v>98.706199999999995</v>
      </c>
      <c r="AD448" s="97"/>
      <c r="AE448" s="97">
        <v>13.105795000000001</v>
      </c>
      <c r="AF448" s="96"/>
      <c r="AG448" s="96"/>
      <c r="AH448" s="96"/>
      <c r="AI448" s="98">
        <v>1.9999999999999999E-6</v>
      </c>
      <c r="AJ448" s="98">
        <v>1.0219999999999999E-3</v>
      </c>
      <c r="AK448" s="98">
        <v>2.4899999999999998E-4</v>
      </c>
      <c r="AL448" s="106"/>
    </row>
    <row r="449" spans="1:38" ht="15" customHeight="1">
      <c r="A449" s="106"/>
      <c r="B449" s="96">
        <v>286</v>
      </c>
      <c r="C449" s="96">
        <v>1445</v>
      </c>
      <c r="D449" s="96" t="s">
        <v>2173</v>
      </c>
      <c r="E449" s="96" t="s">
        <v>2174</v>
      </c>
      <c r="F449" s="96" t="s">
        <v>312</v>
      </c>
      <c r="G449" s="96" t="s">
        <v>2375</v>
      </c>
      <c r="H449" s="96" t="s">
        <v>2376</v>
      </c>
      <c r="I449" s="96" t="s">
        <v>320</v>
      </c>
      <c r="J449" s="96" t="s">
        <v>754</v>
      </c>
      <c r="K449" s="96" t="s">
        <v>204</v>
      </c>
      <c r="L449" s="96" t="s">
        <v>238</v>
      </c>
      <c r="M449" s="96" t="s">
        <v>324</v>
      </c>
      <c r="N449" s="96" t="s">
        <v>313</v>
      </c>
      <c r="O449" s="96" t="s">
        <v>567</v>
      </c>
      <c r="P449" s="96" t="s">
        <v>338</v>
      </c>
      <c r="Q449" s="96" t="s">
        <v>2290</v>
      </c>
      <c r="R449" s="96" t="s">
        <v>430</v>
      </c>
      <c r="S449" s="96" t="s">
        <v>406</v>
      </c>
      <c r="T449" s="96" t="s">
        <v>1202</v>
      </c>
      <c r="U449" s="97">
        <v>1.07</v>
      </c>
      <c r="V449" s="100">
        <v>45819</v>
      </c>
      <c r="W449" s="98">
        <v>4.2500000000000003E-2</v>
      </c>
      <c r="X449" s="98">
        <v>7.4200000000000002E-2</v>
      </c>
      <c r="Y449" s="96" t="s">
        <v>411</v>
      </c>
      <c r="Z449" s="96"/>
      <c r="AA449" s="97">
        <v>971.38700600000004</v>
      </c>
      <c r="AB449" s="97">
        <v>4.0202</v>
      </c>
      <c r="AC449" s="97">
        <v>99.938999999999993</v>
      </c>
      <c r="AD449" s="97"/>
      <c r="AE449" s="97">
        <v>3.9027880000000001</v>
      </c>
      <c r="AF449" s="96"/>
      <c r="AG449" s="96"/>
      <c r="AH449" s="96"/>
      <c r="AI449" s="98">
        <v>3.0000000000000001E-6</v>
      </c>
      <c r="AJ449" s="98">
        <v>3.0400000000000002E-4</v>
      </c>
      <c r="AK449" s="98">
        <v>7.3999999999999996E-5</v>
      </c>
      <c r="AL449" s="106"/>
    </row>
    <row r="450" spans="1:38" ht="15" customHeight="1">
      <c r="A450" s="106"/>
      <c r="B450" s="96">
        <v>286</v>
      </c>
      <c r="C450" s="96">
        <v>1445</v>
      </c>
      <c r="D450" s="96" t="s">
        <v>2182</v>
      </c>
      <c r="E450" s="96" t="s">
        <v>2183</v>
      </c>
      <c r="F450" s="96" t="s">
        <v>312</v>
      </c>
      <c r="G450" s="96" t="s">
        <v>2377</v>
      </c>
      <c r="H450" s="96" t="s">
        <v>2378</v>
      </c>
      <c r="I450" s="96" t="s">
        <v>320</v>
      </c>
      <c r="J450" s="96" t="s">
        <v>754</v>
      </c>
      <c r="K450" s="96" t="s">
        <v>204</v>
      </c>
      <c r="L450" s="96" t="s">
        <v>244</v>
      </c>
      <c r="M450" s="96" t="s">
        <v>324</v>
      </c>
      <c r="N450" s="96" t="s">
        <v>363</v>
      </c>
      <c r="O450" s="96" t="s">
        <v>535</v>
      </c>
      <c r="P450" s="96" t="s">
        <v>338</v>
      </c>
      <c r="Q450" s="96" t="s">
        <v>2112</v>
      </c>
      <c r="R450" s="96" t="s">
        <v>430</v>
      </c>
      <c r="S450" s="96" t="s">
        <v>406</v>
      </c>
      <c r="T450" s="96" t="s">
        <v>1202</v>
      </c>
      <c r="U450" s="97">
        <v>3.17</v>
      </c>
      <c r="V450" s="100">
        <v>46567</v>
      </c>
      <c r="W450" s="98">
        <v>4.3749999999999997E-2</v>
      </c>
      <c r="X450" s="98">
        <v>5.9299999999999999E-2</v>
      </c>
      <c r="Y450" s="96" t="s">
        <v>410</v>
      </c>
      <c r="Z450" s="96"/>
      <c r="AA450" s="97">
        <v>971.38700600000004</v>
      </c>
      <c r="AB450" s="97">
        <v>4.0202</v>
      </c>
      <c r="AC450" s="97">
        <v>97.360900000000001</v>
      </c>
      <c r="AD450" s="97"/>
      <c r="AE450" s="97">
        <v>3.8021090000000002</v>
      </c>
      <c r="AF450" s="96"/>
      <c r="AG450" s="96"/>
      <c r="AH450" s="96"/>
      <c r="AI450" s="98">
        <v>0</v>
      </c>
      <c r="AJ450" s="98">
        <v>2.9599999999999998E-4</v>
      </c>
      <c r="AK450" s="98">
        <v>7.2000000000000002E-5</v>
      </c>
      <c r="AL450" s="106"/>
    </row>
    <row r="451" spans="1:38" ht="15" customHeight="1">
      <c r="A451" s="106"/>
      <c r="B451" s="96">
        <v>286</v>
      </c>
      <c r="C451" s="96">
        <v>1445</v>
      </c>
      <c r="D451" s="96" t="s">
        <v>2150</v>
      </c>
      <c r="E451" s="96" t="s">
        <v>2151</v>
      </c>
      <c r="F451" s="96" t="s">
        <v>312</v>
      </c>
      <c r="G451" s="96" t="s">
        <v>2379</v>
      </c>
      <c r="H451" s="96" t="s">
        <v>2380</v>
      </c>
      <c r="I451" s="96" t="s">
        <v>320</v>
      </c>
      <c r="J451" s="96" t="s">
        <v>754</v>
      </c>
      <c r="K451" s="96" t="s">
        <v>204</v>
      </c>
      <c r="L451" s="96" t="s">
        <v>223</v>
      </c>
      <c r="M451" s="96" t="s">
        <v>324</v>
      </c>
      <c r="N451" s="96" t="s">
        <v>313</v>
      </c>
      <c r="O451" s="96" t="s">
        <v>535</v>
      </c>
      <c r="P451" s="96" t="s">
        <v>338</v>
      </c>
      <c r="Q451" s="96" t="s">
        <v>2074</v>
      </c>
      <c r="R451" s="96" t="s">
        <v>432</v>
      </c>
      <c r="S451" s="96" t="s">
        <v>406</v>
      </c>
      <c r="T451" s="96" t="s">
        <v>1201</v>
      </c>
      <c r="U451" s="97">
        <v>4.92</v>
      </c>
      <c r="V451" s="100">
        <v>47938</v>
      </c>
      <c r="W451" s="98">
        <v>4.4119999999999999E-2</v>
      </c>
      <c r="X451" s="98">
        <v>5.3900000000000003E-2</v>
      </c>
      <c r="Y451" s="96" t="s">
        <v>411</v>
      </c>
      <c r="Z451" s="96"/>
      <c r="AA451" s="97">
        <v>971.38700600000004</v>
      </c>
      <c r="AB451" s="97">
        <v>3.7589999999999999</v>
      </c>
      <c r="AC451" s="97">
        <v>96.285899999999998</v>
      </c>
      <c r="AD451" s="97"/>
      <c r="AE451" s="97">
        <v>3.5158290000000001</v>
      </c>
      <c r="AF451" s="96"/>
      <c r="AG451" s="96"/>
      <c r="AH451" s="96"/>
      <c r="AI451" s="98">
        <v>0</v>
      </c>
      <c r="AJ451" s="98">
        <v>2.7399999999999999E-4</v>
      </c>
      <c r="AK451" s="98">
        <v>6.6000000000000005E-5</v>
      </c>
      <c r="AL451" s="106"/>
    </row>
    <row r="452" spans="1:38" ht="15" customHeight="1">
      <c r="A452" s="106"/>
      <c r="B452" s="96">
        <v>286</v>
      </c>
      <c r="C452" s="96">
        <v>1445</v>
      </c>
      <c r="D452" s="96" t="s">
        <v>2307</v>
      </c>
      <c r="E452" s="96" t="s">
        <v>2308</v>
      </c>
      <c r="F452" s="96" t="s">
        <v>312</v>
      </c>
      <c r="G452" s="96" t="s">
        <v>2309</v>
      </c>
      <c r="H452" s="96" t="s">
        <v>2310</v>
      </c>
      <c r="I452" s="96" t="s">
        <v>320</v>
      </c>
      <c r="J452" s="96" t="s">
        <v>754</v>
      </c>
      <c r="K452" s="96" t="s">
        <v>204</v>
      </c>
      <c r="L452" s="96" t="s">
        <v>276</v>
      </c>
      <c r="M452" s="96" t="s">
        <v>332</v>
      </c>
      <c r="N452" s="96" t="s">
        <v>363</v>
      </c>
      <c r="O452" s="96" t="s">
        <v>567</v>
      </c>
      <c r="P452" s="96" t="s">
        <v>338</v>
      </c>
      <c r="Q452" s="96" t="s">
        <v>2311</v>
      </c>
      <c r="R452" s="96" t="s">
        <v>430</v>
      </c>
      <c r="S452" s="96" t="s">
        <v>406</v>
      </c>
      <c r="T452" s="96" t="s">
        <v>1202</v>
      </c>
      <c r="U452" s="97">
        <v>1.61</v>
      </c>
      <c r="V452" s="100">
        <v>46183</v>
      </c>
      <c r="W452" s="98">
        <v>3.6249999999999998E-2</v>
      </c>
      <c r="X452" s="98">
        <v>0.26600000000000001</v>
      </c>
      <c r="Y452" s="96" t="s">
        <v>410</v>
      </c>
      <c r="Z452" s="96"/>
      <c r="AA452" s="97">
        <v>1821.3506359999999</v>
      </c>
      <c r="AB452" s="97">
        <v>4.0202</v>
      </c>
      <c r="AC452" s="97">
        <v>68.023099999999999</v>
      </c>
      <c r="AD452" s="97"/>
      <c r="AE452" s="97">
        <v>4.9807860000000002</v>
      </c>
      <c r="AF452" s="96"/>
      <c r="AG452" s="96"/>
      <c r="AH452" s="96"/>
      <c r="AI452" s="98">
        <v>5.0000000000000004E-6</v>
      </c>
      <c r="AJ452" s="98">
        <v>3.88E-4</v>
      </c>
      <c r="AK452" s="98">
        <v>9.3999999999999994E-5</v>
      </c>
      <c r="AL452" s="106"/>
    </row>
    <row r="453" spans="1:38" ht="15" customHeight="1">
      <c r="A453" s="106"/>
      <c r="B453" s="96">
        <v>286</v>
      </c>
      <c r="C453" s="96">
        <v>1445</v>
      </c>
      <c r="D453" s="96" t="s">
        <v>2248</v>
      </c>
      <c r="E453" s="96" t="s">
        <v>2249</v>
      </c>
      <c r="F453" s="96" t="s">
        <v>312</v>
      </c>
      <c r="G453" s="96" t="s">
        <v>2381</v>
      </c>
      <c r="H453" s="96" t="s">
        <v>2382</v>
      </c>
      <c r="I453" s="96" t="s">
        <v>320</v>
      </c>
      <c r="J453" s="96" t="s">
        <v>754</v>
      </c>
      <c r="K453" s="96" t="s">
        <v>204</v>
      </c>
      <c r="L453" s="96" t="s">
        <v>232</v>
      </c>
      <c r="M453" s="96" t="s">
        <v>324</v>
      </c>
      <c r="N453" s="96" t="s">
        <v>369</v>
      </c>
      <c r="O453" s="96" t="s">
        <v>549</v>
      </c>
      <c r="P453" s="96" t="s">
        <v>338</v>
      </c>
      <c r="Q453" s="96" t="s">
        <v>2090</v>
      </c>
      <c r="R453" s="96" t="s">
        <v>422</v>
      </c>
      <c r="S453" s="96" t="s">
        <v>406</v>
      </c>
      <c r="T453" s="96" t="s">
        <v>1201</v>
      </c>
      <c r="U453" s="97">
        <v>7.0000000000000007E-2</v>
      </c>
      <c r="V453" s="100">
        <v>45506</v>
      </c>
      <c r="W453" s="98">
        <v>6.25E-2</v>
      </c>
      <c r="X453" s="98">
        <v>6.5000000000000002E-2</v>
      </c>
      <c r="Y453" s="96" t="s">
        <v>410</v>
      </c>
      <c r="Z453" s="96"/>
      <c r="AA453" s="97">
        <v>2914.7438499999998</v>
      </c>
      <c r="AB453" s="97">
        <v>3.7589999999999999</v>
      </c>
      <c r="AC453" s="97">
        <v>104.5934</v>
      </c>
      <c r="AD453" s="97"/>
      <c r="AE453" s="97">
        <v>11.4598</v>
      </c>
      <c r="AF453" s="96"/>
      <c r="AG453" s="96"/>
      <c r="AH453" s="96"/>
      <c r="AI453" s="98">
        <v>1.9999999999999999E-6</v>
      </c>
      <c r="AJ453" s="98">
        <v>8.9400000000000005E-4</v>
      </c>
      <c r="AK453" s="98">
        <v>2.1800000000000001E-4</v>
      </c>
      <c r="AL453" s="106"/>
    </row>
    <row r="454" spans="1:38" ht="15" customHeight="1">
      <c r="A454" s="106"/>
      <c r="B454" s="96">
        <v>286</v>
      </c>
      <c r="C454" s="96">
        <v>1445</v>
      </c>
      <c r="D454" s="96" t="s">
        <v>2178</v>
      </c>
      <c r="E454" s="96" t="s">
        <v>2179</v>
      </c>
      <c r="F454" s="96" t="s">
        <v>312</v>
      </c>
      <c r="G454" s="96" t="s">
        <v>2383</v>
      </c>
      <c r="H454" s="96" t="s">
        <v>2384</v>
      </c>
      <c r="I454" s="96" t="s">
        <v>320</v>
      </c>
      <c r="J454" s="96" t="s">
        <v>754</v>
      </c>
      <c r="K454" s="96" t="s">
        <v>204</v>
      </c>
      <c r="L454" s="96" t="s">
        <v>211</v>
      </c>
      <c r="M454" s="96" t="s">
        <v>324</v>
      </c>
      <c r="N454" s="96" t="s">
        <v>313</v>
      </c>
      <c r="O454" s="96" t="s">
        <v>535</v>
      </c>
      <c r="P454" s="96" t="s">
        <v>338</v>
      </c>
      <c r="Q454" s="96" t="s">
        <v>2149</v>
      </c>
      <c r="R454" s="96" t="s">
        <v>422</v>
      </c>
      <c r="S454" s="96" t="s">
        <v>406</v>
      </c>
      <c r="T454" s="96" t="s">
        <v>1202</v>
      </c>
      <c r="U454" s="97">
        <v>3.18</v>
      </c>
      <c r="V454" s="100">
        <v>46813</v>
      </c>
      <c r="W454" s="98">
        <v>5.5E-2</v>
      </c>
      <c r="X454" s="98">
        <v>6.83E-2</v>
      </c>
      <c r="Y454" s="96" t="s">
        <v>410</v>
      </c>
      <c r="Z454" s="96"/>
      <c r="AA454" s="97">
        <v>3691.2706229999999</v>
      </c>
      <c r="AB454" s="97">
        <v>4.0202</v>
      </c>
      <c r="AC454" s="97">
        <v>100.35599999999999</v>
      </c>
      <c r="AD454" s="97"/>
      <c r="AE454" s="97">
        <v>14.892483</v>
      </c>
      <c r="AF454" s="96"/>
      <c r="AG454" s="96"/>
      <c r="AH454" s="96"/>
      <c r="AI454" s="98">
        <v>3.9999999999999998E-6</v>
      </c>
      <c r="AJ454" s="98">
        <v>1.1609999999999999E-3</v>
      </c>
      <c r="AK454" s="98">
        <v>2.8299999999999999E-4</v>
      </c>
      <c r="AL454" s="106"/>
    </row>
    <row r="455" spans="1:38" ht="15" customHeight="1">
      <c r="A455" s="106"/>
      <c r="B455" s="96">
        <v>286</v>
      </c>
      <c r="C455" s="96">
        <v>1445</v>
      </c>
      <c r="D455" s="96" t="s">
        <v>2295</v>
      </c>
      <c r="E455" s="96" t="s">
        <v>2296</v>
      </c>
      <c r="F455" s="96" t="s">
        <v>312</v>
      </c>
      <c r="G455" s="96" t="s">
        <v>2385</v>
      </c>
      <c r="H455" s="96" t="s">
        <v>2386</v>
      </c>
      <c r="I455" s="96" t="s">
        <v>320</v>
      </c>
      <c r="J455" s="96" t="s">
        <v>754</v>
      </c>
      <c r="K455" s="96" t="s">
        <v>204</v>
      </c>
      <c r="L455" s="96" t="s">
        <v>223</v>
      </c>
      <c r="M455" s="96" t="s">
        <v>324</v>
      </c>
      <c r="N455" s="96" t="s">
        <v>313</v>
      </c>
      <c r="O455" s="96" t="s">
        <v>539</v>
      </c>
      <c r="P455" s="96" t="s">
        <v>338</v>
      </c>
      <c r="Q455" s="96" t="s">
        <v>1698</v>
      </c>
      <c r="R455" s="96" t="s">
        <v>422</v>
      </c>
      <c r="S455" s="96" t="s">
        <v>406</v>
      </c>
      <c r="T455" s="96" t="s">
        <v>1201</v>
      </c>
      <c r="U455" s="97">
        <v>6.21</v>
      </c>
      <c r="V455" s="100">
        <v>46327</v>
      </c>
      <c r="W455" s="98">
        <v>3.6249999999999998E-2</v>
      </c>
      <c r="X455" s="98">
        <v>5.7299999999999997E-2</v>
      </c>
      <c r="Y455" s="96" t="s">
        <v>411</v>
      </c>
      <c r="Z455" s="96"/>
      <c r="AA455" s="97">
        <v>1942.7740120000001</v>
      </c>
      <c r="AB455" s="97">
        <v>3.7589999999999999</v>
      </c>
      <c r="AC455" s="97">
        <v>88.096999999999994</v>
      </c>
      <c r="AD455" s="97"/>
      <c r="AE455" s="97">
        <v>6.4336310000000001</v>
      </c>
      <c r="AF455" s="96"/>
      <c r="AG455" s="96"/>
      <c r="AH455" s="96"/>
      <c r="AI455" s="98">
        <v>3.0000000000000001E-6</v>
      </c>
      <c r="AJ455" s="98">
        <v>5.0100000000000003E-4</v>
      </c>
      <c r="AK455" s="98">
        <v>1.22E-4</v>
      </c>
      <c r="AL455" s="106"/>
    </row>
    <row r="456" spans="1:38" ht="15" customHeight="1">
      <c r="A456" s="106"/>
      <c r="B456" s="96">
        <v>286</v>
      </c>
      <c r="C456" s="96">
        <v>1445</v>
      </c>
      <c r="D456" s="96" t="s">
        <v>2122</v>
      </c>
      <c r="E456" s="96" t="s">
        <v>2123</v>
      </c>
      <c r="F456" s="96" t="s">
        <v>312</v>
      </c>
      <c r="G456" s="96" t="s">
        <v>2387</v>
      </c>
      <c r="H456" s="96" t="s">
        <v>2388</v>
      </c>
      <c r="I456" s="96" t="s">
        <v>320</v>
      </c>
      <c r="J456" s="96" t="s">
        <v>754</v>
      </c>
      <c r="K456" s="96" t="s">
        <v>204</v>
      </c>
      <c r="L456" s="96" t="s">
        <v>223</v>
      </c>
      <c r="M456" s="96" t="s">
        <v>324</v>
      </c>
      <c r="N456" s="96" t="s">
        <v>369</v>
      </c>
      <c r="O456" s="96" t="s">
        <v>499</v>
      </c>
      <c r="P456" s="96" t="s">
        <v>338</v>
      </c>
      <c r="Q456" s="96" t="s">
        <v>2112</v>
      </c>
      <c r="R456" s="96" t="s">
        <v>430</v>
      </c>
      <c r="S456" s="96" t="s">
        <v>406</v>
      </c>
      <c r="T456" s="96" t="s">
        <v>1201</v>
      </c>
      <c r="U456" s="97">
        <v>4.63</v>
      </c>
      <c r="V456" s="100">
        <v>45597</v>
      </c>
      <c r="W456" s="98">
        <v>4.2500000000000003E-2</v>
      </c>
      <c r="X456" s="98">
        <v>5.67E-2</v>
      </c>
      <c r="Y456" s="96" t="s">
        <v>411</v>
      </c>
      <c r="Z456" s="96"/>
      <c r="AA456" s="97">
        <v>3448.423871</v>
      </c>
      <c r="AB456" s="97">
        <v>3.7589999999999999</v>
      </c>
      <c r="AC456" s="97">
        <v>94.225499999999997</v>
      </c>
      <c r="AD456" s="97"/>
      <c r="AE456" s="97">
        <v>12.214102</v>
      </c>
      <c r="AF456" s="96"/>
      <c r="AG456" s="96"/>
      <c r="AH456" s="96"/>
      <c r="AI456" s="98">
        <v>5.0000000000000004E-6</v>
      </c>
      <c r="AJ456" s="98">
        <v>9.5200000000000005E-4</v>
      </c>
      <c r="AK456" s="98">
        <v>2.32E-4</v>
      </c>
      <c r="AL456" s="106"/>
    </row>
    <row r="457" spans="1:38" ht="15" customHeight="1">
      <c r="A457" s="106"/>
      <c r="B457" s="96">
        <v>286</v>
      </c>
      <c r="C457" s="96">
        <v>1445</v>
      </c>
      <c r="D457" s="96" t="s">
        <v>2118</v>
      </c>
      <c r="E457" s="96" t="s">
        <v>2119</v>
      </c>
      <c r="F457" s="96" t="s">
        <v>312</v>
      </c>
      <c r="G457" s="96" t="s">
        <v>2389</v>
      </c>
      <c r="H457" s="96" t="s">
        <v>2390</v>
      </c>
      <c r="I457" s="96" t="s">
        <v>320</v>
      </c>
      <c r="J457" s="96" t="s">
        <v>754</v>
      </c>
      <c r="K457" s="96" t="s">
        <v>204</v>
      </c>
      <c r="L457" s="96" t="s">
        <v>232</v>
      </c>
      <c r="M457" s="96" t="s">
        <v>324</v>
      </c>
      <c r="N457" s="96" t="s">
        <v>369</v>
      </c>
      <c r="O457" s="96" t="s">
        <v>486</v>
      </c>
      <c r="P457" s="96" t="s">
        <v>338</v>
      </c>
      <c r="Q457" s="96" t="s">
        <v>2102</v>
      </c>
      <c r="R457" s="96" t="s">
        <v>432</v>
      </c>
      <c r="S457" s="96" t="s">
        <v>406</v>
      </c>
      <c r="T457" s="96" t="s">
        <v>1202</v>
      </c>
      <c r="U457" s="97">
        <v>4.21</v>
      </c>
      <c r="V457" s="100">
        <v>47199</v>
      </c>
      <c r="W457" s="98">
        <v>3.6249999999999998E-2</v>
      </c>
      <c r="X457" s="98">
        <v>4.5999999999999999E-2</v>
      </c>
      <c r="Y457" s="96" t="s">
        <v>410</v>
      </c>
      <c r="Z457" s="96"/>
      <c r="AA457" s="97">
        <v>3885.5480240000002</v>
      </c>
      <c r="AB457" s="97">
        <v>4.0202</v>
      </c>
      <c r="AC457" s="97">
        <v>96.008499999999998</v>
      </c>
      <c r="AD457" s="97"/>
      <c r="AE457" s="97">
        <v>14.997189000000001</v>
      </c>
      <c r="AF457" s="96"/>
      <c r="AG457" s="96"/>
      <c r="AH457" s="96"/>
      <c r="AI457" s="98">
        <v>9.9999999999999995E-7</v>
      </c>
      <c r="AJ457" s="98">
        <v>1.17E-3</v>
      </c>
      <c r="AK457" s="98">
        <v>2.8499999999999999E-4</v>
      </c>
      <c r="AL457" s="106"/>
    </row>
    <row r="458" spans="1:38" ht="15" customHeight="1">
      <c r="A458" s="106"/>
      <c r="B458" s="96">
        <v>286</v>
      </c>
      <c r="C458" s="96">
        <v>1445</v>
      </c>
      <c r="D458" s="96" t="s">
        <v>2391</v>
      </c>
      <c r="E458" s="96" t="s">
        <v>2392</v>
      </c>
      <c r="F458" s="96" t="s">
        <v>312</v>
      </c>
      <c r="G458" s="96" t="s">
        <v>2393</v>
      </c>
      <c r="H458" s="96" t="s">
        <v>2394</v>
      </c>
      <c r="I458" s="96" t="s">
        <v>320</v>
      </c>
      <c r="J458" s="96" t="s">
        <v>754</v>
      </c>
      <c r="K458" s="96" t="s">
        <v>204</v>
      </c>
      <c r="L458" s="96" t="s">
        <v>203</v>
      </c>
      <c r="M458" s="96" t="s">
        <v>324</v>
      </c>
      <c r="N458" s="96" t="s">
        <v>363</v>
      </c>
      <c r="O458" s="96" t="s">
        <v>533</v>
      </c>
      <c r="P458" s="96" t="s">
        <v>338</v>
      </c>
      <c r="Q458" s="96" t="s">
        <v>2149</v>
      </c>
      <c r="R458" s="96" t="s">
        <v>422</v>
      </c>
      <c r="S458" s="96" t="s">
        <v>406</v>
      </c>
      <c r="T458" s="96" t="s">
        <v>1202</v>
      </c>
      <c r="U458" s="97">
        <v>5.05</v>
      </c>
      <c r="V458" s="100">
        <v>47523</v>
      </c>
      <c r="W458" s="98">
        <v>4.3749999999999997E-2</v>
      </c>
      <c r="X458" s="98">
        <v>4.99E-2</v>
      </c>
      <c r="Y458" s="96" t="s">
        <v>411</v>
      </c>
      <c r="Z458" s="96"/>
      <c r="AA458" s="97">
        <v>13599.418084999999</v>
      </c>
      <c r="AB458" s="97">
        <v>4.0202</v>
      </c>
      <c r="AC458" s="97">
        <v>97.526700000000005</v>
      </c>
      <c r="AD458" s="97"/>
      <c r="AE458" s="97">
        <v>53.320217999999997</v>
      </c>
      <c r="AF458" s="96"/>
      <c r="AG458" s="96"/>
      <c r="AH458" s="96"/>
      <c r="AI458" s="98">
        <v>9.0000000000000002E-6</v>
      </c>
      <c r="AJ458" s="98">
        <v>4.1599999999999996E-3</v>
      </c>
      <c r="AK458" s="98">
        <v>1.0150000000000001E-3</v>
      </c>
      <c r="AL458" s="106"/>
    </row>
    <row r="459" spans="1:38" ht="15" customHeight="1">
      <c r="A459" s="106"/>
      <c r="B459" s="96">
        <v>286</v>
      </c>
      <c r="C459" s="96">
        <v>1445</v>
      </c>
      <c r="D459" s="96" t="s">
        <v>2395</v>
      </c>
      <c r="E459" s="96" t="s">
        <v>2396</v>
      </c>
      <c r="F459" s="96" t="s">
        <v>312</v>
      </c>
      <c r="G459" s="96" t="s">
        <v>2397</v>
      </c>
      <c r="H459" s="96" t="s">
        <v>2398</v>
      </c>
      <c r="I459" s="96" t="s">
        <v>320</v>
      </c>
      <c r="J459" s="96" t="s">
        <v>754</v>
      </c>
      <c r="K459" s="96" t="s">
        <v>204</v>
      </c>
      <c r="L459" s="96" t="s">
        <v>271</v>
      </c>
      <c r="M459" s="96" t="s">
        <v>324</v>
      </c>
      <c r="N459" s="96" t="s">
        <v>313</v>
      </c>
      <c r="O459" s="96" t="s">
        <v>486</v>
      </c>
      <c r="P459" s="96" t="s">
        <v>338</v>
      </c>
      <c r="Q459" s="96" t="s">
        <v>1698</v>
      </c>
      <c r="R459" s="96" t="s">
        <v>422</v>
      </c>
      <c r="S459" s="96" t="s">
        <v>406</v>
      </c>
      <c r="T459" s="96" t="s">
        <v>1202</v>
      </c>
      <c r="U459" s="97">
        <v>0.7</v>
      </c>
      <c r="V459" s="100">
        <v>45741</v>
      </c>
      <c r="W459" s="98">
        <v>4.4999999999999998E-2</v>
      </c>
      <c r="X459" s="98">
        <v>4.6800000000000001E-2</v>
      </c>
      <c r="Y459" s="96" t="s">
        <v>410</v>
      </c>
      <c r="Z459" s="96"/>
      <c r="AA459" s="97">
        <v>3691.2706229999999</v>
      </c>
      <c r="AB459" s="97">
        <v>4.0202</v>
      </c>
      <c r="AC459" s="97">
        <v>101.01439999999999</v>
      </c>
      <c r="AD459" s="97"/>
      <c r="AE459" s="97">
        <v>14.990194000000001</v>
      </c>
      <c r="AF459" s="96"/>
      <c r="AG459" s="96"/>
      <c r="AH459" s="96"/>
      <c r="AI459" s="98">
        <v>5.0000000000000004E-6</v>
      </c>
      <c r="AJ459" s="98">
        <v>1.1689999999999999E-3</v>
      </c>
      <c r="AK459" s="98">
        <v>2.8499999999999999E-4</v>
      </c>
      <c r="AL459" s="106"/>
    </row>
    <row r="460" spans="1:38" ht="15" customHeight="1">
      <c r="A460" s="106"/>
      <c r="B460" s="96">
        <v>286</v>
      </c>
      <c r="C460" s="96">
        <v>1445</v>
      </c>
      <c r="D460" s="96" t="s">
        <v>2204</v>
      </c>
      <c r="E460" s="96" t="s">
        <v>2205</v>
      </c>
      <c r="F460" s="96" t="s">
        <v>312</v>
      </c>
      <c r="G460" s="96" t="s">
        <v>2212</v>
      </c>
      <c r="H460" s="96" t="s">
        <v>2213</v>
      </c>
      <c r="I460" s="96" t="s">
        <v>320</v>
      </c>
      <c r="J460" s="96" t="s">
        <v>754</v>
      </c>
      <c r="K460" s="96" t="s">
        <v>204</v>
      </c>
      <c r="L460" s="96" t="s">
        <v>244</v>
      </c>
      <c r="M460" s="96" t="s">
        <v>324</v>
      </c>
      <c r="N460" s="96" t="s">
        <v>313</v>
      </c>
      <c r="O460" s="96" t="s">
        <v>541</v>
      </c>
      <c r="P460" s="96" t="s">
        <v>338</v>
      </c>
      <c r="Q460" s="96" t="s">
        <v>1698</v>
      </c>
      <c r="R460" s="96" t="s">
        <v>422</v>
      </c>
      <c r="S460" s="96" t="s">
        <v>406</v>
      </c>
      <c r="T460" s="96" t="s">
        <v>1201</v>
      </c>
      <c r="U460" s="97">
        <v>2.64</v>
      </c>
      <c r="V460" s="100">
        <v>46614</v>
      </c>
      <c r="W460" s="98">
        <v>5.6250000000000001E-2</v>
      </c>
      <c r="X460" s="98">
        <v>6.1400000000000003E-2</v>
      </c>
      <c r="Y460" s="96" t="s">
        <v>410</v>
      </c>
      <c r="Z460" s="96"/>
      <c r="AA460" s="97">
        <v>3846.692544</v>
      </c>
      <c r="AB460" s="97">
        <v>3.7589999999999999</v>
      </c>
      <c r="AC460" s="97">
        <v>103.4738</v>
      </c>
      <c r="AD460" s="97"/>
      <c r="AE460" s="97">
        <v>14.962028999999999</v>
      </c>
      <c r="AF460" s="96"/>
      <c r="AG460" s="96"/>
      <c r="AH460" s="96"/>
      <c r="AI460" s="98">
        <v>3.9999999999999998E-6</v>
      </c>
      <c r="AJ460" s="98">
        <v>1.1670000000000001E-3</v>
      </c>
      <c r="AK460" s="98">
        <v>2.8400000000000002E-4</v>
      </c>
      <c r="AL460" s="106"/>
    </row>
    <row r="461" spans="1:38" ht="15" customHeight="1">
      <c r="A461" s="106"/>
      <c r="B461" s="96">
        <v>286</v>
      </c>
      <c r="C461" s="96">
        <v>286</v>
      </c>
      <c r="D461" s="96" t="s">
        <v>1934</v>
      </c>
      <c r="E461" s="96">
        <v>520025602</v>
      </c>
      <c r="F461" s="96" t="s">
        <v>308</v>
      </c>
      <c r="G461" s="96" t="s">
        <v>1935</v>
      </c>
      <c r="H461" s="96" t="s">
        <v>1936</v>
      </c>
      <c r="I461" s="96" t="s">
        <v>320</v>
      </c>
      <c r="J461" s="96" t="s">
        <v>754</v>
      </c>
      <c r="K461" s="96" t="s">
        <v>203</v>
      </c>
      <c r="L461" s="96" t="s">
        <v>203</v>
      </c>
      <c r="M461" s="96" t="s">
        <v>324</v>
      </c>
      <c r="N461" s="96" t="s">
        <v>339</v>
      </c>
      <c r="O461" s="96" t="s">
        <v>436</v>
      </c>
      <c r="P461" s="96" t="s">
        <v>338</v>
      </c>
      <c r="Q461" s="96" t="s">
        <v>1305</v>
      </c>
      <c r="R461" s="96" t="s">
        <v>414</v>
      </c>
      <c r="S461" s="96" t="s">
        <v>406</v>
      </c>
      <c r="T461" s="96" t="s">
        <v>1200</v>
      </c>
      <c r="U461" s="97">
        <v>1.44</v>
      </c>
      <c r="V461" s="100">
        <v>46387</v>
      </c>
      <c r="W461" s="98">
        <v>3.85E-2</v>
      </c>
      <c r="X461" s="98">
        <v>6.9400000000000003E-2</v>
      </c>
      <c r="Y461" s="96" t="s">
        <v>411</v>
      </c>
      <c r="Z461" s="96"/>
      <c r="AA461" s="97">
        <v>56542.451352999997</v>
      </c>
      <c r="AB461" s="97">
        <v>1</v>
      </c>
      <c r="AC461" s="97">
        <v>99.62</v>
      </c>
      <c r="AD461" s="97"/>
      <c r="AE461" s="97">
        <v>56.327590000000001</v>
      </c>
      <c r="AF461" s="96"/>
      <c r="AG461" s="96"/>
      <c r="AH461" s="96"/>
      <c r="AI461" s="98">
        <v>3.4299999999999999E-4</v>
      </c>
      <c r="AJ461" s="98">
        <v>2.1100000000000001E-4</v>
      </c>
      <c r="AK461" s="98">
        <v>2.9E-5</v>
      </c>
      <c r="AL461" s="106"/>
    </row>
    <row r="462" spans="1:38" ht="15" customHeight="1">
      <c r="A462" s="106"/>
      <c r="B462" s="96">
        <v>286</v>
      </c>
      <c r="C462" s="96">
        <v>286</v>
      </c>
      <c r="D462" s="96" t="s">
        <v>1406</v>
      </c>
      <c r="E462" s="96">
        <v>520025586</v>
      </c>
      <c r="F462" s="96" t="s">
        <v>308</v>
      </c>
      <c r="G462" s="96" t="s">
        <v>1407</v>
      </c>
      <c r="H462" s="96" t="s">
        <v>1408</v>
      </c>
      <c r="I462" s="96" t="s">
        <v>320</v>
      </c>
      <c r="J462" s="96" t="s">
        <v>753</v>
      </c>
      <c r="K462" s="96" t="s">
        <v>203</v>
      </c>
      <c r="L462" s="96" t="s">
        <v>203</v>
      </c>
      <c r="M462" s="96" t="s">
        <v>332</v>
      </c>
      <c r="N462" s="96" t="s">
        <v>339</v>
      </c>
      <c r="O462" s="96" t="s">
        <v>450</v>
      </c>
      <c r="P462" s="96" t="s">
        <v>338</v>
      </c>
      <c r="Q462" s="96" t="s">
        <v>409</v>
      </c>
      <c r="R462" s="96" t="s">
        <v>409</v>
      </c>
      <c r="S462" s="96" t="s">
        <v>409</v>
      </c>
      <c r="T462" s="96" t="s">
        <v>1200</v>
      </c>
      <c r="U462" s="97">
        <v>3.02</v>
      </c>
      <c r="V462" s="100">
        <v>46934</v>
      </c>
      <c r="W462" s="98">
        <v>3.6999999999999998E-2</v>
      </c>
      <c r="X462" s="98">
        <v>4.7500000000000001E-2</v>
      </c>
      <c r="Y462" s="96" t="s">
        <v>411</v>
      </c>
      <c r="Z462" s="96"/>
      <c r="AA462" s="97">
        <v>20717.965843999998</v>
      </c>
      <c r="AB462" s="97">
        <v>1</v>
      </c>
      <c r="AC462" s="97">
        <v>110.24</v>
      </c>
      <c r="AD462" s="97"/>
      <c r="AE462" s="97">
        <v>22.839485</v>
      </c>
      <c r="AF462" s="96"/>
      <c r="AG462" s="96"/>
      <c r="AH462" s="96"/>
      <c r="AI462" s="98">
        <v>2.5999999999999998E-5</v>
      </c>
      <c r="AJ462" s="98">
        <v>8.5000000000000006E-5</v>
      </c>
      <c r="AK462" s="98">
        <v>1.1E-5</v>
      </c>
      <c r="AL462" s="106"/>
    </row>
    <row r="463" spans="1:38" ht="15" customHeight="1">
      <c r="A463" s="106"/>
      <c r="B463" s="96">
        <v>286</v>
      </c>
      <c r="C463" s="96">
        <v>286</v>
      </c>
      <c r="D463" s="96" t="s">
        <v>1757</v>
      </c>
      <c r="E463" s="96">
        <v>520041146</v>
      </c>
      <c r="F463" s="96" t="s">
        <v>308</v>
      </c>
      <c r="G463" s="96" t="s">
        <v>1758</v>
      </c>
      <c r="H463" s="96" t="s">
        <v>1759</v>
      </c>
      <c r="I463" s="96" t="s">
        <v>320</v>
      </c>
      <c r="J463" s="96" t="s">
        <v>952</v>
      </c>
      <c r="K463" s="96" t="s">
        <v>203</v>
      </c>
      <c r="L463" s="96" t="s">
        <v>203</v>
      </c>
      <c r="M463" s="96" t="s">
        <v>324</v>
      </c>
      <c r="N463" s="96" t="s">
        <v>339</v>
      </c>
      <c r="O463" s="96" t="s">
        <v>440</v>
      </c>
      <c r="P463" s="96" t="s">
        <v>337</v>
      </c>
      <c r="Q463" s="96" t="s">
        <v>1520</v>
      </c>
      <c r="R463" s="96" t="s">
        <v>414</v>
      </c>
      <c r="S463" s="96" t="s">
        <v>406</v>
      </c>
      <c r="T463" s="96" t="s">
        <v>1200</v>
      </c>
      <c r="U463" s="97">
        <v>4.0999999999999996</v>
      </c>
      <c r="V463" s="100">
        <v>46997</v>
      </c>
      <c r="W463" s="98">
        <v>7.4999999999999997E-3</v>
      </c>
      <c r="X463" s="98">
        <v>0.06</v>
      </c>
      <c r="Y463" s="96" t="s">
        <v>411</v>
      </c>
      <c r="Z463" s="96"/>
      <c r="AA463" s="97">
        <v>64647.499715999998</v>
      </c>
      <c r="AB463" s="97">
        <v>1</v>
      </c>
      <c r="AC463" s="97">
        <v>81.400000000000006</v>
      </c>
      <c r="AD463" s="97"/>
      <c r="AE463" s="97">
        <v>52.623063999999999</v>
      </c>
      <c r="AF463" s="96"/>
      <c r="AG463" s="96"/>
      <c r="AH463" s="96"/>
      <c r="AI463" s="98">
        <v>1.21E-4</v>
      </c>
      <c r="AJ463" s="98">
        <v>1.9699999999999999E-4</v>
      </c>
      <c r="AK463" s="98">
        <v>2.6999999999999999E-5</v>
      </c>
      <c r="AL463" s="106"/>
    </row>
    <row r="464" spans="1:38" ht="15" customHeight="1">
      <c r="A464" s="106"/>
      <c r="B464" s="96">
        <v>286</v>
      </c>
      <c r="C464" s="96">
        <v>286</v>
      </c>
      <c r="D464" s="96" t="s">
        <v>1298</v>
      </c>
      <c r="E464" s="96">
        <v>510960719</v>
      </c>
      <c r="F464" s="96" t="s">
        <v>308</v>
      </c>
      <c r="G464" s="96" t="s">
        <v>1990</v>
      </c>
      <c r="H464" s="96" t="s">
        <v>1991</v>
      </c>
      <c r="I464" s="96" t="s">
        <v>320</v>
      </c>
      <c r="J464" s="96" t="s">
        <v>753</v>
      </c>
      <c r="K464" s="96" t="s">
        <v>203</v>
      </c>
      <c r="L464" s="96" t="s">
        <v>203</v>
      </c>
      <c r="M464" s="96" t="s">
        <v>324</v>
      </c>
      <c r="N464" s="96" t="s">
        <v>339</v>
      </c>
      <c r="O464" s="96" t="s">
        <v>463</v>
      </c>
      <c r="P464" s="96" t="s">
        <v>338</v>
      </c>
      <c r="Q464" s="96" t="s">
        <v>1439</v>
      </c>
      <c r="R464" s="96" t="s">
        <v>412</v>
      </c>
      <c r="S464" s="96" t="s">
        <v>406</v>
      </c>
      <c r="T464" s="96" t="s">
        <v>1200</v>
      </c>
      <c r="U464" s="97">
        <v>7.16</v>
      </c>
      <c r="V464" s="100">
        <v>49858</v>
      </c>
      <c r="W464" s="98">
        <v>8.9999999999999993E-3</v>
      </c>
      <c r="X464" s="98">
        <v>3.5299999999999998E-2</v>
      </c>
      <c r="Y464" s="96" t="s">
        <v>411</v>
      </c>
      <c r="Z464" s="96"/>
      <c r="AA464" s="97">
        <v>1943726.2864089999</v>
      </c>
      <c r="AB464" s="97">
        <v>1</v>
      </c>
      <c r="AC464" s="97">
        <v>92.82</v>
      </c>
      <c r="AD464" s="97">
        <v>44.369700999999999</v>
      </c>
      <c r="AE464" s="97">
        <v>1848.5364400000001</v>
      </c>
      <c r="AF464" s="96"/>
      <c r="AG464" s="96"/>
      <c r="AH464" s="96"/>
      <c r="AI464" s="98">
        <v>7.6900000000000004E-4</v>
      </c>
      <c r="AJ464" s="98">
        <v>6.9259999999999999E-3</v>
      </c>
      <c r="AK464" s="98">
        <v>9.6199999999999996E-4</v>
      </c>
      <c r="AL464" s="106"/>
    </row>
    <row r="465" spans="1:38" ht="15" customHeight="1">
      <c r="A465" s="106"/>
      <c r="B465" s="96">
        <v>286</v>
      </c>
      <c r="C465" s="96">
        <v>286</v>
      </c>
      <c r="D465" s="96" t="s">
        <v>1800</v>
      </c>
      <c r="E465" s="96">
        <v>514837111</v>
      </c>
      <c r="F465" s="96" t="s">
        <v>308</v>
      </c>
      <c r="G465" s="96" t="s">
        <v>1801</v>
      </c>
      <c r="H465" s="96" t="s">
        <v>1802</v>
      </c>
      <c r="I465" s="96" t="s">
        <v>320</v>
      </c>
      <c r="J465" s="96" t="s">
        <v>754</v>
      </c>
      <c r="K465" s="96" t="s">
        <v>203</v>
      </c>
      <c r="L465" s="96" t="s">
        <v>203</v>
      </c>
      <c r="M465" s="96" t="s">
        <v>324</v>
      </c>
      <c r="N465" s="96" t="s">
        <v>339</v>
      </c>
      <c r="O465" s="96" t="s">
        <v>453</v>
      </c>
      <c r="P465" s="96" t="s">
        <v>338</v>
      </c>
      <c r="Q465" s="96" t="s">
        <v>1305</v>
      </c>
      <c r="R465" s="96" t="s">
        <v>414</v>
      </c>
      <c r="S465" s="96" t="s">
        <v>406</v>
      </c>
      <c r="T465" s="96" t="s">
        <v>1200</v>
      </c>
      <c r="U465" s="97">
        <v>2.76</v>
      </c>
      <c r="V465" s="100">
        <v>46995</v>
      </c>
      <c r="W465" s="98">
        <v>5.4800000000000001E-2</v>
      </c>
      <c r="X465" s="98">
        <v>6.6000000000000003E-2</v>
      </c>
      <c r="Y465" s="96" t="s">
        <v>411</v>
      </c>
      <c r="Z465" s="96"/>
      <c r="AA465" s="97">
        <v>414125.89208399999</v>
      </c>
      <c r="AB465" s="97">
        <v>1</v>
      </c>
      <c r="AC465" s="97">
        <v>104.51</v>
      </c>
      <c r="AD465" s="97"/>
      <c r="AE465" s="97">
        <v>432.80296900000002</v>
      </c>
      <c r="AF465" s="96"/>
      <c r="AG465" s="96"/>
      <c r="AH465" s="96"/>
      <c r="AI465" s="98">
        <v>1.4549999999999999E-3</v>
      </c>
      <c r="AJ465" s="98">
        <v>1.621E-3</v>
      </c>
      <c r="AK465" s="98">
        <v>2.2499999999999999E-4</v>
      </c>
      <c r="AL465" s="106"/>
    </row>
    <row r="466" spans="1:38" ht="15" customHeight="1">
      <c r="A466" s="106"/>
      <c r="B466" s="96">
        <v>286</v>
      </c>
      <c r="C466" s="96">
        <v>286</v>
      </c>
      <c r="D466" s="96" t="s">
        <v>1424</v>
      </c>
      <c r="E466" s="96">
        <v>513775163</v>
      </c>
      <c r="F466" s="96" t="s">
        <v>308</v>
      </c>
      <c r="G466" s="96" t="s">
        <v>1425</v>
      </c>
      <c r="H466" s="96" t="s">
        <v>1426</v>
      </c>
      <c r="I466" s="96" t="s">
        <v>320</v>
      </c>
      <c r="J466" s="96" t="s">
        <v>952</v>
      </c>
      <c r="K466" s="96" t="s">
        <v>203</v>
      </c>
      <c r="L466" s="96" t="s">
        <v>203</v>
      </c>
      <c r="M466" s="96" t="s">
        <v>324</v>
      </c>
      <c r="N466" s="96" t="s">
        <v>339</v>
      </c>
      <c r="O466" s="96" t="s">
        <v>439</v>
      </c>
      <c r="P466" s="96" t="s">
        <v>337</v>
      </c>
      <c r="Q466" s="96" t="s">
        <v>1309</v>
      </c>
      <c r="R466" s="96" t="s">
        <v>414</v>
      </c>
      <c r="S466" s="96" t="s">
        <v>406</v>
      </c>
      <c r="T466" s="96" t="s">
        <v>1200</v>
      </c>
      <c r="U466" s="97">
        <v>3.26</v>
      </c>
      <c r="V466" s="100">
        <v>47238</v>
      </c>
      <c r="W466" s="98">
        <v>7.2499999999999995E-2</v>
      </c>
      <c r="X466" s="98">
        <v>6.3100000000000003E-2</v>
      </c>
      <c r="Y466" s="96" t="s">
        <v>411</v>
      </c>
      <c r="Z466" s="96"/>
      <c r="AA466" s="97">
        <v>485608.56961800001</v>
      </c>
      <c r="AB466" s="97">
        <v>1</v>
      </c>
      <c r="AC466" s="97">
        <v>104.56</v>
      </c>
      <c r="AD466" s="97"/>
      <c r="AE466" s="97">
        <v>507.75232</v>
      </c>
      <c r="AF466" s="96"/>
      <c r="AG466" s="96"/>
      <c r="AH466" s="96"/>
      <c r="AI466" s="98">
        <v>6.7400000000000001E-4</v>
      </c>
      <c r="AJ466" s="98">
        <v>1.902E-3</v>
      </c>
      <c r="AK466" s="98">
        <v>2.6400000000000002E-4</v>
      </c>
      <c r="AL466" s="106"/>
    </row>
    <row r="467" spans="1:38" ht="15" customHeight="1">
      <c r="A467" s="106"/>
      <c r="B467" s="96">
        <v>286</v>
      </c>
      <c r="C467" s="96">
        <v>286</v>
      </c>
      <c r="D467" s="96" t="s">
        <v>1477</v>
      </c>
      <c r="E467" s="96">
        <v>520029935</v>
      </c>
      <c r="F467" s="96" t="s">
        <v>308</v>
      </c>
      <c r="G467" s="96" t="s">
        <v>1851</v>
      </c>
      <c r="H467" s="96" t="s">
        <v>1852</v>
      </c>
      <c r="I467" s="96" t="s">
        <v>320</v>
      </c>
      <c r="J467" s="96" t="s">
        <v>753</v>
      </c>
      <c r="K467" s="96" t="s">
        <v>203</v>
      </c>
      <c r="L467" s="96" t="s">
        <v>203</v>
      </c>
      <c r="M467" s="96" t="s">
        <v>324</v>
      </c>
      <c r="N467" s="96" t="s">
        <v>339</v>
      </c>
      <c r="O467" s="96" t="s">
        <v>447</v>
      </c>
      <c r="P467" s="96" t="s">
        <v>338</v>
      </c>
      <c r="Q467" s="96" t="s">
        <v>1211</v>
      </c>
      <c r="R467" s="96" t="s">
        <v>414</v>
      </c>
      <c r="S467" s="96" t="s">
        <v>406</v>
      </c>
      <c r="T467" s="96" t="s">
        <v>1200</v>
      </c>
      <c r="U467" s="97">
        <v>5.3</v>
      </c>
      <c r="V467" s="100">
        <v>49388</v>
      </c>
      <c r="W467" s="98">
        <v>2.1100000000000001E-2</v>
      </c>
      <c r="X467" s="98">
        <v>2.5999999999999999E-2</v>
      </c>
      <c r="Y467" s="96" t="s">
        <v>411</v>
      </c>
      <c r="Z467" s="96"/>
      <c r="AA467" s="97">
        <v>513901.75743499998</v>
      </c>
      <c r="AB467" s="97">
        <v>1</v>
      </c>
      <c r="AC467" s="97">
        <v>100.34</v>
      </c>
      <c r="AD467" s="97"/>
      <c r="AE467" s="97">
        <v>515.64902300000006</v>
      </c>
      <c r="AF467" s="96"/>
      <c r="AG467" s="96"/>
      <c r="AH467" s="96"/>
      <c r="AI467" s="98">
        <v>3.28E-4</v>
      </c>
      <c r="AJ467" s="98">
        <v>1.9319999999999999E-3</v>
      </c>
      <c r="AK467" s="98">
        <v>2.6800000000000001E-4</v>
      </c>
      <c r="AL467" s="106"/>
    </row>
    <row r="468" spans="1:38" ht="15" customHeight="1">
      <c r="A468" s="106"/>
      <c r="B468" s="96">
        <v>286</v>
      </c>
      <c r="C468" s="96">
        <v>286</v>
      </c>
      <c r="D468" s="96" t="s">
        <v>1333</v>
      </c>
      <c r="E468" s="96">
        <v>520024126</v>
      </c>
      <c r="F468" s="96" t="s">
        <v>308</v>
      </c>
      <c r="G468" s="96" t="s">
        <v>1402</v>
      </c>
      <c r="H468" s="96" t="s">
        <v>1403</v>
      </c>
      <c r="I468" s="96" t="s">
        <v>320</v>
      </c>
      <c r="J468" s="96" t="s">
        <v>753</v>
      </c>
      <c r="K468" s="96" t="s">
        <v>203</v>
      </c>
      <c r="L468" s="96" t="s">
        <v>203</v>
      </c>
      <c r="M468" s="96" t="s">
        <v>324</v>
      </c>
      <c r="N468" s="96" t="s">
        <v>339</v>
      </c>
      <c r="O468" s="96" t="s">
        <v>463</v>
      </c>
      <c r="P468" s="96" t="s">
        <v>337</v>
      </c>
      <c r="Q468" s="96" t="s">
        <v>1313</v>
      </c>
      <c r="R468" s="96" t="s">
        <v>412</v>
      </c>
      <c r="S468" s="96" t="s">
        <v>406</v>
      </c>
      <c r="T468" s="96" t="s">
        <v>1200</v>
      </c>
      <c r="U468" s="97">
        <v>2.4700000000000002</v>
      </c>
      <c r="V468" s="100">
        <v>46477</v>
      </c>
      <c r="W468" s="98">
        <v>2.5999999999999999E-2</v>
      </c>
      <c r="X468" s="98">
        <v>2.69E-2</v>
      </c>
      <c r="Y468" s="96" t="s">
        <v>411</v>
      </c>
      <c r="Z468" s="96"/>
      <c r="AA468" s="97">
        <v>24610.822877999999</v>
      </c>
      <c r="AB468" s="97">
        <v>1</v>
      </c>
      <c r="AC468" s="97">
        <v>115.09</v>
      </c>
      <c r="AD468" s="97"/>
      <c r="AE468" s="97">
        <v>28.324596</v>
      </c>
      <c r="AF468" s="96"/>
      <c r="AG468" s="96"/>
      <c r="AH468" s="96"/>
      <c r="AI468" s="98">
        <v>6.7999999999999999E-5</v>
      </c>
      <c r="AJ468" s="98">
        <v>1.06E-4</v>
      </c>
      <c r="AK468" s="98">
        <v>1.4E-5</v>
      </c>
      <c r="AL468" s="106"/>
    </row>
    <row r="469" spans="1:38" ht="15" customHeight="1">
      <c r="A469" s="106"/>
      <c r="B469" s="96">
        <v>286</v>
      </c>
      <c r="C469" s="96">
        <v>286</v>
      </c>
      <c r="D469" s="96" t="s">
        <v>1333</v>
      </c>
      <c r="E469" s="96">
        <v>520024126</v>
      </c>
      <c r="F469" s="96" t="s">
        <v>308</v>
      </c>
      <c r="G469" s="96" t="s">
        <v>1334</v>
      </c>
      <c r="H469" s="96" t="s">
        <v>1335</v>
      </c>
      <c r="I469" s="96" t="s">
        <v>320</v>
      </c>
      <c r="J469" s="96" t="s">
        <v>952</v>
      </c>
      <c r="K469" s="96" t="s">
        <v>203</v>
      </c>
      <c r="L469" s="96" t="s">
        <v>203</v>
      </c>
      <c r="M469" s="96" t="s">
        <v>324</v>
      </c>
      <c r="N469" s="96" t="s">
        <v>339</v>
      </c>
      <c r="O469" s="96" t="s">
        <v>463</v>
      </c>
      <c r="P469" s="96" t="s">
        <v>337</v>
      </c>
      <c r="Q469" s="96" t="s">
        <v>1336</v>
      </c>
      <c r="R469" s="96" t="s">
        <v>414</v>
      </c>
      <c r="S469" s="96" t="s">
        <v>406</v>
      </c>
      <c r="T469" s="96" t="s">
        <v>1200</v>
      </c>
      <c r="U469" s="97">
        <v>2.34</v>
      </c>
      <c r="V469" s="100">
        <v>46934</v>
      </c>
      <c r="W469" s="98">
        <v>5.6500000000000002E-2</v>
      </c>
      <c r="X469" s="98">
        <v>5.2400000000000002E-2</v>
      </c>
      <c r="Y469" s="96" t="s">
        <v>411</v>
      </c>
      <c r="Z469" s="96"/>
      <c r="AA469" s="97">
        <v>104460.332948</v>
      </c>
      <c r="AB469" s="97">
        <v>1</v>
      </c>
      <c r="AC469" s="97">
        <v>101.11</v>
      </c>
      <c r="AD469" s="97"/>
      <c r="AE469" s="97">
        <v>105.61984200000001</v>
      </c>
      <c r="AF469" s="96"/>
      <c r="AG469" s="96"/>
      <c r="AH469" s="96"/>
      <c r="AI469" s="98">
        <v>6.69E-4</v>
      </c>
      <c r="AJ469" s="98">
        <v>3.9500000000000001E-4</v>
      </c>
      <c r="AK469" s="98">
        <v>5.5000000000000002E-5</v>
      </c>
      <c r="AL469" s="106"/>
    </row>
    <row r="470" spans="1:38" ht="15" customHeight="1">
      <c r="A470" s="106"/>
      <c r="B470" s="96">
        <v>286</v>
      </c>
      <c r="C470" s="96">
        <v>286</v>
      </c>
      <c r="D470" s="96" t="s">
        <v>1346</v>
      </c>
      <c r="E470" s="96">
        <v>520025370</v>
      </c>
      <c r="F470" s="96" t="s">
        <v>308</v>
      </c>
      <c r="G470" s="96" t="s">
        <v>1347</v>
      </c>
      <c r="H470" s="96" t="s">
        <v>1348</v>
      </c>
      <c r="I470" s="96" t="s">
        <v>320</v>
      </c>
      <c r="J470" s="96" t="s">
        <v>952</v>
      </c>
      <c r="K470" s="96" t="s">
        <v>203</v>
      </c>
      <c r="L470" s="96" t="s">
        <v>203</v>
      </c>
      <c r="M470" s="96" t="s">
        <v>326</v>
      </c>
      <c r="N470" s="96" t="s">
        <v>339</v>
      </c>
      <c r="O470" s="96" t="s">
        <v>450</v>
      </c>
      <c r="P470" s="96" t="s">
        <v>338</v>
      </c>
      <c r="Q470" s="96" t="s">
        <v>1332</v>
      </c>
      <c r="R470" s="96" t="s">
        <v>412</v>
      </c>
      <c r="S470" s="96" t="s">
        <v>406</v>
      </c>
      <c r="T470" s="96" t="s">
        <v>1200</v>
      </c>
      <c r="U470" s="97">
        <v>2.5099999999999998</v>
      </c>
      <c r="V470" s="100">
        <v>47376</v>
      </c>
      <c r="W470" s="98">
        <v>2.0400000000000001E-2</v>
      </c>
      <c r="X470" s="98">
        <v>5.3800000000000001E-2</v>
      </c>
      <c r="Y470" s="96" t="s">
        <v>411</v>
      </c>
      <c r="Z470" s="96"/>
      <c r="AA470" s="97">
        <v>23479.707253</v>
      </c>
      <c r="AB470" s="97">
        <v>1</v>
      </c>
      <c r="AC470" s="97">
        <v>92.64</v>
      </c>
      <c r="AD470" s="97"/>
      <c r="AE470" s="97">
        <v>21.7516</v>
      </c>
      <c r="AF470" s="96"/>
      <c r="AG470" s="96"/>
      <c r="AH470" s="96"/>
      <c r="AI470" s="98">
        <v>5.1999999999999997E-5</v>
      </c>
      <c r="AJ470" s="98">
        <v>8.1000000000000004E-5</v>
      </c>
      <c r="AK470" s="98">
        <v>1.1E-5</v>
      </c>
      <c r="AL470" s="106"/>
    </row>
    <row r="471" spans="1:38" ht="15" customHeight="1">
      <c r="A471" s="106"/>
      <c r="B471" s="96">
        <v>286</v>
      </c>
      <c r="C471" s="96">
        <v>286</v>
      </c>
      <c r="D471" s="96" t="s">
        <v>1354</v>
      </c>
      <c r="E471" s="96">
        <v>513893123</v>
      </c>
      <c r="F471" s="96" t="s">
        <v>308</v>
      </c>
      <c r="G471" s="96" t="s">
        <v>1785</v>
      </c>
      <c r="H471" s="96" t="s">
        <v>1786</v>
      </c>
      <c r="I471" s="96" t="s">
        <v>320</v>
      </c>
      <c r="J471" s="96" t="s">
        <v>753</v>
      </c>
      <c r="K471" s="96" t="s">
        <v>203</v>
      </c>
      <c r="L471" s="96" t="s">
        <v>203</v>
      </c>
      <c r="M471" s="96" t="s">
        <v>326</v>
      </c>
      <c r="N471" s="96" t="s">
        <v>339</v>
      </c>
      <c r="O471" s="96" t="s">
        <v>442</v>
      </c>
      <c r="P471" s="96" t="s">
        <v>338</v>
      </c>
      <c r="Q471" s="96" t="s">
        <v>1357</v>
      </c>
      <c r="R471" s="96" t="s">
        <v>414</v>
      </c>
      <c r="S471" s="96" t="s">
        <v>406</v>
      </c>
      <c r="T471" s="96" t="s">
        <v>1200</v>
      </c>
      <c r="U471" s="97">
        <v>1.88</v>
      </c>
      <c r="V471" s="100">
        <v>46477</v>
      </c>
      <c r="W471" s="98">
        <v>3.5400000000000001E-2</v>
      </c>
      <c r="X471" s="98">
        <v>3.9600000000000003E-2</v>
      </c>
      <c r="Y471" s="96" t="s">
        <v>411</v>
      </c>
      <c r="Z471" s="96"/>
      <c r="AA471" s="97">
        <v>487481.54929</v>
      </c>
      <c r="AB471" s="97">
        <v>1</v>
      </c>
      <c r="AC471" s="97">
        <v>105.58280000000001</v>
      </c>
      <c r="AD471" s="97"/>
      <c r="AE471" s="97">
        <v>514.69667200000004</v>
      </c>
      <c r="AF471" s="96"/>
      <c r="AG471" s="96"/>
      <c r="AH471" s="96"/>
      <c r="AI471" s="98">
        <v>4.3600000000000003E-4</v>
      </c>
      <c r="AJ471" s="98">
        <v>1.928E-3</v>
      </c>
      <c r="AK471" s="98">
        <v>2.6800000000000001E-4</v>
      </c>
      <c r="AL471" s="106"/>
    </row>
    <row r="472" spans="1:38" ht="15" customHeight="1">
      <c r="A472" s="106"/>
      <c r="B472" s="96">
        <v>286</v>
      </c>
      <c r="C472" s="96">
        <v>286</v>
      </c>
      <c r="D472" s="96" t="s">
        <v>1197</v>
      </c>
      <c r="E472" s="96">
        <v>520018078</v>
      </c>
      <c r="F472" s="96" t="s">
        <v>308</v>
      </c>
      <c r="G472" s="96" t="s">
        <v>1974</v>
      </c>
      <c r="H472" s="96" t="s">
        <v>1975</v>
      </c>
      <c r="I472" s="96" t="s">
        <v>320</v>
      </c>
      <c r="J472" s="96" t="s">
        <v>753</v>
      </c>
      <c r="K472" s="96" t="s">
        <v>203</v>
      </c>
      <c r="L472" s="96" t="s">
        <v>203</v>
      </c>
      <c r="M472" s="96" t="s">
        <v>324</v>
      </c>
      <c r="N472" s="96" t="s">
        <v>339</v>
      </c>
      <c r="O472" s="96" t="s">
        <v>447</v>
      </c>
      <c r="P472" s="96" t="s">
        <v>338</v>
      </c>
      <c r="Q472" s="96" t="s">
        <v>1332</v>
      </c>
      <c r="R472" s="96" t="s">
        <v>412</v>
      </c>
      <c r="S472" s="96" t="s">
        <v>406</v>
      </c>
      <c r="T472" s="96" t="s">
        <v>1200</v>
      </c>
      <c r="U472" s="97">
        <v>0.25</v>
      </c>
      <c r="V472" s="100">
        <v>45565</v>
      </c>
      <c r="W472" s="98">
        <v>1.95E-2</v>
      </c>
      <c r="X472" s="98">
        <v>4.1099999999999998E-2</v>
      </c>
      <c r="Y472" s="96" t="s">
        <v>410</v>
      </c>
      <c r="Z472" s="96"/>
      <c r="AA472" s="97">
        <v>1219011.827507</v>
      </c>
      <c r="AB472" s="97">
        <v>1</v>
      </c>
      <c r="AC472" s="97">
        <v>112.9</v>
      </c>
      <c r="AD472" s="97"/>
      <c r="AE472" s="97">
        <v>1376.264353</v>
      </c>
      <c r="AF472" s="96"/>
      <c r="AG472" s="96"/>
      <c r="AH472" s="96"/>
      <c r="AI472" s="98">
        <v>9.8200000000000002E-4</v>
      </c>
      <c r="AJ472" s="98">
        <v>5.156E-3</v>
      </c>
      <c r="AK472" s="98">
        <v>7.1599999999999995E-4</v>
      </c>
      <c r="AL472" s="106"/>
    </row>
    <row r="473" spans="1:38" ht="15" customHeight="1">
      <c r="A473" s="106"/>
      <c r="B473" s="96">
        <v>286</v>
      </c>
      <c r="C473" s="96">
        <v>286</v>
      </c>
      <c r="D473" s="96" t="s">
        <v>1203</v>
      </c>
      <c r="E473" s="96">
        <v>520000118</v>
      </c>
      <c r="F473" s="96" t="s">
        <v>308</v>
      </c>
      <c r="G473" s="96" t="s">
        <v>1789</v>
      </c>
      <c r="H473" s="96" t="s">
        <v>1790</v>
      </c>
      <c r="I473" s="96" t="s">
        <v>320</v>
      </c>
      <c r="J473" s="96" t="s">
        <v>952</v>
      </c>
      <c r="K473" s="96" t="s">
        <v>203</v>
      </c>
      <c r="L473" s="96" t="s">
        <v>203</v>
      </c>
      <c r="M473" s="96" t="s">
        <v>324</v>
      </c>
      <c r="N473" s="96" t="s">
        <v>339</v>
      </c>
      <c r="O473" s="96" t="s">
        <v>447</v>
      </c>
      <c r="P473" s="96" t="s">
        <v>338</v>
      </c>
      <c r="Q473" s="96" t="s">
        <v>1211</v>
      </c>
      <c r="R473" s="96" t="s">
        <v>414</v>
      </c>
      <c r="S473" s="96" t="s">
        <v>406</v>
      </c>
      <c r="T473" s="96" t="s">
        <v>1200</v>
      </c>
      <c r="U473" s="97">
        <v>3.57</v>
      </c>
      <c r="V473" s="100">
        <v>48191</v>
      </c>
      <c r="W473" s="98">
        <v>2.5000000000000001E-2</v>
      </c>
      <c r="X473" s="98">
        <v>5.0900000000000001E-2</v>
      </c>
      <c r="Y473" s="96" t="s">
        <v>411</v>
      </c>
      <c r="Z473" s="96"/>
      <c r="AA473" s="97">
        <v>2885890.772163</v>
      </c>
      <c r="AB473" s="97">
        <v>1</v>
      </c>
      <c r="AC473" s="97">
        <v>92.62</v>
      </c>
      <c r="AD473" s="97"/>
      <c r="AE473" s="97">
        <v>2672.9120330000001</v>
      </c>
      <c r="AF473" s="96"/>
      <c r="AG473" s="96"/>
      <c r="AH473" s="96"/>
      <c r="AI473" s="98">
        <v>1.245E-3</v>
      </c>
      <c r="AJ473" s="98">
        <v>1.0015E-2</v>
      </c>
      <c r="AK473" s="98">
        <v>1.3910000000000001E-3</v>
      </c>
      <c r="AL473" s="106"/>
    </row>
    <row r="474" spans="1:38" ht="15" customHeight="1">
      <c r="A474" s="106"/>
      <c r="B474" s="96">
        <v>286</v>
      </c>
      <c r="C474" s="96">
        <v>286</v>
      </c>
      <c r="D474" s="96" t="s">
        <v>1421</v>
      </c>
      <c r="E474" s="96">
        <v>520026683</v>
      </c>
      <c r="F474" s="96" t="s">
        <v>308</v>
      </c>
      <c r="G474" s="96" t="s">
        <v>1874</v>
      </c>
      <c r="H474" s="96" t="s">
        <v>1875</v>
      </c>
      <c r="I474" s="96" t="s">
        <v>320</v>
      </c>
      <c r="J474" s="96" t="s">
        <v>952</v>
      </c>
      <c r="K474" s="96" t="s">
        <v>203</v>
      </c>
      <c r="L474" s="96" t="s">
        <v>203</v>
      </c>
      <c r="M474" s="96" t="s">
        <v>324</v>
      </c>
      <c r="N474" s="96" t="s">
        <v>339</v>
      </c>
      <c r="O474" s="96" t="s">
        <v>463</v>
      </c>
      <c r="P474" s="96" t="s">
        <v>338</v>
      </c>
      <c r="Q474" s="96" t="s">
        <v>1313</v>
      </c>
      <c r="R474" s="96" t="s">
        <v>412</v>
      </c>
      <c r="S474" s="96" t="s">
        <v>406</v>
      </c>
      <c r="T474" s="96" t="s">
        <v>1200</v>
      </c>
      <c r="U474" s="97">
        <v>0.99</v>
      </c>
      <c r="V474" s="100">
        <v>46026</v>
      </c>
      <c r="W474" s="98">
        <v>3.39E-2</v>
      </c>
      <c r="X474" s="98">
        <v>4.9399999999999999E-2</v>
      </c>
      <c r="Y474" s="96" t="s">
        <v>411</v>
      </c>
      <c r="Z474" s="96"/>
      <c r="AA474" s="97">
        <v>222252.80707499999</v>
      </c>
      <c r="AB474" s="97">
        <v>1</v>
      </c>
      <c r="AC474" s="97">
        <v>100.14</v>
      </c>
      <c r="AD474" s="97"/>
      <c r="AE474" s="97">
        <v>222.56396100000001</v>
      </c>
      <c r="AF474" s="96"/>
      <c r="AG474" s="96"/>
      <c r="AH474" s="96"/>
      <c r="AI474" s="98">
        <v>5.1199999999999998E-4</v>
      </c>
      <c r="AJ474" s="98">
        <v>8.3299999999999997E-4</v>
      </c>
      <c r="AK474" s="98">
        <v>1.15E-4</v>
      </c>
      <c r="AL474" s="106"/>
    </row>
    <row r="475" spans="1:38" ht="15" customHeight="1">
      <c r="A475" s="106"/>
      <c r="B475" s="96">
        <v>286</v>
      </c>
      <c r="C475" s="96">
        <v>286</v>
      </c>
      <c r="D475" s="96" t="s">
        <v>1314</v>
      </c>
      <c r="E475" s="96">
        <v>513754069</v>
      </c>
      <c r="F475" s="96" t="s">
        <v>308</v>
      </c>
      <c r="G475" s="96" t="s">
        <v>1315</v>
      </c>
      <c r="H475" s="96" t="s">
        <v>1316</v>
      </c>
      <c r="I475" s="96" t="s">
        <v>320</v>
      </c>
      <c r="J475" s="96" t="s">
        <v>952</v>
      </c>
      <c r="K475" s="96" t="s">
        <v>203</v>
      </c>
      <c r="L475" s="96" t="s">
        <v>203</v>
      </c>
      <c r="M475" s="96" t="s">
        <v>324</v>
      </c>
      <c r="N475" s="96" t="s">
        <v>339</v>
      </c>
      <c r="O475" s="96" t="s">
        <v>444</v>
      </c>
      <c r="P475" s="96" t="s">
        <v>338</v>
      </c>
      <c r="Q475" s="96" t="s">
        <v>1305</v>
      </c>
      <c r="R475" s="96" t="s">
        <v>414</v>
      </c>
      <c r="S475" s="96" t="s">
        <v>406</v>
      </c>
      <c r="T475" s="96" t="s">
        <v>1200</v>
      </c>
      <c r="U475" s="97">
        <v>7.67</v>
      </c>
      <c r="V475" s="100">
        <v>49156</v>
      </c>
      <c r="W475" s="98">
        <v>5.3100000000000001E-2</v>
      </c>
      <c r="X475" s="98">
        <v>6.3299999999999995E-2</v>
      </c>
      <c r="Y475" s="96" t="s">
        <v>411</v>
      </c>
      <c r="Z475" s="96"/>
      <c r="AA475" s="97">
        <v>1019225.850465</v>
      </c>
      <c r="AB475" s="97">
        <v>1</v>
      </c>
      <c r="AC475" s="97">
        <v>95.33</v>
      </c>
      <c r="AD475" s="97"/>
      <c r="AE475" s="97">
        <v>971.62800300000004</v>
      </c>
      <c r="AF475" s="96"/>
      <c r="AG475" s="96"/>
      <c r="AH475" s="96"/>
      <c r="AI475" s="98">
        <v>8.0000000000000004E-4</v>
      </c>
      <c r="AJ475" s="98">
        <v>3.64E-3</v>
      </c>
      <c r="AK475" s="98">
        <v>5.0500000000000002E-4</v>
      </c>
      <c r="AL475" s="106"/>
    </row>
    <row r="476" spans="1:38" ht="15" customHeight="1">
      <c r="A476" s="106"/>
      <c r="B476" s="96">
        <v>286</v>
      </c>
      <c r="C476" s="96">
        <v>286</v>
      </c>
      <c r="D476" s="96" t="s">
        <v>1941</v>
      </c>
      <c r="E476" s="96">
        <v>520036435</v>
      </c>
      <c r="F476" s="96" t="s">
        <v>308</v>
      </c>
      <c r="G476" s="96" t="s">
        <v>1942</v>
      </c>
      <c r="H476" s="96" t="s">
        <v>1943</v>
      </c>
      <c r="I476" s="96" t="s">
        <v>320</v>
      </c>
      <c r="J476" s="96" t="s">
        <v>952</v>
      </c>
      <c r="K476" s="96" t="s">
        <v>203</v>
      </c>
      <c r="L476" s="96" t="s">
        <v>203</v>
      </c>
      <c r="M476" s="96" t="s">
        <v>324</v>
      </c>
      <c r="N476" s="96" t="s">
        <v>339</v>
      </c>
      <c r="O476" s="96" t="s">
        <v>476</v>
      </c>
      <c r="P476" s="96" t="s">
        <v>338</v>
      </c>
      <c r="Q476" s="96" t="s">
        <v>1320</v>
      </c>
      <c r="R476" s="96" t="s">
        <v>412</v>
      </c>
      <c r="S476" s="96" t="s">
        <v>406</v>
      </c>
      <c r="T476" s="96" t="s">
        <v>1200</v>
      </c>
      <c r="U476" s="97">
        <v>0.5</v>
      </c>
      <c r="V476" s="100">
        <v>45657</v>
      </c>
      <c r="W476" s="98">
        <v>2.9499999999999998E-2</v>
      </c>
      <c r="X476" s="98">
        <v>5.6899999999999999E-2</v>
      </c>
      <c r="Y476" s="96" t="s">
        <v>411</v>
      </c>
      <c r="Z476" s="96"/>
      <c r="AA476" s="97">
        <v>19704.988081</v>
      </c>
      <c r="AB476" s="97">
        <v>1</v>
      </c>
      <c r="AC476" s="97">
        <v>98.7</v>
      </c>
      <c r="AD476" s="97"/>
      <c r="AE476" s="97">
        <v>19.448823000000001</v>
      </c>
      <c r="AF476" s="96"/>
      <c r="AG476" s="96"/>
      <c r="AH476" s="96"/>
      <c r="AI476" s="98">
        <v>1.1019999999999999E-3</v>
      </c>
      <c r="AJ476" s="98">
        <v>7.2000000000000002E-5</v>
      </c>
      <c r="AK476" s="98">
        <v>1.0000000000000001E-5</v>
      </c>
      <c r="AL476" s="106"/>
    </row>
    <row r="477" spans="1:38" ht="15" customHeight="1">
      <c r="A477" s="106"/>
      <c r="B477" s="96">
        <v>286</v>
      </c>
      <c r="C477" s="96">
        <v>286</v>
      </c>
      <c r="D477" s="96" t="s">
        <v>1432</v>
      </c>
      <c r="E477" s="96">
        <v>515327120</v>
      </c>
      <c r="F477" s="96" t="s">
        <v>308</v>
      </c>
      <c r="G477" s="96" t="s">
        <v>1750</v>
      </c>
      <c r="H477" s="96" t="s">
        <v>1666</v>
      </c>
      <c r="I477" s="96" t="s">
        <v>320</v>
      </c>
      <c r="J477" s="96" t="s">
        <v>753</v>
      </c>
      <c r="K477" s="96" t="s">
        <v>203</v>
      </c>
      <c r="L477" s="96" t="s">
        <v>203</v>
      </c>
      <c r="M477" s="96" t="s">
        <v>324</v>
      </c>
      <c r="N477" s="96" t="s">
        <v>339</v>
      </c>
      <c r="O477" s="96" t="s">
        <v>463</v>
      </c>
      <c r="P477" s="96" t="s">
        <v>337</v>
      </c>
      <c r="Q477" s="96" t="s">
        <v>1305</v>
      </c>
      <c r="R477" s="96" t="s">
        <v>414</v>
      </c>
      <c r="S477" s="96" t="s">
        <v>406</v>
      </c>
      <c r="T477" s="96" t="s">
        <v>1200</v>
      </c>
      <c r="U477" s="97">
        <v>4.4400000000000004</v>
      </c>
      <c r="V477" s="100">
        <v>47483</v>
      </c>
      <c r="W477" s="98">
        <v>8.5000000000000006E-3</v>
      </c>
      <c r="X477" s="98">
        <v>3.56E-2</v>
      </c>
      <c r="Y477" s="96" t="s">
        <v>411</v>
      </c>
      <c r="Z477" s="96"/>
      <c r="AA477" s="97">
        <v>38769.379706</v>
      </c>
      <c r="AB477" s="97">
        <v>1</v>
      </c>
      <c r="AC477" s="97">
        <v>99.88</v>
      </c>
      <c r="AD477" s="97"/>
      <c r="AE477" s="97">
        <v>38.722856</v>
      </c>
      <c r="AF477" s="96"/>
      <c r="AG477" s="96"/>
      <c r="AH477" s="96"/>
      <c r="AI477" s="98">
        <v>5.8E-5</v>
      </c>
      <c r="AJ477" s="98">
        <v>1.45E-4</v>
      </c>
      <c r="AK477" s="98">
        <v>2.0000000000000002E-5</v>
      </c>
      <c r="AL477" s="106"/>
    </row>
    <row r="478" spans="1:38" ht="15" customHeight="1">
      <c r="A478" s="106"/>
      <c r="B478" s="96">
        <v>286</v>
      </c>
      <c r="C478" s="96">
        <v>286</v>
      </c>
      <c r="D478" s="96" t="s">
        <v>1898</v>
      </c>
      <c r="E478" s="96">
        <v>520038605</v>
      </c>
      <c r="F478" s="96" t="s">
        <v>308</v>
      </c>
      <c r="G478" s="96" t="s">
        <v>1899</v>
      </c>
      <c r="H478" s="96" t="s">
        <v>1900</v>
      </c>
      <c r="I478" s="96" t="s">
        <v>320</v>
      </c>
      <c r="J478" s="96" t="s">
        <v>952</v>
      </c>
      <c r="K478" s="96" t="s">
        <v>203</v>
      </c>
      <c r="L478" s="96" t="s">
        <v>203</v>
      </c>
      <c r="M478" s="96" t="s">
        <v>324</v>
      </c>
      <c r="N478" s="96" t="s">
        <v>339</v>
      </c>
      <c r="O478" s="96" t="s">
        <v>446</v>
      </c>
      <c r="P478" s="96" t="s">
        <v>337</v>
      </c>
      <c r="Q478" s="96" t="s">
        <v>1309</v>
      </c>
      <c r="R478" s="96" t="s">
        <v>414</v>
      </c>
      <c r="S478" s="96" t="s">
        <v>406</v>
      </c>
      <c r="T478" s="96" t="s">
        <v>1200</v>
      </c>
      <c r="U478" s="97">
        <v>1.45</v>
      </c>
      <c r="V478" s="100">
        <v>46387</v>
      </c>
      <c r="W478" s="98">
        <v>3.4700000000000002E-2</v>
      </c>
      <c r="X478" s="98">
        <v>6.1600000000000002E-2</v>
      </c>
      <c r="Y478" s="96" t="s">
        <v>411</v>
      </c>
      <c r="Z478" s="96"/>
      <c r="AA478" s="97">
        <v>55174.416891000001</v>
      </c>
      <c r="AB478" s="97">
        <v>1</v>
      </c>
      <c r="AC478" s="97">
        <v>96.37</v>
      </c>
      <c r="AD478" s="97"/>
      <c r="AE478" s="97">
        <v>53.171585</v>
      </c>
      <c r="AF478" s="96"/>
      <c r="AG478" s="96"/>
      <c r="AH478" s="96"/>
      <c r="AI478" s="98">
        <v>3.6699999999999998E-4</v>
      </c>
      <c r="AJ478" s="98">
        <v>1.9900000000000001E-4</v>
      </c>
      <c r="AK478" s="98">
        <v>2.6999999999999999E-5</v>
      </c>
      <c r="AL478" s="106"/>
    </row>
    <row r="479" spans="1:38" ht="15" customHeight="1">
      <c r="A479" s="106"/>
      <c r="B479" s="96">
        <v>286</v>
      </c>
      <c r="C479" s="96">
        <v>286</v>
      </c>
      <c r="D479" s="96" t="s">
        <v>1524</v>
      </c>
      <c r="E479" s="96">
        <v>513257873</v>
      </c>
      <c r="F479" s="96" t="s">
        <v>308</v>
      </c>
      <c r="G479" s="96" t="s">
        <v>1922</v>
      </c>
      <c r="H479" s="96" t="s">
        <v>1923</v>
      </c>
      <c r="I479" s="96" t="s">
        <v>320</v>
      </c>
      <c r="J479" s="96" t="s">
        <v>753</v>
      </c>
      <c r="K479" s="96" t="s">
        <v>203</v>
      </c>
      <c r="L479" s="96" t="s">
        <v>203</v>
      </c>
      <c r="M479" s="96" t="s">
        <v>324</v>
      </c>
      <c r="N479" s="96" t="s">
        <v>339</v>
      </c>
      <c r="O479" s="96" t="s">
        <v>463</v>
      </c>
      <c r="P479" s="96" t="s">
        <v>338</v>
      </c>
      <c r="Q479" s="96" t="s">
        <v>1320</v>
      </c>
      <c r="R479" s="96" t="s">
        <v>412</v>
      </c>
      <c r="S479" s="96" t="s">
        <v>406</v>
      </c>
      <c r="T479" s="96" t="s">
        <v>1200</v>
      </c>
      <c r="U479" s="97">
        <v>4.54</v>
      </c>
      <c r="V479" s="100">
        <v>47542</v>
      </c>
      <c r="W479" s="98">
        <v>8.3999999999999995E-3</v>
      </c>
      <c r="X479" s="98">
        <v>3.5799999999999998E-2</v>
      </c>
      <c r="Y479" s="96" t="s">
        <v>411</v>
      </c>
      <c r="Z479" s="96"/>
      <c r="AA479" s="97">
        <v>41213.408549</v>
      </c>
      <c r="AB479" s="97">
        <v>1</v>
      </c>
      <c r="AC479" s="97">
        <v>100.58</v>
      </c>
      <c r="AD479" s="97"/>
      <c r="AE479" s="97">
        <v>41.452446000000002</v>
      </c>
      <c r="AF479" s="96"/>
      <c r="AG479" s="96"/>
      <c r="AH479" s="96"/>
      <c r="AI479" s="98">
        <v>6.0000000000000002E-5</v>
      </c>
      <c r="AJ479" s="98">
        <v>1.55E-4</v>
      </c>
      <c r="AK479" s="98">
        <v>2.0999999999999999E-5</v>
      </c>
      <c r="AL479" s="106"/>
    </row>
    <row r="480" spans="1:38" ht="15" customHeight="1">
      <c r="A480" s="106"/>
      <c r="B480" s="96">
        <v>286</v>
      </c>
      <c r="C480" s="96">
        <v>286</v>
      </c>
      <c r="D480" s="96" t="s">
        <v>1432</v>
      </c>
      <c r="E480" s="96">
        <v>515327120</v>
      </c>
      <c r="F480" s="96" t="s">
        <v>308</v>
      </c>
      <c r="G480" s="96" t="s">
        <v>1433</v>
      </c>
      <c r="H480" s="96" t="s">
        <v>1434</v>
      </c>
      <c r="I480" s="96" t="s">
        <v>320</v>
      </c>
      <c r="J480" s="96" t="s">
        <v>753</v>
      </c>
      <c r="K480" s="96" t="s">
        <v>203</v>
      </c>
      <c r="L480" s="96" t="s">
        <v>203</v>
      </c>
      <c r="M480" s="96" t="s">
        <v>324</v>
      </c>
      <c r="N480" s="96" t="s">
        <v>339</v>
      </c>
      <c r="O480" s="96" t="s">
        <v>463</v>
      </c>
      <c r="P480" s="96" t="s">
        <v>337</v>
      </c>
      <c r="Q480" s="96" t="s">
        <v>1305</v>
      </c>
      <c r="R480" s="96" t="s">
        <v>414</v>
      </c>
      <c r="S480" s="96" t="s">
        <v>406</v>
      </c>
      <c r="T480" s="96" t="s">
        <v>1200</v>
      </c>
      <c r="U480" s="97">
        <v>3.02</v>
      </c>
      <c r="V480" s="100">
        <v>46752</v>
      </c>
      <c r="W480" s="98">
        <v>2.75E-2</v>
      </c>
      <c r="X480" s="98">
        <v>3.2199999999999999E-2</v>
      </c>
      <c r="Y480" s="96" t="s">
        <v>411</v>
      </c>
      <c r="Z480" s="96"/>
      <c r="AA480" s="97">
        <v>136006.78165399999</v>
      </c>
      <c r="AB480" s="97">
        <v>1</v>
      </c>
      <c r="AC480" s="97">
        <v>111.38</v>
      </c>
      <c r="AD480" s="97"/>
      <c r="AE480" s="97">
        <v>151.484353</v>
      </c>
      <c r="AF480" s="96"/>
      <c r="AG480" s="96"/>
      <c r="AH480" s="96"/>
      <c r="AI480" s="98">
        <v>2.5099999999999998E-4</v>
      </c>
      <c r="AJ480" s="98">
        <v>5.6700000000000001E-4</v>
      </c>
      <c r="AK480" s="98">
        <v>7.7999999999999999E-5</v>
      </c>
      <c r="AL480" s="106"/>
    </row>
    <row r="481" spans="1:38" ht="15" customHeight="1">
      <c r="A481" s="106"/>
      <c r="B481" s="96">
        <v>286</v>
      </c>
      <c r="C481" s="96">
        <v>286</v>
      </c>
      <c r="D481" s="96" t="s">
        <v>1648</v>
      </c>
      <c r="E481" s="96">
        <v>515846558</v>
      </c>
      <c r="F481" s="96" t="s">
        <v>308</v>
      </c>
      <c r="G481" s="96" t="s">
        <v>1853</v>
      </c>
      <c r="H481" s="96" t="s">
        <v>1650</v>
      </c>
      <c r="I481" s="96" t="s">
        <v>320</v>
      </c>
      <c r="J481" s="96" t="s">
        <v>753</v>
      </c>
      <c r="K481" s="96" t="s">
        <v>203</v>
      </c>
      <c r="L481" s="96" t="s">
        <v>203</v>
      </c>
      <c r="M481" s="96" t="s">
        <v>326</v>
      </c>
      <c r="N481" s="96" t="s">
        <v>339</v>
      </c>
      <c r="O481" s="96" t="s">
        <v>450</v>
      </c>
      <c r="P481" s="96" t="s">
        <v>337</v>
      </c>
      <c r="Q481" s="96" t="s">
        <v>1320</v>
      </c>
      <c r="R481" s="96" t="s">
        <v>412</v>
      </c>
      <c r="S481" s="96" t="s">
        <v>406</v>
      </c>
      <c r="T481" s="96" t="s">
        <v>1200</v>
      </c>
      <c r="U481" s="97">
        <v>4.38</v>
      </c>
      <c r="V481" s="100">
        <v>48852</v>
      </c>
      <c r="W481" s="98">
        <v>7.4999999999999997E-3</v>
      </c>
      <c r="X481" s="98">
        <v>4.0099999999999997E-2</v>
      </c>
      <c r="Y481" s="96" t="s">
        <v>411</v>
      </c>
      <c r="Z481" s="96"/>
      <c r="AA481" s="97">
        <v>33923.207410000003</v>
      </c>
      <c r="AB481" s="97">
        <v>1</v>
      </c>
      <c r="AC481" s="97">
        <v>95.738699999999994</v>
      </c>
      <c r="AD481" s="97"/>
      <c r="AE481" s="97">
        <v>32.477645000000003</v>
      </c>
      <c r="AF481" s="96"/>
      <c r="AG481" s="96"/>
      <c r="AH481" s="96"/>
      <c r="AI481" s="98">
        <v>3.1999999999999999E-5</v>
      </c>
      <c r="AJ481" s="98">
        <v>1.21E-4</v>
      </c>
      <c r="AK481" s="98">
        <v>1.5999999999999999E-5</v>
      </c>
      <c r="AL481" s="106"/>
    </row>
    <row r="482" spans="1:38" ht="15" customHeight="1">
      <c r="A482" s="106"/>
      <c r="B482" s="96">
        <v>286</v>
      </c>
      <c r="C482" s="96">
        <v>286</v>
      </c>
      <c r="D482" s="96" t="s">
        <v>1333</v>
      </c>
      <c r="E482" s="96">
        <v>520024126</v>
      </c>
      <c r="F482" s="96" t="s">
        <v>308</v>
      </c>
      <c r="G482" s="96" t="s">
        <v>1713</v>
      </c>
      <c r="H482" s="96" t="s">
        <v>1714</v>
      </c>
      <c r="I482" s="96" t="s">
        <v>320</v>
      </c>
      <c r="J482" s="96" t="s">
        <v>753</v>
      </c>
      <c r="K482" s="96" t="s">
        <v>203</v>
      </c>
      <c r="L482" s="96" t="s">
        <v>203</v>
      </c>
      <c r="M482" s="96" t="s">
        <v>324</v>
      </c>
      <c r="N482" s="96" t="s">
        <v>339</v>
      </c>
      <c r="O482" s="96" t="s">
        <v>463</v>
      </c>
      <c r="P482" s="96" t="s">
        <v>337</v>
      </c>
      <c r="Q482" s="96" t="s">
        <v>1313</v>
      </c>
      <c r="R482" s="96" t="s">
        <v>412</v>
      </c>
      <c r="S482" s="96" t="s">
        <v>406</v>
      </c>
      <c r="T482" s="96" t="s">
        <v>1200</v>
      </c>
      <c r="U482" s="97">
        <v>3.69</v>
      </c>
      <c r="V482" s="100">
        <v>47483</v>
      </c>
      <c r="W482" s="98">
        <v>2.81E-2</v>
      </c>
      <c r="X482" s="98">
        <v>3.0599999999999999E-2</v>
      </c>
      <c r="Y482" s="96" t="s">
        <v>411</v>
      </c>
      <c r="Z482" s="96"/>
      <c r="AA482" s="97">
        <v>1296577.717462</v>
      </c>
      <c r="AB482" s="97">
        <v>1</v>
      </c>
      <c r="AC482" s="97">
        <v>113.93</v>
      </c>
      <c r="AD482" s="97"/>
      <c r="AE482" s="97">
        <v>1477.1909929999999</v>
      </c>
      <c r="AF482" s="96"/>
      <c r="AG482" s="96"/>
      <c r="AH482" s="96"/>
      <c r="AI482" s="98">
        <v>9.41E-4</v>
      </c>
      <c r="AJ482" s="98">
        <v>5.535E-3</v>
      </c>
      <c r="AK482" s="98">
        <v>7.6900000000000004E-4</v>
      </c>
      <c r="AL482" s="106"/>
    </row>
    <row r="483" spans="1:38" ht="15" customHeight="1">
      <c r="A483" s="106"/>
      <c r="B483" s="96">
        <v>286</v>
      </c>
      <c r="C483" s="96">
        <v>286</v>
      </c>
      <c r="D483" s="96" t="s">
        <v>1411</v>
      </c>
      <c r="E483" s="96">
        <v>512025891</v>
      </c>
      <c r="F483" s="96" t="s">
        <v>308</v>
      </c>
      <c r="G483" s="96" t="s">
        <v>1779</v>
      </c>
      <c r="H483" s="96" t="s">
        <v>1780</v>
      </c>
      <c r="I483" s="96" t="s">
        <v>320</v>
      </c>
      <c r="J483" s="96" t="s">
        <v>952</v>
      </c>
      <c r="K483" s="96" t="s">
        <v>203</v>
      </c>
      <c r="L483" s="96" t="s">
        <v>203</v>
      </c>
      <c r="M483" s="96" t="s">
        <v>324</v>
      </c>
      <c r="N483" s="96" t="s">
        <v>339</v>
      </c>
      <c r="O483" s="96" t="s">
        <v>476</v>
      </c>
      <c r="P483" s="96" t="s">
        <v>338</v>
      </c>
      <c r="Q483" s="96" t="s">
        <v>1320</v>
      </c>
      <c r="R483" s="96" t="s">
        <v>412</v>
      </c>
      <c r="S483" s="96" t="s">
        <v>406</v>
      </c>
      <c r="T483" s="96" t="s">
        <v>1200</v>
      </c>
      <c r="U483" s="97">
        <v>1.95</v>
      </c>
      <c r="V483" s="100">
        <v>46924</v>
      </c>
      <c r="W483" s="98">
        <v>5.7000000000000002E-2</v>
      </c>
      <c r="X483" s="98">
        <v>5.8500000000000003E-2</v>
      </c>
      <c r="Y483" s="96" t="s">
        <v>411</v>
      </c>
      <c r="Z483" s="96"/>
      <c r="AA483" s="97">
        <v>656809.88070600003</v>
      </c>
      <c r="AB483" s="97">
        <v>1</v>
      </c>
      <c r="AC483" s="97">
        <v>100.12</v>
      </c>
      <c r="AD483" s="97"/>
      <c r="AE483" s="97">
        <v>657.59805200000005</v>
      </c>
      <c r="AF483" s="96"/>
      <c r="AG483" s="96"/>
      <c r="AH483" s="96"/>
      <c r="AI483" s="98">
        <v>9.5600000000000004E-4</v>
      </c>
      <c r="AJ483" s="98">
        <v>2.464E-3</v>
      </c>
      <c r="AK483" s="98">
        <v>3.4200000000000002E-4</v>
      </c>
      <c r="AL483" s="106"/>
    </row>
    <row r="484" spans="1:38" ht="15" customHeight="1">
      <c r="A484" s="106"/>
      <c r="B484" s="96">
        <v>286</v>
      </c>
      <c r="C484" s="96">
        <v>286</v>
      </c>
      <c r="D484" s="96" t="s">
        <v>1704</v>
      </c>
      <c r="E484" s="96">
        <v>513834200</v>
      </c>
      <c r="F484" s="96" t="s">
        <v>308</v>
      </c>
      <c r="G484" s="96" t="s">
        <v>1705</v>
      </c>
      <c r="H484" s="96" t="s">
        <v>1706</v>
      </c>
      <c r="I484" s="96" t="s">
        <v>320</v>
      </c>
      <c r="J484" s="96" t="s">
        <v>952</v>
      </c>
      <c r="K484" s="96" t="s">
        <v>203</v>
      </c>
      <c r="L484" s="96" t="s">
        <v>203</v>
      </c>
      <c r="M484" s="96" t="s">
        <v>324</v>
      </c>
      <c r="N484" s="96" t="s">
        <v>339</v>
      </c>
      <c r="O484" s="96" t="s">
        <v>444</v>
      </c>
      <c r="P484" s="96" t="s">
        <v>338</v>
      </c>
      <c r="Q484" s="96" t="s">
        <v>1305</v>
      </c>
      <c r="R484" s="96" t="s">
        <v>414</v>
      </c>
      <c r="S484" s="96" t="s">
        <v>406</v>
      </c>
      <c r="T484" s="96" t="s">
        <v>1200</v>
      </c>
      <c r="U484" s="97">
        <v>6.67</v>
      </c>
      <c r="V484" s="100">
        <v>48213</v>
      </c>
      <c r="W484" s="98">
        <v>3.0499999999999999E-2</v>
      </c>
      <c r="X484" s="98">
        <v>6.0499999999999998E-2</v>
      </c>
      <c r="Y484" s="96" t="s">
        <v>411</v>
      </c>
      <c r="Z484" s="96"/>
      <c r="AA484" s="97">
        <v>279147.705151</v>
      </c>
      <c r="AB484" s="97">
        <v>1</v>
      </c>
      <c r="AC484" s="97">
        <v>82.6</v>
      </c>
      <c r="AD484" s="97"/>
      <c r="AE484" s="97">
        <v>230.57600400000001</v>
      </c>
      <c r="AF484" s="96"/>
      <c r="AG484" s="96"/>
      <c r="AH484" s="96"/>
      <c r="AI484" s="98">
        <v>4.08E-4</v>
      </c>
      <c r="AJ484" s="98">
        <v>8.6300000000000005E-4</v>
      </c>
      <c r="AK484" s="98">
        <v>1.2E-4</v>
      </c>
      <c r="AL484" s="106"/>
    </row>
    <row r="485" spans="1:38" ht="15" customHeight="1">
      <c r="A485" s="106"/>
      <c r="B485" s="96">
        <v>286</v>
      </c>
      <c r="C485" s="96">
        <v>286</v>
      </c>
      <c r="D485" s="96" t="s">
        <v>1707</v>
      </c>
      <c r="E485" s="96">
        <v>512096793</v>
      </c>
      <c r="F485" s="96" t="s">
        <v>308</v>
      </c>
      <c r="G485" s="96" t="s">
        <v>1708</v>
      </c>
      <c r="H485" s="96" t="s">
        <v>1709</v>
      </c>
      <c r="I485" s="96" t="s">
        <v>320</v>
      </c>
      <c r="J485" s="96" t="s">
        <v>753</v>
      </c>
      <c r="K485" s="96" t="s">
        <v>203</v>
      </c>
      <c r="L485" s="96" t="s">
        <v>203</v>
      </c>
      <c r="M485" s="96" t="s">
        <v>324</v>
      </c>
      <c r="N485" s="96" t="s">
        <v>339</v>
      </c>
      <c r="O485" s="96" t="s">
        <v>463</v>
      </c>
      <c r="P485" s="96" t="s">
        <v>338</v>
      </c>
      <c r="Q485" s="96" t="s">
        <v>1520</v>
      </c>
      <c r="R485" s="96" t="s">
        <v>414</v>
      </c>
      <c r="S485" s="96" t="s">
        <v>406</v>
      </c>
      <c r="T485" s="96" t="s">
        <v>1200</v>
      </c>
      <c r="U485" s="97">
        <v>1.95</v>
      </c>
      <c r="V485" s="100">
        <v>46568</v>
      </c>
      <c r="W485" s="98">
        <v>2.8500000000000001E-2</v>
      </c>
      <c r="X485" s="98">
        <v>2.7900000000000001E-2</v>
      </c>
      <c r="Y485" s="96" t="s">
        <v>411</v>
      </c>
      <c r="Z485" s="96"/>
      <c r="AA485" s="97">
        <v>12384.931866999999</v>
      </c>
      <c r="AB485" s="97">
        <v>1</v>
      </c>
      <c r="AC485" s="97">
        <v>113.71</v>
      </c>
      <c r="AD485" s="97"/>
      <c r="AE485" s="97">
        <v>14.082905999999999</v>
      </c>
      <c r="AF485" s="96"/>
      <c r="AG485" s="96"/>
      <c r="AH485" s="96"/>
      <c r="AI485" s="98">
        <v>8.6000000000000003E-5</v>
      </c>
      <c r="AJ485" s="98">
        <v>5.1999999999999997E-5</v>
      </c>
      <c r="AK485" s="98">
        <v>6.9999999999999999E-6</v>
      </c>
      <c r="AL485" s="106"/>
    </row>
    <row r="486" spans="1:38" ht="15" customHeight="1">
      <c r="A486" s="106"/>
      <c r="B486" s="96">
        <v>286</v>
      </c>
      <c r="C486" s="96">
        <v>286</v>
      </c>
      <c r="D486" s="96" t="s">
        <v>1414</v>
      </c>
      <c r="E486" s="96">
        <v>520037789</v>
      </c>
      <c r="F486" s="96" t="s">
        <v>308</v>
      </c>
      <c r="G486" s="96" t="s">
        <v>1606</v>
      </c>
      <c r="H486" s="96" t="s">
        <v>1607</v>
      </c>
      <c r="I486" s="96" t="s">
        <v>320</v>
      </c>
      <c r="J486" s="96" t="s">
        <v>753</v>
      </c>
      <c r="K486" s="96" t="s">
        <v>203</v>
      </c>
      <c r="L486" s="96" t="s">
        <v>203</v>
      </c>
      <c r="M486" s="96" t="s">
        <v>324</v>
      </c>
      <c r="N486" s="96" t="s">
        <v>339</v>
      </c>
      <c r="O486" s="96" t="s">
        <v>463</v>
      </c>
      <c r="P486" s="96" t="s">
        <v>337</v>
      </c>
      <c r="Q486" s="96" t="s">
        <v>1313</v>
      </c>
      <c r="R486" s="96" t="s">
        <v>412</v>
      </c>
      <c r="S486" s="96" t="s">
        <v>406</v>
      </c>
      <c r="T486" s="96" t="s">
        <v>1200</v>
      </c>
      <c r="U486" s="97">
        <v>2.58</v>
      </c>
      <c r="V486" s="100">
        <v>46478</v>
      </c>
      <c r="W486" s="98">
        <v>2.35E-2</v>
      </c>
      <c r="X486" s="98">
        <v>2.5700000000000001E-2</v>
      </c>
      <c r="Y486" s="96" t="s">
        <v>411</v>
      </c>
      <c r="Z486" s="96"/>
      <c r="AA486" s="97">
        <v>835187.84629300004</v>
      </c>
      <c r="AB486" s="97">
        <v>1</v>
      </c>
      <c r="AC486" s="97">
        <v>114.98</v>
      </c>
      <c r="AD486" s="97"/>
      <c r="AE486" s="97">
        <v>960.29898500000002</v>
      </c>
      <c r="AF486" s="96"/>
      <c r="AG486" s="96"/>
      <c r="AH486" s="96"/>
      <c r="AI486" s="98">
        <v>8.8900000000000003E-4</v>
      </c>
      <c r="AJ486" s="98">
        <v>3.5980000000000001E-3</v>
      </c>
      <c r="AK486" s="98">
        <v>5.0000000000000001E-4</v>
      </c>
      <c r="AL486" s="106"/>
    </row>
    <row r="487" spans="1:38" ht="15" customHeight="1">
      <c r="A487" s="106"/>
      <c r="B487" s="96">
        <v>286</v>
      </c>
      <c r="C487" s="96">
        <v>286</v>
      </c>
      <c r="D487" s="96" t="s">
        <v>1337</v>
      </c>
      <c r="E487" s="96">
        <v>520028010</v>
      </c>
      <c r="F487" s="96" t="s">
        <v>308</v>
      </c>
      <c r="G487" s="96" t="s">
        <v>1765</v>
      </c>
      <c r="H487" s="96" t="s">
        <v>1766</v>
      </c>
      <c r="I487" s="96" t="s">
        <v>320</v>
      </c>
      <c r="J487" s="96" t="s">
        <v>952</v>
      </c>
      <c r="K487" s="96" t="s">
        <v>203</v>
      </c>
      <c r="L487" s="96" t="s">
        <v>203</v>
      </c>
      <c r="M487" s="96" t="s">
        <v>324</v>
      </c>
      <c r="N487" s="96" t="s">
        <v>339</v>
      </c>
      <c r="O487" s="96" t="s">
        <v>450</v>
      </c>
      <c r="P487" s="96" t="s">
        <v>338</v>
      </c>
      <c r="Q487" s="96" t="s">
        <v>1320</v>
      </c>
      <c r="R487" s="96" t="s">
        <v>412</v>
      </c>
      <c r="S487" s="96" t="s">
        <v>406</v>
      </c>
      <c r="T487" s="96" t="s">
        <v>1200</v>
      </c>
      <c r="U487" s="97">
        <v>2.58</v>
      </c>
      <c r="V487" s="100">
        <v>46934</v>
      </c>
      <c r="W487" s="98">
        <v>2.1999999999999999E-2</v>
      </c>
      <c r="X487" s="98">
        <v>5.3800000000000001E-2</v>
      </c>
      <c r="Y487" s="96" t="s">
        <v>411</v>
      </c>
      <c r="Z487" s="96"/>
      <c r="AA487" s="97">
        <v>836324.06706899998</v>
      </c>
      <c r="AB487" s="97">
        <v>1</v>
      </c>
      <c r="AC487" s="97">
        <v>92.37</v>
      </c>
      <c r="AD487" s="97"/>
      <c r="AE487" s="97">
        <v>772.51253999999994</v>
      </c>
      <c r="AF487" s="96"/>
      <c r="AG487" s="96"/>
      <c r="AH487" s="96"/>
      <c r="AI487" s="98">
        <v>7.7099999999999998E-4</v>
      </c>
      <c r="AJ487" s="98">
        <v>2.8939999999999999E-3</v>
      </c>
      <c r="AK487" s="98">
        <v>4.0200000000000001E-4</v>
      </c>
      <c r="AL487" s="106"/>
    </row>
    <row r="488" spans="1:38" ht="15" customHeight="1">
      <c r="A488" s="106"/>
      <c r="B488" s="96">
        <v>286</v>
      </c>
      <c r="C488" s="96">
        <v>286</v>
      </c>
      <c r="D488" s="96" t="s">
        <v>1484</v>
      </c>
      <c r="E488" s="96">
        <v>520036617</v>
      </c>
      <c r="F488" s="96" t="s">
        <v>308</v>
      </c>
      <c r="G488" s="96" t="s">
        <v>2039</v>
      </c>
      <c r="H488" s="96" t="s">
        <v>1778</v>
      </c>
      <c r="I488" s="96" t="s">
        <v>320</v>
      </c>
      <c r="J488" s="96" t="s">
        <v>753</v>
      </c>
      <c r="K488" s="96" t="s">
        <v>203</v>
      </c>
      <c r="L488" s="96" t="s">
        <v>203</v>
      </c>
      <c r="M488" s="96" t="s">
        <v>326</v>
      </c>
      <c r="N488" s="96" t="s">
        <v>339</v>
      </c>
      <c r="O488" s="96" t="s">
        <v>463</v>
      </c>
      <c r="P488" s="96" t="s">
        <v>338</v>
      </c>
      <c r="Q488" s="96" t="s">
        <v>1328</v>
      </c>
      <c r="R488" s="96" t="s">
        <v>412</v>
      </c>
      <c r="S488" s="96" t="s">
        <v>406</v>
      </c>
      <c r="T488" s="96" t="s">
        <v>1200</v>
      </c>
      <c r="U488" s="97">
        <v>4.79</v>
      </c>
      <c r="V488" s="100">
        <v>47848</v>
      </c>
      <c r="W488" s="98">
        <v>8.9999999999999993E-3</v>
      </c>
      <c r="X488" s="98">
        <v>3.8399999999999997E-2</v>
      </c>
      <c r="Y488" s="96" t="s">
        <v>411</v>
      </c>
      <c r="Z488" s="96"/>
      <c r="AA488" s="97">
        <v>9285.9798499999997</v>
      </c>
      <c r="AB488" s="97">
        <v>1</v>
      </c>
      <c r="AC488" s="97">
        <v>96.476200000000006</v>
      </c>
      <c r="AD488" s="97"/>
      <c r="AE488" s="97">
        <v>8.9587559999999993</v>
      </c>
      <c r="AF488" s="96"/>
      <c r="AG488" s="96"/>
      <c r="AH488" s="96"/>
      <c r="AI488" s="98">
        <v>2.1999999999999999E-5</v>
      </c>
      <c r="AJ488" s="98">
        <v>3.3000000000000003E-5</v>
      </c>
      <c r="AK488" s="98">
        <v>3.9999999999999998E-6</v>
      </c>
      <c r="AL488" s="106"/>
    </row>
    <row r="489" spans="1:38" ht="15" customHeight="1">
      <c r="A489" s="106"/>
      <c r="B489" s="96">
        <v>286</v>
      </c>
      <c r="C489" s="96">
        <v>286</v>
      </c>
      <c r="D489" s="96" t="s">
        <v>1343</v>
      </c>
      <c r="E489" s="96">
        <v>514290345</v>
      </c>
      <c r="F489" s="96" t="s">
        <v>308</v>
      </c>
      <c r="G489" s="96" t="s">
        <v>1849</v>
      </c>
      <c r="H489" s="96" t="s">
        <v>1850</v>
      </c>
      <c r="I489" s="96" t="s">
        <v>320</v>
      </c>
      <c r="J489" s="96" t="s">
        <v>952</v>
      </c>
      <c r="K489" s="96" t="s">
        <v>203</v>
      </c>
      <c r="L489" s="96" t="s">
        <v>203</v>
      </c>
      <c r="M489" s="96" t="s">
        <v>324</v>
      </c>
      <c r="N489" s="96" t="s">
        <v>339</v>
      </c>
      <c r="O489" s="96" t="s">
        <v>444</v>
      </c>
      <c r="P489" s="96" t="s">
        <v>338</v>
      </c>
      <c r="Q489" s="96" t="s">
        <v>1305</v>
      </c>
      <c r="R489" s="96" t="s">
        <v>414</v>
      </c>
      <c r="S489" s="96" t="s">
        <v>406</v>
      </c>
      <c r="T489" s="96" t="s">
        <v>1200</v>
      </c>
      <c r="U489" s="97">
        <v>1.06</v>
      </c>
      <c r="V489" s="100">
        <v>45869</v>
      </c>
      <c r="W489" s="98">
        <v>3.61E-2</v>
      </c>
      <c r="X489" s="98">
        <v>5.11E-2</v>
      </c>
      <c r="Y489" s="96" t="s">
        <v>411</v>
      </c>
      <c r="Z489" s="96"/>
      <c r="AA489" s="97">
        <v>19817.879912</v>
      </c>
      <c r="AB489" s="97">
        <v>1</v>
      </c>
      <c r="AC489" s="97">
        <v>100.01</v>
      </c>
      <c r="AD489" s="97"/>
      <c r="AE489" s="97">
        <v>19.819861</v>
      </c>
      <c r="AF489" s="96"/>
      <c r="AG489" s="96"/>
      <c r="AH489" s="96"/>
      <c r="AI489" s="98">
        <v>2.5000000000000001E-5</v>
      </c>
      <c r="AJ489" s="98">
        <v>7.3999999999999996E-5</v>
      </c>
      <c r="AK489" s="98">
        <v>1.0000000000000001E-5</v>
      </c>
      <c r="AL489" s="106"/>
    </row>
    <row r="490" spans="1:38" ht="15" customHeight="1">
      <c r="A490" s="106"/>
      <c r="B490" s="96">
        <v>286</v>
      </c>
      <c r="C490" s="96">
        <v>286</v>
      </c>
      <c r="D490" s="96" t="s">
        <v>1459</v>
      </c>
      <c r="E490" s="96">
        <v>520033424</v>
      </c>
      <c r="F490" s="96" t="s">
        <v>308</v>
      </c>
      <c r="G490" s="96" t="s">
        <v>1460</v>
      </c>
      <c r="H490" s="96" t="s">
        <v>1461</v>
      </c>
      <c r="I490" s="96" t="s">
        <v>320</v>
      </c>
      <c r="J490" s="96" t="s">
        <v>952</v>
      </c>
      <c r="K490" s="96" t="s">
        <v>203</v>
      </c>
      <c r="L490" s="96" t="s">
        <v>203</v>
      </c>
      <c r="M490" s="96" t="s">
        <v>324</v>
      </c>
      <c r="N490" s="96" t="s">
        <v>339</v>
      </c>
      <c r="O490" s="96" t="s">
        <v>446</v>
      </c>
      <c r="P490" s="96" t="s">
        <v>338</v>
      </c>
      <c r="Q490" s="96" t="s">
        <v>1320</v>
      </c>
      <c r="R490" s="96" t="s">
        <v>412</v>
      </c>
      <c r="S490" s="96" t="s">
        <v>406</v>
      </c>
      <c r="T490" s="96" t="s">
        <v>1200</v>
      </c>
      <c r="U490" s="97">
        <v>3.48</v>
      </c>
      <c r="V490" s="100">
        <v>48029</v>
      </c>
      <c r="W490" s="98">
        <v>0.05</v>
      </c>
      <c r="X490" s="98">
        <v>6.1100000000000002E-2</v>
      </c>
      <c r="Y490" s="96" t="s">
        <v>411</v>
      </c>
      <c r="Z490" s="96"/>
      <c r="AA490" s="97">
        <v>206923.11031399999</v>
      </c>
      <c r="AB490" s="97">
        <v>1</v>
      </c>
      <c r="AC490" s="97">
        <v>96.61</v>
      </c>
      <c r="AD490" s="97"/>
      <c r="AE490" s="97">
        <v>199.90841599999999</v>
      </c>
      <c r="AF490" s="96"/>
      <c r="AG490" s="96"/>
      <c r="AH490" s="96"/>
      <c r="AI490" s="98">
        <v>7.7800000000000005E-4</v>
      </c>
      <c r="AJ490" s="98">
        <v>7.4899999999999999E-4</v>
      </c>
      <c r="AK490" s="98">
        <v>1.0399999999999999E-4</v>
      </c>
      <c r="AL490" s="106"/>
    </row>
    <row r="491" spans="1:38" ht="15" customHeight="1">
      <c r="A491" s="106"/>
      <c r="B491" s="96">
        <v>286</v>
      </c>
      <c r="C491" s="96">
        <v>286</v>
      </c>
      <c r="D491" s="96" t="s">
        <v>1343</v>
      </c>
      <c r="E491" s="96">
        <v>514290345</v>
      </c>
      <c r="F491" s="96" t="s">
        <v>308</v>
      </c>
      <c r="G491" s="96" t="s">
        <v>1835</v>
      </c>
      <c r="H491" s="96" t="s">
        <v>1836</v>
      </c>
      <c r="I491" s="96" t="s">
        <v>320</v>
      </c>
      <c r="J491" s="96" t="s">
        <v>952</v>
      </c>
      <c r="K491" s="96" t="s">
        <v>203</v>
      </c>
      <c r="L491" s="96" t="s">
        <v>203</v>
      </c>
      <c r="M491" s="96" t="s">
        <v>324</v>
      </c>
      <c r="N491" s="96" t="s">
        <v>339</v>
      </c>
      <c r="O491" s="96" t="s">
        <v>444</v>
      </c>
      <c r="P491" s="96" t="s">
        <v>338</v>
      </c>
      <c r="Q491" s="96" t="s">
        <v>1305</v>
      </c>
      <c r="R491" s="96" t="s">
        <v>414</v>
      </c>
      <c r="S491" s="96" t="s">
        <v>406</v>
      </c>
      <c r="T491" s="96" t="s">
        <v>1200</v>
      </c>
      <c r="U491" s="97">
        <v>4.53</v>
      </c>
      <c r="V491" s="100">
        <v>47238</v>
      </c>
      <c r="W491" s="98">
        <v>2.6200000000000001E-2</v>
      </c>
      <c r="X491" s="98">
        <v>5.5399999999999998E-2</v>
      </c>
      <c r="Y491" s="96" t="s">
        <v>411</v>
      </c>
      <c r="Z491" s="96"/>
      <c r="AA491" s="97">
        <v>1218703.873225</v>
      </c>
      <c r="AB491" s="97">
        <v>1</v>
      </c>
      <c r="AC491" s="97">
        <v>88.48</v>
      </c>
      <c r="AD491" s="97"/>
      <c r="AE491" s="97">
        <v>1078.3091870000001</v>
      </c>
      <c r="AF491" s="96"/>
      <c r="AG491" s="96"/>
      <c r="AH491" s="96"/>
      <c r="AI491" s="98">
        <v>9.4200000000000002E-4</v>
      </c>
      <c r="AJ491" s="98">
        <v>4.0400000000000002E-3</v>
      </c>
      <c r="AK491" s="98">
        <v>5.6099999999999998E-4</v>
      </c>
      <c r="AL491" s="106"/>
    </row>
    <row r="492" spans="1:38" ht="15" customHeight="1">
      <c r="A492" s="106"/>
      <c r="B492" s="96">
        <v>286</v>
      </c>
      <c r="C492" s="96">
        <v>286</v>
      </c>
      <c r="D492" s="96" t="s">
        <v>1546</v>
      </c>
      <c r="E492" s="96">
        <v>511930125</v>
      </c>
      <c r="F492" s="96" t="s">
        <v>308</v>
      </c>
      <c r="G492" s="96" t="s">
        <v>2001</v>
      </c>
      <c r="H492" s="96" t="s">
        <v>2002</v>
      </c>
      <c r="I492" s="96" t="s">
        <v>320</v>
      </c>
      <c r="J492" s="96" t="s">
        <v>952</v>
      </c>
      <c r="K492" s="96" t="s">
        <v>203</v>
      </c>
      <c r="L492" s="96" t="s">
        <v>203</v>
      </c>
      <c r="M492" s="96" t="s">
        <v>324</v>
      </c>
      <c r="N492" s="96" t="s">
        <v>339</v>
      </c>
      <c r="O492" s="96" t="s">
        <v>483</v>
      </c>
      <c r="P492" s="96" t="s">
        <v>337</v>
      </c>
      <c r="Q492" s="96" t="s">
        <v>1320</v>
      </c>
      <c r="R492" s="96" t="s">
        <v>412</v>
      </c>
      <c r="S492" s="96" t="s">
        <v>406</v>
      </c>
      <c r="T492" s="96" t="s">
        <v>1200</v>
      </c>
      <c r="U492" s="97">
        <v>2.06</v>
      </c>
      <c r="V492" s="100">
        <v>46757</v>
      </c>
      <c r="W492" s="98">
        <v>2.5000000000000001E-2</v>
      </c>
      <c r="X492" s="98">
        <v>5.3900000000000003E-2</v>
      </c>
      <c r="Y492" s="96" t="s">
        <v>411</v>
      </c>
      <c r="Z492" s="96"/>
      <c r="AA492" s="97">
        <v>355921.09842400003</v>
      </c>
      <c r="AB492" s="97">
        <v>1</v>
      </c>
      <c r="AC492" s="97">
        <v>95.53</v>
      </c>
      <c r="AD492" s="97"/>
      <c r="AE492" s="97">
        <v>340.01142499999997</v>
      </c>
      <c r="AF492" s="96"/>
      <c r="AG492" s="96"/>
      <c r="AH492" s="96"/>
      <c r="AI492" s="98">
        <v>3.8200000000000002E-4</v>
      </c>
      <c r="AJ492" s="98">
        <v>1.274E-3</v>
      </c>
      <c r="AK492" s="98">
        <v>1.7699999999999999E-4</v>
      </c>
      <c r="AL492" s="106"/>
    </row>
    <row r="493" spans="1:38" ht="15" customHeight="1">
      <c r="A493" s="106"/>
      <c r="B493" s="96">
        <v>286</v>
      </c>
      <c r="C493" s="96">
        <v>286</v>
      </c>
      <c r="D493" s="96" t="s">
        <v>1440</v>
      </c>
      <c r="E493" s="96">
        <v>513992529</v>
      </c>
      <c r="F493" s="96" t="s">
        <v>308</v>
      </c>
      <c r="G493" s="96" t="s">
        <v>1968</v>
      </c>
      <c r="H493" s="96" t="s">
        <v>1969</v>
      </c>
      <c r="I493" s="96" t="s">
        <v>320</v>
      </c>
      <c r="J493" s="96" t="s">
        <v>753</v>
      </c>
      <c r="K493" s="96" t="s">
        <v>203</v>
      </c>
      <c r="L493" s="96" t="s">
        <v>203</v>
      </c>
      <c r="M493" s="96" t="s">
        <v>324</v>
      </c>
      <c r="N493" s="96" t="s">
        <v>339</v>
      </c>
      <c r="O493" s="96" t="s">
        <v>463</v>
      </c>
      <c r="P493" s="96" t="s">
        <v>338</v>
      </c>
      <c r="Q493" s="96" t="s">
        <v>1305</v>
      </c>
      <c r="R493" s="96" t="s">
        <v>414</v>
      </c>
      <c r="S493" s="96" t="s">
        <v>406</v>
      </c>
      <c r="T493" s="96" t="s">
        <v>1200</v>
      </c>
      <c r="U493" s="97">
        <v>6.03</v>
      </c>
      <c r="V493" s="100">
        <v>48665</v>
      </c>
      <c r="W493" s="98">
        <v>1.5800000000000002E-2</v>
      </c>
      <c r="X493" s="98">
        <v>3.5499999999999997E-2</v>
      </c>
      <c r="Y493" s="96" t="s">
        <v>411</v>
      </c>
      <c r="Z493" s="96"/>
      <c r="AA493" s="97">
        <v>333019.55940000003</v>
      </c>
      <c r="AB493" s="97">
        <v>1</v>
      </c>
      <c r="AC493" s="97">
        <v>101.56</v>
      </c>
      <c r="AD493" s="97"/>
      <c r="AE493" s="97">
        <v>338.21466400000003</v>
      </c>
      <c r="AF493" s="96"/>
      <c r="AG493" s="96"/>
      <c r="AH493" s="96"/>
      <c r="AI493" s="98">
        <v>2.6800000000000001E-4</v>
      </c>
      <c r="AJ493" s="98">
        <v>1.2669999999999999E-3</v>
      </c>
      <c r="AK493" s="98">
        <v>1.76E-4</v>
      </c>
      <c r="AL493" s="106"/>
    </row>
    <row r="494" spans="1:38" ht="15" customHeight="1">
      <c r="A494" s="106"/>
      <c r="B494" s="96">
        <v>286</v>
      </c>
      <c r="C494" s="96">
        <v>286</v>
      </c>
      <c r="D494" s="96" t="s">
        <v>1511</v>
      </c>
      <c r="E494" s="96">
        <v>513765859</v>
      </c>
      <c r="F494" s="96" t="s">
        <v>308</v>
      </c>
      <c r="G494" s="96" t="s">
        <v>1686</v>
      </c>
      <c r="H494" s="96" t="s">
        <v>1687</v>
      </c>
      <c r="I494" s="96" t="s">
        <v>320</v>
      </c>
      <c r="J494" s="96" t="s">
        <v>753</v>
      </c>
      <c r="K494" s="96" t="s">
        <v>203</v>
      </c>
      <c r="L494" s="96" t="s">
        <v>203</v>
      </c>
      <c r="M494" s="96" t="s">
        <v>324</v>
      </c>
      <c r="N494" s="96" t="s">
        <v>339</v>
      </c>
      <c r="O494" s="96" t="s">
        <v>463</v>
      </c>
      <c r="P494" s="96" t="s">
        <v>337</v>
      </c>
      <c r="Q494" s="96" t="s">
        <v>1313</v>
      </c>
      <c r="R494" s="96" t="s">
        <v>412</v>
      </c>
      <c r="S494" s="96" t="s">
        <v>406</v>
      </c>
      <c r="T494" s="96" t="s">
        <v>1200</v>
      </c>
      <c r="U494" s="97">
        <v>2.4900000000000002</v>
      </c>
      <c r="V494" s="100">
        <v>47057</v>
      </c>
      <c r="W494" s="98">
        <v>1.4200000000000001E-2</v>
      </c>
      <c r="X494" s="98">
        <v>2.5100000000000001E-2</v>
      </c>
      <c r="Y494" s="96" t="s">
        <v>411</v>
      </c>
      <c r="Z494" s="96"/>
      <c r="AA494" s="97">
        <v>778266.29979399999</v>
      </c>
      <c r="AB494" s="97">
        <v>1</v>
      </c>
      <c r="AC494" s="97">
        <v>110.8</v>
      </c>
      <c r="AD494" s="97"/>
      <c r="AE494" s="97">
        <v>862.31906000000004</v>
      </c>
      <c r="AF494" s="96"/>
      <c r="AG494" s="96"/>
      <c r="AH494" s="96"/>
      <c r="AI494" s="98">
        <v>6.5899999999999997E-4</v>
      </c>
      <c r="AJ494" s="98">
        <v>3.2309999999999999E-3</v>
      </c>
      <c r="AK494" s="98">
        <v>4.4900000000000002E-4</v>
      </c>
      <c r="AL494" s="106"/>
    </row>
    <row r="495" spans="1:38" ht="15" customHeight="1">
      <c r="A495" s="106"/>
      <c r="B495" s="96">
        <v>286</v>
      </c>
      <c r="C495" s="96">
        <v>286</v>
      </c>
      <c r="D495" s="96" t="s">
        <v>1406</v>
      </c>
      <c r="E495" s="96">
        <v>520025586</v>
      </c>
      <c r="F495" s="96" t="s">
        <v>308</v>
      </c>
      <c r="G495" s="96" t="s">
        <v>2009</v>
      </c>
      <c r="H495" s="96" t="s">
        <v>2010</v>
      </c>
      <c r="I495" s="96" t="s">
        <v>320</v>
      </c>
      <c r="J495" s="96" t="s">
        <v>952</v>
      </c>
      <c r="K495" s="96" t="s">
        <v>203</v>
      </c>
      <c r="L495" s="96" t="s">
        <v>203</v>
      </c>
      <c r="M495" s="96" t="s">
        <v>324</v>
      </c>
      <c r="N495" s="96" t="s">
        <v>339</v>
      </c>
      <c r="O495" s="96" t="s">
        <v>450</v>
      </c>
      <c r="P495" s="96" t="s">
        <v>338</v>
      </c>
      <c r="Q495" s="96" t="s">
        <v>409</v>
      </c>
      <c r="R495" s="96" t="s">
        <v>409</v>
      </c>
      <c r="S495" s="96" t="s">
        <v>409</v>
      </c>
      <c r="T495" s="96" t="s">
        <v>1200</v>
      </c>
      <c r="U495" s="97">
        <v>6.34</v>
      </c>
      <c r="V495" s="100">
        <v>49490</v>
      </c>
      <c r="W495" s="98">
        <v>7.5999999999999998E-2</v>
      </c>
      <c r="X495" s="98">
        <v>7.5700000000000003E-2</v>
      </c>
      <c r="Y495" s="96" t="s">
        <v>411</v>
      </c>
      <c r="Z495" s="96"/>
      <c r="AA495" s="97">
        <v>140358.12507899999</v>
      </c>
      <c r="AB495" s="97">
        <v>1</v>
      </c>
      <c r="AC495" s="97">
        <v>102.6</v>
      </c>
      <c r="AD495" s="97"/>
      <c r="AE495" s="97">
        <v>144.00743600000001</v>
      </c>
      <c r="AF495" s="96"/>
      <c r="AG495" s="96"/>
      <c r="AH495" s="96"/>
      <c r="AI495" s="98">
        <v>1.1709999999999999E-3</v>
      </c>
      <c r="AJ495" s="98">
        <v>5.3899999999999998E-4</v>
      </c>
      <c r="AK495" s="98">
        <v>7.3999999999999996E-5</v>
      </c>
      <c r="AL495" s="106"/>
    </row>
    <row r="496" spans="1:38" ht="15" customHeight="1">
      <c r="A496" s="106"/>
      <c r="B496" s="96">
        <v>286</v>
      </c>
      <c r="C496" s="96">
        <v>286</v>
      </c>
      <c r="D496" s="96" t="s">
        <v>1197</v>
      </c>
      <c r="E496" s="96">
        <v>520018078</v>
      </c>
      <c r="F496" s="96" t="s">
        <v>308</v>
      </c>
      <c r="G496" s="96" t="s">
        <v>2054</v>
      </c>
      <c r="H496" s="96" t="s">
        <v>2055</v>
      </c>
      <c r="I496" s="96" t="s">
        <v>320</v>
      </c>
      <c r="J496" s="96" t="s">
        <v>952</v>
      </c>
      <c r="K496" s="96" t="s">
        <v>203</v>
      </c>
      <c r="L496" s="96" t="s">
        <v>203</v>
      </c>
      <c r="M496" s="96" t="s">
        <v>324</v>
      </c>
      <c r="N496" s="96" t="s">
        <v>339</v>
      </c>
      <c r="O496" s="96" t="s">
        <v>447</v>
      </c>
      <c r="P496" s="96" t="s">
        <v>338</v>
      </c>
      <c r="Q496" s="96" t="s">
        <v>1199</v>
      </c>
      <c r="R496" s="96" t="s">
        <v>412</v>
      </c>
      <c r="S496" s="96" t="s">
        <v>406</v>
      </c>
      <c r="T496" s="96" t="s">
        <v>1200</v>
      </c>
      <c r="U496" s="97">
        <v>0.66</v>
      </c>
      <c r="V496" s="100">
        <v>45716</v>
      </c>
      <c r="W496" s="98">
        <v>2.0199999999999999E-2</v>
      </c>
      <c r="X496" s="98">
        <v>4.4600000000000001E-2</v>
      </c>
      <c r="Y496" s="96" t="s">
        <v>411</v>
      </c>
      <c r="Z496" s="96"/>
      <c r="AA496" s="97">
        <v>487481.54929</v>
      </c>
      <c r="AB496" s="97">
        <v>1</v>
      </c>
      <c r="AC496" s="97">
        <v>99.11</v>
      </c>
      <c r="AD496" s="97"/>
      <c r="AE496" s="97">
        <v>483.14296300000001</v>
      </c>
      <c r="AF496" s="96"/>
      <c r="AG496" s="96"/>
      <c r="AH496" s="96"/>
      <c r="AI496" s="98">
        <v>5.7700000000000004E-4</v>
      </c>
      <c r="AJ496" s="98">
        <v>1.81E-3</v>
      </c>
      <c r="AK496" s="98">
        <v>2.5099999999999998E-4</v>
      </c>
      <c r="AL496" s="106"/>
    </row>
    <row r="497" spans="1:38" ht="15" customHeight="1">
      <c r="A497" s="106"/>
      <c r="B497" s="96">
        <v>286</v>
      </c>
      <c r="C497" s="96">
        <v>286</v>
      </c>
      <c r="D497" s="96" t="s">
        <v>1725</v>
      </c>
      <c r="E497" s="96">
        <v>1665</v>
      </c>
      <c r="F497" s="96" t="s">
        <v>80</v>
      </c>
      <c r="G497" s="96" t="s">
        <v>1726</v>
      </c>
      <c r="H497" s="96" t="s">
        <v>1727</v>
      </c>
      <c r="I497" s="96" t="s">
        <v>320</v>
      </c>
      <c r="J497" s="96" t="s">
        <v>952</v>
      </c>
      <c r="K497" s="96" t="s">
        <v>203</v>
      </c>
      <c r="L497" s="96" t="s">
        <v>203</v>
      </c>
      <c r="M497" s="96" t="s">
        <v>324</v>
      </c>
      <c r="N497" s="96" t="s">
        <v>339</v>
      </c>
      <c r="O497" s="96" t="s">
        <v>464</v>
      </c>
      <c r="P497" s="96" t="s">
        <v>338</v>
      </c>
      <c r="Q497" s="96" t="s">
        <v>1332</v>
      </c>
      <c r="R497" s="96" t="s">
        <v>412</v>
      </c>
      <c r="S497" s="96" t="s">
        <v>406</v>
      </c>
      <c r="T497" s="96" t="s">
        <v>1200</v>
      </c>
      <c r="U497" s="97">
        <v>3.67</v>
      </c>
      <c r="V497" s="100">
        <v>48502</v>
      </c>
      <c r="W497" s="98">
        <v>4.4999999999999998E-2</v>
      </c>
      <c r="X497" s="98">
        <v>6.9699999999999998E-2</v>
      </c>
      <c r="Y497" s="96" t="s">
        <v>411</v>
      </c>
      <c r="Z497" s="96"/>
      <c r="AA497" s="97">
        <v>60508.500695000002</v>
      </c>
      <c r="AB497" s="97">
        <v>1</v>
      </c>
      <c r="AC497" s="97">
        <v>92.67</v>
      </c>
      <c r="AD497" s="97"/>
      <c r="AE497" s="97">
        <v>56.073227000000003</v>
      </c>
      <c r="AF497" s="96"/>
      <c r="AG497" s="96"/>
      <c r="AH497" s="96"/>
      <c r="AI497" s="98">
        <v>6.4999999999999994E-5</v>
      </c>
      <c r="AJ497" s="98">
        <v>2.1000000000000001E-4</v>
      </c>
      <c r="AK497" s="98">
        <v>2.9E-5</v>
      </c>
      <c r="AL497" s="106"/>
    </row>
    <row r="498" spans="1:38" ht="15" customHeight="1">
      <c r="A498" s="106"/>
      <c r="B498" s="96">
        <v>286</v>
      </c>
      <c r="C498" s="96">
        <v>286</v>
      </c>
      <c r="D498" s="96" t="s">
        <v>1367</v>
      </c>
      <c r="E498" s="96">
        <v>513141879</v>
      </c>
      <c r="F498" s="96" t="s">
        <v>308</v>
      </c>
      <c r="G498" s="96" t="s">
        <v>1918</v>
      </c>
      <c r="H498" s="96" t="s">
        <v>1919</v>
      </c>
      <c r="I498" s="96" t="s">
        <v>320</v>
      </c>
      <c r="J498" s="96" t="s">
        <v>753</v>
      </c>
      <c r="K498" s="96" t="s">
        <v>203</v>
      </c>
      <c r="L498" s="96" t="s">
        <v>203</v>
      </c>
      <c r="M498" s="96" t="s">
        <v>324</v>
      </c>
      <c r="N498" s="96" t="s">
        <v>339</v>
      </c>
      <c r="O498" s="96" t="s">
        <v>447</v>
      </c>
      <c r="P498" s="96" t="s">
        <v>338</v>
      </c>
      <c r="Q498" s="96" t="s">
        <v>1305</v>
      </c>
      <c r="R498" s="96" t="s">
        <v>414</v>
      </c>
      <c r="S498" s="96" t="s">
        <v>406</v>
      </c>
      <c r="T498" s="96" t="s">
        <v>1200</v>
      </c>
      <c r="U498" s="97">
        <v>4.42</v>
      </c>
      <c r="V498" s="100">
        <v>47190</v>
      </c>
      <c r="W498" s="98">
        <v>2.9899999999999999E-2</v>
      </c>
      <c r="X498" s="98">
        <v>3.5299999999999998E-2</v>
      </c>
      <c r="Y498" s="96" t="s">
        <v>410</v>
      </c>
      <c r="Z498" s="96"/>
      <c r="AA498" s="97">
        <v>790708.832115</v>
      </c>
      <c r="AB498" s="97">
        <v>1</v>
      </c>
      <c r="AC498" s="97">
        <v>104.39</v>
      </c>
      <c r="AD498" s="97"/>
      <c r="AE498" s="97">
        <v>825.42094899999995</v>
      </c>
      <c r="AF498" s="96"/>
      <c r="AG498" s="96"/>
      <c r="AH498" s="96"/>
      <c r="AI498" s="98">
        <v>9.8799999999999995E-4</v>
      </c>
      <c r="AJ498" s="98">
        <v>3.0920000000000001E-3</v>
      </c>
      <c r="AK498" s="98">
        <v>4.2900000000000002E-4</v>
      </c>
      <c r="AL498" s="106"/>
    </row>
    <row r="499" spans="1:38" ht="15" customHeight="1">
      <c r="A499" s="106"/>
      <c r="B499" s="96">
        <v>286</v>
      </c>
      <c r="C499" s="96">
        <v>286</v>
      </c>
      <c r="D499" s="96" t="s">
        <v>1354</v>
      </c>
      <c r="E499" s="96">
        <v>513893123</v>
      </c>
      <c r="F499" s="96" t="s">
        <v>308</v>
      </c>
      <c r="G499" s="96" t="s">
        <v>2030</v>
      </c>
      <c r="H499" s="96" t="s">
        <v>1786</v>
      </c>
      <c r="I499" s="96" t="s">
        <v>320</v>
      </c>
      <c r="J499" s="96" t="s">
        <v>753</v>
      </c>
      <c r="K499" s="96" t="s">
        <v>203</v>
      </c>
      <c r="L499" s="96" t="s">
        <v>203</v>
      </c>
      <c r="M499" s="96" t="s">
        <v>326</v>
      </c>
      <c r="N499" s="96" t="s">
        <v>339</v>
      </c>
      <c r="O499" s="96" t="s">
        <v>442</v>
      </c>
      <c r="P499" s="96" t="s">
        <v>338</v>
      </c>
      <c r="Q499" s="96" t="s">
        <v>1357</v>
      </c>
      <c r="R499" s="96" t="s">
        <v>414</v>
      </c>
      <c r="S499" s="96" t="s">
        <v>406</v>
      </c>
      <c r="T499" s="96" t="s">
        <v>1200</v>
      </c>
      <c r="U499" s="97">
        <v>1.88</v>
      </c>
      <c r="V499" s="100">
        <v>46477</v>
      </c>
      <c r="W499" s="98">
        <v>3.5400000000000001E-2</v>
      </c>
      <c r="X499" s="98">
        <v>3.7199999999999997E-2</v>
      </c>
      <c r="Y499" s="96" t="s">
        <v>411</v>
      </c>
      <c r="Z499" s="96"/>
      <c r="AA499" s="97">
        <v>32766.647076000001</v>
      </c>
      <c r="AB499" s="97">
        <v>1</v>
      </c>
      <c r="AC499" s="97">
        <v>106.05110000000001</v>
      </c>
      <c r="AD499" s="97"/>
      <c r="AE499" s="97">
        <v>34.749400000000001</v>
      </c>
      <c r="AF499" s="96"/>
      <c r="AG499" s="96"/>
      <c r="AH499" s="96"/>
      <c r="AI499" s="98">
        <v>2.9E-5</v>
      </c>
      <c r="AJ499" s="98">
        <v>1.2999999999999999E-4</v>
      </c>
      <c r="AK499" s="98">
        <v>1.8E-5</v>
      </c>
      <c r="AL499" s="106"/>
    </row>
    <row r="500" spans="1:38" ht="15" customHeight="1">
      <c r="A500" s="106"/>
      <c r="B500" s="96">
        <v>286</v>
      </c>
      <c r="C500" s="96">
        <v>286</v>
      </c>
      <c r="D500" s="96" t="s">
        <v>1529</v>
      </c>
      <c r="E500" s="96">
        <v>520003781</v>
      </c>
      <c r="F500" s="96" t="s">
        <v>308</v>
      </c>
      <c r="G500" s="96" t="s">
        <v>1530</v>
      </c>
      <c r="H500" s="96" t="s">
        <v>1531</v>
      </c>
      <c r="I500" s="96" t="s">
        <v>320</v>
      </c>
      <c r="J500" s="96" t="s">
        <v>952</v>
      </c>
      <c r="K500" s="96" t="s">
        <v>203</v>
      </c>
      <c r="L500" s="96" t="s">
        <v>203</v>
      </c>
      <c r="M500" s="96" t="s">
        <v>324</v>
      </c>
      <c r="N500" s="96" t="s">
        <v>339</v>
      </c>
      <c r="O500" s="96" t="s">
        <v>458</v>
      </c>
      <c r="P500" s="96" t="s">
        <v>338</v>
      </c>
      <c r="Q500" s="96" t="s">
        <v>1301</v>
      </c>
      <c r="R500" s="96" t="s">
        <v>414</v>
      </c>
      <c r="S500" s="96" t="s">
        <v>406</v>
      </c>
      <c r="T500" s="96" t="s">
        <v>1200</v>
      </c>
      <c r="U500" s="97">
        <v>6.44</v>
      </c>
      <c r="V500" s="100">
        <v>50221</v>
      </c>
      <c r="W500" s="98">
        <v>1.9E-2</v>
      </c>
      <c r="X500" s="98">
        <v>5.5800000000000002E-2</v>
      </c>
      <c r="Y500" s="96" t="s">
        <v>411</v>
      </c>
      <c r="Z500" s="96"/>
      <c r="AA500" s="97">
        <v>908642.921095</v>
      </c>
      <c r="AB500" s="97">
        <v>1</v>
      </c>
      <c r="AC500" s="97">
        <v>78.97</v>
      </c>
      <c r="AD500" s="97"/>
      <c r="AE500" s="97">
        <v>717.55531399999995</v>
      </c>
      <c r="AF500" s="96"/>
      <c r="AG500" s="96"/>
      <c r="AH500" s="96"/>
      <c r="AI500" s="98">
        <v>8.8900000000000003E-4</v>
      </c>
      <c r="AJ500" s="98">
        <v>2.6879999999999999E-3</v>
      </c>
      <c r="AK500" s="98">
        <v>3.7300000000000001E-4</v>
      </c>
      <c r="AL500" s="106"/>
    </row>
    <row r="501" spans="1:38" ht="15" customHeight="1">
      <c r="A501" s="106"/>
      <c r="B501" s="96">
        <v>286</v>
      </c>
      <c r="C501" s="96">
        <v>286</v>
      </c>
      <c r="D501" s="96" t="s">
        <v>1517</v>
      </c>
      <c r="E501" s="96">
        <v>510560188</v>
      </c>
      <c r="F501" s="96" t="s">
        <v>308</v>
      </c>
      <c r="G501" s="96" t="s">
        <v>1890</v>
      </c>
      <c r="H501" s="96" t="s">
        <v>1891</v>
      </c>
      <c r="I501" s="96" t="s">
        <v>320</v>
      </c>
      <c r="J501" s="96" t="s">
        <v>753</v>
      </c>
      <c r="K501" s="96" t="s">
        <v>203</v>
      </c>
      <c r="L501" s="96" t="s">
        <v>203</v>
      </c>
      <c r="M501" s="96" t="s">
        <v>324</v>
      </c>
      <c r="N501" s="96" t="s">
        <v>339</v>
      </c>
      <c r="O501" s="96" t="s">
        <v>464</v>
      </c>
      <c r="P501" s="96" t="s">
        <v>338</v>
      </c>
      <c r="Q501" s="96" t="s">
        <v>1520</v>
      </c>
      <c r="R501" s="96" t="s">
        <v>414</v>
      </c>
      <c r="S501" s="96" t="s">
        <v>406</v>
      </c>
      <c r="T501" s="96" t="s">
        <v>1200</v>
      </c>
      <c r="U501" s="97">
        <v>1.71</v>
      </c>
      <c r="V501" s="100">
        <v>46310</v>
      </c>
      <c r="W501" s="98">
        <v>2.5700000000000001E-2</v>
      </c>
      <c r="X501" s="98">
        <v>3.3500000000000002E-2</v>
      </c>
      <c r="Y501" s="96" t="s">
        <v>411</v>
      </c>
      <c r="Z501" s="96"/>
      <c r="AA501" s="97">
        <v>505496.40557</v>
      </c>
      <c r="AB501" s="97">
        <v>1</v>
      </c>
      <c r="AC501" s="97">
        <v>113.71</v>
      </c>
      <c r="AD501" s="97"/>
      <c r="AE501" s="97">
        <v>574.79996200000005</v>
      </c>
      <c r="AF501" s="96"/>
      <c r="AG501" s="96"/>
      <c r="AH501" s="96"/>
      <c r="AI501" s="98">
        <v>3.9399999999999998E-4</v>
      </c>
      <c r="AJ501" s="98">
        <v>2.153E-3</v>
      </c>
      <c r="AK501" s="98">
        <v>2.99E-4</v>
      </c>
      <c r="AL501" s="106"/>
    </row>
    <row r="502" spans="1:38" ht="15" customHeight="1">
      <c r="A502" s="106"/>
      <c r="B502" s="96">
        <v>286</v>
      </c>
      <c r="C502" s="96">
        <v>286</v>
      </c>
      <c r="D502" s="96" t="s">
        <v>2065</v>
      </c>
      <c r="E502" s="96">
        <v>520038910</v>
      </c>
      <c r="F502" s="96" t="s">
        <v>308</v>
      </c>
      <c r="G502" s="96" t="s">
        <v>2066</v>
      </c>
      <c r="H502" s="96" t="s">
        <v>2067</v>
      </c>
      <c r="I502" s="96" t="s">
        <v>320</v>
      </c>
      <c r="J502" s="96" t="s">
        <v>952</v>
      </c>
      <c r="K502" s="96" t="s">
        <v>203</v>
      </c>
      <c r="L502" s="96" t="s">
        <v>203</v>
      </c>
      <c r="M502" s="96" t="s">
        <v>324</v>
      </c>
      <c r="N502" s="96" t="s">
        <v>339</v>
      </c>
      <c r="O502" s="96" t="s">
        <v>463</v>
      </c>
      <c r="P502" s="96" t="s">
        <v>338</v>
      </c>
      <c r="Q502" s="96" t="s">
        <v>1313</v>
      </c>
      <c r="R502" s="96" t="s">
        <v>412</v>
      </c>
      <c r="S502" s="96" t="s">
        <v>406</v>
      </c>
      <c r="T502" s="96" t="s">
        <v>1200</v>
      </c>
      <c r="U502" s="97">
        <v>4.83</v>
      </c>
      <c r="V502" s="100">
        <v>48213</v>
      </c>
      <c r="W502" s="98">
        <v>4.8899999999999999E-2</v>
      </c>
      <c r="X502" s="98">
        <v>5.5899999999999998E-2</v>
      </c>
      <c r="Y502" s="96" t="s">
        <v>411</v>
      </c>
      <c r="Z502" s="96"/>
      <c r="AA502" s="97">
        <v>470322.47905700002</v>
      </c>
      <c r="AB502" s="97">
        <v>1</v>
      </c>
      <c r="AC502" s="97">
        <v>97.07</v>
      </c>
      <c r="AD502" s="97"/>
      <c r="AE502" s="97">
        <v>456.54203000000001</v>
      </c>
      <c r="AF502" s="96"/>
      <c r="AG502" s="96"/>
      <c r="AH502" s="96"/>
      <c r="AI502" s="98">
        <v>1.567E-3</v>
      </c>
      <c r="AJ502" s="98">
        <v>1.7099999999999999E-3</v>
      </c>
      <c r="AK502" s="98">
        <v>2.3699999999999999E-4</v>
      </c>
      <c r="AL502" s="106"/>
    </row>
    <row r="503" spans="1:38" ht="15" customHeight="1">
      <c r="A503" s="106"/>
      <c r="B503" s="96">
        <v>286</v>
      </c>
      <c r="C503" s="96">
        <v>286</v>
      </c>
      <c r="D503" s="96" t="s">
        <v>1302</v>
      </c>
      <c r="E503" s="96">
        <v>513623314</v>
      </c>
      <c r="F503" s="96" t="s">
        <v>308</v>
      </c>
      <c r="G503" s="96" t="s">
        <v>1966</v>
      </c>
      <c r="H503" s="96" t="s">
        <v>1967</v>
      </c>
      <c r="I503" s="96" t="s">
        <v>320</v>
      </c>
      <c r="J503" s="96" t="s">
        <v>753</v>
      </c>
      <c r="K503" s="96" t="s">
        <v>203</v>
      </c>
      <c r="L503" s="96" t="s">
        <v>203</v>
      </c>
      <c r="M503" s="96" t="s">
        <v>324</v>
      </c>
      <c r="N503" s="96" t="s">
        <v>339</v>
      </c>
      <c r="O503" s="96" t="s">
        <v>463</v>
      </c>
      <c r="P503" s="96" t="s">
        <v>337</v>
      </c>
      <c r="Q503" s="96" t="s">
        <v>1313</v>
      </c>
      <c r="R503" s="96" t="s">
        <v>412</v>
      </c>
      <c r="S503" s="96" t="s">
        <v>406</v>
      </c>
      <c r="T503" s="96" t="s">
        <v>1200</v>
      </c>
      <c r="U503" s="97">
        <v>3.63</v>
      </c>
      <c r="V503" s="100">
        <v>46993</v>
      </c>
      <c r="W503" s="98">
        <v>6.8999999999999999E-3</v>
      </c>
      <c r="X503" s="98">
        <v>2.8000000000000001E-2</v>
      </c>
      <c r="Y503" s="96" t="s">
        <v>411</v>
      </c>
      <c r="Z503" s="96"/>
      <c r="AA503" s="97">
        <v>300760.79729100002</v>
      </c>
      <c r="AB503" s="97">
        <v>1</v>
      </c>
      <c r="AC503" s="97">
        <v>105.51</v>
      </c>
      <c r="AD503" s="97"/>
      <c r="AE503" s="97">
        <v>317.332717</v>
      </c>
      <c r="AF503" s="96"/>
      <c r="AG503" s="96"/>
      <c r="AH503" s="96"/>
      <c r="AI503" s="98">
        <v>1.743E-3</v>
      </c>
      <c r="AJ503" s="98">
        <v>1.189E-3</v>
      </c>
      <c r="AK503" s="98">
        <v>1.65E-4</v>
      </c>
      <c r="AL503" s="106"/>
    </row>
    <row r="504" spans="1:38" ht="15" customHeight="1">
      <c r="A504" s="106"/>
      <c r="B504" s="96">
        <v>286</v>
      </c>
      <c r="C504" s="96">
        <v>286</v>
      </c>
      <c r="D504" s="96" t="s">
        <v>1529</v>
      </c>
      <c r="E504" s="96">
        <v>520003781</v>
      </c>
      <c r="F504" s="96" t="s">
        <v>308</v>
      </c>
      <c r="G504" s="96" t="s">
        <v>1542</v>
      </c>
      <c r="H504" s="96" t="s">
        <v>1543</v>
      </c>
      <c r="I504" s="96" t="s">
        <v>320</v>
      </c>
      <c r="J504" s="96" t="s">
        <v>952</v>
      </c>
      <c r="K504" s="96" t="s">
        <v>203</v>
      </c>
      <c r="L504" s="96" t="s">
        <v>203</v>
      </c>
      <c r="M504" s="96" t="s">
        <v>324</v>
      </c>
      <c r="N504" s="96" t="s">
        <v>339</v>
      </c>
      <c r="O504" s="96" t="s">
        <v>458</v>
      </c>
      <c r="P504" s="96" t="s">
        <v>338</v>
      </c>
      <c r="Q504" s="96" t="s">
        <v>1301</v>
      </c>
      <c r="R504" s="96" t="s">
        <v>414</v>
      </c>
      <c r="S504" s="96" t="s">
        <v>406</v>
      </c>
      <c r="T504" s="96" t="s">
        <v>1200</v>
      </c>
      <c r="U504" s="97">
        <v>1.94</v>
      </c>
      <c r="V504" s="100">
        <v>46568</v>
      </c>
      <c r="W504" s="98">
        <v>2.6100000000000002E-2</v>
      </c>
      <c r="X504" s="98">
        <v>4.8099999999999997E-2</v>
      </c>
      <c r="Y504" s="96" t="s">
        <v>411</v>
      </c>
      <c r="Z504" s="96"/>
      <c r="AA504" s="97">
        <v>718819.82371999999</v>
      </c>
      <c r="AB504" s="97">
        <v>1</v>
      </c>
      <c r="AC504" s="97">
        <v>95.99</v>
      </c>
      <c r="AD504" s="97"/>
      <c r="AE504" s="97">
        <v>689.99514799999997</v>
      </c>
      <c r="AF504" s="96"/>
      <c r="AG504" s="96"/>
      <c r="AH504" s="96"/>
      <c r="AI504" s="98">
        <v>1.9859999999999999E-3</v>
      </c>
      <c r="AJ504" s="98">
        <v>2.5850000000000001E-3</v>
      </c>
      <c r="AK504" s="98">
        <v>3.59E-4</v>
      </c>
      <c r="AL504" s="106"/>
    </row>
    <row r="505" spans="1:38" ht="15" customHeight="1">
      <c r="A505" s="106"/>
      <c r="B505" s="96">
        <v>286</v>
      </c>
      <c r="C505" s="96">
        <v>286</v>
      </c>
      <c r="D505" s="96" t="s">
        <v>1611</v>
      </c>
      <c r="E505" s="96">
        <v>520001736</v>
      </c>
      <c r="F505" s="96" t="s">
        <v>308</v>
      </c>
      <c r="G505" s="96" t="s">
        <v>2063</v>
      </c>
      <c r="H505" s="96" t="s">
        <v>2064</v>
      </c>
      <c r="I505" s="96" t="s">
        <v>320</v>
      </c>
      <c r="J505" s="96" t="s">
        <v>753</v>
      </c>
      <c r="K505" s="96" t="s">
        <v>203</v>
      </c>
      <c r="L505" s="96" t="s">
        <v>203</v>
      </c>
      <c r="M505" s="96" t="s">
        <v>324</v>
      </c>
      <c r="N505" s="96" t="s">
        <v>339</v>
      </c>
      <c r="O505" s="96" t="s">
        <v>463</v>
      </c>
      <c r="P505" s="96" t="s">
        <v>338</v>
      </c>
      <c r="Q505" s="96" t="s">
        <v>1313</v>
      </c>
      <c r="R505" s="96" t="s">
        <v>412</v>
      </c>
      <c r="S505" s="96" t="s">
        <v>406</v>
      </c>
      <c r="T505" s="96" t="s">
        <v>1200</v>
      </c>
      <c r="U505" s="97">
        <v>4.21</v>
      </c>
      <c r="V505" s="100">
        <v>48760</v>
      </c>
      <c r="W505" s="98">
        <v>5.0000000000000001E-3</v>
      </c>
      <c r="X505" s="98">
        <v>3.3500000000000002E-2</v>
      </c>
      <c r="Y505" s="96" t="s">
        <v>411</v>
      </c>
      <c r="Z505" s="96"/>
      <c r="AA505" s="97">
        <v>609592.98929199995</v>
      </c>
      <c r="AB505" s="97">
        <v>1</v>
      </c>
      <c r="AC505" s="97">
        <v>100.45</v>
      </c>
      <c r="AD505" s="97"/>
      <c r="AE505" s="97">
        <v>612.33615699999996</v>
      </c>
      <c r="AF505" s="96"/>
      <c r="AG505" s="96"/>
      <c r="AH505" s="96"/>
      <c r="AI505" s="98">
        <v>3.7800000000000003E-4</v>
      </c>
      <c r="AJ505" s="98">
        <v>2.294E-3</v>
      </c>
      <c r="AK505" s="98">
        <v>3.1799999999999998E-4</v>
      </c>
      <c r="AL505" s="106"/>
    </row>
    <row r="506" spans="1:38" ht="15" customHeight="1">
      <c r="A506" s="106"/>
      <c r="B506" s="96">
        <v>286</v>
      </c>
      <c r="C506" s="96">
        <v>286</v>
      </c>
      <c r="D506" s="96" t="s">
        <v>1417</v>
      </c>
      <c r="E506" s="96">
        <v>513230029</v>
      </c>
      <c r="F506" s="96" t="s">
        <v>308</v>
      </c>
      <c r="G506" s="96" t="s">
        <v>1769</v>
      </c>
      <c r="H506" s="96" t="s">
        <v>1770</v>
      </c>
      <c r="I506" s="96" t="s">
        <v>320</v>
      </c>
      <c r="J506" s="96" t="s">
        <v>952</v>
      </c>
      <c r="K506" s="96" t="s">
        <v>203</v>
      </c>
      <c r="L506" s="96" t="s">
        <v>203</v>
      </c>
      <c r="M506" s="96" t="s">
        <v>324</v>
      </c>
      <c r="N506" s="96" t="s">
        <v>339</v>
      </c>
      <c r="O506" s="96" t="s">
        <v>444</v>
      </c>
      <c r="P506" s="96" t="s">
        <v>338</v>
      </c>
      <c r="Q506" s="96" t="s">
        <v>1357</v>
      </c>
      <c r="R506" s="96" t="s">
        <v>414</v>
      </c>
      <c r="S506" s="96" t="s">
        <v>406</v>
      </c>
      <c r="T506" s="96" t="s">
        <v>1200</v>
      </c>
      <c r="U506" s="97">
        <v>3.56</v>
      </c>
      <c r="V506" s="100">
        <v>46843</v>
      </c>
      <c r="W506" s="98">
        <v>3.2599999999999997E-2</v>
      </c>
      <c r="X506" s="98">
        <v>5.7500000000000002E-2</v>
      </c>
      <c r="Y506" s="96" t="s">
        <v>411</v>
      </c>
      <c r="Z506" s="96"/>
      <c r="AA506" s="97">
        <v>494601.05888600001</v>
      </c>
      <c r="AB506" s="97">
        <v>1</v>
      </c>
      <c r="AC506" s="97">
        <v>92.62</v>
      </c>
      <c r="AD506" s="97"/>
      <c r="AE506" s="97">
        <v>458.09949999999998</v>
      </c>
      <c r="AF506" s="96"/>
      <c r="AG506" s="96"/>
      <c r="AH506" s="96"/>
      <c r="AI506" s="98">
        <v>5.0100000000000003E-4</v>
      </c>
      <c r="AJ506" s="98">
        <v>1.7160000000000001E-3</v>
      </c>
      <c r="AK506" s="98">
        <v>2.3800000000000001E-4</v>
      </c>
      <c r="AL506" s="106"/>
    </row>
    <row r="507" spans="1:38" ht="15" customHeight="1">
      <c r="A507" s="106"/>
      <c r="B507" s="96">
        <v>286</v>
      </c>
      <c r="C507" s="96">
        <v>286</v>
      </c>
      <c r="D507" s="96" t="s">
        <v>1364</v>
      </c>
      <c r="E507" s="96">
        <v>513821488</v>
      </c>
      <c r="F507" s="96" t="s">
        <v>308</v>
      </c>
      <c r="G507" s="96" t="s">
        <v>1573</v>
      </c>
      <c r="H507" s="96" t="s">
        <v>1574</v>
      </c>
      <c r="I507" s="96" t="s">
        <v>320</v>
      </c>
      <c r="J507" s="96" t="s">
        <v>753</v>
      </c>
      <c r="K507" s="96" t="s">
        <v>203</v>
      </c>
      <c r="L507" s="96" t="s">
        <v>203</v>
      </c>
      <c r="M507" s="96" t="s">
        <v>324</v>
      </c>
      <c r="N507" s="96" t="s">
        <v>339</v>
      </c>
      <c r="O507" s="96" t="s">
        <v>463</v>
      </c>
      <c r="P507" s="96" t="s">
        <v>337</v>
      </c>
      <c r="Q507" s="96" t="s">
        <v>1313</v>
      </c>
      <c r="R507" s="96" t="s">
        <v>412</v>
      </c>
      <c r="S507" s="96" t="s">
        <v>406</v>
      </c>
      <c r="T507" s="96" t="s">
        <v>1200</v>
      </c>
      <c r="U507" s="97">
        <v>0.22</v>
      </c>
      <c r="V507" s="100">
        <v>45555</v>
      </c>
      <c r="W507" s="98">
        <v>0.04</v>
      </c>
      <c r="X507" s="98">
        <v>2.1999999999999999E-2</v>
      </c>
      <c r="Y507" s="96" t="s">
        <v>411</v>
      </c>
      <c r="Z507" s="96"/>
      <c r="AA507" s="97">
        <v>66897.296287999998</v>
      </c>
      <c r="AB507" s="97">
        <v>1</v>
      </c>
      <c r="AC507" s="97">
        <v>115.01</v>
      </c>
      <c r="AD507" s="97"/>
      <c r="AE507" s="97">
        <v>76.938580000000002</v>
      </c>
      <c r="AF507" s="96"/>
      <c r="AG507" s="96"/>
      <c r="AH507" s="96"/>
      <c r="AI507" s="98">
        <v>8.2100000000000001E-4</v>
      </c>
      <c r="AJ507" s="98">
        <v>2.8800000000000001E-4</v>
      </c>
      <c r="AK507" s="98">
        <v>4.0000000000000003E-5</v>
      </c>
      <c r="AL507" s="106"/>
    </row>
    <row r="508" spans="1:38" ht="15" customHeight="1">
      <c r="A508" s="106"/>
      <c r="B508" s="96">
        <v>286</v>
      </c>
      <c r="C508" s="96">
        <v>286</v>
      </c>
      <c r="D508" s="96" t="s">
        <v>1658</v>
      </c>
      <c r="E508" s="96">
        <v>520038506</v>
      </c>
      <c r="F508" s="96" t="s">
        <v>308</v>
      </c>
      <c r="G508" s="96" t="s">
        <v>1791</v>
      </c>
      <c r="H508" s="96" t="s">
        <v>1752</v>
      </c>
      <c r="I508" s="96" t="s">
        <v>320</v>
      </c>
      <c r="J508" s="96" t="s">
        <v>952</v>
      </c>
      <c r="K508" s="96" t="s">
        <v>203</v>
      </c>
      <c r="L508" s="96" t="s">
        <v>203</v>
      </c>
      <c r="M508" s="96" t="s">
        <v>324</v>
      </c>
      <c r="N508" s="96" t="s">
        <v>339</v>
      </c>
      <c r="O508" s="96" t="s">
        <v>463</v>
      </c>
      <c r="P508" s="96" t="s">
        <v>337</v>
      </c>
      <c r="Q508" s="96" t="s">
        <v>1305</v>
      </c>
      <c r="R508" s="96" t="s">
        <v>414</v>
      </c>
      <c r="S508" s="96" t="s">
        <v>406</v>
      </c>
      <c r="T508" s="96" t="s">
        <v>1200</v>
      </c>
      <c r="U508" s="97">
        <v>4.58</v>
      </c>
      <c r="V508" s="100">
        <v>47907</v>
      </c>
      <c r="W508" s="98">
        <v>2.41E-2</v>
      </c>
      <c r="X508" s="98">
        <v>6.4899999999999999E-2</v>
      </c>
      <c r="Y508" s="96" t="s">
        <v>411</v>
      </c>
      <c r="Z508" s="96"/>
      <c r="AA508" s="97">
        <v>726475.71852700005</v>
      </c>
      <c r="AB508" s="97">
        <v>1</v>
      </c>
      <c r="AC508" s="97">
        <v>84.18</v>
      </c>
      <c r="AD508" s="97"/>
      <c r="AE508" s="97">
        <v>611.54725900000005</v>
      </c>
      <c r="AF508" s="96"/>
      <c r="AG508" s="96"/>
      <c r="AH508" s="96"/>
      <c r="AI508" s="98">
        <v>4.1199999999999999E-4</v>
      </c>
      <c r="AJ508" s="98">
        <v>2.2910000000000001E-3</v>
      </c>
      <c r="AK508" s="98">
        <v>3.1799999999999998E-4</v>
      </c>
      <c r="AL508" s="106"/>
    </row>
    <row r="509" spans="1:38" ht="15" customHeight="1">
      <c r="A509" s="106"/>
      <c r="B509" s="96">
        <v>286</v>
      </c>
      <c r="C509" s="96">
        <v>286</v>
      </c>
      <c r="D509" s="96" t="s">
        <v>1340</v>
      </c>
      <c r="E509" s="96">
        <v>520036658</v>
      </c>
      <c r="F509" s="96" t="s">
        <v>308</v>
      </c>
      <c r="G509" s="96" t="s">
        <v>1626</v>
      </c>
      <c r="H509" s="96" t="s">
        <v>1627</v>
      </c>
      <c r="I509" s="96" t="s">
        <v>320</v>
      </c>
      <c r="J509" s="96" t="s">
        <v>754</v>
      </c>
      <c r="K509" s="96" t="s">
        <v>203</v>
      </c>
      <c r="L509" s="96" t="s">
        <v>203</v>
      </c>
      <c r="M509" s="96" t="s">
        <v>324</v>
      </c>
      <c r="N509" s="96" t="s">
        <v>339</v>
      </c>
      <c r="O509" s="96" t="s">
        <v>439</v>
      </c>
      <c r="P509" s="96" t="s">
        <v>338</v>
      </c>
      <c r="Q509" s="96" t="s">
        <v>1320</v>
      </c>
      <c r="R509" s="96" t="s">
        <v>412</v>
      </c>
      <c r="S509" s="96" t="s">
        <v>406</v>
      </c>
      <c r="T509" s="96" t="s">
        <v>1200</v>
      </c>
      <c r="U509" s="97">
        <v>0.73</v>
      </c>
      <c r="V509" s="100">
        <v>45930</v>
      </c>
      <c r="W509" s="98">
        <v>4.7E-2</v>
      </c>
      <c r="X509" s="98">
        <v>7.8E-2</v>
      </c>
      <c r="Y509" s="96" t="s">
        <v>411</v>
      </c>
      <c r="Z509" s="96"/>
      <c r="AA509" s="97">
        <v>600351.03280399996</v>
      </c>
      <c r="AB509" s="97">
        <v>1</v>
      </c>
      <c r="AC509" s="97">
        <v>102.06</v>
      </c>
      <c r="AD509" s="97"/>
      <c r="AE509" s="97">
        <v>612.71826399999998</v>
      </c>
      <c r="AF509" s="96"/>
      <c r="AG509" s="96"/>
      <c r="AH509" s="96"/>
      <c r="AI509" s="98">
        <v>1.6310000000000001E-3</v>
      </c>
      <c r="AJ509" s="98">
        <v>2.2950000000000002E-3</v>
      </c>
      <c r="AK509" s="98">
        <v>3.19E-4</v>
      </c>
      <c r="AL509" s="106"/>
    </row>
    <row r="510" spans="1:38" ht="15" customHeight="1">
      <c r="A510" s="106"/>
      <c r="B510" s="96">
        <v>286</v>
      </c>
      <c r="C510" s="96">
        <v>286</v>
      </c>
      <c r="D510" s="96" t="s">
        <v>1658</v>
      </c>
      <c r="E510" s="96">
        <v>520038506</v>
      </c>
      <c r="F510" s="96" t="s">
        <v>308</v>
      </c>
      <c r="G510" s="96" t="s">
        <v>1751</v>
      </c>
      <c r="H510" s="96" t="s">
        <v>1752</v>
      </c>
      <c r="I510" s="96" t="s">
        <v>320</v>
      </c>
      <c r="J510" s="96" t="s">
        <v>952</v>
      </c>
      <c r="K510" s="96" t="s">
        <v>203</v>
      </c>
      <c r="L510" s="96" t="s">
        <v>203</v>
      </c>
      <c r="M510" s="96" t="s">
        <v>326</v>
      </c>
      <c r="N510" s="96" t="s">
        <v>339</v>
      </c>
      <c r="O510" s="96" t="s">
        <v>463</v>
      </c>
      <c r="P510" s="96" t="s">
        <v>337</v>
      </c>
      <c r="Q510" s="96" t="s">
        <v>1305</v>
      </c>
      <c r="R510" s="96" t="s">
        <v>414</v>
      </c>
      <c r="S510" s="96" t="s">
        <v>406</v>
      </c>
      <c r="T510" s="96" t="s">
        <v>1200</v>
      </c>
      <c r="U510" s="97">
        <v>4.58</v>
      </c>
      <c r="V510" s="100">
        <v>47907</v>
      </c>
      <c r="W510" s="98">
        <v>2.41E-2</v>
      </c>
      <c r="X510" s="98">
        <v>6.5199999999999994E-2</v>
      </c>
      <c r="Y510" s="96" t="s">
        <v>411</v>
      </c>
      <c r="Z510" s="96"/>
      <c r="AA510" s="97">
        <v>29923.467608999999</v>
      </c>
      <c r="AB510" s="97">
        <v>1</v>
      </c>
      <c r="AC510" s="97">
        <v>84.062799999999996</v>
      </c>
      <c r="AD510" s="97"/>
      <c r="AE510" s="97">
        <v>25.154499999999999</v>
      </c>
      <c r="AF510" s="96"/>
      <c r="AG510" s="96"/>
      <c r="AH510" s="96"/>
      <c r="AI510" s="98">
        <v>1.5999999999999999E-5</v>
      </c>
      <c r="AJ510" s="98">
        <v>9.3999999999999994E-5</v>
      </c>
      <c r="AK510" s="98">
        <v>1.2999999999999999E-5</v>
      </c>
      <c r="AL510" s="106"/>
    </row>
    <row r="511" spans="1:38" ht="15" customHeight="1">
      <c r="A511" s="106"/>
      <c r="B511" s="96">
        <v>286</v>
      </c>
      <c r="C511" s="96">
        <v>286</v>
      </c>
      <c r="D511" s="96" t="s">
        <v>1565</v>
      </c>
      <c r="E511" s="96">
        <v>520033234</v>
      </c>
      <c r="F511" s="96" t="s">
        <v>308</v>
      </c>
      <c r="G511" s="96" t="s">
        <v>1978</v>
      </c>
      <c r="H511" s="96" t="s">
        <v>1979</v>
      </c>
      <c r="I511" s="96" t="s">
        <v>320</v>
      </c>
      <c r="J511" s="96" t="s">
        <v>753</v>
      </c>
      <c r="K511" s="96" t="s">
        <v>203</v>
      </c>
      <c r="L511" s="96" t="s">
        <v>203</v>
      </c>
      <c r="M511" s="96" t="s">
        <v>324</v>
      </c>
      <c r="N511" s="96" t="s">
        <v>339</v>
      </c>
      <c r="O511" s="96" t="s">
        <v>464</v>
      </c>
      <c r="P511" s="96" t="s">
        <v>337</v>
      </c>
      <c r="Q511" s="96" t="s">
        <v>1309</v>
      </c>
      <c r="R511" s="96" t="s">
        <v>414</v>
      </c>
      <c r="S511" s="96" t="s">
        <v>406</v>
      </c>
      <c r="T511" s="96" t="s">
        <v>1200</v>
      </c>
      <c r="U511" s="97">
        <v>3.77</v>
      </c>
      <c r="V511" s="100">
        <v>47208</v>
      </c>
      <c r="W511" s="98">
        <v>1.7500000000000002E-2</v>
      </c>
      <c r="X511" s="98">
        <v>6.0100000000000001E-2</v>
      </c>
      <c r="Y511" s="96" t="s">
        <v>411</v>
      </c>
      <c r="Z511" s="96"/>
      <c r="AA511" s="97">
        <v>365432.47865200002</v>
      </c>
      <c r="AB511" s="97">
        <v>1</v>
      </c>
      <c r="AC511" s="97">
        <v>95.82</v>
      </c>
      <c r="AD511" s="97"/>
      <c r="AE511" s="97">
        <v>350.15740099999999</v>
      </c>
      <c r="AF511" s="96"/>
      <c r="AG511" s="96"/>
      <c r="AH511" s="96"/>
      <c r="AI511" s="98">
        <v>3.1399999999999999E-4</v>
      </c>
      <c r="AJ511" s="98">
        <v>1.312E-3</v>
      </c>
      <c r="AK511" s="98">
        <v>1.8200000000000001E-4</v>
      </c>
      <c r="AL511" s="106"/>
    </row>
    <row r="512" spans="1:38" ht="15" customHeight="1">
      <c r="A512" s="106"/>
      <c r="B512" s="96">
        <v>286</v>
      </c>
      <c r="C512" s="96">
        <v>286</v>
      </c>
      <c r="D512" s="96" t="s">
        <v>1710</v>
      </c>
      <c r="E512" s="96">
        <v>520034372</v>
      </c>
      <c r="F512" s="96" t="s">
        <v>308</v>
      </c>
      <c r="G512" s="96" t="s">
        <v>1711</v>
      </c>
      <c r="H512" s="96" t="s">
        <v>1712</v>
      </c>
      <c r="I512" s="96" t="s">
        <v>320</v>
      </c>
      <c r="J512" s="96" t="s">
        <v>952</v>
      </c>
      <c r="K512" s="96" t="s">
        <v>203</v>
      </c>
      <c r="L512" s="96" t="s">
        <v>203</v>
      </c>
      <c r="M512" s="96" t="s">
        <v>324</v>
      </c>
      <c r="N512" s="96" t="s">
        <v>339</v>
      </c>
      <c r="O512" s="96" t="s">
        <v>476</v>
      </c>
      <c r="P512" s="96" t="s">
        <v>338</v>
      </c>
      <c r="Q512" s="96" t="s">
        <v>1313</v>
      </c>
      <c r="R512" s="96" t="s">
        <v>412</v>
      </c>
      <c r="S512" s="96" t="s">
        <v>406</v>
      </c>
      <c r="T512" s="96" t="s">
        <v>1200</v>
      </c>
      <c r="U512" s="97">
        <v>3.41</v>
      </c>
      <c r="V512" s="100">
        <v>48202</v>
      </c>
      <c r="W512" s="98">
        <v>4.5600000000000002E-2</v>
      </c>
      <c r="X512" s="98">
        <v>5.7099999999999998E-2</v>
      </c>
      <c r="Y512" s="96" t="s">
        <v>411</v>
      </c>
      <c r="Z512" s="96"/>
      <c r="AA512" s="97">
        <v>489625.111324</v>
      </c>
      <c r="AB512" s="97">
        <v>1</v>
      </c>
      <c r="AC512" s="97">
        <v>96.7</v>
      </c>
      <c r="AD512" s="97"/>
      <c r="AE512" s="97">
        <v>473.46748200000002</v>
      </c>
      <c r="AF512" s="96"/>
      <c r="AG512" s="96"/>
      <c r="AH512" s="96"/>
      <c r="AI512" s="98">
        <v>1.011E-3</v>
      </c>
      <c r="AJ512" s="98">
        <v>1.774E-3</v>
      </c>
      <c r="AK512" s="98">
        <v>2.4600000000000002E-4</v>
      </c>
      <c r="AL512" s="106"/>
    </row>
    <row r="513" spans="1:38" ht="15" customHeight="1">
      <c r="A513" s="106"/>
      <c r="B513" s="96">
        <v>286</v>
      </c>
      <c r="C513" s="96">
        <v>286</v>
      </c>
      <c r="D513" s="96" t="s">
        <v>1669</v>
      </c>
      <c r="E513" s="96">
        <v>511344186</v>
      </c>
      <c r="F513" s="96" t="s">
        <v>308</v>
      </c>
      <c r="G513" s="96" t="s">
        <v>1670</v>
      </c>
      <c r="H513" s="96" t="s">
        <v>1671</v>
      </c>
      <c r="I513" s="96" t="s">
        <v>320</v>
      </c>
      <c r="J513" s="96" t="s">
        <v>952</v>
      </c>
      <c r="K513" s="96" t="s">
        <v>203</v>
      </c>
      <c r="L513" s="96" t="s">
        <v>203</v>
      </c>
      <c r="M513" s="96" t="s">
        <v>324</v>
      </c>
      <c r="N513" s="96" t="s">
        <v>339</v>
      </c>
      <c r="O513" s="96" t="s">
        <v>474</v>
      </c>
      <c r="P513" s="96" t="s">
        <v>338</v>
      </c>
      <c r="Q513" s="96" t="s">
        <v>1357</v>
      </c>
      <c r="R513" s="96" t="s">
        <v>414</v>
      </c>
      <c r="S513" s="96" t="s">
        <v>406</v>
      </c>
      <c r="T513" s="96" t="s">
        <v>1200</v>
      </c>
      <c r="U513" s="97">
        <v>3.79</v>
      </c>
      <c r="V513" s="100">
        <v>48396</v>
      </c>
      <c r="W513" s="98">
        <v>3.9399999999999998E-2</v>
      </c>
      <c r="X513" s="98">
        <v>5.6500000000000002E-2</v>
      </c>
      <c r="Y513" s="96" t="s">
        <v>411</v>
      </c>
      <c r="Z513" s="96"/>
      <c r="AA513" s="97">
        <v>48044.067411999997</v>
      </c>
      <c r="AB513" s="97">
        <v>1</v>
      </c>
      <c r="AC513" s="97">
        <v>94.05</v>
      </c>
      <c r="AD513" s="97">
        <v>3.0027539999999999</v>
      </c>
      <c r="AE513" s="97">
        <v>48.188198999999997</v>
      </c>
      <c r="AF513" s="96"/>
      <c r="AG513" s="96"/>
      <c r="AH513" s="96"/>
      <c r="AI513" s="98">
        <v>2.9399999999999999E-4</v>
      </c>
      <c r="AJ513" s="98">
        <v>1.8000000000000001E-4</v>
      </c>
      <c r="AK513" s="98">
        <v>2.4000000000000001E-5</v>
      </c>
      <c r="AL513" s="106"/>
    </row>
    <row r="514" spans="1:38" ht="15" customHeight="1">
      <c r="A514" s="106"/>
      <c r="B514" s="96">
        <v>286</v>
      </c>
      <c r="C514" s="96">
        <v>286</v>
      </c>
      <c r="D514" s="96" t="s">
        <v>1203</v>
      </c>
      <c r="E514" s="96">
        <v>520000118</v>
      </c>
      <c r="F514" s="96" t="s">
        <v>308</v>
      </c>
      <c r="G514" s="96" t="s">
        <v>1976</v>
      </c>
      <c r="H514" s="96" t="s">
        <v>1977</v>
      </c>
      <c r="I514" s="96" t="s">
        <v>320</v>
      </c>
      <c r="J514" s="96" t="s">
        <v>754</v>
      </c>
      <c r="K514" s="96" t="s">
        <v>203</v>
      </c>
      <c r="L514" s="96" t="s">
        <v>203</v>
      </c>
      <c r="M514" s="96" t="s">
        <v>324</v>
      </c>
      <c r="N514" s="96" t="s">
        <v>339</v>
      </c>
      <c r="O514" s="96" t="s">
        <v>447</v>
      </c>
      <c r="P514" s="96" t="s">
        <v>338</v>
      </c>
      <c r="Q514" s="96" t="s">
        <v>1698</v>
      </c>
      <c r="R514" s="96" t="s">
        <v>432</v>
      </c>
      <c r="S514" s="96" t="s">
        <v>406</v>
      </c>
      <c r="T514" s="96" t="s">
        <v>1201</v>
      </c>
      <c r="U514" s="97">
        <v>2.1</v>
      </c>
      <c r="V514" s="100">
        <v>46316</v>
      </c>
      <c r="W514" s="98">
        <v>3.2550000000000003E-2</v>
      </c>
      <c r="X514" s="98">
        <v>8.1100000000000005E-2</v>
      </c>
      <c r="Y514" s="96" t="s">
        <v>410</v>
      </c>
      <c r="Z514" s="96"/>
      <c r="AA514" s="97">
        <v>341200.52338600002</v>
      </c>
      <c r="AB514" s="97">
        <v>3.7589999999999999</v>
      </c>
      <c r="AC514" s="97">
        <v>91.467699999999994</v>
      </c>
      <c r="AD514" s="97"/>
      <c r="AE514" s="97">
        <v>1173.1399180000001</v>
      </c>
      <c r="AF514" s="96"/>
      <c r="AG514" s="96"/>
      <c r="AH514" s="96"/>
      <c r="AI514" s="98">
        <v>3.4099999999999999E-4</v>
      </c>
      <c r="AJ514" s="98">
        <v>4.3949999999999996E-3</v>
      </c>
      <c r="AK514" s="98">
        <v>6.0999999999999997E-4</v>
      </c>
      <c r="AL514" s="106"/>
    </row>
    <row r="515" spans="1:38" ht="15" customHeight="1">
      <c r="A515" s="106"/>
      <c r="B515" s="96">
        <v>286</v>
      </c>
      <c r="C515" s="96">
        <v>286</v>
      </c>
      <c r="D515" s="96" t="s">
        <v>1467</v>
      </c>
      <c r="E515" s="96">
        <v>515334662</v>
      </c>
      <c r="F515" s="96" t="s">
        <v>308</v>
      </c>
      <c r="G515" s="96" t="s">
        <v>1468</v>
      </c>
      <c r="H515" s="96" t="s">
        <v>1469</v>
      </c>
      <c r="I515" s="96" t="s">
        <v>320</v>
      </c>
      <c r="J515" s="96" t="s">
        <v>754</v>
      </c>
      <c r="K515" s="96" t="s">
        <v>203</v>
      </c>
      <c r="L515" s="96" t="s">
        <v>203</v>
      </c>
      <c r="M515" s="96" t="s">
        <v>324</v>
      </c>
      <c r="N515" s="96" t="s">
        <v>339</v>
      </c>
      <c r="O515" s="96" t="s">
        <v>453</v>
      </c>
      <c r="P515" s="96" t="s">
        <v>337</v>
      </c>
      <c r="Q515" s="96" t="s">
        <v>1357</v>
      </c>
      <c r="R515" s="96" t="s">
        <v>414</v>
      </c>
      <c r="S515" s="96" t="s">
        <v>406</v>
      </c>
      <c r="T515" s="96" t="s">
        <v>1200</v>
      </c>
      <c r="U515" s="97">
        <v>3.16</v>
      </c>
      <c r="V515" s="100">
        <v>46995</v>
      </c>
      <c r="W515" s="98">
        <v>4.6899999999999997E-2</v>
      </c>
      <c r="X515" s="98">
        <v>7.5600000000000001E-2</v>
      </c>
      <c r="Y515" s="96" t="s">
        <v>411</v>
      </c>
      <c r="Z515" s="96"/>
      <c r="AA515" s="97">
        <v>1118395.3267920001</v>
      </c>
      <c r="AB515" s="97">
        <v>1</v>
      </c>
      <c r="AC515" s="97">
        <v>101.4</v>
      </c>
      <c r="AD515" s="97"/>
      <c r="AE515" s="97">
        <v>1134.0528609999999</v>
      </c>
      <c r="AF515" s="96"/>
      <c r="AG515" s="96"/>
      <c r="AH515" s="96"/>
      <c r="AI515" s="98">
        <v>9.3400000000000004E-4</v>
      </c>
      <c r="AJ515" s="98">
        <v>4.2490000000000002E-3</v>
      </c>
      <c r="AK515" s="98">
        <v>5.9000000000000003E-4</v>
      </c>
      <c r="AL515" s="106"/>
    </row>
    <row r="516" spans="1:38" ht="15" customHeight="1">
      <c r="A516" s="106"/>
      <c r="B516" s="96">
        <v>286</v>
      </c>
      <c r="C516" s="96">
        <v>286</v>
      </c>
      <c r="D516" s="96" t="s">
        <v>1760</v>
      </c>
      <c r="E516" s="96">
        <v>520038894</v>
      </c>
      <c r="F516" s="96" t="s">
        <v>308</v>
      </c>
      <c r="G516" s="96" t="s">
        <v>1823</v>
      </c>
      <c r="H516" s="96" t="s">
        <v>1824</v>
      </c>
      <c r="I516" s="96" t="s">
        <v>320</v>
      </c>
      <c r="J516" s="96" t="s">
        <v>753</v>
      </c>
      <c r="K516" s="96" t="s">
        <v>203</v>
      </c>
      <c r="L516" s="96" t="s">
        <v>203</v>
      </c>
      <c r="M516" s="96" t="s">
        <v>324</v>
      </c>
      <c r="N516" s="96" t="s">
        <v>339</v>
      </c>
      <c r="O516" s="96" t="s">
        <v>464</v>
      </c>
      <c r="P516" s="96" t="s">
        <v>338</v>
      </c>
      <c r="Q516" s="96" t="s">
        <v>1332</v>
      </c>
      <c r="R516" s="96" t="s">
        <v>412</v>
      </c>
      <c r="S516" s="96" t="s">
        <v>406</v>
      </c>
      <c r="T516" s="96" t="s">
        <v>1200</v>
      </c>
      <c r="U516" s="97">
        <v>4.82</v>
      </c>
      <c r="V516" s="100">
        <v>48395</v>
      </c>
      <c r="W516" s="98">
        <v>3.4700000000000002E-2</v>
      </c>
      <c r="X516" s="98">
        <v>3.6400000000000002E-2</v>
      </c>
      <c r="Y516" s="96" t="s">
        <v>411</v>
      </c>
      <c r="Z516" s="96"/>
      <c r="AA516" s="97">
        <v>206046.26384599999</v>
      </c>
      <c r="AB516" s="97">
        <v>1</v>
      </c>
      <c r="AC516" s="97">
        <v>99.81</v>
      </c>
      <c r="AD516" s="97"/>
      <c r="AE516" s="97">
        <v>205.654775</v>
      </c>
      <c r="AF516" s="96"/>
      <c r="AG516" s="96"/>
      <c r="AH516" s="96"/>
      <c r="AI516" s="98">
        <v>1.209E-3</v>
      </c>
      <c r="AJ516" s="98">
        <v>7.6999999999999996E-4</v>
      </c>
      <c r="AK516" s="98">
        <v>1.07E-4</v>
      </c>
      <c r="AL516" s="106"/>
    </row>
    <row r="517" spans="1:38" ht="15" customHeight="1">
      <c r="A517" s="106"/>
      <c r="B517" s="96">
        <v>286</v>
      </c>
      <c r="C517" s="96">
        <v>286</v>
      </c>
      <c r="D517" s="96" t="s">
        <v>1496</v>
      </c>
      <c r="E517" s="96">
        <v>510216054</v>
      </c>
      <c r="F517" s="96" t="s">
        <v>308</v>
      </c>
      <c r="G517" s="96" t="s">
        <v>1554</v>
      </c>
      <c r="H517" s="96" t="s">
        <v>1555</v>
      </c>
      <c r="I517" s="96" t="s">
        <v>320</v>
      </c>
      <c r="J517" s="96" t="s">
        <v>952</v>
      </c>
      <c r="K517" s="96" t="s">
        <v>203</v>
      </c>
      <c r="L517" s="96" t="s">
        <v>203</v>
      </c>
      <c r="M517" s="96" t="s">
        <v>324</v>
      </c>
      <c r="N517" s="96" t="s">
        <v>339</v>
      </c>
      <c r="O517" s="96" t="s">
        <v>439</v>
      </c>
      <c r="P517" s="96" t="s">
        <v>337</v>
      </c>
      <c r="Q517" s="96" t="s">
        <v>1332</v>
      </c>
      <c r="R517" s="96" t="s">
        <v>412</v>
      </c>
      <c r="S517" s="96" t="s">
        <v>406</v>
      </c>
      <c r="T517" s="96" t="s">
        <v>1200</v>
      </c>
      <c r="U517" s="97">
        <v>6.81</v>
      </c>
      <c r="V517" s="100">
        <v>49460</v>
      </c>
      <c r="W517" s="98">
        <v>5.8599999999999999E-2</v>
      </c>
      <c r="X517" s="98">
        <v>6.1100000000000002E-2</v>
      </c>
      <c r="Y517" s="96" t="s">
        <v>411</v>
      </c>
      <c r="Z517" s="96"/>
      <c r="AA517" s="97">
        <v>548416.74295099999</v>
      </c>
      <c r="AB517" s="97">
        <v>1</v>
      </c>
      <c r="AC517" s="97">
        <v>100.02</v>
      </c>
      <c r="AD517" s="97"/>
      <c r="AE517" s="97">
        <v>548.52642600000001</v>
      </c>
      <c r="AF517" s="96"/>
      <c r="AG517" s="96"/>
      <c r="AH517" s="96"/>
      <c r="AI517" s="98">
        <v>2.748E-3</v>
      </c>
      <c r="AJ517" s="98">
        <v>2.055E-3</v>
      </c>
      <c r="AK517" s="98">
        <v>2.8499999999999999E-4</v>
      </c>
      <c r="AL517" s="106"/>
    </row>
    <row r="518" spans="1:38" ht="15" customHeight="1">
      <c r="A518" s="106"/>
      <c r="B518" s="96">
        <v>286</v>
      </c>
      <c r="C518" s="96">
        <v>286</v>
      </c>
      <c r="D518" s="96" t="s">
        <v>1314</v>
      </c>
      <c r="E518" s="96">
        <v>513754069</v>
      </c>
      <c r="F518" s="96" t="s">
        <v>308</v>
      </c>
      <c r="G518" s="96" t="s">
        <v>1503</v>
      </c>
      <c r="H518" s="96" t="s">
        <v>1504</v>
      </c>
      <c r="I518" s="96" t="s">
        <v>320</v>
      </c>
      <c r="J518" s="96" t="s">
        <v>952</v>
      </c>
      <c r="K518" s="96" t="s">
        <v>203</v>
      </c>
      <c r="L518" s="96" t="s">
        <v>203</v>
      </c>
      <c r="M518" s="96" t="s">
        <v>324</v>
      </c>
      <c r="N518" s="96" t="s">
        <v>339</v>
      </c>
      <c r="O518" s="96" t="s">
        <v>444</v>
      </c>
      <c r="P518" s="96" t="s">
        <v>338</v>
      </c>
      <c r="Q518" s="96" t="s">
        <v>1305</v>
      </c>
      <c r="R518" s="96" t="s">
        <v>414</v>
      </c>
      <c r="S518" s="96" t="s">
        <v>406</v>
      </c>
      <c r="T518" s="96" t="s">
        <v>1200</v>
      </c>
      <c r="U518" s="97">
        <v>6.93</v>
      </c>
      <c r="V518" s="100">
        <v>48304</v>
      </c>
      <c r="W518" s="98">
        <v>2.5000000000000001E-2</v>
      </c>
      <c r="X518" s="98">
        <v>6.1800000000000001E-2</v>
      </c>
      <c r="Y518" s="96" t="s">
        <v>411</v>
      </c>
      <c r="Z518" s="96"/>
      <c r="AA518" s="97">
        <v>585476.32121900003</v>
      </c>
      <c r="AB518" s="97">
        <v>1</v>
      </c>
      <c r="AC518" s="97">
        <v>78.709999999999994</v>
      </c>
      <c r="AD518" s="97"/>
      <c r="AE518" s="97">
        <v>460.82841200000001</v>
      </c>
      <c r="AF518" s="96"/>
      <c r="AG518" s="96"/>
      <c r="AH518" s="96"/>
      <c r="AI518" s="98">
        <v>4.3899999999999999E-4</v>
      </c>
      <c r="AJ518" s="98">
        <v>1.7260000000000001E-3</v>
      </c>
      <c r="AK518" s="98">
        <v>2.3900000000000001E-4</v>
      </c>
      <c r="AL518" s="106"/>
    </row>
    <row r="519" spans="1:38" ht="15" customHeight="1">
      <c r="A519" s="106"/>
      <c r="B519" s="96">
        <v>286</v>
      </c>
      <c r="C519" s="96">
        <v>286</v>
      </c>
      <c r="D519" s="96" t="s">
        <v>1329</v>
      </c>
      <c r="E519" s="96">
        <v>513682146</v>
      </c>
      <c r="F519" s="96" t="s">
        <v>308</v>
      </c>
      <c r="G519" s="96" t="s">
        <v>1330</v>
      </c>
      <c r="H519" s="96" t="s">
        <v>1331</v>
      </c>
      <c r="I519" s="96" t="s">
        <v>320</v>
      </c>
      <c r="J519" s="96" t="s">
        <v>753</v>
      </c>
      <c r="K519" s="96" t="s">
        <v>203</v>
      </c>
      <c r="L519" s="96" t="s">
        <v>203</v>
      </c>
      <c r="M519" s="96" t="s">
        <v>324</v>
      </c>
      <c r="N519" s="96" t="s">
        <v>339</v>
      </c>
      <c r="O519" s="96" t="s">
        <v>447</v>
      </c>
      <c r="P519" s="96" t="s">
        <v>338</v>
      </c>
      <c r="Q519" s="96" t="s">
        <v>1332</v>
      </c>
      <c r="R519" s="96" t="s">
        <v>412</v>
      </c>
      <c r="S519" s="96" t="s">
        <v>406</v>
      </c>
      <c r="T519" s="96" t="s">
        <v>1200</v>
      </c>
      <c r="U519" s="97">
        <v>4.75</v>
      </c>
      <c r="V519" s="100">
        <v>47879</v>
      </c>
      <c r="W519" s="98">
        <v>2.5899999999999999E-2</v>
      </c>
      <c r="X519" s="98">
        <v>2.75E-2</v>
      </c>
      <c r="Y519" s="96" t="s">
        <v>411</v>
      </c>
      <c r="Z519" s="96"/>
      <c r="AA519" s="97">
        <v>455575.88188900001</v>
      </c>
      <c r="AB519" s="97">
        <v>1</v>
      </c>
      <c r="AC519" s="97">
        <v>102.32</v>
      </c>
      <c r="AD519" s="97"/>
      <c r="AE519" s="97">
        <v>466.145242</v>
      </c>
      <c r="AF519" s="96"/>
      <c r="AG519" s="96"/>
      <c r="AH519" s="96"/>
      <c r="AI519" s="98">
        <v>1.0120000000000001E-3</v>
      </c>
      <c r="AJ519" s="98">
        <v>1.7459999999999999E-3</v>
      </c>
      <c r="AK519" s="98">
        <v>2.42E-4</v>
      </c>
      <c r="AL519" s="106"/>
    </row>
    <row r="520" spans="1:38" ht="15" customHeight="1">
      <c r="A520" s="106"/>
      <c r="B520" s="96">
        <v>286</v>
      </c>
      <c r="C520" s="96">
        <v>286</v>
      </c>
      <c r="D520" s="96" t="s">
        <v>1417</v>
      </c>
      <c r="E520" s="96">
        <v>513230029</v>
      </c>
      <c r="F520" s="96" t="s">
        <v>308</v>
      </c>
      <c r="G520" s="96" t="s">
        <v>1992</v>
      </c>
      <c r="H520" s="96" t="s">
        <v>1993</v>
      </c>
      <c r="I520" s="96" t="s">
        <v>320</v>
      </c>
      <c r="J520" s="96" t="s">
        <v>952</v>
      </c>
      <c r="K520" s="96" t="s">
        <v>203</v>
      </c>
      <c r="L520" s="96" t="s">
        <v>203</v>
      </c>
      <c r="M520" s="96" t="s">
        <v>324</v>
      </c>
      <c r="N520" s="96" t="s">
        <v>339</v>
      </c>
      <c r="O520" s="96" t="s">
        <v>444</v>
      </c>
      <c r="P520" s="96" t="s">
        <v>338</v>
      </c>
      <c r="Q520" s="96" t="s">
        <v>1357</v>
      </c>
      <c r="R520" s="96" t="s">
        <v>414</v>
      </c>
      <c r="S520" s="96" t="s">
        <v>406</v>
      </c>
      <c r="T520" s="96" t="s">
        <v>1200</v>
      </c>
      <c r="U520" s="97">
        <v>7.3</v>
      </c>
      <c r="V520" s="100">
        <v>48944</v>
      </c>
      <c r="W520" s="98">
        <v>6.0699999999999997E-2</v>
      </c>
      <c r="X520" s="98">
        <v>6.5299999999999997E-2</v>
      </c>
      <c r="Y520" s="96" t="s">
        <v>411</v>
      </c>
      <c r="Z520" s="96"/>
      <c r="AA520" s="97">
        <v>304675.968306</v>
      </c>
      <c r="AB520" s="97">
        <v>1</v>
      </c>
      <c r="AC520" s="97">
        <v>97.86</v>
      </c>
      <c r="AD520" s="97"/>
      <c r="AE520" s="97">
        <v>298.15590200000003</v>
      </c>
      <c r="AF520" s="96"/>
      <c r="AG520" s="96"/>
      <c r="AH520" s="96"/>
      <c r="AI520" s="98">
        <v>1.4480000000000001E-3</v>
      </c>
      <c r="AJ520" s="98">
        <v>1.1169999999999999E-3</v>
      </c>
      <c r="AK520" s="98">
        <v>1.55E-4</v>
      </c>
      <c r="AL520" s="106"/>
    </row>
    <row r="521" spans="1:38" ht="15" customHeight="1">
      <c r="A521" s="106"/>
      <c r="B521" s="96">
        <v>286</v>
      </c>
      <c r="C521" s="96">
        <v>286</v>
      </c>
      <c r="D521" s="96" t="s">
        <v>1298</v>
      </c>
      <c r="E521" s="96">
        <v>510960719</v>
      </c>
      <c r="F521" s="96" t="s">
        <v>308</v>
      </c>
      <c r="G521" s="96" t="s">
        <v>1894</v>
      </c>
      <c r="H521" s="96" t="s">
        <v>1895</v>
      </c>
      <c r="I521" s="96" t="s">
        <v>320</v>
      </c>
      <c r="J521" s="96" t="s">
        <v>753</v>
      </c>
      <c r="K521" s="96" t="s">
        <v>203</v>
      </c>
      <c r="L521" s="96" t="s">
        <v>203</v>
      </c>
      <c r="M521" s="96" t="s">
        <v>324</v>
      </c>
      <c r="N521" s="96" t="s">
        <v>339</v>
      </c>
      <c r="O521" s="96" t="s">
        <v>463</v>
      </c>
      <c r="P521" s="96" t="s">
        <v>338</v>
      </c>
      <c r="Q521" s="96" t="s">
        <v>1301</v>
      </c>
      <c r="R521" s="96" t="s">
        <v>414</v>
      </c>
      <c r="S521" s="96" t="s">
        <v>406</v>
      </c>
      <c r="T521" s="96" t="s">
        <v>1200</v>
      </c>
      <c r="U521" s="97">
        <v>5.71</v>
      </c>
      <c r="V521" s="100">
        <v>48579</v>
      </c>
      <c r="W521" s="98">
        <v>2.4799999999999999E-2</v>
      </c>
      <c r="X521" s="98">
        <v>3.3399999999999999E-2</v>
      </c>
      <c r="Y521" s="96" t="s">
        <v>411</v>
      </c>
      <c r="Z521" s="96"/>
      <c r="AA521" s="97">
        <v>2989097.5745819998</v>
      </c>
      <c r="AB521" s="97">
        <v>1</v>
      </c>
      <c r="AC521" s="97">
        <v>108.31</v>
      </c>
      <c r="AD521" s="97"/>
      <c r="AE521" s="97">
        <v>3237.491583</v>
      </c>
      <c r="AF521" s="96"/>
      <c r="AG521" s="96"/>
      <c r="AH521" s="96"/>
      <c r="AI521" s="98">
        <v>9.0700000000000004E-4</v>
      </c>
      <c r="AJ521" s="98">
        <v>1.2130999999999999E-2</v>
      </c>
      <c r="AK521" s="98">
        <v>1.6850000000000001E-3</v>
      </c>
      <c r="AL521" s="106"/>
    </row>
    <row r="522" spans="1:38" ht="15" customHeight="1">
      <c r="A522" s="106"/>
      <c r="B522" s="96">
        <v>286</v>
      </c>
      <c r="C522" s="96">
        <v>286</v>
      </c>
      <c r="D522" s="96" t="s">
        <v>1376</v>
      </c>
      <c r="E522" s="96">
        <v>520025438</v>
      </c>
      <c r="F522" s="96" t="s">
        <v>308</v>
      </c>
      <c r="G522" s="96" t="s">
        <v>1377</v>
      </c>
      <c r="H522" s="96" t="s">
        <v>1378</v>
      </c>
      <c r="I522" s="96" t="s">
        <v>320</v>
      </c>
      <c r="J522" s="96" t="s">
        <v>753</v>
      </c>
      <c r="K522" s="96" t="s">
        <v>203</v>
      </c>
      <c r="L522" s="96" t="s">
        <v>203</v>
      </c>
      <c r="M522" s="96" t="s">
        <v>324</v>
      </c>
      <c r="N522" s="96" t="s">
        <v>339</v>
      </c>
      <c r="O522" s="96" t="s">
        <v>463</v>
      </c>
      <c r="P522" s="96" t="s">
        <v>338</v>
      </c>
      <c r="Q522" s="96" t="s">
        <v>1328</v>
      </c>
      <c r="R522" s="96" t="s">
        <v>412</v>
      </c>
      <c r="S522" s="96" t="s">
        <v>406</v>
      </c>
      <c r="T522" s="96" t="s">
        <v>1200</v>
      </c>
      <c r="U522" s="97">
        <v>0.99</v>
      </c>
      <c r="V522" s="100">
        <v>46022</v>
      </c>
      <c r="W522" s="98">
        <v>4.9500000000000002E-2</v>
      </c>
      <c r="X522" s="98">
        <v>4.2099999999999999E-2</v>
      </c>
      <c r="Y522" s="96" t="s">
        <v>411</v>
      </c>
      <c r="Z522" s="96"/>
      <c r="AA522" s="97">
        <v>146244.57020399999</v>
      </c>
      <c r="AB522" s="97">
        <v>1</v>
      </c>
      <c r="AC522" s="97">
        <v>138.26</v>
      </c>
      <c r="AD522" s="97"/>
      <c r="AE522" s="97">
        <v>202.19774200000001</v>
      </c>
      <c r="AF522" s="96"/>
      <c r="AG522" s="96"/>
      <c r="AH522" s="96"/>
      <c r="AI522" s="98">
        <v>3.3300000000000002E-4</v>
      </c>
      <c r="AJ522" s="98">
        <v>7.5699999999999997E-4</v>
      </c>
      <c r="AK522" s="98">
        <v>1.05E-4</v>
      </c>
      <c r="AL522" s="106"/>
    </row>
    <row r="523" spans="1:38" ht="15" customHeight="1">
      <c r="A523" s="106"/>
      <c r="B523" s="96">
        <v>286</v>
      </c>
      <c r="C523" s="96">
        <v>286</v>
      </c>
      <c r="D523" s="96" t="s">
        <v>1421</v>
      </c>
      <c r="E523" s="96">
        <v>520026683</v>
      </c>
      <c r="F523" s="96" t="s">
        <v>308</v>
      </c>
      <c r="G523" s="96" t="s">
        <v>2007</v>
      </c>
      <c r="H523" s="96" t="s">
        <v>2008</v>
      </c>
      <c r="I523" s="96" t="s">
        <v>320</v>
      </c>
      <c r="J523" s="96" t="s">
        <v>753</v>
      </c>
      <c r="K523" s="96" t="s">
        <v>203</v>
      </c>
      <c r="L523" s="96" t="s">
        <v>203</v>
      </c>
      <c r="M523" s="96" t="s">
        <v>324</v>
      </c>
      <c r="N523" s="96" t="s">
        <v>339</v>
      </c>
      <c r="O523" s="96" t="s">
        <v>463</v>
      </c>
      <c r="P523" s="96" t="s">
        <v>338</v>
      </c>
      <c r="Q523" s="96" t="s">
        <v>1336</v>
      </c>
      <c r="R523" s="96" t="s">
        <v>414</v>
      </c>
      <c r="S523" s="96" t="s">
        <v>406</v>
      </c>
      <c r="T523" s="96" t="s">
        <v>1200</v>
      </c>
      <c r="U523" s="97">
        <v>3.54</v>
      </c>
      <c r="V523" s="100">
        <v>47394</v>
      </c>
      <c r="W523" s="98">
        <v>1.14E-2</v>
      </c>
      <c r="X523" s="98">
        <v>3.15E-2</v>
      </c>
      <c r="Y523" s="96" t="s">
        <v>411</v>
      </c>
      <c r="Z523" s="96"/>
      <c r="AA523" s="97">
        <v>2439256.6908450001</v>
      </c>
      <c r="AB523" s="97">
        <v>1</v>
      </c>
      <c r="AC523" s="97">
        <v>105.17</v>
      </c>
      <c r="AD523" s="97"/>
      <c r="AE523" s="97">
        <v>2565.3662610000001</v>
      </c>
      <c r="AF523" s="96"/>
      <c r="AG523" s="96"/>
      <c r="AH523" s="96"/>
      <c r="AI523" s="98">
        <v>1.0319999999999999E-3</v>
      </c>
      <c r="AJ523" s="98">
        <v>9.6120000000000008E-3</v>
      </c>
      <c r="AK523" s="98">
        <v>1.335E-3</v>
      </c>
      <c r="AL523" s="106"/>
    </row>
    <row r="524" spans="1:38" ht="15" customHeight="1">
      <c r="A524" s="106"/>
      <c r="B524" s="96">
        <v>286</v>
      </c>
      <c r="C524" s="96">
        <v>286</v>
      </c>
      <c r="D524" s="96" t="s">
        <v>1421</v>
      </c>
      <c r="E524" s="96">
        <v>520026683</v>
      </c>
      <c r="F524" s="96" t="s">
        <v>308</v>
      </c>
      <c r="G524" s="96" t="s">
        <v>1661</v>
      </c>
      <c r="H524" s="96" t="s">
        <v>1662</v>
      </c>
      <c r="I524" s="96" t="s">
        <v>320</v>
      </c>
      <c r="J524" s="96" t="s">
        <v>753</v>
      </c>
      <c r="K524" s="96" t="s">
        <v>203</v>
      </c>
      <c r="L524" s="96" t="s">
        <v>203</v>
      </c>
      <c r="M524" s="96" t="s">
        <v>324</v>
      </c>
      <c r="N524" s="96" t="s">
        <v>339</v>
      </c>
      <c r="O524" s="96" t="s">
        <v>463</v>
      </c>
      <c r="P524" s="96" t="s">
        <v>338</v>
      </c>
      <c r="Q524" s="96" t="s">
        <v>1336</v>
      </c>
      <c r="R524" s="96" t="s">
        <v>414</v>
      </c>
      <c r="S524" s="96" t="s">
        <v>406</v>
      </c>
      <c r="T524" s="96" t="s">
        <v>1200</v>
      </c>
      <c r="U524" s="97">
        <v>2.4300000000000002</v>
      </c>
      <c r="V524" s="100">
        <v>46936</v>
      </c>
      <c r="W524" s="98">
        <v>3.2000000000000001E-2</v>
      </c>
      <c r="X524" s="98">
        <v>2.81E-2</v>
      </c>
      <c r="Y524" s="96" t="s">
        <v>411</v>
      </c>
      <c r="Z524" s="96"/>
      <c r="AA524" s="97">
        <v>1290032.450772</v>
      </c>
      <c r="AB524" s="97">
        <v>1</v>
      </c>
      <c r="AC524" s="97">
        <v>114.34</v>
      </c>
      <c r="AD524" s="97">
        <v>487.20075000000003</v>
      </c>
      <c r="AE524" s="97">
        <v>1962.2238540000001</v>
      </c>
      <c r="AF524" s="96"/>
      <c r="AG524" s="96"/>
      <c r="AH524" s="96"/>
      <c r="AI524" s="98">
        <v>1.2260000000000001E-3</v>
      </c>
      <c r="AJ524" s="98">
        <v>7.352E-3</v>
      </c>
      <c r="AK524" s="98">
        <v>1.021E-3</v>
      </c>
      <c r="AL524" s="106"/>
    </row>
    <row r="525" spans="1:38" ht="15" customHeight="1">
      <c r="A525" s="106"/>
      <c r="B525" s="96">
        <v>286</v>
      </c>
      <c r="C525" s="96">
        <v>286</v>
      </c>
      <c r="D525" s="96" t="s">
        <v>1417</v>
      </c>
      <c r="E525" s="96">
        <v>513230029</v>
      </c>
      <c r="F525" s="96" t="s">
        <v>308</v>
      </c>
      <c r="G525" s="96" t="s">
        <v>1728</v>
      </c>
      <c r="H525" s="96" t="s">
        <v>1729</v>
      </c>
      <c r="I525" s="96" t="s">
        <v>320</v>
      </c>
      <c r="J525" s="96" t="s">
        <v>952</v>
      </c>
      <c r="K525" s="96" t="s">
        <v>203</v>
      </c>
      <c r="L525" s="96" t="s">
        <v>203</v>
      </c>
      <c r="M525" s="96" t="s">
        <v>324</v>
      </c>
      <c r="N525" s="96" t="s">
        <v>339</v>
      </c>
      <c r="O525" s="96" t="s">
        <v>444</v>
      </c>
      <c r="P525" s="96" t="s">
        <v>338</v>
      </c>
      <c r="Q525" s="96" t="s">
        <v>1357</v>
      </c>
      <c r="R525" s="96" t="s">
        <v>414</v>
      </c>
      <c r="S525" s="96" t="s">
        <v>406</v>
      </c>
      <c r="T525" s="96" t="s">
        <v>1200</v>
      </c>
      <c r="U525" s="97">
        <v>2.38</v>
      </c>
      <c r="V525" s="100">
        <v>46387</v>
      </c>
      <c r="W525" s="98">
        <v>4.1000000000000002E-2</v>
      </c>
      <c r="X525" s="98">
        <v>5.4699999999999999E-2</v>
      </c>
      <c r="Y525" s="96" t="s">
        <v>411</v>
      </c>
      <c r="Z525" s="96"/>
      <c r="AA525" s="97">
        <v>670813.04974299995</v>
      </c>
      <c r="AB525" s="97">
        <v>1</v>
      </c>
      <c r="AC525" s="97">
        <v>98.89</v>
      </c>
      <c r="AD525" s="97"/>
      <c r="AE525" s="97">
        <v>663.36702400000001</v>
      </c>
      <c r="AF525" s="96"/>
      <c r="AG525" s="96"/>
      <c r="AH525" s="96"/>
      <c r="AI525" s="98">
        <v>9.3999999999999997E-4</v>
      </c>
      <c r="AJ525" s="98">
        <v>2.4849999999999998E-3</v>
      </c>
      <c r="AK525" s="98">
        <v>3.4499999999999998E-4</v>
      </c>
      <c r="AL525" s="106"/>
    </row>
    <row r="526" spans="1:38" ht="15" customHeight="1">
      <c r="A526" s="106"/>
      <c r="B526" s="96">
        <v>286</v>
      </c>
      <c r="C526" s="96">
        <v>286</v>
      </c>
      <c r="D526" s="96" t="s">
        <v>1414</v>
      </c>
      <c r="E526" s="96">
        <v>520037789</v>
      </c>
      <c r="F526" s="96" t="s">
        <v>308</v>
      </c>
      <c r="G526" s="96" t="s">
        <v>1588</v>
      </c>
      <c r="H526" s="96" t="s">
        <v>1589</v>
      </c>
      <c r="I526" s="96" t="s">
        <v>320</v>
      </c>
      <c r="J526" s="96" t="s">
        <v>753</v>
      </c>
      <c r="K526" s="96" t="s">
        <v>203</v>
      </c>
      <c r="L526" s="96" t="s">
        <v>203</v>
      </c>
      <c r="M526" s="96" t="s">
        <v>324</v>
      </c>
      <c r="N526" s="96" t="s">
        <v>339</v>
      </c>
      <c r="O526" s="96" t="s">
        <v>463</v>
      </c>
      <c r="P526" s="96" t="s">
        <v>337</v>
      </c>
      <c r="Q526" s="96" t="s">
        <v>1313</v>
      </c>
      <c r="R526" s="96" t="s">
        <v>412</v>
      </c>
      <c r="S526" s="96" t="s">
        <v>406</v>
      </c>
      <c r="T526" s="96" t="s">
        <v>1200</v>
      </c>
      <c r="U526" s="97">
        <v>6.29</v>
      </c>
      <c r="V526" s="100">
        <v>50041</v>
      </c>
      <c r="W526" s="98">
        <v>3.61E-2</v>
      </c>
      <c r="X526" s="98">
        <v>3.6999999999999998E-2</v>
      </c>
      <c r="Y526" s="96" t="s">
        <v>411</v>
      </c>
      <c r="Z526" s="96"/>
      <c r="AA526" s="97">
        <v>1252829.6255640001</v>
      </c>
      <c r="AB526" s="97">
        <v>1</v>
      </c>
      <c r="AC526" s="97">
        <v>103.82</v>
      </c>
      <c r="AD526" s="97">
        <v>13.318713000000001</v>
      </c>
      <c r="AE526" s="97">
        <v>1314.0064299999999</v>
      </c>
      <c r="AF526" s="96"/>
      <c r="AG526" s="96"/>
      <c r="AH526" s="96"/>
      <c r="AI526" s="98">
        <v>1.1720000000000001E-3</v>
      </c>
      <c r="AJ526" s="98">
        <v>4.9220000000000002E-3</v>
      </c>
      <c r="AK526" s="98">
        <v>6.8300000000000001E-4</v>
      </c>
      <c r="AL526" s="106"/>
    </row>
    <row r="527" spans="1:38" ht="15" customHeight="1">
      <c r="A527" s="106"/>
      <c r="B527" s="96">
        <v>286</v>
      </c>
      <c r="C527" s="96">
        <v>286</v>
      </c>
      <c r="D527" s="96" t="s">
        <v>1317</v>
      </c>
      <c r="E527" s="96">
        <v>520028911</v>
      </c>
      <c r="F527" s="96" t="s">
        <v>308</v>
      </c>
      <c r="G527" s="96" t="s">
        <v>1865</v>
      </c>
      <c r="H527" s="96" t="s">
        <v>1866</v>
      </c>
      <c r="I527" s="96" t="s">
        <v>320</v>
      </c>
      <c r="J527" s="96" t="s">
        <v>952</v>
      </c>
      <c r="K527" s="96" t="s">
        <v>203</v>
      </c>
      <c r="L527" s="96" t="s">
        <v>203</v>
      </c>
      <c r="M527" s="96" t="s">
        <v>324</v>
      </c>
      <c r="N527" s="96" t="s">
        <v>339</v>
      </c>
      <c r="O527" s="96" t="s">
        <v>450</v>
      </c>
      <c r="P527" s="96" t="s">
        <v>337</v>
      </c>
      <c r="Q527" s="96" t="s">
        <v>1320</v>
      </c>
      <c r="R527" s="96" t="s">
        <v>412</v>
      </c>
      <c r="S527" s="96" t="s">
        <v>406</v>
      </c>
      <c r="T527" s="96" t="s">
        <v>1200</v>
      </c>
      <c r="U527" s="97">
        <v>5.05</v>
      </c>
      <c r="V527" s="100">
        <v>49653</v>
      </c>
      <c r="W527" s="98">
        <v>2.07E-2</v>
      </c>
      <c r="X527" s="98">
        <v>5.9499999999999997E-2</v>
      </c>
      <c r="Y527" s="96" t="s">
        <v>411</v>
      </c>
      <c r="Z527" s="96"/>
      <c r="AA527" s="97">
        <v>373829.47934899997</v>
      </c>
      <c r="AB527" s="97">
        <v>1</v>
      </c>
      <c r="AC527" s="97">
        <v>82.34</v>
      </c>
      <c r="AD527" s="97"/>
      <c r="AE527" s="97">
        <v>307.811193</v>
      </c>
      <c r="AF527" s="96"/>
      <c r="AG527" s="96"/>
      <c r="AH527" s="96"/>
      <c r="AI527" s="98">
        <v>9.1E-4</v>
      </c>
      <c r="AJ527" s="98">
        <v>1.1529999999999999E-3</v>
      </c>
      <c r="AK527" s="98">
        <v>1.6000000000000001E-4</v>
      </c>
      <c r="AL527" s="106"/>
    </row>
    <row r="528" spans="1:38" ht="15" customHeight="1">
      <c r="A528" s="106"/>
      <c r="B528" s="96">
        <v>286</v>
      </c>
      <c r="C528" s="96">
        <v>286</v>
      </c>
      <c r="D528" s="96" t="s">
        <v>1462</v>
      </c>
      <c r="E528" s="96">
        <v>520000472</v>
      </c>
      <c r="F528" s="96" t="s">
        <v>308</v>
      </c>
      <c r="G528" s="96" t="s">
        <v>2017</v>
      </c>
      <c r="H528" s="96" t="s">
        <v>2018</v>
      </c>
      <c r="I528" s="96" t="s">
        <v>320</v>
      </c>
      <c r="J528" s="96" t="s">
        <v>753</v>
      </c>
      <c r="K528" s="96" t="s">
        <v>203</v>
      </c>
      <c r="L528" s="96" t="s">
        <v>203</v>
      </c>
      <c r="M528" s="96" t="s">
        <v>324</v>
      </c>
      <c r="N528" s="96" t="s">
        <v>339</v>
      </c>
      <c r="O528" s="96" t="s">
        <v>439</v>
      </c>
      <c r="P528" s="96" t="s">
        <v>338</v>
      </c>
      <c r="Q528" s="96" t="s">
        <v>1301</v>
      </c>
      <c r="R528" s="96" t="s">
        <v>414</v>
      </c>
      <c r="S528" s="96" t="s">
        <v>406</v>
      </c>
      <c r="T528" s="96" t="s">
        <v>1200</v>
      </c>
      <c r="U528" s="97">
        <v>1.1299999999999999</v>
      </c>
      <c r="V528" s="100">
        <v>46081</v>
      </c>
      <c r="W528" s="98">
        <v>4.4999999999999998E-2</v>
      </c>
      <c r="X528" s="98">
        <v>2.6599999999999999E-2</v>
      </c>
      <c r="Y528" s="96" t="s">
        <v>411</v>
      </c>
      <c r="Z528" s="96"/>
      <c r="AA528" s="97">
        <v>2761439.730275</v>
      </c>
      <c r="AB528" s="97">
        <v>1</v>
      </c>
      <c r="AC528" s="97">
        <v>119.29</v>
      </c>
      <c r="AD528" s="97"/>
      <c r="AE528" s="97">
        <v>3294.1214540000001</v>
      </c>
      <c r="AF528" s="96"/>
      <c r="AG528" s="96"/>
      <c r="AH528" s="96"/>
      <c r="AI528" s="98">
        <v>9.3400000000000004E-4</v>
      </c>
      <c r="AJ528" s="98">
        <v>1.2343E-2</v>
      </c>
      <c r="AK528" s="98">
        <v>1.7149999999999999E-3</v>
      </c>
      <c r="AL528" s="106"/>
    </row>
    <row r="529" spans="1:38" ht="15" customHeight="1">
      <c r="A529" s="106"/>
      <c r="B529" s="96">
        <v>286</v>
      </c>
      <c r="C529" s="96">
        <v>286</v>
      </c>
      <c r="D529" s="96" t="s">
        <v>1565</v>
      </c>
      <c r="E529" s="96">
        <v>520033234</v>
      </c>
      <c r="F529" s="96" t="s">
        <v>308</v>
      </c>
      <c r="G529" s="96" t="s">
        <v>1694</v>
      </c>
      <c r="H529" s="96" t="s">
        <v>1695</v>
      </c>
      <c r="I529" s="96" t="s">
        <v>320</v>
      </c>
      <c r="J529" s="96" t="s">
        <v>952</v>
      </c>
      <c r="K529" s="96" t="s">
        <v>203</v>
      </c>
      <c r="L529" s="96" t="s">
        <v>203</v>
      </c>
      <c r="M529" s="96" t="s">
        <v>324</v>
      </c>
      <c r="N529" s="96" t="s">
        <v>339</v>
      </c>
      <c r="O529" s="96" t="s">
        <v>464</v>
      </c>
      <c r="P529" s="96" t="s">
        <v>337</v>
      </c>
      <c r="Q529" s="96" t="s">
        <v>1309</v>
      </c>
      <c r="R529" s="96" t="s">
        <v>414</v>
      </c>
      <c r="S529" s="96" t="s">
        <v>406</v>
      </c>
      <c r="T529" s="96" t="s">
        <v>1200</v>
      </c>
      <c r="U529" s="97">
        <v>4.0999999999999996</v>
      </c>
      <c r="V529" s="100">
        <v>47299</v>
      </c>
      <c r="W529" s="98">
        <v>5.5E-2</v>
      </c>
      <c r="X529" s="98">
        <v>8.0199999999999994E-2</v>
      </c>
      <c r="Y529" s="96" t="s">
        <v>411</v>
      </c>
      <c r="Z529" s="96"/>
      <c r="AA529" s="97">
        <v>475550.438371</v>
      </c>
      <c r="AB529" s="97">
        <v>1</v>
      </c>
      <c r="AC529" s="97">
        <v>90.7</v>
      </c>
      <c r="AD529" s="97"/>
      <c r="AE529" s="97">
        <v>431.32424700000001</v>
      </c>
      <c r="AF529" s="96"/>
      <c r="AG529" s="96"/>
      <c r="AH529" s="96"/>
      <c r="AI529" s="98">
        <v>8.2799999999999996E-4</v>
      </c>
      <c r="AJ529" s="98">
        <v>1.616E-3</v>
      </c>
      <c r="AK529" s="98">
        <v>2.24E-4</v>
      </c>
      <c r="AL529" s="106"/>
    </row>
    <row r="530" spans="1:38" ht="15" customHeight="1">
      <c r="A530" s="106"/>
      <c r="B530" s="96">
        <v>286</v>
      </c>
      <c r="C530" s="96">
        <v>286</v>
      </c>
      <c r="D530" s="96" t="s">
        <v>1385</v>
      </c>
      <c r="E530" s="96">
        <v>520017807</v>
      </c>
      <c r="F530" s="96" t="s">
        <v>308</v>
      </c>
      <c r="G530" s="96" t="s">
        <v>1716</v>
      </c>
      <c r="H530" s="96" t="s">
        <v>1717</v>
      </c>
      <c r="I530" s="96" t="s">
        <v>320</v>
      </c>
      <c r="J530" s="96" t="s">
        <v>753</v>
      </c>
      <c r="K530" s="96" t="s">
        <v>203</v>
      </c>
      <c r="L530" s="96" t="s">
        <v>203</v>
      </c>
      <c r="M530" s="96" t="s">
        <v>324</v>
      </c>
      <c r="N530" s="96" t="s">
        <v>339</v>
      </c>
      <c r="O530" s="96" t="s">
        <v>463</v>
      </c>
      <c r="P530" s="96" t="s">
        <v>337</v>
      </c>
      <c r="Q530" s="96" t="s">
        <v>1305</v>
      </c>
      <c r="R530" s="96" t="s">
        <v>414</v>
      </c>
      <c r="S530" s="96" t="s">
        <v>406</v>
      </c>
      <c r="T530" s="96" t="s">
        <v>1200</v>
      </c>
      <c r="U530" s="97">
        <v>5.98</v>
      </c>
      <c r="V530" s="100">
        <v>49765</v>
      </c>
      <c r="W530" s="98">
        <v>1.4999999999999999E-2</v>
      </c>
      <c r="X530" s="98">
        <v>3.6600000000000001E-2</v>
      </c>
      <c r="Y530" s="96" t="s">
        <v>411</v>
      </c>
      <c r="Z530" s="96"/>
      <c r="AA530" s="97">
        <v>27302.169634999998</v>
      </c>
      <c r="AB530" s="97">
        <v>1</v>
      </c>
      <c r="AC530" s="97">
        <v>96.78</v>
      </c>
      <c r="AD530" s="97"/>
      <c r="AE530" s="97">
        <v>26.423038999999999</v>
      </c>
      <c r="AF530" s="96"/>
      <c r="AG530" s="96"/>
      <c r="AH530" s="96"/>
      <c r="AI530" s="98">
        <v>1.11E-4</v>
      </c>
      <c r="AJ530" s="98">
        <v>9.8999999999999994E-5</v>
      </c>
      <c r="AK530" s="98">
        <v>1.2999999999999999E-5</v>
      </c>
      <c r="AL530" s="106"/>
    </row>
    <row r="531" spans="1:38" ht="15" customHeight="1">
      <c r="A531" s="106"/>
      <c r="B531" s="96">
        <v>286</v>
      </c>
      <c r="C531" s="96">
        <v>286</v>
      </c>
      <c r="D531" s="96" t="s">
        <v>1354</v>
      </c>
      <c r="E531" s="96">
        <v>513893123</v>
      </c>
      <c r="F531" s="96" t="s">
        <v>308</v>
      </c>
      <c r="G531" s="96" t="s">
        <v>1395</v>
      </c>
      <c r="H531" s="96" t="s">
        <v>1396</v>
      </c>
      <c r="I531" s="96" t="s">
        <v>320</v>
      </c>
      <c r="J531" s="96" t="s">
        <v>753</v>
      </c>
      <c r="K531" s="96" t="s">
        <v>203</v>
      </c>
      <c r="L531" s="96" t="s">
        <v>203</v>
      </c>
      <c r="M531" s="96" t="s">
        <v>326</v>
      </c>
      <c r="N531" s="96" t="s">
        <v>339</v>
      </c>
      <c r="O531" s="96" t="s">
        <v>442</v>
      </c>
      <c r="P531" s="96" t="s">
        <v>338</v>
      </c>
      <c r="Q531" s="96" t="s">
        <v>1357</v>
      </c>
      <c r="R531" s="96" t="s">
        <v>414</v>
      </c>
      <c r="S531" s="96" t="s">
        <v>406</v>
      </c>
      <c r="T531" s="96" t="s">
        <v>1200</v>
      </c>
      <c r="U531" s="97">
        <v>3.22</v>
      </c>
      <c r="V531" s="100">
        <v>48060</v>
      </c>
      <c r="W531" s="98">
        <v>0.01</v>
      </c>
      <c r="X531" s="98">
        <v>3.8600000000000002E-2</v>
      </c>
      <c r="Y531" s="96" t="s">
        <v>411</v>
      </c>
      <c r="Z531" s="96"/>
      <c r="AA531" s="97">
        <v>33923.207288999998</v>
      </c>
      <c r="AB531" s="97">
        <v>1</v>
      </c>
      <c r="AC531" s="97">
        <v>101.62090000000001</v>
      </c>
      <c r="AD531" s="97"/>
      <c r="AE531" s="97">
        <v>34.473053</v>
      </c>
      <c r="AF531" s="96"/>
      <c r="AG531" s="96"/>
      <c r="AH531" s="96"/>
      <c r="AI531" s="98">
        <v>1.9000000000000001E-5</v>
      </c>
      <c r="AJ531" s="98">
        <v>1.2899999999999999E-4</v>
      </c>
      <c r="AK531" s="98">
        <v>1.7E-5</v>
      </c>
      <c r="AL531" s="106"/>
    </row>
    <row r="532" spans="1:38" ht="15" customHeight="1">
      <c r="A532" s="106"/>
      <c r="B532" s="96">
        <v>286</v>
      </c>
      <c r="C532" s="96">
        <v>286</v>
      </c>
      <c r="D532" s="96" t="s">
        <v>1558</v>
      </c>
      <c r="E532" s="96">
        <v>510459928</v>
      </c>
      <c r="F532" s="96" t="s">
        <v>308</v>
      </c>
      <c r="G532" s="96" t="s">
        <v>1559</v>
      </c>
      <c r="H532" s="96" t="s">
        <v>1560</v>
      </c>
      <c r="I532" s="96" t="s">
        <v>320</v>
      </c>
      <c r="J532" s="96" t="s">
        <v>952</v>
      </c>
      <c r="K532" s="96" t="s">
        <v>203</v>
      </c>
      <c r="L532" s="96" t="s">
        <v>203</v>
      </c>
      <c r="M532" s="96" t="s">
        <v>324</v>
      </c>
      <c r="N532" s="96" t="s">
        <v>339</v>
      </c>
      <c r="O532" s="96" t="s">
        <v>439</v>
      </c>
      <c r="P532" s="96" t="s">
        <v>337</v>
      </c>
      <c r="Q532" s="96" t="s">
        <v>1309</v>
      </c>
      <c r="R532" s="96" t="s">
        <v>414</v>
      </c>
      <c r="S532" s="96" t="s">
        <v>406</v>
      </c>
      <c r="T532" s="96" t="s">
        <v>1200</v>
      </c>
      <c r="U532" s="97">
        <v>4.5199999999999996</v>
      </c>
      <c r="V532" s="100">
        <v>49125</v>
      </c>
      <c r="W532" s="98">
        <v>6.7699999999999996E-2</v>
      </c>
      <c r="X532" s="98">
        <v>6.5000000000000002E-2</v>
      </c>
      <c r="Y532" s="96" t="s">
        <v>411</v>
      </c>
      <c r="Z532" s="96"/>
      <c r="AA532" s="97">
        <v>804611.12342700001</v>
      </c>
      <c r="AB532" s="97">
        <v>1</v>
      </c>
      <c r="AC532" s="97">
        <v>101.65</v>
      </c>
      <c r="AD532" s="97"/>
      <c r="AE532" s="97">
        <v>817.88720599999999</v>
      </c>
      <c r="AF532" s="96"/>
      <c r="AG532" s="96"/>
      <c r="AH532" s="96"/>
      <c r="AI532" s="98">
        <v>1.072E-3</v>
      </c>
      <c r="AJ532" s="98">
        <v>3.0639999999999999E-3</v>
      </c>
      <c r="AK532" s="98">
        <v>4.2499999999999998E-4</v>
      </c>
      <c r="AL532" s="106"/>
    </row>
    <row r="533" spans="1:38" ht="15" customHeight="1">
      <c r="A533" s="106"/>
      <c r="B533" s="96">
        <v>286</v>
      </c>
      <c r="C533" s="96">
        <v>286</v>
      </c>
      <c r="D533" s="96" t="s">
        <v>1459</v>
      </c>
      <c r="E533" s="96">
        <v>520033424</v>
      </c>
      <c r="F533" s="96" t="s">
        <v>308</v>
      </c>
      <c r="G533" s="96" t="s">
        <v>2014</v>
      </c>
      <c r="H533" s="96" t="s">
        <v>1461</v>
      </c>
      <c r="I533" s="96" t="s">
        <v>320</v>
      </c>
      <c r="J533" s="96" t="s">
        <v>952</v>
      </c>
      <c r="K533" s="96" t="s">
        <v>203</v>
      </c>
      <c r="L533" s="96" t="s">
        <v>203</v>
      </c>
      <c r="M533" s="96" t="s">
        <v>326</v>
      </c>
      <c r="N533" s="96" t="s">
        <v>339</v>
      </c>
      <c r="O533" s="96" t="s">
        <v>446</v>
      </c>
      <c r="P533" s="96" t="s">
        <v>338</v>
      </c>
      <c r="Q533" s="96" t="s">
        <v>1320</v>
      </c>
      <c r="R533" s="96" t="s">
        <v>412</v>
      </c>
      <c r="S533" s="96" t="s">
        <v>406</v>
      </c>
      <c r="T533" s="96" t="s">
        <v>1200</v>
      </c>
      <c r="U533" s="97">
        <v>3.48</v>
      </c>
      <c r="V533" s="100">
        <v>48029</v>
      </c>
      <c r="W533" s="98">
        <v>0.05</v>
      </c>
      <c r="X533" s="98">
        <v>6.3500000000000001E-2</v>
      </c>
      <c r="Y533" s="96" t="s">
        <v>411</v>
      </c>
      <c r="Z533" s="96"/>
      <c r="AA533" s="97">
        <v>109683.34858999999</v>
      </c>
      <c r="AB533" s="97">
        <v>1</v>
      </c>
      <c r="AC533" s="97">
        <v>95.834400000000002</v>
      </c>
      <c r="AD533" s="97"/>
      <c r="AE533" s="97">
        <v>105.114356</v>
      </c>
      <c r="AF533" s="96"/>
      <c r="AG533" s="96"/>
      <c r="AH533" s="96"/>
      <c r="AI533" s="98">
        <v>4.1199999999999999E-4</v>
      </c>
      <c r="AJ533" s="98">
        <v>3.9300000000000001E-4</v>
      </c>
      <c r="AK533" s="98">
        <v>5.3999999999999998E-5</v>
      </c>
      <c r="AL533" s="106"/>
    </row>
    <row r="534" spans="1:38" ht="15" customHeight="1">
      <c r="A534" s="106"/>
      <c r="B534" s="96">
        <v>286</v>
      </c>
      <c r="C534" s="96">
        <v>286</v>
      </c>
      <c r="D534" s="96" t="s">
        <v>1343</v>
      </c>
      <c r="E534" s="96">
        <v>514290345</v>
      </c>
      <c r="F534" s="96" t="s">
        <v>308</v>
      </c>
      <c r="G534" s="96" t="s">
        <v>1882</v>
      </c>
      <c r="H534" s="96" t="s">
        <v>1883</v>
      </c>
      <c r="I534" s="96" t="s">
        <v>320</v>
      </c>
      <c r="J534" s="96" t="s">
        <v>753</v>
      </c>
      <c r="K534" s="96" t="s">
        <v>203</v>
      </c>
      <c r="L534" s="96" t="s">
        <v>203</v>
      </c>
      <c r="M534" s="96" t="s">
        <v>324</v>
      </c>
      <c r="N534" s="96" t="s">
        <v>339</v>
      </c>
      <c r="O534" s="96" t="s">
        <v>444</v>
      </c>
      <c r="P534" s="96" t="s">
        <v>338</v>
      </c>
      <c r="Q534" s="96" t="s">
        <v>1305</v>
      </c>
      <c r="R534" s="96" t="s">
        <v>414</v>
      </c>
      <c r="S534" s="96" t="s">
        <v>406</v>
      </c>
      <c r="T534" s="96" t="s">
        <v>1200</v>
      </c>
      <c r="U534" s="97">
        <v>5.31</v>
      </c>
      <c r="V534" s="100">
        <v>47542</v>
      </c>
      <c r="W534" s="98">
        <v>2.3099999999999999E-2</v>
      </c>
      <c r="X534" s="98">
        <v>3.04E-2</v>
      </c>
      <c r="Y534" s="96" t="s">
        <v>411</v>
      </c>
      <c r="Z534" s="96"/>
      <c r="AA534" s="97">
        <v>431122.01588199998</v>
      </c>
      <c r="AB534" s="97">
        <v>1</v>
      </c>
      <c r="AC534" s="97">
        <v>98.41</v>
      </c>
      <c r="AD534" s="97"/>
      <c r="AE534" s="97">
        <v>424.26717500000001</v>
      </c>
      <c r="AF534" s="96"/>
      <c r="AG534" s="96"/>
      <c r="AH534" s="96"/>
      <c r="AI534" s="98">
        <v>1.4369999999999999E-3</v>
      </c>
      <c r="AJ534" s="98">
        <v>1.5889999999999999E-3</v>
      </c>
      <c r="AK534" s="98">
        <v>2.2000000000000001E-4</v>
      </c>
      <c r="AL534" s="106"/>
    </row>
    <row r="535" spans="1:38" ht="15" customHeight="1">
      <c r="A535" s="106"/>
      <c r="B535" s="96">
        <v>286</v>
      </c>
      <c r="C535" s="96">
        <v>286</v>
      </c>
      <c r="D535" s="96" t="s">
        <v>1399</v>
      </c>
      <c r="E535" s="96">
        <v>520032046</v>
      </c>
      <c r="F535" s="96" t="s">
        <v>308</v>
      </c>
      <c r="G535" s="96" t="s">
        <v>1435</v>
      </c>
      <c r="H535" s="96" t="s">
        <v>1436</v>
      </c>
      <c r="I535" s="96" t="s">
        <v>320</v>
      </c>
      <c r="J535" s="96" t="s">
        <v>753</v>
      </c>
      <c r="K535" s="96" t="s">
        <v>203</v>
      </c>
      <c r="L535" s="96" t="s">
        <v>203</v>
      </c>
      <c r="M535" s="96" t="s">
        <v>324</v>
      </c>
      <c r="N535" s="96" t="s">
        <v>339</v>
      </c>
      <c r="O535" s="96" t="s">
        <v>447</v>
      </c>
      <c r="P535" s="96" t="s">
        <v>338</v>
      </c>
      <c r="Q535" s="96" t="s">
        <v>1211</v>
      </c>
      <c r="R535" s="96" t="s">
        <v>414</v>
      </c>
      <c r="S535" s="96" t="s">
        <v>406</v>
      </c>
      <c r="T535" s="96" t="s">
        <v>1200</v>
      </c>
      <c r="U535" s="97">
        <v>3.68</v>
      </c>
      <c r="V535" s="100">
        <v>47950</v>
      </c>
      <c r="W535" s="98">
        <v>1E-3</v>
      </c>
      <c r="X535" s="98">
        <v>2.53E-2</v>
      </c>
      <c r="Y535" s="96" t="s">
        <v>411</v>
      </c>
      <c r="Z535" s="96"/>
      <c r="AA535" s="97">
        <v>1828055.809838</v>
      </c>
      <c r="AB535" s="97">
        <v>1</v>
      </c>
      <c r="AC535" s="97">
        <v>100.22</v>
      </c>
      <c r="AD535" s="97"/>
      <c r="AE535" s="97">
        <v>1832.077532</v>
      </c>
      <c r="AF535" s="96"/>
      <c r="AG535" s="96"/>
      <c r="AH535" s="96"/>
      <c r="AI535" s="98">
        <v>7.0200000000000004E-4</v>
      </c>
      <c r="AJ535" s="98">
        <v>6.8640000000000003E-3</v>
      </c>
      <c r="AK535" s="98">
        <v>9.5399999999999999E-4</v>
      </c>
      <c r="AL535" s="106"/>
    </row>
    <row r="536" spans="1:38" ht="15" customHeight="1">
      <c r="A536" s="106"/>
      <c r="B536" s="96">
        <v>286</v>
      </c>
      <c r="C536" s="96">
        <v>286</v>
      </c>
      <c r="D536" s="96" t="s">
        <v>1310</v>
      </c>
      <c r="E536" s="96">
        <v>520017450</v>
      </c>
      <c r="F536" s="96" t="s">
        <v>308</v>
      </c>
      <c r="G536" s="96" t="s">
        <v>1311</v>
      </c>
      <c r="H536" s="96" t="s">
        <v>1312</v>
      </c>
      <c r="I536" s="96" t="s">
        <v>320</v>
      </c>
      <c r="J536" s="96" t="s">
        <v>753</v>
      </c>
      <c r="K536" s="96" t="s">
        <v>203</v>
      </c>
      <c r="L536" s="96" t="s">
        <v>203</v>
      </c>
      <c r="M536" s="96" t="s">
        <v>324</v>
      </c>
      <c r="N536" s="96" t="s">
        <v>339</v>
      </c>
      <c r="O536" s="96" t="s">
        <v>444</v>
      </c>
      <c r="P536" s="96" t="s">
        <v>338</v>
      </c>
      <c r="Q536" s="96" t="s">
        <v>1313</v>
      </c>
      <c r="R536" s="96" t="s">
        <v>412</v>
      </c>
      <c r="S536" s="96" t="s">
        <v>406</v>
      </c>
      <c r="T536" s="96" t="s">
        <v>1200</v>
      </c>
      <c r="U536" s="97">
        <v>4.79</v>
      </c>
      <c r="V536" s="100">
        <v>47604</v>
      </c>
      <c r="W536" s="98">
        <v>4.4000000000000003E-3</v>
      </c>
      <c r="X536" s="98">
        <v>2.87E-2</v>
      </c>
      <c r="Y536" s="96" t="s">
        <v>411</v>
      </c>
      <c r="Z536" s="96"/>
      <c r="AA536" s="97">
        <v>428983.76410600002</v>
      </c>
      <c r="AB536" s="97">
        <v>1</v>
      </c>
      <c r="AC536" s="97">
        <v>101.08</v>
      </c>
      <c r="AD536" s="97"/>
      <c r="AE536" s="97">
        <v>433.61678799999999</v>
      </c>
      <c r="AF536" s="96"/>
      <c r="AG536" s="96"/>
      <c r="AH536" s="96"/>
      <c r="AI536" s="98">
        <v>5.0199999999999995E-4</v>
      </c>
      <c r="AJ536" s="98">
        <v>1.624E-3</v>
      </c>
      <c r="AK536" s="98">
        <v>2.2499999999999999E-4</v>
      </c>
      <c r="AL536" s="106"/>
    </row>
    <row r="537" spans="1:38" ht="15" customHeight="1">
      <c r="A537" s="106"/>
      <c r="B537" s="96">
        <v>286</v>
      </c>
      <c r="C537" s="96">
        <v>286</v>
      </c>
      <c r="D537" s="96" t="s">
        <v>1611</v>
      </c>
      <c r="E537" s="96">
        <v>520001736</v>
      </c>
      <c r="F537" s="96" t="s">
        <v>308</v>
      </c>
      <c r="G537" s="96" t="s">
        <v>1612</v>
      </c>
      <c r="H537" s="96" t="s">
        <v>1613</v>
      </c>
      <c r="I537" s="96" t="s">
        <v>320</v>
      </c>
      <c r="J537" s="96" t="s">
        <v>952</v>
      </c>
      <c r="K537" s="96" t="s">
        <v>203</v>
      </c>
      <c r="L537" s="96" t="s">
        <v>203</v>
      </c>
      <c r="M537" s="96" t="s">
        <v>324</v>
      </c>
      <c r="N537" s="96" t="s">
        <v>339</v>
      </c>
      <c r="O537" s="96" t="s">
        <v>463</v>
      </c>
      <c r="P537" s="96" t="s">
        <v>338</v>
      </c>
      <c r="Q537" s="96" t="s">
        <v>1313</v>
      </c>
      <c r="R537" s="96" t="s">
        <v>412</v>
      </c>
      <c r="S537" s="96" t="s">
        <v>406</v>
      </c>
      <c r="T537" s="96" t="s">
        <v>1200</v>
      </c>
      <c r="U537" s="97">
        <v>5.38</v>
      </c>
      <c r="V537" s="100">
        <v>49125</v>
      </c>
      <c r="W537" s="98">
        <v>2.5499999999999998E-2</v>
      </c>
      <c r="X537" s="98">
        <v>6.1400000000000003E-2</v>
      </c>
      <c r="Y537" s="96" t="s">
        <v>411</v>
      </c>
      <c r="Z537" s="96"/>
      <c r="AA537" s="97">
        <v>1285567.2858899999</v>
      </c>
      <c r="AB537" s="97">
        <v>1</v>
      </c>
      <c r="AC537" s="97">
        <v>82.82</v>
      </c>
      <c r="AD537" s="97"/>
      <c r="AE537" s="97">
        <v>1064.7068260000001</v>
      </c>
      <c r="AF537" s="96"/>
      <c r="AG537" s="96"/>
      <c r="AH537" s="96"/>
      <c r="AI537" s="98">
        <v>7.4100000000000001E-4</v>
      </c>
      <c r="AJ537" s="98">
        <v>3.9890000000000004E-3</v>
      </c>
      <c r="AK537" s="98">
        <v>5.5400000000000002E-4</v>
      </c>
      <c r="AL537" s="106"/>
    </row>
    <row r="538" spans="1:38" ht="15" customHeight="1">
      <c r="A538" s="106"/>
      <c r="B538" s="96">
        <v>286</v>
      </c>
      <c r="C538" s="96">
        <v>286</v>
      </c>
      <c r="D538" s="96" t="s">
        <v>1982</v>
      </c>
      <c r="E538" s="96">
        <v>520036732</v>
      </c>
      <c r="F538" s="96" t="s">
        <v>308</v>
      </c>
      <c r="G538" s="96" t="s">
        <v>1983</v>
      </c>
      <c r="H538" s="96" t="s">
        <v>1984</v>
      </c>
      <c r="I538" s="96" t="s">
        <v>320</v>
      </c>
      <c r="J538" s="96" t="s">
        <v>952</v>
      </c>
      <c r="K538" s="96" t="s">
        <v>203</v>
      </c>
      <c r="L538" s="96" t="s">
        <v>203</v>
      </c>
      <c r="M538" s="96" t="s">
        <v>324</v>
      </c>
      <c r="N538" s="96" t="s">
        <v>339</v>
      </c>
      <c r="O538" s="96" t="s">
        <v>461</v>
      </c>
      <c r="P538" s="96" t="s">
        <v>338</v>
      </c>
      <c r="Q538" s="96" t="s">
        <v>1305</v>
      </c>
      <c r="R538" s="96" t="s">
        <v>414</v>
      </c>
      <c r="S538" s="96" t="s">
        <v>406</v>
      </c>
      <c r="T538" s="96" t="s">
        <v>1200</v>
      </c>
      <c r="U538" s="97">
        <v>2.2400000000000002</v>
      </c>
      <c r="V538" s="100">
        <v>46934</v>
      </c>
      <c r="W538" s="98">
        <v>1.7500000000000002E-2</v>
      </c>
      <c r="X538" s="98">
        <v>5.4600000000000003E-2</v>
      </c>
      <c r="Y538" s="96" t="s">
        <v>411</v>
      </c>
      <c r="Z538" s="96"/>
      <c r="AA538" s="97">
        <v>61810.898326000002</v>
      </c>
      <c r="AB538" s="97">
        <v>1</v>
      </c>
      <c r="AC538" s="97">
        <v>92.2</v>
      </c>
      <c r="AD538" s="97"/>
      <c r="AE538" s="97">
        <v>56.989648000000003</v>
      </c>
      <c r="AF538" s="96"/>
      <c r="AG538" s="96"/>
      <c r="AH538" s="96"/>
      <c r="AI538" s="98">
        <v>6.0899999999999995E-4</v>
      </c>
      <c r="AJ538" s="98">
        <v>2.13E-4</v>
      </c>
      <c r="AK538" s="98">
        <v>2.9E-5</v>
      </c>
      <c r="AL538" s="106"/>
    </row>
    <row r="539" spans="1:38" ht="15" customHeight="1">
      <c r="A539" s="106"/>
      <c r="B539" s="96">
        <v>286</v>
      </c>
      <c r="C539" s="96">
        <v>286</v>
      </c>
      <c r="D539" s="96" t="s">
        <v>1551</v>
      </c>
      <c r="E539" s="96">
        <v>511659401</v>
      </c>
      <c r="F539" s="96" t="s">
        <v>308</v>
      </c>
      <c r="G539" s="96" t="s">
        <v>1552</v>
      </c>
      <c r="H539" s="96" t="s">
        <v>1553</v>
      </c>
      <c r="I539" s="96" t="s">
        <v>320</v>
      </c>
      <c r="J539" s="96" t="s">
        <v>753</v>
      </c>
      <c r="K539" s="96" t="s">
        <v>203</v>
      </c>
      <c r="L539" s="96" t="s">
        <v>203</v>
      </c>
      <c r="M539" s="96" t="s">
        <v>324</v>
      </c>
      <c r="N539" s="96" t="s">
        <v>339</v>
      </c>
      <c r="O539" s="96" t="s">
        <v>463</v>
      </c>
      <c r="P539" s="96" t="s">
        <v>338</v>
      </c>
      <c r="Q539" s="96" t="s">
        <v>1313</v>
      </c>
      <c r="R539" s="96" t="s">
        <v>412</v>
      </c>
      <c r="S539" s="96" t="s">
        <v>406</v>
      </c>
      <c r="T539" s="96" t="s">
        <v>1200</v>
      </c>
      <c r="U539" s="97">
        <v>5.13</v>
      </c>
      <c r="V539" s="100">
        <v>49551</v>
      </c>
      <c r="W539" s="98">
        <v>6.4999999999999997E-3</v>
      </c>
      <c r="X539" s="98">
        <v>3.4000000000000002E-2</v>
      </c>
      <c r="Y539" s="96" t="s">
        <v>411</v>
      </c>
      <c r="Z539" s="96"/>
      <c r="AA539" s="97">
        <v>22872.963341999999</v>
      </c>
      <c r="AB539" s="97">
        <v>1</v>
      </c>
      <c r="AC539" s="97">
        <v>98.12</v>
      </c>
      <c r="AD539" s="97"/>
      <c r="AE539" s="97">
        <v>22.442951000000001</v>
      </c>
      <c r="AF539" s="96"/>
      <c r="AG539" s="96"/>
      <c r="AH539" s="96"/>
      <c r="AI539" s="98">
        <v>9.0000000000000002E-6</v>
      </c>
      <c r="AJ539" s="98">
        <v>8.3999999999999995E-5</v>
      </c>
      <c r="AK539" s="98">
        <v>1.1E-5</v>
      </c>
      <c r="AL539" s="106"/>
    </row>
    <row r="540" spans="1:38" ht="15" customHeight="1">
      <c r="A540" s="106"/>
      <c r="B540" s="96">
        <v>286</v>
      </c>
      <c r="C540" s="96">
        <v>286</v>
      </c>
      <c r="D540" s="96" t="s">
        <v>2011</v>
      </c>
      <c r="E540" s="96">
        <v>514892801</v>
      </c>
      <c r="F540" s="96" t="s">
        <v>308</v>
      </c>
      <c r="G540" s="96" t="s">
        <v>2012</v>
      </c>
      <c r="H540" s="96" t="s">
        <v>2013</v>
      </c>
      <c r="I540" s="96" t="s">
        <v>320</v>
      </c>
      <c r="J540" s="96" t="s">
        <v>952</v>
      </c>
      <c r="K540" s="96" t="s">
        <v>203</v>
      </c>
      <c r="L540" s="96" t="s">
        <v>203</v>
      </c>
      <c r="M540" s="96" t="s">
        <v>324</v>
      </c>
      <c r="N540" s="96" t="s">
        <v>339</v>
      </c>
      <c r="O540" s="96" t="s">
        <v>462</v>
      </c>
      <c r="P540" s="96" t="s">
        <v>338</v>
      </c>
      <c r="Q540" s="96" t="s">
        <v>1320</v>
      </c>
      <c r="R540" s="96" t="s">
        <v>412</v>
      </c>
      <c r="S540" s="96" t="s">
        <v>406</v>
      </c>
      <c r="T540" s="96" t="s">
        <v>1200</v>
      </c>
      <c r="U540" s="97">
        <v>5.69</v>
      </c>
      <c r="V540" s="100">
        <v>50374</v>
      </c>
      <c r="W540" s="98">
        <v>2.3400000000000001E-2</v>
      </c>
      <c r="X540" s="98">
        <v>6.13E-2</v>
      </c>
      <c r="Y540" s="96" t="s">
        <v>411</v>
      </c>
      <c r="Z540" s="96"/>
      <c r="AA540" s="97">
        <v>652938.33392799995</v>
      </c>
      <c r="AB540" s="97">
        <v>1</v>
      </c>
      <c r="AC540" s="97">
        <v>80.680000000000007</v>
      </c>
      <c r="AD540" s="97"/>
      <c r="AE540" s="97">
        <v>526.79064700000004</v>
      </c>
      <c r="AF540" s="96"/>
      <c r="AG540" s="96"/>
      <c r="AH540" s="96"/>
      <c r="AI540" s="98">
        <v>6.6200000000000005E-4</v>
      </c>
      <c r="AJ540" s="98">
        <v>1.9729999999999999E-3</v>
      </c>
      <c r="AK540" s="98">
        <v>2.7399999999999999E-4</v>
      </c>
      <c r="AL540" s="106"/>
    </row>
    <row r="541" spans="1:38" ht="15" customHeight="1">
      <c r="A541" s="106"/>
      <c r="B541" s="96">
        <v>286</v>
      </c>
      <c r="C541" s="96">
        <v>286</v>
      </c>
      <c r="D541" s="96" t="s">
        <v>1321</v>
      </c>
      <c r="E541" s="96">
        <v>550263107</v>
      </c>
      <c r="F541" s="96" t="s">
        <v>309</v>
      </c>
      <c r="G541" s="96" t="s">
        <v>1803</v>
      </c>
      <c r="H541" s="96" t="s">
        <v>1804</v>
      </c>
      <c r="I541" s="96" t="s">
        <v>320</v>
      </c>
      <c r="J541" s="96" t="s">
        <v>952</v>
      </c>
      <c r="K541" s="96" t="s">
        <v>203</v>
      </c>
      <c r="L541" s="96" t="s">
        <v>203</v>
      </c>
      <c r="M541" s="96" t="s">
        <v>324</v>
      </c>
      <c r="N541" s="96" t="s">
        <v>339</v>
      </c>
      <c r="O541" s="96" t="s">
        <v>453</v>
      </c>
      <c r="P541" s="96" t="s">
        <v>338</v>
      </c>
      <c r="Q541" s="96" t="s">
        <v>1324</v>
      </c>
      <c r="R541" s="96" t="s">
        <v>412</v>
      </c>
      <c r="S541" s="96" t="s">
        <v>406</v>
      </c>
      <c r="T541" s="96" t="s">
        <v>1200</v>
      </c>
      <c r="U541" s="97">
        <v>3.37</v>
      </c>
      <c r="V541" s="100">
        <v>47118</v>
      </c>
      <c r="W541" s="98">
        <v>6.5000000000000002E-2</v>
      </c>
      <c r="X541" s="98">
        <v>6.8000000000000005E-2</v>
      </c>
      <c r="Y541" s="96" t="s">
        <v>411</v>
      </c>
      <c r="Z541" s="96"/>
      <c r="AA541" s="97">
        <v>414343.46155900002</v>
      </c>
      <c r="AB541" s="97">
        <v>1</v>
      </c>
      <c r="AC541" s="97">
        <v>99.37</v>
      </c>
      <c r="AD541" s="97"/>
      <c r="AE541" s="97">
        <v>411.73309699999999</v>
      </c>
      <c r="AF541" s="96"/>
      <c r="AG541" s="96"/>
      <c r="AH541" s="96"/>
      <c r="AI541" s="98">
        <v>8.2799999999999996E-4</v>
      </c>
      <c r="AJ541" s="98">
        <v>1.542E-3</v>
      </c>
      <c r="AK541" s="98">
        <v>2.14E-4</v>
      </c>
      <c r="AL541" s="106"/>
    </row>
    <row r="542" spans="1:38" ht="15" customHeight="1">
      <c r="A542" s="106"/>
      <c r="B542" s="96">
        <v>286</v>
      </c>
      <c r="C542" s="96">
        <v>286</v>
      </c>
      <c r="D542" s="96" t="s">
        <v>1632</v>
      </c>
      <c r="E542" s="96">
        <v>520034257</v>
      </c>
      <c r="F542" s="96" t="s">
        <v>308</v>
      </c>
      <c r="G542" s="96" t="s">
        <v>1633</v>
      </c>
      <c r="H542" s="96" t="s">
        <v>1634</v>
      </c>
      <c r="I542" s="96" t="s">
        <v>320</v>
      </c>
      <c r="J542" s="96" t="s">
        <v>753</v>
      </c>
      <c r="K542" s="96" t="s">
        <v>203</v>
      </c>
      <c r="L542" s="96" t="s">
        <v>203</v>
      </c>
      <c r="M542" s="96" t="s">
        <v>326</v>
      </c>
      <c r="N542" s="96" t="s">
        <v>339</v>
      </c>
      <c r="O542" s="96" t="s">
        <v>450</v>
      </c>
      <c r="P542" s="96" t="s">
        <v>338</v>
      </c>
      <c r="Q542" s="96" t="s">
        <v>1520</v>
      </c>
      <c r="R542" s="96" t="s">
        <v>414</v>
      </c>
      <c r="S542" s="96" t="s">
        <v>406</v>
      </c>
      <c r="T542" s="96" t="s">
        <v>1200</v>
      </c>
      <c r="U542" s="97">
        <v>3.21</v>
      </c>
      <c r="V542" s="100">
        <v>46944</v>
      </c>
      <c r="W542" s="98">
        <v>3.73E-2</v>
      </c>
      <c r="X542" s="98">
        <v>3.7100000000000001E-2</v>
      </c>
      <c r="Y542" s="96" t="s">
        <v>411</v>
      </c>
      <c r="Z542" s="96"/>
      <c r="AA542" s="97">
        <v>14538.515668</v>
      </c>
      <c r="AB542" s="97">
        <v>1</v>
      </c>
      <c r="AC542" s="97">
        <v>107.03</v>
      </c>
      <c r="AD542" s="97"/>
      <c r="AE542" s="97">
        <v>15.560573</v>
      </c>
      <c r="AF542" s="96"/>
      <c r="AG542" s="96"/>
      <c r="AH542" s="96"/>
      <c r="AI542" s="98">
        <v>4.1E-5</v>
      </c>
      <c r="AJ542" s="98">
        <v>5.8E-5</v>
      </c>
      <c r="AK542" s="98">
        <v>7.9999999999999996E-6</v>
      </c>
      <c r="AL542" s="106"/>
    </row>
    <row r="543" spans="1:38" ht="15" customHeight="1">
      <c r="A543" s="106"/>
      <c r="B543" s="96">
        <v>286</v>
      </c>
      <c r="C543" s="96">
        <v>286</v>
      </c>
      <c r="D543" s="96" t="s">
        <v>1337</v>
      </c>
      <c r="E543" s="96">
        <v>520028010</v>
      </c>
      <c r="F543" s="96" t="s">
        <v>308</v>
      </c>
      <c r="G543" s="96" t="s">
        <v>1338</v>
      </c>
      <c r="H543" s="96" t="s">
        <v>1339</v>
      </c>
      <c r="I543" s="96" t="s">
        <v>320</v>
      </c>
      <c r="J543" s="96" t="s">
        <v>754</v>
      </c>
      <c r="K543" s="96" t="s">
        <v>203</v>
      </c>
      <c r="L543" s="96" t="s">
        <v>203</v>
      </c>
      <c r="M543" s="96" t="s">
        <v>324</v>
      </c>
      <c r="N543" s="96" t="s">
        <v>339</v>
      </c>
      <c r="O543" s="96" t="s">
        <v>450</v>
      </c>
      <c r="P543" s="96" t="s">
        <v>338</v>
      </c>
      <c r="Q543" s="96" t="s">
        <v>1320</v>
      </c>
      <c r="R543" s="96" t="s">
        <v>412</v>
      </c>
      <c r="S543" s="96" t="s">
        <v>406</v>
      </c>
      <c r="T543" s="96" t="s">
        <v>1200</v>
      </c>
      <c r="U543" s="97">
        <v>1.23</v>
      </c>
      <c r="V543" s="100">
        <v>46295</v>
      </c>
      <c r="W543" s="98">
        <v>5.8500000000000003E-2</v>
      </c>
      <c r="X543" s="98">
        <v>5.8099999999999999E-2</v>
      </c>
      <c r="Y543" s="96" t="s">
        <v>411</v>
      </c>
      <c r="Z543" s="96"/>
      <c r="AA543" s="97">
        <v>179249.198095</v>
      </c>
      <c r="AB543" s="97">
        <v>1</v>
      </c>
      <c r="AC543" s="97">
        <v>109.4</v>
      </c>
      <c r="AD543" s="97"/>
      <c r="AE543" s="97">
        <v>196.09862200000001</v>
      </c>
      <c r="AF543" s="96"/>
      <c r="AG543" s="96"/>
      <c r="AH543" s="96"/>
      <c r="AI543" s="98">
        <v>1.134E-3</v>
      </c>
      <c r="AJ543" s="98">
        <v>7.3399999999999995E-4</v>
      </c>
      <c r="AK543" s="98">
        <v>1.02E-4</v>
      </c>
      <c r="AL543" s="106"/>
    </row>
    <row r="544" spans="1:38" ht="15" customHeight="1">
      <c r="A544" s="106"/>
      <c r="B544" s="96">
        <v>286</v>
      </c>
      <c r="C544" s="96">
        <v>286</v>
      </c>
      <c r="D544" s="96" t="s">
        <v>1474</v>
      </c>
      <c r="E544" s="96">
        <v>1737</v>
      </c>
      <c r="F544" s="96" t="s">
        <v>80</v>
      </c>
      <c r="G544" s="96" t="s">
        <v>2058</v>
      </c>
      <c r="H544" s="96" t="s">
        <v>1724</v>
      </c>
      <c r="I544" s="96" t="s">
        <v>320</v>
      </c>
      <c r="J544" s="96" t="s">
        <v>952</v>
      </c>
      <c r="K544" s="96" t="s">
        <v>203</v>
      </c>
      <c r="L544" s="96" t="s">
        <v>203</v>
      </c>
      <c r="M544" s="96" t="s">
        <v>326</v>
      </c>
      <c r="N544" s="96" t="s">
        <v>339</v>
      </c>
      <c r="O544" s="96" t="s">
        <v>464</v>
      </c>
      <c r="P544" s="96" t="s">
        <v>338</v>
      </c>
      <c r="Q544" s="96" t="s">
        <v>1313</v>
      </c>
      <c r="R544" s="96" t="s">
        <v>412</v>
      </c>
      <c r="S544" s="96" t="s">
        <v>406</v>
      </c>
      <c r="T544" s="96" t="s">
        <v>1200</v>
      </c>
      <c r="U544" s="97">
        <v>2.38</v>
      </c>
      <c r="V544" s="100">
        <v>46752</v>
      </c>
      <c r="W544" s="98">
        <v>3.49E-2</v>
      </c>
      <c r="X544" s="98">
        <v>7.6200000000000004E-2</v>
      </c>
      <c r="Y544" s="96" t="s">
        <v>411</v>
      </c>
      <c r="Z544" s="96"/>
      <c r="AA544" s="97">
        <v>487044.53426799999</v>
      </c>
      <c r="AB544" s="97">
        <v>1</v>
      </c>
      <c r="AC544" s="97">
        <v>91.099199999999996</v>
      </c>
      <c r="AD544" s="97"/>
      <c r="AE544" s="97">
        <v>443.69383699999997</v>
      </c>
      <c r="AF544" s="96"/>
      <c r="AG544" s="96"/>
      <c r="AH544" s="96"/>
      <c r="AI544" s="98">
        <v>5.1500000000000005E-4</v>
      </c>
      <c r="AJ544" s="98">
        <v>1.6620000000000001E-3</v>
      </c>
      <c r="AK544" s="98">
        <v>2.31E-4</v>
      </c>
      <c r="AL544" s="106"/>
    </row>
    <row r="545" spans="1:38" ht="15" customHeight="1">
      <c r="A545" s="106"/>
      <c r="B545" s="96">
        <v>286</v>
      </c>
      <c r="C545" s="96">
        <v>286</v>
      </c>
      <c r="D545" s="96" t="s">
        <v>1302</v>
      </c>
      <c r="E545" s="96">
        <v>513623314</v>
      </c>
      <c r="F545" s="96" t="s">
        <v>308</v>
      </c>
      <c r="G545" s="96" t="s">
        <v>1781</v>
      </c>
      <c r="H545" s="96" t="s">
        <v>1782</v>
      </c>
      <c r="I545" s="96" t="s">
        <v>320</v>
      </c>
      <c r="J545" s="96" t="s">
        <v>753</v>
      </c>
      <c r="K545" s="96" t="s">
        <v>203</v>
      </c>
      <c r="L545" s="96" t="s">
        <v>203</v>
      </c>
      <c r="M545" s="96" t="s">
        <v>324</v>
      </c>
      <c r="N545" s="96" t="s">
        <v>339</v>
      </c>
      <c r="O545" s="96" t="s">
        <v>463</v>
      </c>
      <c r="P545" s="96" t="s">
        <v>337</v>
      </c>
      <c r="Q545" s="96" t="s">
        <v>1336</v>
      </c>
      <c r="R545" s="96" t="s">
        <v>414</v>
      </c>
      <c r="S545" s="96" t="s">
        <v>406</v>
      </c>
      <c r="T545" s="96" t="s">
        <v>1200</v>
      </c>
      <c r="U545" s="97">
        <v>1.68</v>
      </c>
      <c r="V545" s="100">
        <v>46124</v>
      </c>
      <c r="W545" s="98">
        <v>1.34E-2</v>
      </c>
      <c r="X545" s="98">
        <v>2.63E-2</v>
      </c>
      <c r="Y545" s="96" t="s">
        <v>411</v>
      </c>
      <c r="Z545" s="96"/>
      <c r="AA545" s="97">
        <v>46328.862849999998</v>
      </c>
      <c r="AB545" s="97">
        <v>1</v>
      </c>
      <c r="AC545" s="97">
        <v>112.6</v>
      </c>
      <c r="AD545" s="97"/>
      <c r="AE545" s="97">
        <v>52.166299000000002</v>
      </c>
      <c r="AF545" s="96"/>
      <c r="AG545" s="96"/>
      <c r="AH545" s="96"/>
      <c r="AI545" s="98">
        <v>9.3999999999999994E-5</v>
      </c>
      <c r="AJ545" s="98">
        <v>1.95E-4</v>
      </c>
      <c r="AK545" s="98">
        <v>2.6999999999999999E-5</v>
      </c>
      <c r="AL545" s="106"/>
    </row>
    <row r="546" spans="1:38" ht="15" customHeight="1">
      <c r="A546" s="106"/>
      <c r="B546" s="96">
        <v>286</v>
      </c>
      <c r="C546" s="96">
        <v>286</v>
      </c>
      <c r="D546" s="96" t="s">
        <v>1648</v>
      </c>
      <c r="E546" s="96">
        <v>515846558</v>
      </c>
      <c r="F546" s="96" t="s">
        <v>308</v>
      </c>
      <c r="G546" s="96" t="s">
        <v>1649</v>
      </c>
      <c r="H546" s="96" t="s">
        <v>1650</v>
      </c>
      <c r="I546" s="96" t="s">
        <v>320</v>
      </c>
      <c r="J546" s="96" t="s">
        <v>753</v>
      </c>
      <c r="K546" s="96" t="s">
        <v>203</v>
      </c>
      <c r="L546" s="96" t="s">
        <v>203</v>
      </c>
      <c r="M546" s="96" t="s">
        <v>324</v>
      </c>
      <c r="N546" s="96" t="s">
        <v>339</v>
      </c>
      <c r="O546" s="96" t="s">
        <v>450</v>
      </c>
      <c r="P546" s="96" t="s">
        <v>337</v>
      </c>
      <c r="Q546" s="96" t="s">
        <v>1320</v>
      </c>
      <c r="R546" s="96" t="s">
        <v>412</v>
      </c>
      <c r="S546" s="96" t="s">
        <v>406</v>
      </c>
      <c r="T546" s="96" t="s">
        <v>1200</v>
      </c>
      <c r="U546" s="97">
        <v>4.38</v>
      </c>
      <c r="V546" s="100">
        <v>48852</v>
      </c>
      <c r="W546" s="98">
        <v>7.4999999999999997E-3</v>
      </c>
      <c r="X546" s="98">
        <v>3.9199999999999999E-2</v>
      </c>
      <c r="Y546" s="96" t="s">
        <v>411</v>
      </c>
      <c r="Z546" s="96"/>
      <c r="AA546" s="97">
        <v>368299.549467</v>
      </c>
      <c r="AB546" s="97">
        <v>1</v>
      </c>
      <c r="AC546" s="97">
        <v>96.11</v>
      </c>
      <c r="AD546" s="97"/>
      <c r="AE546" s="97">
        <v>353.97269599999998</v>
      </c>
      <c r="AF546" s="96"/>
      <c r="AG546" s="96"/>
      <c r="AH546" s="96"/>
      <c r="AI546" s="98">
        <v>3.5100000000000002E-4</v>
      </c>
      <c r="AJ546" s="98">
        <v>1.3259999999999999E-3</v>
      </c>
      <c r="AK546" s="98">
        <v>1.84E-4</v>
      </c>
      <c r="AL546" s="106"/>
    </row>
    <row r="547" spans="1:38" ht="15" customHeight="1">
      <c r="A547" s="106"/>
      <c r="B547" s="96">
        <v>286</v>
      </c>
      <c r="C547" s="96">
        <v>286</v>
      </c>
      <c r="D547" s="96" t="s">
        <v>1370</v>
      </c>
      <c r="E547" s="96">
        <v>1604</v>
      </c>
      <c r="F547" s="96" t="s">
        <v>80</v>
      </c>
      <c r="G547" s="96" t="s">
        <v>1371</v>
      </c>
      <c r="H547" s="96" t="s">
        <v>1372</v>
      </c>
      <c r="I547" s="96" t="s">
        <v>320</v>
      </c>
      <c r="J547" s="96" t="s">
        <v>952</v>
      </c>
      <c r="K547" s="96" t="s">
        <v>203</v>
      </c>
      <c r="L547" s="96" t="s">
        <v>203</v>
      </c>
      <c r="M547" s="96" t="s">
        <v>324</v>
      </c>
      <c r="N547" s="96" t="s">
        <v>339</v>
      </c>
      <c r="O547" s="96" t="s">
        <v>464</v>
      </c>
      <c r="P547" s="96" t="s">
        <v>338</v>
      </c>
      <c r="Q547" s="96" t="s">
        <v>1324</v>
      </c>
      <c r="R547" s="96" t="s">
        <v>412</v>
      </c>
      <c r="S547" s="96" t="s">
        <v>406</v>
      </c>
      <c r="T547" s="96" t="s">
        <v>1200</v>
      </c>
      <c r="U547" s="97">
        <v>2.39</v>
      </c>
      <c r="V547" s="100">
        <v>46888</v>
      </c>
      <c r="W547" s="98">
        <v>0.08</v>
      </c>
      <c r="X547" s="98">
        <v>0.1547</v>
      </c>
      <c r="Y547" s="96" t="s">
        <v>411</v>
      </c>
      <c r="Z547" s="96"/>
      <c r="AA547" s="97">
        <v>1280943.456123</v>
      </c>
      <c r="AB547" s="97">
        <v>1</v>
      </c>
      <c r="AC547" s="97">
        <v>83.99</v>
      </c>
      <c r="AD547" s="97"/>
      <c r="AE547" s="97">
        <v>1075.8644079999999</v>
      </c>
      <c r="AF547" s="96"/>
      <c r="AG547" s="96"/>
      <c r="AH547" s="96"/>
      <c r="AI547" s="98">
        <v>1.42E-3</v>
      </c>
      <c r="AJ547" s="98">
        <v>4.0309999999999999E-3</v>
      </c>
      <c r="AK547" s="98">
        <v>5.5999999999999995E-4</v>
      </c>
      <c r="AL547" s="106"/>
    </row>
    <row r="548" spans="1:38" ht="15" customHeight="1">
      <c r="A548" s="106"/>
      <c r="B548" s="96">
        <v>286</v>
      </c>
      <c r="C548" s="96">
        <v>286</v>
      </c>
      <c r="D548" s="96" t="s">
        <v>1358</v>
      </c>
      <c r="E548" s="96">
        <v>520022732</v>
      </c>
      <c r="F548" s="96" t="s">
        <v>308</v>
      </c>
      <c r="G548" s="96" t="s">
        <v>1887</v>
      </c>
      <c r="H548" s="96" t="s">
        <v>1888</v>
      </c>
      <c r="I548" s="96" t="s">
        <v>320</v>
      </c>
      <c r="J548" s="96" t="s">
        <v>753</v>
      </c>
      <c r="K548" s="96" t="s">
        <v>203</v>
      </c>
      <c r="L548" s="96" t="s">
        <v>203</v>
      </c>
      <c r="M548" s="96" t="s">
        <v>324</v>
      </c>
      <c r="N548" s="96" t="s">
        <v>339</v>
      </c>
      <c r="O548" s="96" t="s">
        <v>474</v>
      </c>
      <c r="P548" s="96" t="s">
        <v>337</v>
      </c>
      <c r="Q548" s="96" t="s">
        <v>1313</v>
      </c>
      <c r="R548" s="96" t="s">
        <v>412</v>
      </c>
      <c r="S548" s="96" t="s">
        <v>406</v>
      </c>
      <c r="T548" s="96" t="s">
        <v>1200</v>
      </c>
      <c r="U548" s="97">
        <v>2.15</v>
      </c>
      <c r="V548" s="100">
        <v>47034</v>
      </c>
      <c r="W548" s="98">
        <v>4.2999999999999997E-2</v>
      </c>
      <c r="X548" s="98">
        <v>2.3699999999999999E-2</v>
      </c>
      <c r="Y548" s="96" t="s">
        <v>411</v>
      </c>
      <c r="Z548" s="96"/>
      <c r="AA548" s="97">
        <v>255900.33794200001</v>
      </c>
      <c r="AB548" s="97">
        <v>1</v>
      </c>
      <c r="AC548" s="97">
        <v>121.81</v>
      </c>
      <c r="AD548" s="97"/>
      <c r="AE548" s="97">
        <v>311.71220099999999</v>
      </c>
      <c r="AF548" s="96"/>
      <c r="AG548" s="96"/>
      <c r="AH548" s="96"/>
      <c r="AI548" s="98">
        <v>5.0100000000000003E-4</v>
      </c>
      <c r="AJ548" s="98">
        <v>1.168E-3</v>
      </c>
      <c r="AK548" s="98">
        <v>1.6200000000000001E-4</v>
      </c>
      <c r="AL548" s="106"/>
    </row>
    <row r="549" spans="1:38" ht="15" customHeight="1">
      <c r="A549" s="106"/>
      <c r="B549" s="96">
        <v>286</v>
      </c>
      <c r="C549" s="96">
        <v>286</v>
      </c>
      <c r="D549" s="96" t="s">
        <v>1302</v>
      </c>
      <c r="E549" s="96">
        <v>513623314</v>
      </c>
      <c r="F549" s="96" t="s">
        <v>308</v>
      </c>
      <c r="G549" s="96" t="s">
        <v>1577</v>
      </c>
      <c r="H549" s="96" t="s">
        <v>1578</v>
      </c>
      <c r="I549" s="96" t="s">
        <v>320</v>
      </c>
      <c r="J549" s="96" t="s">
        <v>753</v>
      </c>
      <c r="K549" s="96" t="s">
        <v>203</v>
      </c>
      <c r="L549" s="96" t="s">
        <v>203</v>
      </c>
      <c r="M549" s="96" t="s">
        <v>324</v>
      </c>
      <c r="N549" s="96" t="s">
        <v>339</v>
      </c>
      <c r="O549" s="96" t="s">
        <v>463</v>
      </c>
      <c r="P549" s="96" t="s">
        <v>337</v>
      </c>
      <c r="Q549" s="96" t="s">
        <v>1313</v>
      </c>
      <c r="R549" s="96" t="s">
        <v>412</v>
      </c>
      <c r="S549" s="96" t="s">
        <v>406</v>
      </c>
      <c r="T549" s="96" t="s">
        <v>1200</v>
      </c>
      <c r="U549" s="97">
        <v>5.59</v>
      </c>
      <c r="V549" s="100">
        <v>47667</v>
      </c>
      <c r="W549" s="98">
        <v>2.5999999999999999E-2</v>
      </c>
      <c r="X549" s="98">
        <v>3.1800000000000002E-2</v>
      </c>
      <c r="Y549" s="96" t="s">
        <v>411</v>
      </c>
      <c r="Z549" s="96"/>
      <c r="AA549" s="97">
        <v>632810.31654799997</v>
      </c>
      <c r="AB549" s="97">
        <v>1</v>
      </c>
      <c r="AC549" s="97">
        <v>98.8</v>
      </c>
      <c r="AD549" s="97"/>
      <c r="AE549" s="97">
        <v>625.21659199999999</v>
      </c>
      <c r="AF549" s="96"/>
      <c r="AG549" s="96"/>
      <c r="AH549" s="96"/>
      <c r="AI549" s="98">
        <v>1.1800000000000001E-3</v>
      </c>
      <c r="AJ549" s="98">
        <v>2.3419999999999999E-3</v>
      </c>
      <c r="AK549" s="98">
        <v>3.2499999999999999E-4</v>
      </c>
      <c r="AL549" s="106"/>
    </row>
    <row r="550" spans="1:38" ht="15" customHeight="1">
      <c r="A550" s="106"/>
      <c r="B550" s="96">
        <v>286</v>
      </c>
      <c r="C550" s="96">
        <v>286</v>
      </c>
      <c r="D550" s="96" t="s">
        <v>1354</v>
      </c>
      <c r="E550" s="96">
        <v>513893123</v>
      </c>
      <c r="F550" s="96" t="s">
        <v>308</v>
      </c>
      <c r="G550" s="96" t="s">
        <v>1884</v>
      </c>
      <c r="H550" s="96" t="s">
        <v>1396</v>
      </c>
      <c r="I550" s="96" t="s">
        <v>320</v>
      </c>
      <c r="J550" s="96" t="s">
        <v>753</v>
      </c>
      <c r="K550" s="96" t="s">
        <v>203</v>
      </c>
      <c r="L550" s="96" t="s">
        <v>203</v>
      </c>
      <c r="M550" s="96" t="s">
        <v>324</v>
      </c>
      <c r="N550" s="96" t="s">
        <v>339</v>
      </c>
      <c r="O550" s="96" t="s">
        <v>442</v>
      </c>
      <c r="P550" s="96" t="s">
        <v>338</v>
      </c>
      <c r="Q550" s="96" t="s">
        <v>1357</v>
      </c>
      <c r="R550" s="96" t="s">
        <v>414</v>
      </c>
      <c r="S550" s="96" t="s">
        <v>406</v>
      </c>
      <c r="T550" s="96" t="s">
        <v>1200</v>
      </c>
      <c r="U550" s="97">
        <v>3.22</v>
      </c>
      <c r="V550" s="100">
        <v>48060</v>
      </c>
      <c r="W550" s="98">
        <v>0.01</v>
      </c>
      <c r="X550" s="98">
        <v>3.5700000000000003E-2</v>
      </c>
      <c r="Y550" s="96" t="s">
        <v>411</v>
      </c>
      <c r="Z550" s="96"/>
      <c r="AA550" s="97">
        <v>43777.927108999997</v>
      </c>
      <c r="AB550" s="97">
        <v>1</v>
      </c>
      <c r="AC550" s="97">
        <v>102.46</v>
      </c>
      <c r="AD550" s="97"/>
      <c r="AE550" s="97">
        <v>44.854863999999999</v>
      </c>
      <c r="AF550" s="96"/>
      <c r="AG550" s="96"/>
      <c r="AH550" s="96"/>
      <c r="AI550" s="98">
        <v>2.5000000000000001E-5</v>
      </c>
      <c r="AJ550" s="98">
        <v>1.6799999999999999E-4</v>
      </c>
      <c r="AK550" s="98">
        <v>2.3E-5</v>
      </c>
      <c r="AL550" s="106"/>
    </row>
    <row r="551" spans="1:38" ht="15" customHeight="1">
      <c r="A551" s="106"/>
      <c r="B551" s="96">
        <v>286</v>
      </c>
      <c r="C551" s="96">
        <v>286</v>
      </c>
      <c r="D551" s="96" t="s">
        <v>1333</v>
      </c>
      <c r="E551" s="96">
        <v>520024126</v>
      </c>
      <c r="F551" s="96" t="s">
        <v>308</v>
      </c>
      <c r="G551" s="96" t="s">
        <v>1540</v>
      </c>
      <c r="H551" s="96" t="s">
        <v>1541</v>
      </c>
      <c r="I551" s="96" t="s">
        <v>320</v>
      </c>
      <c r="J551" s="96" t="s">
        <v>753</v>
      </c>
      <c r="K551" s="96" t="s">
        <v>203</v>
      </c>
      <c r="L551" s="96" t="s">
        <v>203</v>
      </c>
      <c r="M551" s="96" t="s">
        <v>324</v>
      </c>
      <c r="N551" s="96" t="s">
        <v>339</v>
      </c>
      <c r="O551" s="96" t="s">
        <v>463</v>
      </c>
      <c r="P551" s="96" t="s">
        <v>337</v>
      </c>
      <c r="Q551" s="96" t="s">
        <v>1313</v>
      </c>
      <c r="R551" s="96" t="s">
        <v>412</v>
      </c>
      <c r="S551" s="96" t="s">
        <v>406</v>
      </c>
      <c r="T551" s="96" t="s">
        <v>1200</v>
      </c>
      <c r="U551" s="97">
        <v>2.4</v>
      </c>
      <c r="V551" s="100">
        <v>46934</v>
      </c>
      <c r="W551" s="98">
        <v>3.6999999999999998E-2</v>
      </c>
      <c r="X551" s="98">
        <v>2.7900000000000001E-2</v>
      </c>
      <c r="Y551" s="96" t="s">
        <v>411</v>
      </c>
      <c r="Z551" s="96"/>
      <c r="AA551" s="97">
        <v>46815.957094999998</v>
      </c>
      <c r="AB551" s="97">
        <v>1</v>
      </c>
      <c r="AC551" s="97">
        <v>116.16</v>
      </c>
      <c r="AD551" s="97"/>
      <c r="AE551" s="97">
        <v>54.381414999999997</v>
      </c>
      <c r="AF551" s="96"/>
      <c r="AG551" s="96"/>
      <c r="AH551" s="96"/>
      <c r="AI551" s="98">
        <v>1.55E-4</v>
      </c>
      <c r="AJ551" s="98">
        <v>2.03E-4</v>
      </c>
      <c r="AK551" s="98">
        <v>2.8E-5</v>
      </c>
      <c r="AL551" s="106"/>
    </row>
    <row r="552" spans="1:38" ht="15" customHeight="1">
      <c r="A552" s="106"/>
      <c r="B552" s="96">
        <v>286</v>
      </c>
      <c r="C552" s="96">
        <v>286</v>
      </c>
      <c r="D552" s="96" t="s">
        <v>1417</v>
      </c>
      <c r="E552" s="96">
        <v>513230029</v>
      </c>
      <c r="F552" s="96" t="s">
        <v>308</v>
      </c>
      <c r="G552" s="96" t="s">
        <v>1792</v>
      </c>
      <c r="H552" s="96" t="s">
        <v>1793</v>
      </c>
      <c r="I552" s="96" t="s">
        <v>320</v>
      </c>
      <c r="J552" s="96" t="s">
        <v>952</v>
      </c>
      <c r="K552" s="96" t="s">
        <v>203</v>
      </c>
      <c r="L552" s="96" t="s">
        <v>203</v>
      </c>
      <c r="M552" s="96" t="s">
        <v>324</v>
      </c>
      <c r="N552" s="96" t="s">
        <v>339</v>
      </c>
      <c r="O552" s="96" t="s">
        <v>444</v>
      </c>
      <c r="P552" s="96" t="s">
        <v>338</v>
      </c>
      <c r="Q552" s="96" t="s">
        <v>1357</v>
      </c>
      <c r="R552" s="96" t="s">
        <v>414</v>
      </c>
      <c r="S552" s="96" t="s">
        <v>406</v>
      </c>
      <c r="T552" s="96" t="s">
        <v>1200</v>
      </c>
      <c r="U552" s="97">
        <v>5.55</v>
      </c>
      <c r="V552" s="100">
        <v>47848</v>
      </c>
      <c r="W552" s="98">
        <v>5.3999999999999999E-2</v>
      </c>
      <c r="X552" s="98">
        <v>6.1100000000000002E-2</v>
      </c>
      <c r="Y552" s="96" t="s">
        <v>411</v>
      </c>
      <c r="Z552" s="96"/>
      <c r="AA552" s="97">
        <v>387090.01338800002</v>
      </c>
      <c r="AB552" s="97">
        <v>1</v>
      </c>
      <c r="AC552" s="97">
        <v>96.69</v>
      </c>
      <c r="AD552" s="97"/>
      <c r="AE552" s="97">
        <v>374.277333</v>
      </c>
      <c r="AF552" s="96"/>
      <c r="AG552" s="96"/>
      <c r="AH552" s="96"/>
      <c r="AI552" s="98">
        <v>6.7699999999999998E-4</v>
      </c>
      <c r="AJ552" s="98">
        <v>1.402E-3</v>
      </c>
      <c r="AK552" s="98">
        <v>1.94E-4</v>
      </c>
      <c r="AL552" s="106"/>
    </row>
    <row r="553" spans="1:38" ht="15" customHeight="1">
      <c r="A553" s="106"/>
      <c r="B553" s="96">
        <v>286</v>
      </c>
      <c r="C553" s="96">
        <v>286</v>
      </c>
      <c r="D553" s="96" t="s">
        <v>1382</v>
      </c>
      <c r="E553" s="96">
        <v>520036690</v>
      </c>
      <c r="F553" s="96" t="s">
        <v>308</v>
      </c>
      <c r="G553" s="96" t="s">
        <v>1842</v>
      </c>
      <c r="H553" s="96" t="s">
        <v>1384</v>
      </c>
      <c r="I553" s="96" t="s">
        <v>320</v>
      </c>
      <c r="J553" s="96" t="s">
        <v>952</v>
      </c>
      <c r="K553" s="96" t="s">
        <v>203</v>
      </c>
      <c r="L553" s="96" t="s">
        <v>203</v>
      </c>
      <c r="M553" s="96" t="s">
        <v>326</v>
      </c>
      <c r="N553" s="96" t="s">
        <v>339</v>
      </c>
      <c r="O553" s="96" t="s">
        <v>475</v>
      </c>
      <c r="P553" s="96" t="s">
        <v>337</v>
      </c>
      <c r="Q553" s="96" t="s">
        <v>1305</v>
      </c>
      <c r="R553" s="96" t="s">
        <v>414</v>
      </c>
      <c r="S553" s="96" t="s">
        <v>406</v>
      </c>
      <c r="T553" s="96" t="s">
        <v>1200</v>
      </c>
      <c r="U553" s="97">
        <v>1.58</v>
      </c>
      <c r="V553" s="100">
        <v>46357</v>
      </c>
      <c r="W553" s="98">
        <v>2.29E-2</v>
      </c>
      <c r="X553" s="98">
        <v>4.99E-2</v>
      </c>
      <c r="Y553" s="96" t="s">
        <v>411</v>
      </c>
      <c r="Z553" s="96"/>
      <c r="AA553" s="97">
        <v>13240.435905</v>
      </c>
      <c r="AB553" s="97">
        <v>1</v>
      </c>
      <c r="AC553" s="97">
        <v>96.118700000000004</v>
      </c>
      <c r="AD553" s="97"/>
      <c r="AE553" s="97">
        <v>12.726528</v>
      </c>
      <c r="AF553" s="96"/>
      <c r="AG553" s="96"/>
      <c r="AH553" s="96"/>
      <c r="AI553" s="98">
        <v>3.1999999999999999E-5</v>
      </c>
      <c r="AJ553" s="98">
        <v>4.6999999999999997E-5</v>
      </c>
      <c r="AK553" s="98">
        <v>6.0000000000000002E-6</v>
      </c>
      <c r="AL553" s="106"/>
    </row>
    <row r="554" spans="1:38" ht="15" customHeight="1">
      <c r="A554" s="106"/>
      <c r="B554" s="96">
        <v>286</v>
      </c>
      <c r="C554" s="96">
        <v>286</v>
      </c>
      <c r="D554" s="96" t="s">
        <v>1987</v>
      </c>
      <c r="E554" s="96">
        <v>516378643</v>
      </c>
      <c r="F554" s="96" t="s">
        <v>308</v>
      </c>
      <c r="G554" s="96" t="s">
        <v>1988</v>
      </c>
      <c r="H554" s="96" t="s">
        <v>1989</v>
      </c>
      <c r="I554" s="96" t="s">
        <v>320</v>
      </c>
      <c r="J554" s="96" t="s">
        <v>753</v>
      </c>
      <c r="K554" s="96" t="s">
        <v>203</v>
      </c>
      <c r="L554" s="96" t="s">
        <v>203</v>
      </c>
      <c r="M554" s="96" t="s">
        <v>324</v>
      </c>
      <c r="N554" s="96" t="s">
        <v>339</v>
      </c>
      <c r="O554" s="96" t="s">
        <v>463</v>
      </c>
      <c r="P554" s="96" t="s">
        <v>338</v>
      </c>
      <c r="Q554" s="96" t="s">
        <v>1328</v>
      </c>
      <c r="R554" s="96" t="s">
        <v>412</v>
      </c>
      <c r="S554" s="96" t="s">
        <v>406</v>
      </c>
      <c r="T554" s="96" t="s">
        <v>1200</v>
      </c>
      <c r="U554" s="97">
        <v>4.46</v>
      </c>
      <c r="V554" s="100">
        <v>47756</v>
      </c>
      <c r="W554" s="98">
        <v>4.3999999999999997E-2</v>
      </c>
      <c r="X554" s="98">
        <v>3.6900000000000002E-2</v>
      </c>
      <c r="Y554" s="96" t="s">
        <v>411</v>
      </c>
      <c r="Z554" s="96"/>
      <c r="AA554" s="97">
        <v>508357.94663800002</v>
      </c>
      <c r="AB554" s="97">
        <v>1</v>
      </c>
      <c r="AC554" s="97">
        <v>107.51</v>
      </c>
      <c r="AD554" s="97"/>
      <c r="AE554" s="97">
        <v>546.53562799999997</v>
      </c>
      <c r="AF554" s="96"/>
      <c r="AG554" s="96"/>
      <c r="AH554" s="96"/>
      <c r="AI554" s="98">
        <v>1.2149999999999999E-3</v>
      </c>
      <c r="AJ554" s="98">
        <v>2.0470000000000002E-3</v>
      </c>
      <c r="AK554" s="98">
        <v>2.8400000000000002E-4</v>
      </c>
      <c r="AL554" s="106"/>
    </row>
    <row r="555" spans="1:38" ht="15" customHeight="1">
      <c r="A555" s="106"/>
      <c r="B555" s="96">
        <v>286</v>
      </c>
      <c r="C555" s="96">
        <v>286</v>
      </c>
      <c r="D555" s="96" t="s">
        <v>1699</v>
      </c>
      <c r="E555" s="96">
        <v>511809071</v>
      </c>
      <c r="F555" s="96" t="s">
        <v>308</v>
      </c>
      <c r="G555" s="96" t="s">
        <v>1812</v>
      </c>
      <c r="H555" s="96" t="s">
        <v>1813</v>
      </c>
      <c r="I555" s="96" t="s">
        <v>320</v>
      </c>
      <c r="J555" s="96" t="s">
        <v>753</v>
      </c>
      <c r="K555" s="96" t="s">
        <v>203</v>
      </c>
      <c r="L555" s="96" t="s">
        <v>203</v>
      </c>
      <c r="M555" s="96" t="s">
        <v>324</v>
      </c>
      <c r="N555" s="96" t="s">
        <v>339</v>
      </c>
      <c r="O555" s="96" t="s">
        <v>461</v>
      </c>
      <c r="P555" s="96" t="s">
        <v>338</v>
      </c>
      <c r="Q555" s="96" t="s">
        <v>1332</v>
      </c>
      <c r="R555" s="96" t="s">
        <v>412</v>
      </c>
      <c r="S555" s="96" t="s">
        <v>406</v>
      </c>
      <c r="T555" s="96" t="s">
        <v>1200</v>
      </c>
      <c r="U555" s="97">
        <v>1.58</v>
      </c>
      <c r="V555" s="100">
        <v>46609</v>
      </c>
      <c r="W555" s="98">
        <v>1.0500000000000001E-2</v>
      </c>
      <c r="X555" s="98">
        <v>2.7E-2</v>
      </c>
      <c r="Y555" s="96" t="s">
        <v>411</v>
      </c>
      <c r="Z555" s="96"/>
      <c r="AA555" s="97">
        <v>8864.0545750000001</v>
      </c>
      <c r="AB555" s="97">
        <v>1</v>
      </c>
      <c r="AC555" s="97">
        <v>109.95</v>
      </c>
      <c r="AD555" s="97"/>
      <c r="AE555" s="97">
        <v>9.7460280000000008</v>
      </c>
      <c r="AF555" s="96"/>
      <c r="AG555" s="96"/>
      <c r="AH555" s="96"/>
      <c r="AI555" s="98">
        <v>3.6999999999999998E-5</v>
      </c>
      <c r="AJ555" s="98">
        <v>3.6000000000000001E-5</v>
      </c>
      <c r="AK555" s="98">
        <v>5.0000000000000004E-6</v>
      </c>
      <c r="AL555" s="106"/>
    </row>
    <row r="556" spans="1:38" ht="15" customHeight="1">
      <c r="A556" s="106"/>
      <c r="B556" s="96">
        <v>286</v>
      </c>
      <c r="C556" s="96">
        <v>286</v>
      </c>
      <c r="D556" s="96" t="s">
        <v>1597</v>
      </c>
      <c r="E556" s="96">
        <v>520020116</v>
      </c>
      <c r="F556" s="96" t="s">
        <v>308</v>
      </c>
      <c r="G556" s="96" t="s">
        <v>1651</v>
      </c>
      <c r="H556" s="96" t="s">
        <v>1652</v>
      </c>
      <c r="I556" s="96" t="s">
        <v>320</v>
      </c>
      <c r="J556" s="96" t="s">
        <v>753</v>
      </c>
      <c r="K556" s="96" t="s">
        <v>203</v>
      </c>
      <c r="L556" s="96" t="s">
        <v>203</v>
      </c>
      <c r="M556" s="96" t="s">
        <v>324</v>
      </c>
      <c r="N556" s="96" t="s">
        <v>339</v>
      </c>
      <c r="O556" s="96" t="s">
        <v>463</v>
      </c>
      <c r="P556" s="96" t="s">
        <v>337</v>
      </c>
      <c r="Q556" s="96" t="s">
        <v>1328</v>
      </c>
      <c r="R556" s="96" t="s">
        <v>412</v>
      </c>
      <c r="S556" s="96" t="s">
        <v>406</v>
      </c>
      <c r="T556" s="96" t="s">
        <v>1200</v>
      </c>
      <c r="U556" s="97">
        <v>3.03</v>
      </c>
      <c r="V556" s="100">
        <v>46752</v>
      </c>
      <c r="W556" s="98">
        <v>1.7999999999999999E-2</v>
      </c>
      <c r="X556" s="98">
        <v>3.0200000000000001E-2</v>
      </c>
      <c r="Y556" s="96" t="s">
        <v>411</v>
      </c>
      <c r="Z556" s="96"/>
      <c r="AA556" s="97">
        <v>362667.84952500003</v>
      </c>
      <c r="AB556" s="97">
        <v>1</v>
      </c>
      <c r="AC556" s="97">
        <v>110.52</v>
      </c>
      <c r="AD556" s="97"/>
      <c r="AE556" s="97">
        <v>400.82050700000002</v>
      </c>
      <c r="AF556" s="96"/>
      <c r="AG556" s="96"/>
      <c r="AH556" s="96"/>
      <c r="AI556" s="98">
        <v>4.5899999999999999E-4</v>
      </c>
      <c r="AJ556" s="98">
        <v>1.5009999999999999E-3</v>
      </c>
      <c r="AK556" s="98">
        <v>2.0799999999999999E-4</v>
      </c>
      <c r="AL556" s="106"/>
    </row>
    <row r="557" spans="1:38" ht="15" customHeight="1">
      <c r="A557" s="106"/>
      <c r="B557" s="96">
        <v>286</v>
      </c>
      <c r="C557" s="96">
        <v>286</v>
      </c>
      <c r="D557" s="96" t="s">
        <v>1491</v>
      </c>
      <c r="E557" s="96">
        <v>520036104</v>
      </c>
      <c r="F557" s="96" t="s">
        <v>308</v>
      </c>
      <c r="G557" s="96" t="s">
        <v>1944</v>
      </c>
      <c r="H557" s="96" t="s">
        <v>1945</v>
      </c>
      <c r="I557" s="96" t="s">
        <v>320</v>
      </c>
      <c r="J557" s="96" t="s">
        <v>753</v>
      </c>
      <c r="K557" s="96" t="s">
        <v>203</v>
      </c>
      <c r="L557" s="96" t="s">
        <v>203</v>
      </c>
      <c r="M557" s="96" t="s">
        <v>324</v>
      </c>
      <c r="N557" s="96" t="s">
        <v>339</v>
      </c>
      <c r="O557" s="96" t="s">
        <v>446</v>
      </c>
      <c r="P557" s="96" t="s">
        <v>337</v>
      </c>
      <c r="Q557" s="96" t="s">
        <v>1328</v>
      </c>
      <c r="R557" s="96" t="s">
        <v>412</v>
      </c>
      <c r="S557" s="96" t="s">
        <v>406</v>
      </c>
      <c r="T557" s="96" t="s">
        <v>1200</v>
      </c>
      <c r="U557" s="97">
        <v>0.74</v>
      </c>
      <c r="V557" s="100">
        <v>45748</v>
      </c>
      <c r="W557" s="98">
        <v>4.3400000000000001E-2</v>
      </c>
      <c r="X557" s="98">
        <v>3.6499999999999998E-2</v>
      </c>
      <c r="Y557" s="96" t="s">
        <v>411</v>
      </c>
      <c r="Z557" s="96"/>
      <c r="AA557" s="97">
        <v>237828.53687000001</v>
      </c>
      <c r="AB557" s="97">
        <v>1</v>
      </c>
      <c r="AC557" s="97">
        <v>115.35</v>
      </c>
      <c r="AD557" s="97"/>
      <c r="AE557" s="97">
        <v>274.335217</v>
      </c>
      <c r="AF557" s="96"/>
      <c r="AG557" s="96"/>
      <c r="AH557" s="96"/>
      <c r="AI557" s="98">
        <v>5.4600000000000004E-4</v>
      </c>
      <c r="AJ557" s="98">
        <v>1.0269999999999999E-3</v>
      </c>
      <c r="AK557" s="98">
        <v>1.4200000000000001E-4</v>
      </c>
      <c r="AL557" s="106"/>
    </row>
    <row r="558" spans="1:38" ht="15" customHeight="1">
      <c r="A558" s="106"/>
      <c r="B558" s="96">
        <v>286</v>
      </c>
      <c r="C558" s="96">
        <v>286</v>
      </c>
      <c r="D558" s="96" t="s">
        <v>1484</v>
      </c>
      <c r="E558" s="96">
        <v>520036617</v>
      </c>
      <c r="F558" s="96" t="s">
        <v>308</v>
      </c>
      <c r="G558" s="96" t="s">
        <v>1777</v>
      </c>
      <c r="H558" s="96" t="s">
        <v>1778</v>
      </c>
      <c r="I558" s="96" t="s">
        <v>320</v>
      </c>
      <c r="J558" s="96" t="s">
        <v>753</v>
      </c>
      <c r="K558" s="96" t="s">
        <v>203</v>
      </c>
      <c r="L558" s="96" t="s">
        <v>203</v>
      </c>
      <c r="M558" s="96" t="s">
        <v>324</v>
      </c>
      <c r="N558" s="96" t="s">
        <v>339</v>
      </c>
      <c r="O558" s="96" t="s">
        <v>463</v>
      </c>
      <c r="P558" s="96" t="s">
        <v>338</v>
      </c>
      <c r="Q558" s="96" t="s">
        <v>1328</v>
      </c>
      <c r="R558" s="96" t="s">
        <v>412</v>
      </c>
      <c r="S558" s="96" t="s">
        <v>406</v>
      </c>
      <c r="T558" s="96" t="s">
        <v>1200</v>
      </c>
      <c r="U558" s="97">
        <v>4.79</v>
      </c>
      <c r="V558" s="100">
        <v>47848</v>
      </c>
      <c r="W558" s="98">
        <v>8.9999999999999993E-3</v>
      </c>
      <c r="X558" s="98">
        <v>3.8100000000000002E-2</v>
      </c>
      <c r="Y558" s="96" t="s">
        <v>411</v>
      </c>
      <c r="Z558" s="96"/>
      <c r="AA558" s="97">
        <v>379330.97199500003</v>
      </c>
      <c r="AB558" s="97">
        <v>1</v>
      </c>
      <c r="AC558" s="97">
        <v>96.52</v>
      </c>
      <c r="AD558" s="97"/>
      <c r="AE558" s="97">
        <v>366.13025399999998</v>
      </c>
      <c r="AF558" s="96"/>
      <c r="AG558" s="96"/>
      <c r="AH558" s="96"/>
      <c r="AI558" s="98">
        <v>9.1399999999999999E-4</v>
      </c>
      <c r="AJ558" s="98">
        <v>1.371E-3</v>
      </c>
      <c r="AK558" s="98">
        <v>1.9000000000000001E-4</v>
      </c>
      <c r="AL558" s="106"/>
    </row>
    <row r="559" spans="1:38" ht="15" customHeight="1">
      <c r="A559" s="106"/>
      <c r="B559" s="96">
        <v>286</v>
      </c>
      <c r="C559" s="96">
        <v>286</v>
      </c>
      <c r="D559" s="96" t="s">
        <v>1197</v>
      </c>
      <c r="E559" s="96">
        <v>520018078</v>
      </c>
      <c r="F559" s="96" t="s">
        <v>308</v>
      </c>
      <c r="G559" s="96" t="s">
        <v>1872</v>
      </c>
      <c r="H559" s="96" t="s">
        <v>1873</v>
      </c>
      <c r="I559" s="96" t="s">
        <v>320</v>
      </c>
      <c r="J559" s="96" t="s">
        <v>753</v>
      </c>
      <c r="K559" s="96" t="s">
        <v>203</v>
      </c>
      <c r="L559" s="96" t="s">
        <v>203</v>
      </c>
      <c r="M559" s="96" t="s">
        <v>324</v>
      </c>
      <c r="N559" s="96" t="s">
        <v>339</v>
      </c>
      <c r="O559" s="96" t="s">
        <v>447</v>
      </c>
      <c r="P559" s="96" t="s">
        <v>338</v>
      </c>
      <c r="Q559" s="96" t="s">
        <v>1332</v>
      </c>
      <c r="R559" s="96" t="s">
        <v>412</v>
      </c>
      <c r="S559" s="96" t="s">
        <v>406</v>
      </c>
      <c r="T559" s="96" t="s">
        <v>1200</v>
      </c>
      <c r="U559" s="97">
        <v>0.66</v>
      </c>
      <c r="V559" s="100">
        <v>45716</v>
      </c>
      <c r="W559" s="98">
        <v>2.4199999999999999E-2</v>
      </c>
      <c r="X559" s="98">
        <v>3.39E-2</v>
      </c>
      <c r="Y559" s="96" t="s">
        <v>410</v>
      </c>
      <c r="Z559" s="96"/>
      <c r="AA559" s="97">
        <v>1160038.9177000001</v>
      </c>
      <c r="AB559" s="97">
        <v>1</v>
      </c>
      <c r="AC559" s="97">
        <v>113.74</v>
      </c>
      <c r="AD559" s="97"/>
      <c r="AE559" s="97">
        <v>1319.4282639999999</v>
      </c>
      <c r="AF559" s="96"/>
      <c r="AG559" s="96"/>
      <c r="AH559" s="96"/>
      <c r="AI559" s="98">
        <v>8.0400000000000003E-4</v>
      </c>
      <c r="AJ559" s="98">
        <v>4.9439999999999996E-3</v>
      </c>
      <c r="AK559" s="98">
        <v>6.87E-4</v>
      </c>
      <c r="AL559" s="106"/>
    </row>
    <row r="560" spans="1:38" ht="15" customHeight="1">
      <c r="A560" s="106"/>
      <c r="B560" s="96">
        <v>286</v>
      </c>
      <c r="C560" s="96">
        <v>286</v>
      </c>
      <c r="D560" s="96" t="s">
        <v>1417</v>
      </c>
      <c r="E560" s="96">
        <v>513230029</v>
      </c>
      <c r="F560" s="96" t="s">
        <v>308</v>
      </c>
      <c r="G560" s="96" t="s">
        <v>1743</v>
      </c>
      <c r="H560" s="96" t="s">
        <v>1744</v>
      </c>
      <c r="I560" s="96" t="s">
        <v>320</v>
      </c>
      <c r="J560" s="96" t="s">
        <v>952</v>
      </c>
      <c r="K560" s="96" t="s">
        <v>203</v>
      </c>
      <c r="L560" s="96" t="s">
        <v>203</v>
      </c>
      <c r="M560" s="96" t="s">
        <v>324</v>
      </c>
      <c r="N560" s="96" t="s">
        <v>339</v>
      </c>
      <c r="O560" s="96" t="s">
        <v>444</v>
      </c>
      <c r="P560" s="96" t="s">
        <v>338</v>
      </c>
      <c r="Q560" s="96" t="s">
        <v>1357</v>
      </c>
      <c r="R560" s="96" t="s">
        <v>414</v>
      </c>
      <c r="S560" s="96" t="s">
        <v>406</v>
      </c>
      <c r="T560" s="96" t="s">
        <v>1200</v>
      </c>
      <c r="U560" s="97">
        <v>1.48</v>
      </c>
      <c r="V560" s="100">
        <v>46022</v>
      </c>
      <c r="W560" s="98">
        <v>2.63E-2</v>
      </c>
      <c r="X560" s="98">
        <v>5.1700000000000003E-2</v>
      </c>
      <c r="Y560" s="96" t="s">
        <v>411</v>
      </c>
      <c r="Z560" s="96"/>
      <c r="AA560" s="97">
        <v>1401654.8333940001</v>
      </c>
      <c r="AB560" s="97">
        <v>1</v>
      </c>
      <c r="AC560" s="97">
        <v>97.72</v>
      </c>
      <c r="AD560" s="97"/>
      <c r="AE560" s="97">
        <v>1369.697103</v>
      </c>
      <c r="AF560" s="96"/>
      <c r="AG560" s="96"/>
      <c r="AH560" s="96"/>
      <c r="AI560" s="98">
        <v>1.016E-3</v>
      </c>
      <c r="AJ560" s="98">
        <v>5.1320000000000003E-3</v>
      </c>
      <c r="AK560" s="98">
        <v>7.1299999999999998E-4</v>
      </c>
      <c r="AL560" s="106"/>
    </row>
    <row r="561" spans="1:38" ht="15" customHeight="1">
      <c r="A561" s="106"/>
      <c r="B561" s="96">
        <v>286</v>
      </c>
      <c r="C561" s="96">
        <v>286</v>
      </c>
      <c r="D561" s="96" t="s">
        <v>2027</v>
      </c>
      <c r="E561" s="96">
        <v>516339777</v>
      </c>
      <c r="F561" s="96" t="s">
        <v>308</v>
      </c>
      <c r="G561" s="96" t="s">
        <v>2028</v>
      </c>
      <c r="H561" s="96" t="s">
        <v>2029</v>
      </c>
      <c r="I561" s="96" t="s">
        <v>320</v>
      </c>
      <c r="J561" s="96" t="s">
        <v>952</v>
      </c>
      <c r="K561" s="96" t="s">
        <v>203</v>
      </c>
      <c r="L561" s="96" t="s">
        <v>203</v>
      </c>
      <c r="M561" s="96" t="s">
        <v>326</v>
      </c>
      <c r="N561" s="96" t="s">
        <v>339</v>
      </c>
      <c r="O561" s="96" t="s">
        <v>440</v>
      </c>
      <c r="P561" s="96" t="s">
        <v>338</v>
      </c>
      <c r="Q561" s="96" t="s">
        <v>409</v>
      </c>
      <c r="R561" s="96" t="s">
        <v>409</v>
      </c>
      <c r="S561" s="96" t="s">
        <v>409</v>
      </c>
      <c r="T561" s="96" t="s">
        <v>1200</v>
      </c>
      <c r="U561" s="97">
        <v>1.96</v>
      </c>
      <c r="V561" s="100">
        <v>46203</v>
      </c>
      <c r="W561" s="98">
        <v>2.5000000000000001E-2</v>
      </c>
      <c r="X561" s="98">
        <v>8.2199999999999995E-2</v>
      </c>
      <c r="Y561" s="96" t="s">
        <v>411</v>
      </c>
      <c r="Z561" s="96"/>
      <c r="AA561" s="97">
        <v>304675.968306</v>
      </c>
      <c r="AB561" s="97">
        <v>1</v>
      </c>
      <c r="AC561" s="97">
        <v>89.921099999999996</v>
      </c>
      <c r="AD561" s="97"/>
      <c r="AE561" s="97">
        <v>273.96796499999999</v>
      </c>
      <c r="AF561" s="96"/>
      <c r="AG561" s="96"/>
      <c r="AH561" s="96"/>
      <c r="AI561" s="98">
        <v>9.1E-4</v>
      </c>
      <c r="AJ561" s="98">
        <v>1.026E-3</v>
      </c>
      <c r="AK561" s="98">
        <v>1.4200000000000001E-4</v>
      </c>
      <c r="AL561" s="106"/>
    </row>
    <row r="562" spans="1:38" ht="15" customHeight="1">
      <c r="A562" s="106"/>
      <c r="B562" s="96">
        <v>286</v>
      </c>
      <c r="C562" s="96">
        <v>286</v>
      </c>
      <c r="D562" s="96" t="s">
        <v>1794</v>
      </c>
      <c r="E562" s="96">
        <v>520044520</v>
      </c>
      <c r="F562" s="96" t="s">
        <v>308</v>
      </c>
      <c r="G562" s="96" t="s">
        <v>1795</v>
      </c>
      <c r="H562" s="96" t="s">
        <v>1796</v>
      </c>
      <c r="I562" s="96" t="s">
        <v>320</v>
      </c>
      <c r="J562" s="96" t="s">
        <v>753</v>
      </c>
      <c r="K562" s="96" t="s">
        <v>203</v>
      </c>
      <c r="L562" s="96" t="s">
        <v>203</v>
      </c>
      <c r="M562" s="96" t="s">
        <v>324</v>
      </c>
      <c r="N562" s="96" t="s">
        <v>339</v>
      </c>
      <c r="O562" s="96" t="s">
        <v>463</v>
      </c>
      <c r="P562" s="96" t="s">
        <v>338</v>
      </c>
      <c r="Q562" s="96" t="s">
        <v>1357</v>
      </c>
      <c r="R562" s="96" t="s">
        <v>414</v>
      </c>
      <c r="S562" s="96" t="s">
        <v>406</v>
      </c>
      <c r="T562" s="96" t="s">
        <v>1200</v>
      </c>
      <c r="U562" s="97">
        <v>1.41</v>
      </c>
      <c r="V562" s="100">
        <v>46022</v>
      </c>
      <c r="W562" s="98">
        <v>2.5000000000000001E-2</v>
      </c>
      <c r="X562" s="98">
        <v>2.47E-2</v>
      </c>
      <c r="Y562" s="96" t="s">
        <v>411</v>
      </c>
      <c r="Z562" s="96"/>
      <c r="AA562" s="97">
        <v>11257.252986</v>
      </c>
      <c r="AB562" s="97">
        <v>1</v>
      </c>
      <c r="AC562" s="97">
        <v>114.98</v>
      </c>
      <c r="AD562" s="97"/>
      <c r="AE562" s="97">
        <v>12.943588999999999</v>
      </c>
      <c r="AF562" s="96"/>
      <c r="AG562" s="96"/>
      <c r="AH562" s="96"/>
      <c r="AI562" s="98">
        <v>3.4E-5</v>
      </c>
      <c r="AJ562" s="98">
        <v>4.8000000000000001E-5</v>
      </c>
      <c r="AK562" s="98">
        <v>6.0000000000000002E-6</v>
      </c>
      <c r="AL562" s="106"/>
    </row>
    <row r="563" spans="1:38" ht="15" customHeight="1">
      <c r="A563" s="106"/>
      <c r="B563" s="96">
        <v>286</v>
      </c>
      <c r="C563" s="96">
        <v>286</v>
      </c>
      <c r="D563" s="96" t="s">
        <v>1653</v>
      </c>
      <c r="E563" s="96">
        <v>1628</v>
      </c>
      <c r="F563" s="96" t="s">
        <v>80</v>
      </c>
      <c r="G563" s="96" t="s">
        <v>1654</v>
      </c>
      <c r="H563" s="96" t="s">
        <v>1655</v>
      </c>
      <c r="I563" s="96" t="s">
        <v>320</v>
      </c>
      <c r="J563" s="96" t="s">
        <v>952</v>
      </c>
      <c r="K563" s="96" t="s">
        <v>203</v>
      </c>
      <c r="L563" s="96" t="s">
        <v>203</v>
      </c>
      <c r="M563" s="96" t="s">
        <v>324</v>
      </c>
      <c r="N563" s="96" t="s">
        <v>339</v>
      </c>
      <c r="O563" s="96" t="s">
        <v>464</v>
      </c>
      <c r="P563" s="96" t="s">
        <v>338</v>
      </c>
      <c r="Q563" s="96" t="s">
        <v>1320</v>
      </c>
      <c r="R563" s="96" t="s">
        <v>412</v>
      </c>
      <c r="S563" s="96" t="s">
        <v>406</v>
      </c>
      <c r="T563" s="96" t="s">
        <v>1200</v>
      </c>
      <c r="U563" s="97">
        <v>0.42</v>
      </c>
      <c r="V563" s="100">
        <v>45627</v>
      </c>
      <c r="W563" s="98">
        <v>3.9E-2</v>
      </c>
      <c r="X563" s="98">
        <v>5.8999999999999997E-2</v>
      </c>
      <c r="Y563" s="96" t="s">
        <v>411</v>
      </c>
      <c r="Z563" s="96"/>
      <c r="AA563" s="97">
        <v>120486.52518700001</v>
      </c>
      <c r="AB563" s="97">
        <v>1</v>
      </c>
      <c r="AC563" s="97">
        <v>99.53</v>
      </c>
      <c r="AD563" s="97"/>
      <c r="AE563" s="97">
        <v>119.920238</v>
      </c>
      <c r="AF563" s="96"/>
      <c r="AG563" s="96"/>
      <c r="AH563" s="96"/>
      <c r="AI563" s="98">
        <v>3.1100000000000002E-4</v>
      </c>
      <c r="AJ563" s="98">
        <v>4.4900000000000002E-4</v>
      </c>
      <c r="AK563" s="98">
        <v>6.2000000000000003E-5</v>
      </c>
      <c r="AL563" s="106"/>
    </row>
    <row r="564" spans="1:38" ht="15" customHeight="1">
      <c r="A564" s="106"/>
      <c r="B564" s="96">
        <v>286</v>
      </c>
      <c r="C564" s="96">
        <v>286</v>
      </c>
      <c r="D564" s="96" t="s">
        <v>1826</v>
      </c>
      <c r="E564" s="96">
        <v>513682625</v>
      </c>
      <c r="F564" s="96" t="s">
        <v>308</v>
      </c>
      <c r="G564" s="96" t="s">
        <v>1827</v>
      </c>
      <c r="H564" s="96" t="s">
        <v>1828</v>
      </c>
      <c r="I564" s="96" t="s">
        <v>320</v>
      </c>
      <c r="J564" s="96" t="s">
        <v>952</v>
      </c>
      <c r="K564" s="96" t="s">
        <v>203</v>
      </c>
      <c r="L564" s="96" t="s">
        <v>203</v>
      </c>
      <c r="M564" s="96" t="s">
        <v>324</v>
      </c>
      <c r="N564" s="96" t="s">
        <v>339</v>
      </c>
      <c r="O564" s="96" t="s">
        <v>458</v>
      </c>
      <c r="P564" s="96" t="s">
        <v>338</v>
      </c>
      <c r="Q564" s="96" t="s">
        <v>1357</v>
      </c>
      <c r="R564" s="96" t="s">
        <v>414</v>
      </c>
      <c r="S564" s="96" t="s">
        <v>406</v>
      </c>
      <c r="T564" s="96" t="s">
        <v>1200</v>
      </c>
      <c r="U564" s="97">
        <v>2.6</v>
      </c>
      <c r="V564" s="100">
        <v>47208</v>
      </c>
      <c r="W564" s="98">
        <v>1.5800000000000002E-2</v>
      </c>
      <c r="X564" s="98">
        <v>5.2600000000000001E-2</v>
      </c>
      <c r="Y564" s="96" t="s">
        <v>411</v>
      </c>
      <c r="Z564" s="96"/>
      <c r="AA564" s="97">
        <v>84428.137621999995</v>
      </c>
      <c r="AB564" s="97">
        <v>1</v>
      </c>
      <c r="AC564" s="97">
        <v>91.4</v>
      </c>
      <c r="AD564" s="97"/>
      <c r="AE564" s="97">
        <v>77.167316999999997</v>
      </c>
      <c r="AF564" s="96"/>
      <c r="AG564" s="96"/>
      <c r="AH564" s="96"/>
      <c r="AI564" s="98">
        <v>7.5900000000000002E-4</v>
      </c>
      <c r="AJ564" s="98">
        <v>2.8899999999999998E-4</v>
      </c>
      <c r="AK564" s="98">
        <v>4.0000000000000003E-5</v>
      </c>
      <c r="AL564" s="106"/>
    </row>
    <row r="565" spans="1:38" ht="15" customHeight="1">
      <c r="A565" s="106"/>
      <c r="B565" s="96">
        <v>286</v>
      </c>
      <c r="C565" s="96">
        <v>286</v>
      </c>
      <c r="D565" s="96" t="s">
        <v>1346</v>
      </c>
      <c r="E565" s="96">
        <v>520025370</v>
      </c>
      <c r="F565" s="96" t="s">
        <v>308</v>
      </c>
      <c r="G565" s="96" t="s">
        <v>1420</v>
      </c>
      <c r="H565" s="96" t="s">
        <v>1348</v>
      </c>
      <c r="I565" s="96" t="s">
        <v>320</v>
      </c>
      <c r="J565" s="96" t="s">
        <v>952</v>
      </c>
      <c r="K565" s="96" t="s">
        <v>203</v>
      </c>
      <c r="L565" s="96" t="s">
        <v>203</v>
      </c>
      <c r="M565" s="96" t="s">
        <v>326</v>
      </c>
      <c r="N565" s="96" t="s">
        <v>339</v>
      </c>
      <c r="O565" s="96" t="s">
        <v>450</v>
      </c>
      <c r="P565" s="96" t="s">
        <v>338</v>
      </c>
      <c r="Q565" s="96" t="s">
        <v>1332</v>
      </c>
      <c r="R565" s="96" t="s">
        <v>412</v>
      </c>
      <c r="S565" s="96" t="s">
        <v>406</v>
      </c>
      <c r="T565" s="96" t="s">
        <v>1200</v>
      </c>
      <c r="U565" s="97">
        <v>2.5099999999999998</v>
      </c>
      <c r="V565" s="100">
        <v>47376</v>
      </c>
      <c r="W565" s="98">
        <v>2.0400000000000001E-2</v>
      </c>
      <c r="X565" s="98">
        <v>5.5399999999999998E-2</v>
      </c>
      <c r="Y565" s="96" t="s">
        <v>411</v>
      </c>
      <c r="Z565" s="96"/>
      <c r="AA565" s="97">
        <v>50199.436248999998</v>
      </c>
      <c r="AB565" s="97">
        <v>1</v>
      </c>
      <c r="AC565" s="97">
        <v>92.290700000000001</v>
      </c>
      <c r="AD565" s="97"/>
      <c r="AE565" s="97">
        <v>46.329394000000001</v>
      </c>
      <c r="AF565" s="96"/>
      <c r="AG565" s="96"/>
      <c r="AH565" s="96"/>
      <c r="AI565" s="98">
        <v>1.11E-4</v>
      </c>
      <c r="AJ565" s="98">
        <v>1.73E-4</v>
      </c>
      <c r="AK565" s="98">
        <v>2.4000000000000001E-5</v>
      </c>
      <c r="AL565" s="106"/>
    </row>
    <row r="566" spans="1:38" ht="15" customHeight="1">
      <c r="A566" s="106"/>
      <c r="B566" s="96">
        <v>286</v>
      </c>
      <c r="C566" s="96">
        <v>286</v>
      </c>
      <c r="D566" s="96" t="s">
        <v>1414</v>
      </c>
      <c r="E566" s="96">
        <v>520037789</v>
      </c>
      <c r="F566" s="96" t="s">
        <v>308</v>
      </c>
      <c r="G566" s="96" t="s">
        <v>1480</v>
      </c>
      <c r="H566" s="96" t="s">
        <v>1481</v>
      </c>
      <c r="I566" s="96" t="s">
        <v>320</v>
      </c>
      <c r="J566" s="96" t="s">
        <v>753</v>
      </c>
      <c r="K566" s="96" t="s">
        <v>203</v>
      </c>
      <c r="L566" s="96" t="s">
        <v>203</v>
      </c>
      <c r="M566" s="96" t="s">
        <v>324</v>
      </c>
      <c r="N566" s="96" t="s">
        <v>339</v>
      </c>
      <c r="O566" s="96" t="s">
        <v>463</v>
      </c>
      <c r="P566" s="96" t="s">
        <v>337</v>
      </c>
      <c r="Q566" s="96" t="s">
        <v>1313</v>
      </c>
      <c r="R566" s="96" t="s">
        <v>412</v>
      </c>
      <c r="S566" s="96" t="s">
        <v>406</v>
      </c>
      <c r="T566" s="96" t="s">
        <v>1200</v>
      </c>
      <c r="U566" s="97">
        <v>1.01</v>
      </c>
      <c r="V566" s="100">
        <v>45848</v>
      </c>
      <c r="W566" s="98">
        <v>1.7600000000000001E-2</v>
      </c>
      <c r="X566" s="98">
        <v>2.5399999999999999E-2</v>
      </c>
      <c r="Y566" s="96" t="s">
        <v>411</v>
      </c>
      <c r="Z566" s="96"/>
      <c r="AA566" s="97">
        <v>1239609.321549</v>
      </c>
      <c r="AB566" s="97">
        <v>1</v>
      </c>
      <c r="AC566" s="97">
        <v>114.44</v>
      </c>
      <c r="AD566" s="97">
        <v>17.439824999999999</v>
      </c>
      <c r="AE566" s="97">
        <v>1436.048732</v>
      </c>
      <c r="AF566" s="96"/>
      <c r="AG566" s="96"/>
      <c r="AH566" s="96"/>
      <c r="AI566" s="98">
        <v>1.6119999999999999E-3</v>
      </c>
      <c r="AJ566" s="98">
        <v>5.3800000000000002E-3</v>
      </c>
      <c r="AK566" s="98">
        <v>7.4700000000000005E-4</v>
      </c>
      <c r="AL566" s="106"/>
    </row>
    <row r="567" spans="1:38" ht="15" customHeight="1">
      <c r="A567" s="106"/>
      <c r="B567" s="96">
        <v>286</v>
      </c>
      <c r="C567" s="96">
        <v>286</v>
      </c>
      <c r="D567" s="96" t="s">
        <v>1340</v>
      </c>
      <c r="E567" s="96">
        <v>520036658</v>
      </c>
      <c r="F567" s="96" t="s">
        <v>308</v>
      </c>
      <c r="G567" s="96" t="s">
        <v>1341</v>
      </c>
      <c r="H567" s="96" t="s">
        <v>1342</v>
      </c>
      <c r="I567" s="96" t="s">
        <v>320</v>
      </c>
      <c r="J567" s="96" t="s">
        <v>952</v>
      </c>
      <c r="K567" s="96" t="s">
        <v>203</v>
      </c>
      <c r="L567" s="96" t="s">
        <v>203</v>
      </c>
      <c r="M567" s="96" t="s">
        <v>324</v>
      </c>
      <c r="N567" s="96" t="s">
        <v>339</v>
      </c>
      <c r="O567" s="96" t="s">
        <v>439</v>
      </c>
      <c r="P567" s="96" t="s">
        <v>338</v>
      </c>
      <c r="Q567" s="96" t="s">
        <v>1320</v>
      </c>
      <c r="R567" s="96" t="s">
        <v>412</v>
      </c>
      <c r="S567" s="96" t="s">
        <v>406</v>
      </c>
      <c r="T567" s="96" t="s">
        <v>1200</v>
      </c>
      <c r="U567" s="97">
        <v>3.35</v>
      </c>
      <c r="V567" s="100">
        <v>47386</v>
      </c>
      <c r="W567" s="98">
        <v>0.05</v>
      </c>
      <c r="X567" s="98">
        <v>6.3E-2</v>
      </c>
      <c r="Y567" s="96" t="s">
        <v>411</v>
      </c>
      <c r="Z567" s="96"/>
      <c r="AA567" s="97">
        <v>91794.981585000001</v>
      </c>
      <c r="AB567" s="97">
        <v>1</v>
      </c>
      <c r="AC567" s="97">
        <v>97.4</v>
      </c>
      <c r="AD567" s="97"/>
      <c r="AE567" s="97">
        <v>89.408311999999995</v>
      </c>
      <c r="AF567" s="96"/>
      <c r="AG567" s="96"/>
      <c r="AH567" s="96"/>
      <c r="AI567" s="98">
        <v>8.7999999999999998E-5</v>
      </c>
      <c r="AJ567" s="98">
        <v>3.3500000000000001E-4</v>
      </c>
      <c r="AK567" s="98">
        <v>4.6E-5</v>
      </c>
      <c r="AL567" s="106"/>
    </row>
    <row r="568" spans="1:38" ht="15" customHeight="1">
      <c r="A568" s="106"/>
      <c r="B568" s="96">
        <v>286</v>
      </c>
      <c r="C568" s="96">
        <v>286</v>
      </c>
      <c r="D568" s="96" t="s">
        <v>1551</v>
      </c>
      <c r="E568" s="96">
        <v>511659401</v>
      </c>
      <c r="F568" s="96" t="s">
        <v>308</v>
      </c>
      <c r="G568" s="96" t="s">
        <v>1937</v>
      </c>
      <c r="H568" s="96" t="s">
        <v>1938</v>
      </c>
      <c r="I568" s="96" t="s">
        <v>320</v>
      </c>
      <c r="J568" s="96" t="s">
        <v>952</v>
      </c>
      <c r="K568" s="96" t="s">
        <v>203</v>
      </c>
      <c r="L568" s="96" t="s">
        <v>203</v>
      </c>
      <c r="M568" s="96" t="s">
        <v>324</v>
      </c>
      <c r="N568" s="96" t="s">
        <v>339</v>
      </c>
      <c r="O568" s="96" t="s">
        <v>463</v>
      </c>
      <c r="P568" s="96" t="s">
        <v>338</v>
      </c>
      <c r="Q568" s="96" t="s">
        <v>1313</v>
      </c>
      <c r="R568" s="96" t="s">
        <v>412</v>
      </c>
      <c r="S568" s="96" t="s">
        <v>406</v>
      </c>
      <c r="T568" s="96" t="s">
        <v>1200</v>
      </c>
      <c r="U568" s="97">
        <v>2.94</v>
      </c>
      <c r="V568" s="100">
        <v>47238</v>
      </c>
      <c r="W568" s="98">
        <v>0.05</v>
      </c>
      <c r="X568" s="98">
        <v>5.3999999999999999E-2</v>
      </c>
      <c r="Y568" s="96" t="s">
        <v>411</v>
      </c>
      <c r="Z568" s="96"/>
      <c r="AA568" s="97">
        <v>354711.54982000001</v>
      </c>
      <c r="AB568" s="97">
        <v>1</v>
      </c>
      <c r="AC568" s="97">
        <v>99.88</v>
      </c>
      <c r="AD568" s="97"/>
      <c r="AE568" s="97">
        <v>354.28589499999998</v>
      </c>
      <c r="AF568" s="96"/>
      <c r="AG568" s="96"/>
      <c r="AH568" s="96"/>
      <c r="AI568" s="98">
        <v>8.8599999999999996E-4</v>
      </c>
      <c r="AJ568" s="98">
        <v>1.3270000000000001E-3</v>
      </c>
      <c r="AK568" s="98">
        <v>1.84E-4</v>
      </c>
      <c r="AL568" s="106"/>
    </row>
    <row r="569" spans="1:38" ht="15" customHeight="1">
      <c r="A569" s="106"/>
      <c r="B569" s="96">
        <v>286</v>
      </c>
      <c r="C569" s="96">
        <v>286</v>
      </c>
      <c r="D569" s="96" t="s">
        <v>1608</v>
      </c>
      <c r="E569" s="96">
        <v>510609761</v>
      </c>
      <c r="F569" s="96" t="s">
        <v>308</v>
      </c>
      <c r="G569" s="96" t="s">
        <v>1609</v>
      </c>
      <c r="H569" s="96" t="s">
        <v>1610</v>
      </c>
      <c r="I569" s="96" t="s">
        <v>320</v>
      </c>
      <c r="J569" s="96" t="s">
        <v>952</v>
      </c>
      <c r="K569" s="96" t="s">
        <v>203</v>
      </c>
      <c r="L569" s="96" t="s">
        <v>203</v>
      </c>
      <c r="M569" s="96" t="s">
        <v>324</v>
      </c>
      <c r="N569" s="96" t="s">
        <v>339</v>
      </c>
      <c r="O569" s="96" t="s">
        <v>446</v>
      </c>
      <c r="P569" s="96" t="s">
        <v>338</v>
      </c>
      <c r="Q569" s="96" t="s">
        <v>1328</v>
      </c>
      <c r="R569" s="96" t="s">
        <v>412</v>
      </c>
      <c r="S569" s="96" t="s">
        <v>406</v>
      </c>
      <c r="T569" s="96" t="s">
        <v>1200</v>
      </c>
      <c r="U569" s="97">
        <v>0.08</v>
      </c>
      <c r="V569" s="100">
        <v>45505</v>
      </c>
      <c r="W569" s="98">
        <v>3.4200000000000001E-2</v>
      </c>
      <c r="X569" s="98">
        <v>6.3399999999999998E-2</v>
      </c>
      <c r="Y569" s="96" t="s">
        <v>411</v>
      </c>
      <c r="Z569" s="96"/>
      <c r="AA569" s="97">
        <v>95058.902111000003</v>
      </c>
      <c r="AB569" s="97">
        <v>1</v>
      </c>
      <c r="AC569" s="97">
        <v>101.18</v>
      </c>
      <c r="AD569" s="97"/>
      <c r="AE569" s="97">
        <v>96.180597000000006</v>
      </c>
      <c r="AF569" s="96"/>
      <c r="AG569" s="96"/>
      <c r="AH569" s="96"/>
      <c r="AI569" s="98">
        <v>4.26E-4</v>
      </c>
      <c r="AJ569" s="98">
        <v>3.6000000000000002E-4</v>
      </c>
      <c r="AK569" s="98">
        <v>5.0000000000000002E-5</v>
      </c>
      <c r="AL569" s="106"/>
    </row>
    <row r="570" spans="1:38" ht="15" customHeight="1">
      <c r="A570" s="106"/>
      <c r="B570" s="96">
        <v>286</v>
      </c>
      <c r="C570" s="96">
        <v>286</v>
      </c>
      <c r="D570" s="96" t="s">
        <v>1699</v>
      </c>
      <c r="E570" s="96">
        <v>511809071</v>
      </c>
      <c r="F570" s="96" t="s">
        <v>308</v>
      </c>
      <c r="G570" s="96" t="s">
        <v>1700</v>
      </c>
      <c r="H570" s="96" t="s">
        <v>1701</v>
      </c>
      <c r="I570" s="96" t="s">
        <v>320</v>
      </c>
      <c r="J570" s="96" t="s">
        <v>952</v>
      </c>
      <c r="K570" s="96" t="s">
        <v>203</v>
      </c>
      <c r="L570" s="96" t="s">
        <v>203</v>
      </c>
      <c r="M570" s="96" t="s">
        <v>324</v>
      </c>
      <c r="N570" s="96" t="s">
        <v>339</v>
      </c>
      <c r="O570" s="96" t="s">
        <v>461</v>
      </c>
      <c r="P570" s="96" t="s">
        <v>338</v>
      </c>
      <c r="Q570" s="96" t="s">
        <v>1332</v>
      </c>
      <c r="R570" s="96" t="s">
        <v>412</v>
      </c>
      <c r="S570" s="96" t="s">
        <v>406</v>
      </c>
      <c r="T570" s="96" t="s">
        <v>1200</v>
      </c>
      <c r="U570" s="97">
        <v>3</v>
      </c>
      <c r="V570" s="100">
        <v>47889</v>
      </c>
      <c r="W570" s="98">
        <v>4.6800000000000001E-2</v>
      </c>
      <c r="X570" s="98">
        <v>5.7700000000000001E-2</v>
      </c>
      <c r="Y570" s="96" t="s">
        <v>411</v>
      </c>
      <c r="Z570" s="96"/>
      <c r="AA570" s="97">
        <v>518789.00090500002</v>
      </c>
      <c r="AB570" s="97">
        <v>1</v>
      </c>
      <c r="AC570" s="97">
        <v>97.78</v>
      </c>
      <c r="AD570" s="97"/>
      <c r="AE570" s="97">
        <v>507.271885</v>
      </c>
      <c r="AF570" s="96"/>
      <c r="AG570" s="96"/>
      <c r="AH570" s="96"/>
      <c r="AI570" s="98">
        <v>1.188E-3</v>
      </c>
      <c r="AJ570" s="98">
        <v>1.9E-3</v>
      </c>
      <c r="AK570" s="98">
        <v>2.6400000000000002E-4</v>
      </c>
      <c r="AL570" s="106"/>
    </row>
    <row r="571" spans="1:38" ht="15" customHeight="1">
      <c r="A571" s="106"/>
      <c r="B571" s="96">
        <v>286</v>
      </c>
      <c r="C571" s="96">
        <v>286</v>
      </c>
      <c r="D571" s="96" t="s">
        <v>1197</v>
      </c>
      <c r="E571" s="96">
        <v>520018078</v>
      </c>
      <c r="F571" s="96" t="s">
        <v>308</v>
      </c>
      <c r="G571" s="96" t="s">
        <v>1549</v>
      </c>
      <c r="H571" s="96" t="s">
        <v>1550</v>
      </c>
      <c r="I571" s="96" t="s">
        <v>320</v>
      </c>
      <c r="J571" s="96" t="s">
        <v>753</v>
      </c>
      <c r="K571" s="96" t="s">
        <v>203</v>
      </c>
      <c r="L571" s="96" t="s">
        <v>203</v>
      </c>
      <c r="M571" s="96" t="s">
        <v>324</v>
      </c>
      <c r="N571" s="96" t="s">
        <v>339</v>
      </c>
      <c r="O571" s="96" t="s">
        <v>447</v>
      </c>
      <c r="P571" s="96" t="s">
        <v>338</v>
      </c>
      <c r="Q571" s="96" t="s">
        <v>1211</v>
      </c>
      <c r="R571" s="96" t="s">
        <v>414</v>
      </c>
      <c r="S571" s="96" t="s">
        <v>406</v>
      </c>
      <c r="T571" s="96" t="s">
        <v>1200</v>
      </c>
      <c r="U571" s="97">
        <v>1.99</v>
      </c>
      <c r="V571" s="100">
        <v>46203</v>
      </c>
      <c r="W571" s="98">
        <v>8.3000000000000001E-3</v>
      </c>
      <c r="X571" s="98">
        <v>2.1000000000000001E-2</v>
      </c>
      <c r="Y571" s="96" t="s">
        <v>411</v>
      </c>
      <c r="Z571" s="96"/>
      <c r="AA571" s="97">
        <v>883560.30808800005</v>
      </c>
      <c r="AB571" s="97">
        <v>1</v>
      </c>
      <c r="AC571" s="97">
        <v>110.75</v>
      </c>
      <c r="AD571" s="97"/>
      <c r="AE571" s="97">
        <v>978.54304100000002</v>
      </c>
      <c r="AF571" s="96"/>
      <c r="AG571" s="96"/>
      <c r="AH571" s="96"/>
      <c r="AI571" s="98">
        <v>5.8E-4</v>
      </c>
      <c r="AJ571" s="98">
        <v>3.666E-3</v>
      </c>
      <c r="AK571" s="98">
        <v>5.0900000000000001E-4</v>
      </c>
      <c r="AL571" s="106"/>
    </row>
    <row r="572" spans="1:38" ht="15" customHeight="1">
      <c r="A572" s="106"/>
      <c r="B572" s="96">
        <v>286</v>
      </c>
      <c r="C572" s="96">
        <v>286</v>
      </c>
      <c r="D572" s="96" t="s">
        <v>1814</v>
      </c>
      <c r="E572" s="96">
        <v>514599943</v>
      </c>
      <c r="F572" s="96" t="s">
        <v>308</v>
      </c>
      <c r="G572" s="96" t="s">
        <v>1843</v>
      </c>
      <c r="H572" s="96" t="s">
        <v>1816</v>
      </c>
      <c r="I572" s="96" t="s">
        <v>320</v>
      </c>
      <c r="J572" s="96" t="s">
        <v>753</v>
      </c>
      <c r="K572" s="96" t="s">
        <v>203</v>
      </c>
      <c r="L572" s="96" t="s">
        <v>203</v>
      </c>
      <c r="M572" s="96" t="s">
        <v>326</v>
      </c>
      <c r="N572" s="96" t="s">
        <v>339</v>
      </c>
      <c r="O572" s="96" t="s">
        <v>440</v>
      </c>
      <c r="P572" s="96" t="s">
        <v>338</v>
      </c>
      <c r="Q572" s="96" t="s">
        <v>409</v>
      </c>
      <c r="R572" s="96" t="s">
        <v>409</v>
      </c>
      <c r="S572" s="96" t="s">
        <v>409</v>
      </c>
      <c r="T572" s="96" t="s">
        <v>1200</v>
      </c>
      <c r="U572" s="97">
        <v>2.73</v>
      </c>
      <c r="V572" s="100">
        <v>46752</v>
      </c>
      <c r="W572" s="98">
        <v>1.4800000000000001E-2</v>
      </c>
      <c r="X572" s="98">
        <v>4.6699999999999998E-2</v>
      </c>
      <c r="Y572" s="96" t="s">
        <v>411</v>
      </c>
      <c r="Z572" s="96"/>
      <c r="AA572" s="97">
        <v>41785.875072000003</v>
      </c>
      <c r="AB572" s="97">
        <v>1</v>
      </c>
      <c r="AC572" s="97">
        <v>102.31870000000001</v>
      </c>
      <c r="AD572" s="97"/>
      <c r="AE572" s="97">
        <v>42.754756999999998</v>
      </c>
      <c r="AF572" s="96"/>
      <c r="AG572" s="96"/>
      <c r="AH572" s="96"/>
      <c r="AI572" s="98">
        <v>5.5000000000000002E-5</v>
      </c>
      <c r="AJ572" s="98">
        <v>1.6000000000000001E-4</v>
      </c>
      <c r="AK572" s="98">
        <v>2.1999999999999999E-5</v>
      </c>
      <c r="AL572" s="106"/>
    </row>
    <row r="573" spans="1:38" ht="15" customHeight="1">
      <c r="A573" s="106"/>
      <c r="B573" s="96">
        <v>286</v>
      </c>
      <c r="C573" s="96">
        <v>286</v>
      </c>
      <c r="D573" s="96" t="s">
        <v>1298</v>
      </c>
      <c r="E573" s="96">
        <v>510960719</v>
      </c>
      <c r="F573" s="96" t="s">
        <v>308</v>
      </c>
      <c r="G573" s="96" t="s">
        <v>1579</v>
      </c>
      <c r="H573" s="96" t="s">
        <v>1580</v>
      </c>
      <c r="I573" s="96" t="s">
        <v>320</v>
      </c>
      <c r="J573" s="96" t="s">
        <v>753</v>
      </c>
      <c r="K573" s="96" t="s">
        <v>203</v>
      </c>
      <c r="L573" s="96" t="s">
        <v>203</v>
      </c>
      <c r="M573" s="96" t="s">
        <v>324</v>
      </c>
      <c r="N573" s="96" t="s">
        <v>339</v>
      </c>
      <c r="O573" s="96" t="s">
        <v>463</v>
      </c>
      <c r="P573" s="96" t="s">
        <v>338</v>
      </c>
      <c r="Q573" s="96" t="s">
        <v>1439</v>
      </c>
      <c r="R573" s="96" t="s">
        <v>412</v>
      </c>
      <c r="S573" s="96" t="s">
        <v>406</v>
      </c>
      <c r="T573" s="96" t="s">
        <v>1200</v>
      </c>
      <c r="U573" s="97">
        <v>10.57</v>
      </c>
      <c r="V573" s="100">
        <v>51503</v>
      </c>
      <c r="W573" s="98">
        <v>1.6899999999999998E-2</v>
      </c>
      <c r="X573" s="98">
        <v>3.7999999999999999E-2</v>
      </c>
      <c r="Y573" s="96" t="s">
        <v>411</v>
      </c>
      <c r="Z573" s="96"/>
      <c r="AA573" s="97">
        <v>3656111.619676</v>
      </c>
      <c r="AB573" s="97">
        <v>1</v>
      </c>
      <c r="AC573" s="97">
        <v>89.8</v>
      </c>
      <c r="AD573" s="97"/>
      <c r="AE573" s="97">
        <v>3283.1882340000002</v>
      </c>
      <c r="AF573" s="96"/>
      <c r="AG573" s="96"/>
      <c r="AH573" s="96"/>
      <c r="AI573" s="98">
        <v>8.3699999999999996E-4</v>
      </c>
      <c r="AJ573" s="98">
        <v>1.2302E-2</v>
      </c>
      <c r="AK573" s="98">
        <v>1.709E-3</v>
      </c>
      <c r="AL573" s="106"/>
    </row>
    <row r="574" spans="1:38" ht="15" customHeight="1">
      <c r="A574" s="106"/>
      <c r="B574" s="96">
        <v>286</v>
      </c>
      <c r="C574" s="96">
        <v>286</v>
      </c>
      <c r="D574" s="96" t="s">
        <v>1597</v>
      </c>
      <c r="E574" s="96">
        <v>520020116</v>
      </c>
      <c r="F574" s="96" t="s">
        <v>308</v>
      </c>
      <c r="G574" s="96" t="s">
        <v>1643</v>
      </c>
      <c r="H574" s="96" t="s">
        <v>1644</v>
      </c>
      <c r="I574" s="96" t="s">
        <v>320</v>
      </c>
      <c r="J574" s="96" t="s">
        <v>753</v>
      </c>
      <c r="K574" s="96" t="s">
        <v>203</v>
      </c>
      <c r="L574" s="96" t="s">
        <v>203</v>
      </c>
      <c r="M574" s="96" t="s">
        <v>326</v>
      </c>
      <c r="N574" s="96" t="s">
        <v>339</v>
      </c>
      <c r="O574" s="96" t="s">
        <v>463</v>
      </c>
      <c r="P574" s="96" t="s">
        <v>337</v>
      </c>
      <c r="Q574" s="96" t="s">
        <v>1324</v>
      </c>
      <c r="R574" s="96" t="s">
        <v>412</v>
      </c>
      <c r="S574" s="96" t="s">
        <v>406</v>
      </c>
      <c r="T574" s="96" t="s">
        <v>1200</v>
      </c>
      <c r="U574" s="97">
        <v>2.25</v>
      </c>
      <c r="V574" s="100">
        <v>47118</v>
      </c>
      <c r="W574" s="98">
        <v>3.3000000000000002E-2</v>
      </c>
      <c r="X574" s="98">
        <v>4.1300000000000003E-2</v>
      </c>
      <c r="Y574" s="96" t="s">
        <v>411</v>
      </c>
      <c r="Z574" s="96"/>
      <c r="AA574" s="97">
        <v>266908.77400799998</v>
      </c>
      <c r="AB574" s="97">
        <v>1</v>
      </c>
      <c r="AC574" s="97">
        <v>111.5496</v>
      </c>
      <c r="AD574" s="97"/>
      <c r="AE574" s="97">
        <v>297.73563100000001</v>
      </c>
      <c r="AF574" s="96"/>
      <c r="AG574" s="96"/>
      <c r="AH574" s="96"/>
      <c r="AI574" s="98">
        <v>4.44E-4</v>
      </c>
      <c r="AJ574" s="98">
        <v>1.1150000000000001E-3</v>
      </c>
      <c r="AK574" s="98">
        <v>1.55E-4</v>
      </c>
      <c r="AL574" s="106"/>
    </row>
    <row r="575" spans="1:38" ht="15" customHeight="1">
      <c r="A575" s="106"/>
      <c r="B575" s="96">
        <v>286</v>
      </c>
      <c r="C575" s="96">
        <v>286</v>
      </c>
      <c r="D575" s="96" t="s">
        <v>1452</v>
      </c>
      <c r="E575" s="96">
        <v>514065283</v>
      </c>
      <c r="F575" s="96" t="s">
        <v>308</v>
      </c>
      <c r="G575" s="96" t="s">
        <v>1964</v>
      </c>
      <c r="H575" s="96" t="s">
        <v>1965</v>
      </c>
      <c r="I575" s="96" t="s">
        <v>320</v>
      </c>
      <c r="J575" s="96" t="s">
        <v>952</v>
      </c>
      <c r="K575" s="96" t="s">
        <v>203</v>
      </c>
      <c r="L575" s="96" t="s">
        <v>203</v>
      </c>
      <c r="M575" s="96" t="s">
        <v>324</v>
      </c>
      <c r="N575" s="96" t="s">
        <v>339</v>
      </c>
      <c r="O575" s="96" t="s">
        <v>461</v>
      </c>
      <c r="P575" s="96" t="s">
        <v>337</v>
      </c>
      <c r="Q575" s="96" t="s">
        <v>1332</v>
      </c>
      <c r="R575" s="96" t="s">
        <v>412</v>
      </c>
      <c r="S575" s="96" t="s">
        <v>406</v>
      </c>
      <c r="T575" s="96" t="s">
        <v>1200</v>
      </c>
      <c r="U575" s="97">
        <v>3.35</v>
      </c>
      <c r="V575" s="100">
        <v>48026</v>
      </c>
      <c r="W575" s="98">
        <v>5.0500000000000003E-2</v>
      </c>
      <c r="X575" s="98">
        <v>5.7500000000000002E-2</v>
      </c>
      <c r="Y575" s="96" t="s">
        <v>411</v>
      </c>
      <c r="Z575" s="96"/>
      <c r="AA575" s="97">
        <v>308541.29859700002</v>
      </c>
      <c r="AB575" s="97">
        <v>1</v>
      </c>
      <c r="AC575" s="97">
        <v>98.03</v>
      </c>
      <c r="AD575" s="97"/>
      <c r="AE575" s="97">
        <v>302.46303399999999</v>
      </c>
      <c r="AF575" s="96"/>
      <c r="AG575" s="96"/>
      <c r="AH575" s="96"/>
      <c r="AI575" s="98">
        <v>1.2899999999999999E-3</v>
      </c>
      <c r="AJ575" s="98">
        <v>1.1329999999999999E-3</v>
      </c>
      <c r="AK575" s="98">
        <v>1.5699999999999999E-4</v>
      </c>
      <c r="AL575" s="106"/>
    </row>
    <row r="576" spans="1:38" ht="15" customHeight="1">
      <c r="A576" s="106"/>
      <c r="B576" s="96">
        <v>286</v>
      </c>
      <c r="C576" s="96">
        <v>286</v>
      </c>
      <c r="D576" s="96" t="s">
        <v>1735</v>
      </c>
      <c r="E576" s="96">
        <v>550010003</v>
      </c>
      <c r="F576" s="96" t="s">
        <v>309</v>
      </c>
      <c r="G576" s="96" t="s">
        <v>1867</v>
      </c>
      <c r="H576" s="96" t="s">
        <v>1868</v>
      </c>
      <c r="I576" s="96" t="s">
        <v>320</v>
      </c>
      <c r="J576" s="96" t="s">
        <v>754</v>
      </c>
      <c r="K576" s="96" t="s">
        <v>203</v>
      </c>
      <c r="L576" s="96" t="s">
        <v>203</v>
      </c>
      <c r="M576" s="96" t="s">
        <v>324</v>
      </c>
      <c r="N576" s="96" t="s">
        <v>339</v>
      </c>
      <c r="O576" s="96" t="s">
        <v>453</v>
      </c>
      <c r="P576" s="96" t="s">
        <v>338</v>
      </c>
      <c r="Q576" s="96" t="s">
        <v>1313</v>
      </c>
      <c r="R576" s="96" t="s">
        <v>412</v>
      </c>
      <c r="S576" s="96" t="s">
        <v>406</v>
      </c>
      <c r="T576" s="96" t="s">
        <v>1200</v>
      </c>
      <c r="U576" s="97">
        <v>3.4</v>
      </c>
      <c r="V576" s="100">
        <v>47766</v>
      </c>
      <c r="W576" s="98">
        <v>3.7699999999999997E-2</v>
      </c>
      <c r="X576" s="98">
        <v>6.2E-2</v>
      </c>
      <c r="Y576" s="96" t="s">
        <v>411</v>
      </c>
      <c r="Z576" s="96"/>
      <c r="AA576" s="97">
        <v>356951.78151599999</v>
      </c>
      <c r="AB576" s="97">
        <v>1</v>
      </c>
      <c r="AC576" s="97">
        <v>102.78</v>
      </c>
      <c r="AD576" s="97"/>
      <c r="AE576" s="97">
        <v>366.87504000000001</v>
      </c>
      <c r="AF576" s="96"/>
      <c r="AG576" s="96"/>
      <c r="AH576" s="96"/>
      <c r="AI576" s="98">
        <v>2.0409999999999998E-3</v>
      </c>
      <c r="AJ576" s="98">
        <v>1.374E-3</v>
      </c>
      <c r="AK576" s="98">
        <v>1.9100000000000001E-4</v>
      </c>
      <c r="AL576" s="106"/>
    </row>
    <row r="577" spans="1:38" ht="15" customHeight="1">
      <c r="A577" s="106"/>
      <c r="B577" s="96">
        <v>286</v>
      </c>
      <c r="C577" s="96">
        <v>286</v>
      </c>
      <c r="D577" s="96" t="s">
        <v>1333</v>
      </c>
      <c r="E577" s="96">
        <v>520024126</v>
      </c>
      <c r="F577" s="96" t="s">
        <v>308</v>
      </c>
      <c r="G577" s="96" t="s">
        <v>1859</v>
      </c>
      <c r="H577" s="96" t="s">
        <v>1860</v>
      </c>
      <c r="I577" s="96" t="s">
        <v>320</v>
      </c>
      <c r="J577" s="96" t="s">
        <v>753</v>
      </c>
      <c r="K577" s="96" t="s">
        <v>203</v>
      </c>
      <c r="L577" s="96" t="s">
        <v>203</v>
      </c>
      <c r="M577" s="96" t="s">
        <v>324</v>
      </c>
      <c r="N577" s="96" t="s">
        <v>339</v>
      </c>
      <c r="O577" s="96" t="s">
        <v>463</v>
      </c>
      <c r="P577" s="96" t="s">
        <v>337</v>
      </c>
      <c r="Q577" s="96" t="s">
        <v>1313</v>
      </c>
      <c r="R577" s="96" t="s">
        <v>412</v>
      </c>
      <c r="S577" s="96" t="s">
        <v>406</v>
      </c>
      <c r="T577" s="96" t="s">
        <v>1200</v>
      </c>
      <c r="U577" s="97">
        <v>3.38</v>
      </c>
      <c r="V577" s="100">
        <v>46934</v>
      </c>
      <c r="W577" s="98">
        <v>2.5999999999999999E-2</v>
      </c>
      <c r="X577" s="98">
        <v>2.8500000000000001E-2</v>
      </c>
      <c r="Y577" s="96" t="s">
        <v>411</v>
      </c>
      <c r="Z577" s="96"/>
      <c r="AA577" s="97">
        <v>32465.223096999998</v>
      </c>
      <c r="AB577" s="97">
        <v>1</v>
      </c>
      <c r="AC577" s="97">
        <v>113.24</v>
      </c>
      <c r="AD577" s="97"/>
      <c r="AE577" s="97">
        <v>36.763618000000001</v>
      </c>
      <c r="AF577" s="96"/>
      <c r="AG577" s="96"/>
      <c r="AH577" s="96"/>
      <c r="AI577" s="98">
        <v>6.8999999999999997E-5</v>
      </c>
      <c r="AJ577" s="98">
        <v>1.37E-4</v>
      </c>
      <c r="AK577" s="98">
        <v>1.9000000000000001E-5</v>
      </c>
      <c r="AL577" s="106"/>
    </row>
    <row r="578" spans="1:38" ht="15" customHeight="1">
      <c r="A578" s="106"/>
      <c r="B578" s="96">
        <v>286</v>
      </c>
      <c r="C578" s="96">
        <v>286</v>
      </c>
      <c r="D578" s="96" t="s">
        <v>1399</v>
      </c>
      <c r="E578" s="96">
        <v>520032046</v>
      </c>
      <c r="F578" s="96" t="s">
        <v>308</v>
      </c>
      <c r="G578" s="96" t="s">
        <v>1906</v>
      </c>
      <c r="H578" s="96" t="s">
        <v>1907</v>
      </c>
      <c r="I578" s="96" t="s">
        <v>320</v>
      </c>
      <c r="J578" s="96" t="s">
        <v>753</v>
      </c>
      <c r="K578" s="96" t="s">
        <v>203</v>
      </c>
      <c r="L578" s="96" t="s">
        <v>203</v>
      </c>
      <c r="M578" s="96" t="s">
        <v>324</v>
      </c>
      <c r="N578" s="96" t="s">
        <v>339</v>
      </c>
      <c r="O578" s="96" t="s">
        <v>447</v>
      </c>
      <c r="P578" s="96" t="s">
        <v>338</v>
      </c>
      <c r="Q578" s="96" t="s">
        <v>1211</v>
      </c>
      <c r="R578" s="96" t="s">
        <v>414</v>
      </c>
      <c r="S578" s="96" t="s">
        <v>406</v>
      </c>
      <c r="T578" s="96" t="s">
        <v>1200</v>
      </c>
      <c r="U578" s="97">
        <v>0.25</v>
      </c>
      <c r="V578" s="100">
        <v>45564</v>
      </c>
      <c r="W578" s="98">
        <v>8.6E-3</v>
      </c>
      <c r="X578" s="98">
        <v>2.5399999999999999E-2</v>
      </c>
      <c r="Y578" s="96" t="s">
        <v>411</v>
      </c>
      <c r="Z578" s="96"/>
      <c r="AA578" s="97">
        <v>1425883.531673</v>
      </c>
      <c r="AB578" s="97">
        <v>1</v>
      </c>
      <c r="AC578" s="97">
        <v>114.94</v>
      </c>
      <c r="AD578" s="97"/>
      <c r="AE578" s="97">
        <v>1638.910531</v>
      </c>
      <c r="AF578" s="96"/>
      <c r="AG578" s="96"/>
      <c r="AH578" s="96"/>
      <c r="AI578" s="98">
        <v>5.6999999999999998E-4</v>
      </c>
      <c r="AJ578" s="98">
        <v>6.1409999999999998E-3</v>
      </c>
      <c r="AK578" s="98">
        <v>8.5300000000000003E-4</v>
      </c>
      <c r="AL578" s="106"/>
    </row>
    <row r="579" spans="1:38" ht="15" customHeight="1">
      <c r="A579" s="106"/>
      <c r="B579" s="96">
        <v>286</v>
      </c>
      <c r="C579" s="96">
        <v>286</v>
      </c>
      <c r="D579" s="96" t="s">
        <v>1565</v>
      </c>
      <c r="E579" s="96">
        <v>520033234</v>
      </c>
      <c r="F579" s="96" t="s">
        <v>308</v>
      </c>
      <c r="G579" s="96" t="s">
        <v>1916</v>
      </c>
      <c r="H579" s="96" t="s">
        <v>1917</v>
      </c>
      <c r="I579" s="96" t="s">
        <v>320</v>
      </c>
      <c r="J579" s="96" t="s">
        <v>753</v>
      </c>
      <c r="K579" s="96" t="s">
        <v>203</v>
      </c>
      <c r="L579" s="96" t="s">
        <v>203</v>
      </c>
      <c r="M579" s="96" t="s">
        <v>324</v>
      </c>
      <c r="N579" s="96" t="s">
        <v>339</v>
      </c>
      <c r="O579" s="96" t="s">
        <v>464</v>
      </c>
      <c r="P579" s="96" t="s">
        <v>337</v>
      </c>
      <c r="Q579" s="96" t="s">
        <v>1309</v>
      </c>
      <c r="R579" s="96" t="s">
        <v>414</v>
      </c>
      <c r="S579" s="96" t="s">
        <v>406</v>
      </c>
      <c r="T579" s="96" t="s">
        <v>1200</v>
      </c>
      <c r="U579" s="97">
        <v>5.93</v>
      </c>
      <c r="V579" s="100">
        <v>48121</v>
      </c>
      <c r="W579" s="98">
        <v>4.1500000000000002E-2</v>
      </c>
      <c r="X579" s="98">
        <v>4.7600000000000003E-2</v>
      </c>
      <c r="Y579" s="96" t="s">
        <v>411</v>
      </c>
      <c r="Z579" s="96"/>
      <c r="AA579" s="97">
        <v>601649.72813399998</v>
      </c>
      <c r="AB579" s="97">
        <v>1</v>
      </c>
      <c r="AC579" s="97">
        <v>99.32</v>
      </c>
      <c r="AD579" s="97"/>
      <c r="AE579" s="97">
        <v>597.55850899999996</v>
      </c>
      <c r="AF579" s="96"/>
      <c r="AG579" s="96"/>
      <c r="AH579" s="96"/>
      <c r="AI579" s="98">
        <v>1.214E-3</v>
      </c>
      <c r="AJ579" s="98">
        <v>2.2390000000000001E-3</v>
      </c>
      <c r="AK579" s="98">
        <v>3.1100000000000002E-4</v>
      </c>
      <c r="AL579" s="106"/>
    </row>
    <row r="580" spans="1:38" ht="15" customHeight="1">
      <c r="A580" s="106"/>
      <c r="B580" s="96">
        <v>286</v>
      </c>
      <c r="C580" s="96">
        <v>286</v>
      </c>
      <c r="D580" s="96" t="s">
        <v>1517</v>
      </c>
      <c r="E580" s="96">
        <v>510560188</v>
      </c>
      <c r="F580" s="96" t="s">
        <v>308</v>
      </c>
      <c r="G580" s="96" t="s">
        <v>1637</v>
      </c>
      <c r="H580" s="96" t="s">
        <v>1638</v>
      </c>
      <c r="I580" s="96" t="s">
        <v>320</v>
      </c>
      <c r="J580" s="96" t="s">
        <v>753</v>
      </c>
      <c r="K580" s="96" t="s">
        <v>203</v>
      </c>
      <c r="L580" s="96" t="s">
        <v>203</v>
      </c>
      <c r="M580" s="96" t="s">
        <v>324</v>
      </c>
      <c r="N580" s="96" t="s">
        <v>339</v>
      </c>
      <c r="O580" s="96" t="s">
        <v>464</v>
      </c>
      <c r="P580" s="96" t="s">
        <v>338</v>
      </c>
      <c r="Q580" s="96" t="s">
        <v>1520</v>
      </c>
      <c r="R580" s="96" t="s">
        <v>414</v>
      </c>
      <c r="S580" s="96" t="s">
        <v>406</v>
      </c>
      <c r="T580" s="96" t="s">
        <v>1200</v>
      </c>
      <c r="U580" s="97">
        <v>3.61</v>
      </c>
      <c r="V580" s="100">
        <v>47406</v>
      </c>
      <c r="W580" s="98">
        <v>0.04</v>
      </c>
      <c r="X580" s="98">
        <v>3.6400000000000002E-2</v>
      </c>
      <c r="Y580" s="96" t="s">
        <v>411</v>
      </c>
      <c r="Z580" s="96"/>
      <c r="AA580" s="97">
        <v>397321.21520999999</v>
      </c>
      <c r="AB580" s="97">
        <v>1</v>
      </c>
      <c r="AC580" s="97">
        <v>104.8</v>
      </c>
      <c r="AD580" s="97"/>
      <c r="AE580" s="97">
        <v>416.39263299999999</v>
      </c>
      <c r="AF580" s="96"/>
      <c r="AG580" s="96"/>
      <c r="AH580" s="96"/>
      <c r="AI580" s="98">
        <v>1.255E-3</v>
      </c>
      <c r="AJ580" s="98">
        <v>1.56E-3</v>
      </c>
      <c r="AK580" s="98">
        <v>2.1599999999999999E-4</v>
      </c>
      <c r="AL580" s="106"/>
    </row>
    <row r="581" spans="1:38" ht="15" customHeight="1">
      <c r="A581" s="106"/>
      <c r="B581" s="96">
        <v>286</v>
      </c>
      <c r="C581" s="96">
        <v>286</v>
      </c>
      <c r="D581" s="96" t="s">
        <v>1379</v>
      </c>
      <c r="E581" s="96">
        <v>510454333</v>
      </c>
      <c r="F581" s="96" t="s">
        <v>308</v>
      </c>
      <c r="G581" s="96" t="s">
        <v>1390</v>
      </c>
      <c r="H581" s="96" t="s">
        <v>1391</v>
      </c>
      <c r="I581" s="96" t="s">
        <v>320</v>
      </c>
      <c r="J581" s="96" t="s">
        <v>753</v>
      </c>
      <c r="K581" s="96" t="s">
        <v>203</v>
      </c>
      <c r="L581" s="96" t="s">
        <v>203</v>
      </c>
      <c r="M581" s="96" t="s">
        <v>326</v>
      </c>
      <c r="N581" s="96" t="s">
        <v>339</v>
      </c>
      <c r="O581" s="96" t="s">
        <v>476</v>
      </c>
      <c r="P581" s="96" t="s">
        <v>338</v>
      </c>
      <c r="Q581" s="96" t="s">
        <v>1320</v>
      </c>
      <c r="R581" s="96" t="s">
        <v>412</v>
      </c>
      <c r="S581" s="96" t="s">
        <v>406</v>
      </c>
      <c r="T581" s="96" t="s">
        <v>1200</v>
      </c>
      <c r="U581" s="97">
        <v>2.62</v>
      </c>
      <c r="V581" s="100">
        <v>47299</v>
      </c>
      <c r="W581" s="98">
        <v>0.01</v>
      </c>
      <c r="X581" s="98">
        <v>2.98E-2</v>
      </c>
      <c r="Y581" s="96" t="s">
        <v>411</v>
      </c>
      <c r="Z581" s="96"/>
      <c r="AA581" s="97">
        <v>33847.649598000004</v>
      </c>
      <c r="AB581" s="97">
        <v>1</v>
      </c>
      <c r="AC581" s="97">
        <v>104.8245</v>
      </c>
      <c r="AD581" s="97"/>
      <c r="AE581" s="97">
        <v>35.480625000000003</v>
      </c>
      <c r="AF581" s="96"/>
      <c r="AG581" s="96"/>
      <c r="AH581" s="96"/>
      <c r="AI581" s="98">
        <v>1.12E-4</v>
      </c>
      <c r="AJ581" s="98">
        <v>1.3200000000000001E-4</v>
      </c>
      <c r="AK581" s="98">
        <v>1.8E-5</v>
      </c>
      <c r="AL581" s="106"/>
    </row>
    <row r="582" spans="1:38" ht="15" customHeight="1">
      <c r="A582" s="106"/>
      <c r="B582" s="96">
        <v>286</v>
      </c>
      <c r="C582" s="96">
        <v>286</v>
      </c>
      <c r="D582" s="96" t="s">
        <v>1496</v>
      </c>
      <c r="E582" s="96">
        <v>510216054</v>
      </c>
      <c r="F582" s="96" t="s">
        <v>308</v>
      </c>
      <c r="G582" s="96" t="s">
        <v>1497</v>
      </c>
      <c r="H582" s="96" t="s">
        <v>1498</v>
      </c>
      <c r="I582" s="96" t="s">
        <v>320</v>
      </c>
      <c r="J582" s="96" t="s">
        <v>753</v>
      </c>
      <c r="K582" s="96" t="s">
        <v>203</v>
      </c>
      <c r="L582" s="96" t="s">
        <v>203</v>
      </c>
      <c r="M582" s="96" t="s">
        <v>324</v>
      </c>
      <c r="N582" s="96" t="s">
        <v>339</v>
      </c>
      <c r="O582" s="96" t="s">
        <v>439</v>
      </c>
      <c r="P582" s="96" t="s">
        <v>337</v>
      </c>
      <c r="Q582" s="96" t="s">
        <v>1332</v>
      </c>
      <c r="R582" s="96" t="s">
        <v>412</v>
      </c>
      <c r="S582" s="96" t="s">
        <v>406</v>
      </c>
      <c r="T582" s="96" t="s">
        <v>1200</v>
      </c>
      <c r="U582" s="97">
        <v>3.31</v>
      </c>
      <c r="V582" s="100">
        <v>47817</v>
      </c>
      <c r="W582" s="98">
        <v>1.23E-2</v>
      </c>
      <c r="X582" s="98">
        <v>2.87E-2</v>
      </c>
      <c r="Y582" s="96" t="s">
        <v>411</v>
      </c>
      <c r="Z582" s="96"/>
      <c r="AA582" s="97">
        <v>1026732.711925</v>
      </c>
      <c r="AB582" s="97">
        <v>1</v>
      </c>
      <c r="AC582" s="97">
        <v>108.38</v>
      </c>
      <c r="AD582" s="97"/>
      <c r="AE582" s="97">
        <v>1112.772913</v>
      </c>
      <c r="AF582" s="96"/>
      <c r="AG582" s="96"/>
      <c r="AH582" s="96"/>
      <c r="AI582" s="98">
        <v>9.2000000000000003E-4</v>
      </c>
      <c r="AJ582" s="98">
        <v>4.169E-3</v>
      </c>
      <c r="AK582" s="98">
        <v>5.7899999999999998E-4</v>
      </c>
      <c r="AL582" s="106"/>
    </row>
    <row r="583" spans="1:38" ht="15" customHeight="1">
      <c r="A583" s="106"/>
      <c r="B583" s="96">
        <v>286</v>
      </c>
      <c r="C583" s="96">
        <v>286</v>
      </c>
      <c r="D583" s="96" t="s">
        <v>1597</v>
      </c>
      <c r="E583" s="96">
        <v>520020116</v>
      </c>
      <c r="F583" s="96" t="s">
        <v>308</v>
      </c>
      <c r="G583" s="96" t="s">
        <v>1598</v>
      </c>
      <c r="H583" s="96" t="s">
        <v>1599</v>
      </c>
      <c r="I583" s="96" t="s">
        <v>320</v>
      </c>
      <c r="J583" s="96" t="s">
        <v>753</v>
      </c>
      <c r="K583" s="96" t="s">
        <v>203</v>
      </c>
      <c r="L583" s="96" t="s">
        <v>203</v>
      </c>
      <c r="M583" s="96" t="s">
        <v>324</v>
      </c>
      <c r="N583" s="96" t="s">
        <v>339</v>
      </c>
      <c r="O583" s="96" t="s">
        <v>463</v>
      </c>
      <c r="P583" s="96" t="s">
        <v>337</v>
      </c>
      <c r="Q583" s="96" t="s">
        <v>1328</v>
      </c>
      <c r="R583" s="96" t="s">
        <v>412</v>
      </c>
      <c r="S583" s="96" t="s">
        <v>406</v>
      </c>
      <c r="T583" s="96" t="s">
        <v>1200</v>
      </c>
      <c r="U583" s="97">
        <v>3.45</v>
      </c>
      <c r="V583" s="100">
        <v>47483</v>
      </c>
      <c r="W583" s="98">
        <v>2.7E-2</v>
      </c>
      <c r="X583" s="98">
        <v>3.4200000000000001E-2</v>
      </c>
      <c r="Y583" s="96" t="s">
        <v>411</v>
      </c>
      <c r="Z583" s="96"/>
      <c r="AA583" s="97">
        <v>535074.66543599998</v>
      </c>
      <c r="AB583" s="97">
        <v>1</v>
      </c>
      <c r="AC583" s="97">
        <v>102.95</v>
      </c>
      <c r="AD583" s="97"/>
      <c r="AE583" s="97">
        <v>550.85936800000002</v>
      </c>
      <c r="AF583" s="96"/>
      <c r="AG583" s="96"/>
      <c r="AH583" s="96"/>
      <c r="AI583" s="98">
        <v>1.222E-3</v>
      </c>
      <c r="AJ583" s="98">
        <v>2.0639999999999999E-3</v>
      </c>
      <c r="AK583" s="98">
        <v>2.8600000000000001E-4</v>
      </c>
      <c r="AL583" s="106"/>
    </row>
    <row r="584" spans="1:38" ht="15" customHeight="1">
      <c r="A584" s="106"/>
      <c r="B584" s="96">
        <v>286</v>
      </c>
      <c r="C584" s="96">
        <v>286</v>
      </c>
      <c r="D584" s="96" t="s">
        <v>1358</v>
      </c>
      <c r="E584" s="96">
        <v>520022732</v>
      </c>
      <c r="F584" s="96" t="s">
        <v>308</v>
      </c>
      <c r="G584" s="96" t="s">
        <v>1614</v>
      </c>
      <c r="H584" s="96" t="s">
        <v>1615</v>
      </c>
      <c r="I584" s="96" t="s">
        <v>320</v>
      </c>
      <c r="J584" s="96" t="s">
        <v>952</v>
      </c>
      <c r="K584" s="96" t="s">
        <v>203</v>
      </c>
      <c r="L584" s="96" t="s">
        <v>203</v>
      </c>
      <c r="M584" s="96" t="s">
        <v>324</v>
      </c>
      <c r="N584" s="96" t="s">
        <v>339</v>
      </c>
      <c r="O584" s="96" t="s">
        <v>474</v>
      </c>
      <c r="P584" s="96" t="s">
        <v>337</v>
      </c>
      <c r="Q584" s="96" t="s">
        <v>1313</v>
      </c>
      <c r="R584" s="96" t="s">
        <v>412</v>
      </c>
      <c r="S584" s="96" t="s">
        <v>406</v>
      </c>
      <c r="T584" s="96" t="s">
        <v>1200</v>
      </c>
      <c r="U584" s="97">
        <v>3.47</v>
      </c>
      <c r="V584" s="100">
        <v>47715</v>
      </c>
      <c r="W584" s="98">
        <v>3.5200000000000002E-2</v>
      </c>
      <c r="X584" s="98">
        <v>5.4399999999999997E-2</v>
      </c>
      <c r="Y584" s="96" t="s">
        <v>411</v>
      </c>
      <c r="Z584" s="96"/>
      <c r="AA584" s="97">
        <v>1014171.974955</v>
      </c>
      <c r="AB584" s="97">
        <v>1</v>
      </c>
      <c r="AC584" s="97">
        <v>95.05</v>
      </c>
      <c r="AD584" s="97"/>
      <c r="AE584" s="97">
        <v>963.970462</v>
      </c>
      <c r="AF584" s="96"/>
      <c r="AG584" s="96"/>
      <c r="AH584" s="96"/>
      <c r="AI584" s="98">
        <v>1.3179999999999999E-3</v>
      </c>
      <c r="AJ584" s="98">
        <v>3.6120000000000002E-3</v>
      </c>
      <c r="AK584" s="98">
        <v>5.0100000000000003E-4</v>
      </c>
      <c r="AL584" s="106"/>
    </row>
    <row r="585" spans="1:38" ht="15" customHeight="1">
      <c r="A585" s="106"/>
      <c r="B585" s="96">
        <v>286</v>
      </c>
      <c r="C585" s="96">
        <v>286</v>
      </c>
      <c r="D585" s="96" t="s">
        <v>1565</v>
      </c>
      <c r="E585" s="96">
        <v>520033234</v>
      </c>
      <c r="F585" s="96" t="s">
        <v>308</v>
      </c>
      <c r="G585" s="96" t="s">
        <v>1566</v>
      </c>
      <c r="H585" s="96" t="s">
        <v>1567</v>
      </c>
      <c r="I585" s="96" t="s">
        <v>320</v>
      </c>
      <c r="J585" s="96" t="s">
        <v>753</v>
      </c>
      <c r="K585" s="96" t="s">
        <v>203</v>
      </c>
      <c r="L585" s="96" t="s">
        <v>203</v>
      </c>
      <c r="M585" s="96" t="s">
        <v>324</v>
      </c>
      <c r="N585" s="96" t="s">
        <v>339</v>
      </c>
      <c r="O585" s="96" t="s">
        <v>464</v>
      </c>
      <c r="P585" s="96" t="s">
        <v>337</v>
      </c>
      <c r="Q585" s="96" t="s">
        <v>1309</v>
      </c>
      <c r="R585" s="96" t="s">
        <v>414</v>
      </c>
      <c r="S585" s="96" t="s">
        <v>406</v>
      </c>
      <c r="T585" s="96" t="s">
        <v>1200</v>
      </c>
      <c r="U585" s="97">
        <v>4.32</v>
      </c>
      <c r="V585" s="100">
        <v>48121</v>
      </c>
      <c r="W585" s="98">
        <v>1.7899999999999999E-2</v>
      </c>
      <c r="X585" s="98">
        <v>6.0499999999999998E-2</v>
      </c>
      <c r="Y585" s="96" t="s">
        <v>411</v>
      </c>
      <c r="Z585" s="96"/>
      <c r="AA585" s="97">
        <v>485664.96769899997</v>
      </c>
      <c r="AB585" s="97">
        <v>1</v>
      </c>
      <c r="AC585" s="97">
        <v>94.42</v>
      </c>
      <c r="AD585" s="97"/>
      <c r="AE585" s="97">
        <v>458.56486200000001</v>
      </c>
      <c r="AF585" s="96"/>
      <c r="AG585" s="96"/>
      <c r="AH585" s="96"/>
      <c r="AI585" s="98">
        <v>6.9099999999999999E-4</v>
      </c>
      <c r="AJ585" s="98">
        <v>1.7179999999999999E-3</v>
      </c>
      <c r="AK585" s="98">
        <v>2.3800000000000001E-4</v>
      </c>
      <c r="AL585" s="106"/>
    </row>
    <row r="586" spans="1:38" ht="15" customHeight="1">
      <c r="A586" s="106"/>
      <c r="B586" s="96">
        <v>286</v>
      </c>
      <c r="C586" s="96">
        <v>286</v>
      </c>
      <c r="D586" s="96" t="s">
        <v>2051</v>
      </c>
      <c r="E586" s="96">
        <v>513436394</v>
      </c>
      <c r="F586" s="96" t="s">
        <v>308</v>
      </c>
      <c r="G586" s="96" t="s">
        <v>2052</v>
      </c>
      <c r="H586" s="96" t="s">
        <v>2053</v>
      </c>
      <c r="I586" s="96" t="s">
        <v>320</v>
      </c>
      <c r="J586" s="96" t="s">
        <v>753</v>
      </c>
      <c r="K586" s="96" t="s">
        <v>203</v>
      </c>
      <c r="L586" s="96" t="s">
        <v>203</v>
      </c>
      <c r="M586" s="96" t="s">
        <v>324</v>
      </c>
      <c r="N586" s="96" t="s">
        <v>339</v>
      </c>
      <c r="O586" s="96" t="s">
        <v>476</v>
      </c>
      <c r="P586" s="96" t="s">
        <v>338</v>
      </c>
      <c r="Q586" s="96" t="s">
        <v>1301</v>
      </c>
      <c r="R586" s="96" t="s">
        <v>414</v>
      </c>
      <c r="S586" s="96" t="s">
        <v>406</v>
      </c>
      <c r="T586" s="96" t="s">
        <v>1200</v>
      </c>
      <c r="U586" s="97">
        <v>5.72</v>
      </c>
      <c r="V586" s="100">
        <v>48760</v>
      </c>
      <c r="W586" s="98">
        <v>2.6499999999999999E-2</v>
      </c>
      <c r="X586" s="98">
        <v>2.81E-2</v>
      </c>
      <c r="Y586" s="96" t="s">
        <v>411</v>
      </c>
      <c r="Z586" s="96"/>
      <c r="AA586" s="97">
        <v>1468078.580113</v>
      </c>
      <c r="AB586" s="97">
        <v>1</v>
      </c>
      <c r="AC586" s="97">
        <v>113.29</v>
      </c>
      <c r="AD586" s="97"/>
      <c r="AE586" s="97">
        <v>1663.1862229999999</v>
      </c>
      <c r="AF586" s="96"/>
      <c r="AG586" s="96"/>
      <c r="AH586" s="96"/>
      <c r="AI586" s="98">
        <v>9.9700000000000006E-4</v>
      </c>
      <c r="AJ586" s="98">
        <v>6.2319999999999997E-3</v>
      </c>
      <c r="AK586" s="98">
        <v>8.6600000000000002E-4</v>
      </c>
      <c r="AL586" s="106"/>
    </row>
    <row r="587" spans="1:38" ht="15" customHeight="1">
      <c r="A587" s="106"/>
      <c r="B587" s="96">
        <v>286</v>
      </c>
      <c r="C587" s="96">
        <v>286</v>
      </c>
      <c r="D587" s="96" t="s">
        <v>1710</v>
      </c>
      <c r="E587" s="96">
        <v>520034372</v>
      </c>
      <c r="F587" s="96" t="s">
        <v>308</v>
      </c>
      <c r="G587" s="96" t="s">
        <v>1876</v>
      </c>
      <c r="H587" s="96" t="s">
        <v>1877</v>
      </c>
      <c r="I587" s="96" t="s">
        <v>320</v>
      </c>
      <c r="J587" s="96" t="s">
        <v>753</v>
      </c>
      <c r="K587" s="96" t="s">
        <v>203</v>
      </c>
      <c r="L587" s="96" t="s">
        <v>203</v>
      </c>
      <c r="M587" s="96" t="s">
        <v>324</v>
      </c>
      <c r="N587" s="96" t="s">
        <v>339</v>
      </c>
      <c r="O587" s="96" t="s">
        <v>476</v>
      </c>
      <c r="P587" s="96" t="s">
        <v>338</v>
      </c>
      <c r="Q587" s="96" t="s">
        <v>1313</v>
      </c>
      <c r="R587" s="96" t="s">
        <v>412</v>
      </c>
      <c r="S587" s="96" t="s">
        <v>406</v>
      </c>
      <c r="T587" s="96" t="s">
        <v>1200</v>
      </c>
      <c r="U587" s="97">
        <v>3.61</v>
      </c>
      <c r="V587" s="100">
        <v>48202</v>
      </c>
      <c r="W587" s="98">
        <v>2.1999999999999999E-2</v>
      </c>
      <c r="X587" s="98">
        <v>3.0499999999999999E-2</v>
      </c>
      <c r="Y587" s="96" t="s">
        <v>411</v>
      </c>
      <c r="Z587" s="96"/>
      <c r="AA587" s="97">
        <v>491919.382422</v>
      </c>
      <c r="AB587" s="97">
        <v>1</v>
      </c>
      <c r="AC587" s="97">
        <v>102.03</v>
      </c>
      <c r="AD587" s="97"/>
      <c r="AE587" s="97">
        <v>501.90534500000001</v>
      </c>
      <c r="AF587" s="96"/>
      <c r="AG587" s="96"/>
      <c r="AH587" s="96"/>
      <c r="AI587" s="98">
        <v>1.0319999999999999E-3</v>
      </c>
      <c r="AJ587" s="98">
        <v>1.8799999999999999E-3</v>
      </c>
      <c r="AK587" s="98">
        <v>2.61E-4</v>
      </c>
      <c r="AL587" s="106"/>
    </row>
    <row r="588" spans="1:38" ht="15" customHeight="1">
      <c r="A588" s="106"/>
      <c r="B588" s="96">
        <v>286</v>
      </c>
      <c r="C588" s="96">
        <v>286</v>
      </c>
      <c r="D588" s="96" t="s">
        <v>1771</v>
      </c>
      <c r="E588" s="96">
        <v>515364891</v>
      </c>
      <c r="F588" s="96" t="s">
        <v>308</v>
      </c>
      <c r="G588" s="96" t="s">
        <v>1772</v>
      </c>
      <c r="H588" s="96" t="s">
        <v>1773</v>
      </c>
      <c r="I588" s="96" t="s">
        <v>320</v>
      </c>
      <c r="J588" s="96" t="s">
        <v>753</v>
      </c>
      <c r="K588" s="96" t="s">
        <v>203</v>
      </c>
      <c r="L588" s="96" t="s">
        <v>203</v>
      </c>
      <c r="M588" s="96" t="s">
        <v>326</v>
      </c>
      <c r="N588" s="96" t="s">
        <v>339</v>
      </c>
      <c r="O588" s="96" t="s">
        <v>440</v>
      </c>
      <c r="P588" s="96" t="s">
        <v>338</v>
      </c>
      <c r="Q588" s="96" t="s">
        <v>409</v>
      </c>
      <c r="R588" s="96" t="s">
        <v>409</v>
      </c>
      <c r="S588" s="96" t="s">
        <v>409</v>
      </c>
      <c r="T588" s="96" t="s">
        <v>1200</v>
      </c>
      <c r="U588" s="97">
        <v>2.96</v>
      </c>
      <c r="V588" s="100">
        <v>46934</v>
      </c>
      <c r="W588" s="98">
        <v>1.5800000000000002E-2</v>
      </c>
      <c r="X588" s="98">
        <v>4.6199999999999998E-2</v>
      </c>
      <c r="Y588" s="96" t="s">
        <v>411</v>
      </c>
      <c r="Z588" s="96"/>
      <c r="AA588" s="97">
        <v>31875.873381000001</v>
      </c>
      <c r="AB588" s="97">
        <v>1</v>
      </c>
      <c r="AC588" s="97">
        <v>102.4538</v>
      </c>
      <c r="AD588" s="97"/>
      <c r="AE588" s="97">
        <v>32.658033000000003</v>
      </c>
      <c r="AF588" s="96"/>
      <c r="AG588" s="96"/>
      <c r="AH588" s="96"/>
      <c r="AI588" s="98">
        <v>8.5000000000000006E-5</v>
      </c>
      <c r="AJ588" s="98">
        <v>1.22E-4</v>
      </c>
      <c r="AK588" s="98">
        <v>1.7E-5</v>
      </c>
      <c r="AL588" s="106"/>
    </row>
    <row r="589" spans="1:38" ht="15" customHeight="1">
      <c r="A589" s="106"/>
      <c r="B589" s="96">
        <v>286</v>
      </c>
      <c r="C589" s="96">
        <v>286</v>
      </c>
      <c r="D589" s="96" t="s">
        <v>1392</v>
      </c>
      <c r="E589" s="96">
        <v>513708818</v>
      </c>
      <c r="F589" s="96" t="s">
        <v>308</v>
      </c>
      <c r="G589" s="96" t="s">
        <v>1393</v>
      </c>
      <c r="H589" s="96" t="s">
        <v>1394</v>
      </c>
      <c r="I589" s="96" t="s">
        <v>320</v>
      </c>
      <c r="J589" s="96" t="s">
        <v>753</v>
      </c>
      <c r="K589" s="96" t="s">
        <v>203</v>
      </c>
      <c r="L589" s="96" t="s">
        <v>203</v>
      </c>
      <c r="M589" s="96" t="s">
        <v>326</v>
      </c>
      <c r="N589" s="96" t="s">
        <v>339</v>
      </c>
      <c r="O589" s="96" t="s">
        <v>439</v>
      </c>
      <c r="P589" s="96" t="s">
        <v>338</v>
      </c>
      <c r="Q589" s="96" t="s">
        <v>1309</v>
      </c>
      <c r="R589" s="96" t="s">
        <v>414</v>
      </c>
      <c r="S589" s="96" t="s">
        <v>406</v>
      </c>
      <c r="T589" s="96" t="s">
        <v>1200</v>
      </c>
      <c r="U589" s="97">
        <v>5.97</v>
      </c>
      <c r="V589" s="100">
        <v>49217</v>
      </c>
      <c r="W589" s="98">
        <v>3.3000000000000002E-2</v>
      </c>
      <c r="X589" s="98">
        <v>4.5600000000000002E-2</v>
      </c>
      <c r="Y589" s="96" t="s">
        <v>411</v>
      </c>
      <c r="Z589" s="96"/>
      <c r="AA589" s="97">
        <v>1013446.050459</v>
      </c>
      <c r="AB589" s="97">
        <v>1</v>
      </c>
      <c r="AC589" s="97">
        <v>99.871099999999998</v>
      </c>
      <c r="AD589" s="97"/>
      <c r="AE589" s="97">
        <v>1012.139691</v>
      </c>
      <c r="AF589" s="96"/>
      <c r="AG589" s="96"/>
      <c r="AH589" s="96"/>
      <c r="AI589" s="98">
        <v>8.0900000000000004E-4</v>
      </c>
      <c r="AJ589" s="98">
        <v>3.7919999999999998E-3</v>
      </c>
      <c r="AK589" s="98">
        <v>5.2700000000000002E-4</v>
      </c>
      <c r="AL589" s="106"/>
    </row>
    <row r="590" spans="1:38" ht="15" customHeight="1">
      <c r="A590" s="106"/>
      <c r="B590" s="96">
        <v>286</v>
      </c>
      <c r="C590" s="96">
        <v>286</v>
      </c>
      <c r="D590" s="96" t="s">
        <v>1354</v>
      </c>
      <c r="E590" s="96">
        <v>513893123</v>
      </c>
      <c r="F590" s="96" t="s">
        <v>308</v>
      </c>
      <c r="G590" s="96" t="s">
        <v>1568</v>
      </c>
      <c r="H590" s="96" t="s">
        <v>1569</v>
      </c>
      <c r="I590" s="96" t="s">
        <v>320</v>
      </c>
      <c r="J590" s="96" t="s">
        <v>753</v>
      </c>
      <c r="K590" s="96" t="s">
        <v>203</v>
      </c>
      <c r="L590" s="96" t="s">
        <v>203</v>
      </c>
      <c r="M590" s="96" t="s">
        <v>324</v>
      </c>
      <c r="N590" s="96" t="s">
        <v>339</v>
      </c>
      <c r="O590" s="96" t="s">
        <v>442</v>
      </c>
      <c r="P590" s="96" t="s">
        <v>338</v>
      </c>
      <c r="Q590" s="96" t="s">
        <v>1357</v>
      </c>
      <c r="R590" s="96" t="s">
        <v>414</v>
      </c>
      <c r="S590" s="96" t="s">
        <v>406</v>
      </c>
      <c r="T590" s="96" t="s">
        <v>1200</v>
      </c>
      <c r="U590" s="97">
        <v>0.65</v>
      </c>
      <c r="V590" s="100">
        <v>46053</v>
      </c>
      <c r="W590" s="98">
        <v>0.01</v>
      </c>
      <c r="X590" s="98">
        <v>3.2500000000000001E-2</v>
      </c>
      <c r="Y590" s="96" t="s">
        <v>411</v>
      </c>
      <c r="Z590" s="96"/>
      <c r="AA590" s="97">
        <v>72207.875438000003</v>
      </c>
      <c r="AB590" s="97">
        <v>1</v>
      </c>
      <c r="AC590" s="97">
        <v>111.26</v>
      </c>
      <c r="AD590" s="97"/>
      <c r="AE590" s="97">
        <v>80.338481999999999</v>
      </c>
      <c r="AF590" s="96"/>
      <c r="AG590" s="96"/>
      <c r="AH590" s="96"/>
      <c r="AI590" s="98">
        <v>1.64E-4</v>
      </c>
      <c r="AJ590" s="98">
        <v>3.01E-4</v>
      </c>
      <c r="AK590" s="98">
        <v>4.1E-5</v>
      </c>
      <c r="AL590" s="106"/>
    </row>
    <row r="591" spans="1:38" ht="15" customHeight="1">
      <c r="A591" s="106"/>
      <c r="B591" s="96">
        <v>286</v>
      </c>
      <c r="C591" s="96">
        <v>286</v>
      </c>
      <c r="D591" s="96" t="s">
        <v>1675</v>
      </c>
      <c r="E591" s="96">
        <v>520043720</v>
      </c>
      <c r="F591" s="96" t="s">
        <v>308</v>
      </c>
      <c r="G591" s="96" t="s">
        <v>1676</v>
      </c>
      <c r="H591" s="96" t="s">
        <v>1677</v>
      </c>
      <c r="I591" s="96" t="s">
        <v>320</v>
      </c>
      <c r="J591" s="96" t="s">
        <v>952</v>
      </c>
      <c r="K591" s="96" t="s">
        <v>203</v>
      </c>
      <c r="L591" s="96" t="s">
        <v>203</v>
      </c>
      <c r="M591" s="96" t="s">
        <v>324</v>
      </c>
      <c r="N591" s="96" t="s">
        <v>339</v>
      </c>
      <c r="O591" s="96" t="s">
        <v>464</v>
      </c>
      <c r="P591" s="96" t="s">
        <v>337</v>
      </c>
      <c r="Q591" s="96" t="s">
        <v>1336</v>
      </c>
      <c r="R591" s="96" t="s">
        <v>414</v>
      </c>
      <c r="S591" s="96" t="s">
        <v>406</v>
      </c>
      <c r="T591" s="96" t="s">
        <v>1200</v>
      </c>
      <c r="U591" s="97">
        <v>5.9</v>
      </c>
      <c r="V591" s="100">
        <v>48122</v>
      </c>
      <c r="W591" s="98">
        <v>2.8000000000000001E-2</v>
      </c>
      <c r="X591" s="98">
        <v>6.3E-2</v>
      </c>
      <c r="Y591" s="96" t="s">
        <v>411</v>
      </c>
      <c r="Z591" s="96"/>
      <c r="AA591" s="97">
        <v>487630.36534199998</v>
      </c>
      <c r="AB591" s="97">
        <v>1</v>
      </c>
      <c r="AC591" s="97">
        <v>82.49</v>
      </c>
      <c r="AD591" s="97"/>
      <c r="AE591" s="97">
        <v>402.24628799999999</v>
      </c>
      <c r="AF591" s="96"/>
      <c r="AG591" s="96"/>
      <c r="AH591" s="96"/>
      <c r="AI591" s="98">
        <v>8.7900000000000001E-4</v>
      </c>
      <c r="AJ591" s="98">
        <v>1.5070000000000001E-3</v>
      </c>
      <c r="AK591" s="98">
        <v>2.0900000000000001E-4</v>
      </c>
      <c r="AL591" s="106"/>
    </row>
    <row r="592" spans="1:38" ht="15" customHeight="1">
      <c r="A592" s="106"/>
      <c r="B592" s="96">
        <v>286</v>
      </c>
      <c r="C592" s="96">
        <v>286</v>
      </c>
      <c r="D592" s="96" t="s">
        <v>1913</v>
      </c>
      <c r="E592" s="96">
        <v>516117181</v>
      </c>
      <c r="F592" s="96" t="s">
        <v>308</v>
      </c>
      <c r="G592" s="96" t="s">
        <v>1914</v>
      </c>
      <c r="H592" s="96" t="s">
        <v>1915</v>
      </c>
      <c r="I592" s="96" t="s">
        <v>320</v>
      </c>
      <c r="J592" s="96" t="s">
        <v>952</v>
      </c>
      <c r="K592" s="96" t="s">
        <v>203</v>
      </c>
      <c r="L592" s="96" t="s">
        <v>203</v>
      </c>
      <c r="M592" s="96" t="s">
        <v>324</v>
      </c>
      <c r="N592" s="96" t="s">
        <v>339</v>
      </c>
      <c r="O592" s="96" t="s">
        <v>463</v>
      </c>
      <c r="P592" s="96" t="s">
        <v>338</v>
      </c>
      <c r="Q592" s="96" t="s">
        <v>409</v>
      </c>
      <c r="R592" s="96" t="s">
        <v>409</v>
      </c>
      <c r="S592" s="96" t="s">
        <v>409</v>
      </c>
      <c r="T592" s="96" t="s">
        <v>1200</v>
      </c>
      <c r="U592" s="97">
        <v>1.49</v>
      </c>
      <c r="V592" s="100">
        <v>46022</v>
      </c>
      <c r="W592" s="98">
        <v>0.01</v>
      </c>
      <c r="X592" s="98">
        <v>5.9400000000000001E-2</v>
      </c>
      <c r="Y592" s="96" t="s">
        <v>411</v>
      </c>
      <c r="Z592" s="96"/>
      <c r="AA592" s="97">
        <v>224149.48834400001</v>
      </c>
      <c r="AB592" s="97">
        <v>1</v>
      </c>
      <c r="AC592" s="97">
        <v>93.1</v>
      </c>
      <c r="AD592" s="97"/>
      <c r="AE592" s="97">
        <v>208.68317300000001</v>
      </c>
      <c r="AF592" s="96"/>
      <c r="AG592" s="96"/>
      <c r="AH592" s="96"/>
      <c r="AI592" s="98">
        <v>9.3300000000000002E-4</v>
      </c>
      <c r="AJ592" s="98">
        <v>7.8100000000000001E-4</v>
      </c>
      <c r="AK592" s="98">
        <v>1.08E-4</v>
      </c>
      <c r="AL592" s="106"/>
    </row>
    <row r="593" spans="1:38" ht="15" customHeight="1">
      <c r="A593" s="106"/>
      <c r="B593" s="96">
        <v>286</v>
      </c>
      <c r="C593" s="96">
        <v>286</v>
      </c>
      <c r="D593" s="96" t="s">
        <v>1317</v>
      </c>
      <c r="E593" s="96">
        <v>520028911</v>
      </c>
      <c r="F593" s="96" t="s">
        <v>308</v>
      </c>
      <c r="G593" s="96" t="s">
        <v>1783</v>
      </c>
      <c r="H593" s="96" t="s">
        <v>1784</v>
      </c>
      <c r="I593" s="96" t="s">
        <v>320</v>
      </c>
      <c r="J593" s="96" t="s">
        <v>952</v>
      </c>
      <c r="K593" s="96" t="s">
        <v>203</v>
      </c>
      <c r="L593" s="96" t="s">
        <v>203</v>
      </c>
      <c r="M593" s="96" t="s">
        <v>324</v>
      </c>
      <c r="N593" s="96" t="s">
        <v>339</v>
      </c>
      <c r="O593" s="96" t="s">
        <v>450</v>
      </c>
      <c r="P593" s="96" t="s">
        <v>337</v>
      </c>
      <c r="Q593" s="96" t="s">
        <v>1320</v>
      </c>
      <c r="R593" s="96" t="s">
        <v>412</v>
      </c>
      <c r="S593" s="96" t="s">
        <v>406</v>
      </c>
      <c r="T593" s="96" t="s">
        <v>1200</v>
      </c>
      <c r="U593" s="97">
        <v>1.46</v>
      </c>
      <c r="V593" s="100">
        <v>46203</v>
      </c>
      <c r="W593" s="98">
        <v>0.04</v>
      </c>
      <c r="X593" s="98">
        <v>4.9399999999999999E-2</v>
      </c>
      <c r="Y593" s="96" t="s">
        <v>411</v>
      </c>
      <c r="Z593" s="96"/>
      <c r="AA593" s="97">
        <v>48748.228904000003</v>
      </c>
      <c r="AB593" s="97">
        <v>1</v>
      </c>
      <c r="AC593" s="97">
        <v>98.76</v>
      </c>
      <c r="AD593" s="97"/>
      <c r="AE593" s="97">
        <v>48.143749999999997</v>
      </c>
      <c r="AF593" s="96"/>
      <c r="AG593" s="96"/>
      <c r="AH593" s="96"/>
      <c r="AI593" s="98">
        <v>3.6900000000000002E-4</v>
      </c>
      <c r="AJ593" s="98">
        <v>1.8000000000000001E-4</v>
      </c>
      <c r="AK593" s="98">
        <v>2.5000000000000001E-5</v>
      </c>
      <c r="AL593" s="106"/>
    </row>
    <row r="594" spans="1:38" ht="15" customHeight="1">
      <c r="A594" s="106"/>
      <c r="B594" s="96">
        <v>286</v>
      </c>
      <c r="C594" s="96">
        <v>286</v>
      </c>
      <c r="D594" s="96" t="s">
        <v>1546</v>
      </c>
      <c r="E594" s="96">
        <v>511930125</v>
      </c>
      <c r="F594" s="96" t="s">
        <v>308</v>
      </c>
      <c r="G594" s="96" t="s">
        <v>2037</v>
      </c>
      <c r="H594" s="96" t="s">
        <v>2038</v>
      </c>
      <c r="I594" s="96" t="s">
        <v>320</v>
      </c>
      <c r="J594" s="96" t="s">
        <v>952</v>
      </c>
      <c r="K594" s="96" t="s">
        <v>203</v>
      </c>
      <c r="L594" s="96" t="s">
        <v>203</v>
      </c>
      <c r="M594" s="96" t="s">
        <v>324</v>
      </c>
      <c r="N594" s="96" t="s">
        <v>339</v>
      </c>
      <c r="O594" s="96" t="s">
        <v>483</v>
      </c>
      <c r="P594" s="96" t="s">
        <v>337</v>
      </c>
      <c r="Q594" s="96" t="s">
        <v>1320</v>
      </c>
      <c r="R594" s="96" t="s">
        <v>412</v>
      </c>
      <c r="S594" s="96" t="s">
        <v>406</v>
      </c>
      <c r="T594" s="96" t="s">
        <v>1200</v>
      </c>
      <c r="U594" s="97">
        <v>1.48</v>
      </c>
      <c r="V594" s="100">
        <v>46208</v>
      </c>
      <c r="W594" s="98">
        <v>3.5499999999999997E-2</v>
      </c>
      <c r="X594" s="98">
        <v>5.3699999999999998E-2</v>
      </c>
      <c r="Y594" s="96" t="s">
        <v>411</v>
      </c>
      <c r="Z594" s="96"/>
      <c r="AA594" s="97">
        <v>240383.44107599999</v>
      </c>
      <c r="AB594" s="97">
        <v>1</v>
      </c>
      <c r="AC594" s="97">
        <v>97.46</v>
      </c>
      <c r="AD594" s="97">
        <v>90.143789999999996</v>
      </c>
      <c r="AE594" s="97">
        <v>324.421491</v>
      </c>
      <c r="AF594" s="96"/>
      <c r="AG594" s="96"/>
      <c r="AH594" s="96"/>
      <c r="AI594" s="98">
        <v>8.4500000000000005E-4</v>
      </c>
      <c r="AJ594" s="98">
        <v>1.214E-3</v>
      </c>
      <c r="AK594" s="98">
        <v>1.6799999999999999E-4</v>
      </c>
      <c r="AL594" s="106"/>
    </row>
    <row r="595" spans="1:38" ht="15" customHeight="1">
      <c r="A595" s="106"/>
      <c r="B595" s="96">
        <v>286</v>
      </c>
      <c r="C595" s="96">
        <v>286</v>
      </c>
      <c r="D595" s="96" t="s">
        <v>1499</v>
      </c>
      <c r="E595" s="96">
        <v>520027830</v>
      </c>
      <c r="F595" s="96" t="s">
        <v>308</v>
      </c>
      <c r="G595" s="96" t="s">
        <v>1500</v>
      </c>
      <c r="H595" s="96" t="s">
        <v>1501</v>
      </c>
      <c r="I595" s="96" t="s">
        <v>320</v>
      </c>
      <c r="J595" s="96" t="s">
        <v>952</v>
      </c>
      <c r="K595" s="96" t="s">
        <v>203</v>
      </c>
      <c r="L595" s="96" t="s">
        <v>203</v>
      </c>
      <c r="M595" s="96" t="s">
        <v>324</v>
      </c>
      <c r="N595" s="96" t="s">
        <v>339</v>
      </c>
      <c r="O595" s="96" t="s">
        <v>455</v>
      </c>
      <c r="P595" s="96" t="s">
        <v>338</v>
      </c>
      <c r="Q595" s="96" t="s">
        <v>1313</v>
      </c>
      <c r="R595" s="96" t="s">
        <v>412</v>
      </c>
      <c r="S595" s="96" t="s">
        <v>406</v>
      </c>
      <c r="T595" s="96" t="s">
        <v>1200</v>
      </c>
      <c r="U595" s="97">
        <v>7.81</v>
      </c>
      <c r="V595" s="100">
        <v>49308</v>
      </c>
      <c r="W595" s="98">
        <v>2.4E-2</v>
      </c>
      <c r="X595" s="98">
        <v>5.8400000000000001E-2</v>
      </c>
      <c r="Y595" s="96" t="s">
        <v>411</v>
      </c>
      <c r="Z595" s="96"/>
      <c r="AA595" s="97">
        <v>994532.55813799996</v>
      </c>
      <c r="AB595" s="97">
        <v>1</v>
      </c>
      <c r="AC595" s="97">
        <v>76.87</v>
      </c>
      <c r="AD595" s="97"/>
      <c r="AE595" s="97">
        <v>764.49717699999997</v>
      </c>
      <c r="AF595" s="96"/>
      <c r="AG595" s="96"/>
      <c r="AH595" s="96"/>
      <c r="AI595" s="98">
        <v>1.351E-3</v>
      </c>
      <c r="AJ595" s="98">
        <v>2.8639999999999998E-3</v>
      </c>
      <c r="AK595" s="98">
        <v>3.9800000000000002E-4</v>
      </c>
      <c r="AL595" s="106"/>
    </row>
    <row r="596" spans="1:38" ht="15" customHeight="1">
      <c r="A596" s="106"/>
      <c r="B596" s="96">
        <v>286</v>
      </c>
      <c r="C596" s="96">
        <v>286</v>
      </c>
      <c r="D596" s="96" t="s">
        <v>1432</v>
      </c>
      <c r="E596" s="96">
        <v>515327120</v>
      </c>
      <c r="F596" s="96" t="s">
        <v>308</v>
      </c>
      <c r="G596" s="96" t="s">
        <v>1665</v>
      </c>
      <c r="H596" s="96" t="s">
        <v>1666</v>
      </c>
      <c r="I596" s="96" t="s">
        <v>320</v>
      </c>
      <c r="J596" s="96" t="s">
        <v>753</v>
      </c>
      <c r="K596" s="96" t="s">
        <v>203</v>
      </c>
      <c r="L596" s="96" t="s">
        <v>203</v>
      </c>
      <c r="M596" s="96" t="s">
        <v>326</v>
      </c>
      <c r="N596" s="96" t="s">
        <v>339</v>
      </c>
      <c r="O596" s="96" t="s">
        <v>463</v>
      </c>
      <c r="P596" s="96" t="s">
        <v>337</v>
      </c>
      <c r="Q596" s="96" t="s">
        <v>1357</v>
      </c>
      <c r="R596" s="96" t="s">
        <v>414</v>
      </c>
      <c r="S596" s="96" t="s">
        <v>406</v>
      </c>
      <c r="T596" s="96" t="s">
        <v>1200</v>
      </c>
      <c r="U596" s="97">
        <v>4.4400000000000004</v>
      </c>
      <c r="V596" s="100">
        <v>47483</v>
      </c>
      <c r="W596" s="98">
        <v>8.5000000000000006E-3</v>
      </c>
      <c r="X596" s="98">
        <v>4.1200000000000001E-2</v>
      </c>
      <c r="Y596" s="96" t="s">
        <v>411</v>
      </c>
      <c r="Z596" s="96"/>
      <c r="AA596" s="97">
        <v>20596.233048999999</v>
      </c>
      <c r="AB596" s="97">
        <v>1</v>
      </c>
      <c r="AC596" s="97">
        <v>99.869399999999999</v>
      </c>
      <c r="AD596" s="97"/>
      <c r="AE596" s="97">
        <v>20.569326</v>
      </c>
      <c r="AF596" s="96"/>
      <c r="AG596" s="96"/>
      <c r="AH596" s="96"/>
      <c r="AI596" s="98">
        <v>3.1000000000000001E-5</v>
      </c>
      <c r="AJ596" s="98">
        <v>7.7000000000000001E-5</v>
      </c>
      <c r="AK596" s="98">
        <v>1.0000000000000001E-5</v>
      </c>
      <c r="AL596" s="106"/>
    </row>
    <row r="597" spans="1:38" ht="15" customHeight="1">
      <c r="A597" s="106"/>
      <c r="B597" s="96">
        <v>286</v>
      </c>
      <c r="C597" s="96">
        <v>286</v>
      </c>
      <c r="D597" s="96" t="s">
        <v>1632</v>
      </c>
      <c r="E597" s="96">
        <v>520034257</v>
      </c>
      <c r="F597" s="96" t="s">
        <v>308</v>
      </c>
      <c r="G597" s="96" t="s">
        <v>1912</v>
      </c>
      <c r="H597" s="96" t="s">
        <v>1634</v>
      </c>
      <c r="I597" s="96" t="s">
        <v>320</v>
      </c>
      <c r="J597" s="96" t="s">
        <v>753</v>
      </c>
      <c r="K597" s="96" t="s">
        <v>203</v>
      </c>
      <c r="L597" s="96" t="s">
        <v>203</v>
      </c>
      <c r="M597" s="96" t="s">
        <v>324</v>
      </c>
      <c r="N597" s="96" t="s">
        <v>339</v>
      </c>
      <c r="O597" s="96" t="s">
        <v>450</v>
      </c>
      <c r="P597" s="96" t="s">
        <v>338</v>
      </c>
      <c r="Q597" s="96" t="s">
        <v>1520</v>
      </c>
      <c r="R597" s="96" t="s">
        <v>414</v>
      </c>
      <c r="S597" s="96" t="s">
        <v>406</v>
      </c>
      <c r="T597" s="96" t="s">
        <v>1200</v>
      </c>
      <c r="U597" s="97">
        <v>3.21</v>
      </c>
      <c r="V597" s="100">
        <v>46944</v>
      </c>
      <c r="W597" s="98">
        <v>3.73E-2</v>
      </c>
      <c r="X597" s="98">
        <v>3.7199999999999997E-2</v>
      </c>
      <c r="Y597" s="96" t="s">
        <v>411</v>
      </c>
      <c r="Z597" s="96"/>
      <c r="AA597" s="97">
        <v>215820.26890900001</v>
      </c>
      <c r="AB597" s="97">
        <v>1</v>
      </c>
      <c r="AC597" s="97">
        <v>107.03</v>
      </c>
      <c r="AD597" s="97"/>
      <c r="AE597" s="97">
        <v>230.99243300000001</v>
      </c>
      <c r="AF597" s="96"/>
      <c r="AG597" s="96"/>
      <c r="AH597" s="96"/>
      <c r="AI597" s="98">
        <v>6.1200000000000002E-4</v>
      </c>
      <c r="AJ597" s="98">
        <v>8.6499999999999999E-4</v>
      </c>
      <c r="AK597" s="98">
        <v>1.2E-4</v>
      </c>
      <c r="AL597" s="106"/>
    </row>
    <row r="598" spans="1:38" ht="15" customHeight="1">
      <c r="A598" s="106"/>
      <c r="B598" s="96">
        <v>286</v>
      </c>
      <c r="C598" s="96">
        <v>286</v>
      </c>
      <c r="D598" s="96" t="s">
        <v>1427</v>
      </c>
      <c r="E598" s="96">
        <v>520031931</v>
      </c>
      <c r="F598" s="96" t="s">
        <v>308</v>
      </c>
      <c r="G598" s="96" t="s">
        <v>1730</v>
      </c>
      <c r="H598" s="96" t="s">
        <v>1731</v>
      </c>
      <c r="I598" s="96" t="s">
        <v>320</v>
      </c>
      <c r="J598" s="96" t="s">
        <v>753</v>
      </c>
      <c r="K598" s="96" t="s">
        <v>203</v>
      </c>
      <c r="L598" s="96" t="s">
        <v>203</v>
      </c>
      <c r="M598" s="96" t="s">
        <v>324</v>
      </c>
      <c r="N598" s="96" t="s">
        <v>339</v>
      </c>
      <c r="O598" s="96" t="s">
        <v>483</v>
      </c>
      <c r="P598" s="96" t="s">
        <v>338</v>
      </c>
      <c r="Q598" s="96" t="s">
        <v>1336</v>
      </c>
      <c r="R598" s="96" t="s">
        <v>414</v>
      </c>
      <c r="S598" s="96" t="s">
        <v>406</v>
      </c>
      <c r="T598" s="96" t="s">
        <v>1200</v>
      </c>
      <c r="U598" s="97">
        <v>8.61</v>
      </c>
      <c r="V598" s="100">
        <v>49461</v>
      </c>
      <c r="W598" s="98">
        <v>5.7999999999999996E-3</v>
      </c>
      <c r="X598" s="98">
        <v>3.3500000000000002E-2</v>
      </c>
      <c r="Y598" s="96" t="s">
        <v>411</v>
      </c>
      <c r="Z598" s="96"/>
      <c r="AA598" s="97">
        <v>365611.16196699999</v>
      </c>
      <c r="AB598" s="97">
        <v>1</v>
      </c>
      <c r="AC598" s="97">
        <v>87.7</v>
      </c>
      <c r="AD598" s="97"/>
      <c r="AE598" s="97">
        <v>320.64098899999999</v>
      </c>
      <c r="AF598" s="96"/>
      <c r="AG598" s="96"/>
      <c r="AH598" s="96"/>
      <c r="AI598" s="98">
        <v>7.6400000000000003E-4</v>
      </c>
      <c r="AJ598" s="98">
        <v>1.201E-3</v>
      </c>
      <c r="AK598" s="98">
        <v>1.66E-4</v>
      </c>
      <c r="AL598" s="106"/>
    </row>
    <row r="599" spans="1:38" ht="15" customHeight="1">
      <c r="A599" s="106"/>
      <c r="B599" s="96">
        <v>286</v>
      </c>
      <c r="C599" s="96">
        <v>286</v>
      </c>
      <c r="D599" s="96" t="s">
        <v>1379</v>
      </c>
      <c r="E599" s="96">
        <v>510454333</v>
      </c>
      <c r="F599" s="96" t="s">
        <v>308</v>
      </c>
      <c r="G599" s="96" t="s">
        <v>1854</v>
      </c>
      <c r="H599" s="96" t="s">
        <v>1391</v>
      </c>
      <c r="I599" s="96" t="s">
        <v>320</v>
      </c>
      <c r="J599" s="96" t="s">
        <v>753</v>
      </c>
      <c r="K599" s="96" t="s">
        <v>203</v>
      </c>
      <c r="L599" s="96" t="s">
        <v>203</v>
      </c>
      <c r="M599" s="96" t="s">
        <v>324</v>
      </c>
      <c r="N599" s="96" t="s">
        <v>339</v>
      </c>
      <c r="O599" s="96" t="s">
        <v>476</v>
      </c>
      <c r="P599" s="96" t="s">
        <v>338</v>
      </c>
      <c r="Q599" s="96" t="s">
        <v>1320</v>
      </c>
      <c r="R599" s="96" t="s">
        <v>412</v>
      </c>
      <c r="S599" s="96" t="s">
        <v>406</v>
      </c>
      <c r="T599" s="96" t="s">
        <v>1200</v>
      </c>
      <c r="U599" s="97">
        <v>2.62</v>
      </c>
      <c r="V599" s="100">
        <v>47299</v>
      </c>
      <c r="W599" s="98">
        <v>0.01</v>
      </c>
      <c r="X599" s="98">
        <v>2.8899999999999999E-2</v>
      </c>
      <c r="Y599" s="96" t="s">
        <v>411</v>
      </c>
      <c r="Z599" s="96"/>
      <c r="AA599" s="97">
        <v>154640.625187</v>
      </c>
      <c r="AB599" s="97">
        <v>1</v>
      </c>
      <c r="AC599" s="97">
        <v>105.07</v>
      </c>
      <c r="AD599" s="97"/>
      <c r="AE599" s="97">
        <v>162.48090400000001</v>
      </c>
      <c r="AF599" s="96"/>
      <c r="AG599" s="96"/>
      <c r="AH599" s="96"/>
      <c r="AI599" s="98">
        <v>5.1500000000000005E-4</v>
      </c>
      <c r="AJ599" s="98">
        <v>6.0800000000000003E-4</v>
      </c>
      <c r="AK599" s="98">
        <v>8.3999999999999995E-5</v>
      </c>
      <c r="AL599" s="106"/>
    </row>
    <row r="600" spans="1:38" ht="15" customHeight="1">
      <c r="A600" s="106"/>
      <c r="B600" s="96">
        <v>286</v>
      </c>
      <c r="C600" s="96">
        <v>286</v>
      </c>
      <c r="D600" s="96" t="s">
        <v>1462</v>
      </c>
      <c r="E600" s="96">
        <v>520000472</v>
      </c>
      <c r="F600" s="96" t="s">
        <v>308</v>
      </c>
      <c r="G600" s="96" t="s">
        <v>1641</v>
      </c>
      <c r="H600" s="96" t="s">
        <v>1642</v>
      </c>
      <c r="I600" s="96" t="s">
        <v>320</v>
      </c>
      <c r="J600" s="96" t="s">
        <v>753</v>
      </c>
      <c r="K600" s="96" t="s">
        <v>203</v>
      </c>
      <c r="L600" s="96" t="s">
        <v>203</v>
      </c>
      <c r="M600" s="96" t="s">
        <v>324</v>
      </c>
      <c r="N600" s="96" t="s">
        <v>339</v>
      </c>
      <c r="O600" s="96" t="s">
        <v>439</v>
      </c>
      <c r="P600" s="96" t="s">
        <v>338</v>
      </c>
      <c r="Q600" s="96" t="s">
        <v>1301</v>
      </c>
      <c r="R600" s="96" t="s">
        <v>414</v>
      </c>
      <c r="S600" s="96" t="s">
        <v>406</v>
      </c>
      <c r="T600" s="96" t="s">
        <v>1200</v>
      </c>
      <c r="U600" s="97">
        <v>3.63</v>
      </c>
      <c r="V600" s="100">
        <v>47220</v>
      </c>
      <c r="W600" s="98">
        <v>3.85E-2</v>
      </c>
      <c r="X600" s="98">
        <v>2.4899999999999999E-2</v>
      </c>
      <c r="Y600" s="96" t="s">
        <v>411</v>
      </c>
      <c r="Z600" s="96"/>
      <c r="AA600" s="97">
        <v>1238652.2208710001</v>
      </c>
      <c r="AB600" s="97">
        <v>1</v>
      </c>
      <c r="AC600" s="97">
        <v>121.05</v>
      </c>
      <c r="AD600" s="97"/>
      <c r="AE600" s="97">
        <v>1499.3885130000001</v>
      </c>
      <c r="AF600" s="96"/>
      <c r="AG600" s="96"/>
      <c r="AH600" s="96"/>
      <c r="AI600" s="98">
        <v>4.84E-4</v>
      </c>
      <c r="AJ600" s="98">
        <v>5.6179999999999997E-3</v>
      </c>
      <c r="AK600" s="98">
        <v>7.7999999999999999E-4</v>
      </c>
      <c r="AL600" s="106"/>
    </row>
    <row r="601" spans="1:38" ht="15" customHeight="1">
      <c r="A601" s="106"/>
      <c r="B601" s="96">
        <v>286</v>
      </c>
      <c r="C601" s="96">
        <v>286</v>
      </c>
      <c r="D601" s="96" t="s">
        <v>1998</v>
      </c>
      <c r="E601" s="96">
        <v>512882747</v>
      </c>
      <c r="F601" s="96" t="s">
        <v>308</v>
      </c>
      <c r="G601" s="96" t="s">
        <v>1999</v>
      </c>
      <c r="H601" s="96" t="s">
        <v>2000</v>
      </c>
      <c r="I601" s="96" t="s">
        <v>320</v>
      </c>
      <c r="J601" s="96" t="s">
        <v>753</v>
      </c>
      <c r="K601" s="96" t="s">
        <v>203</v>
      </c>
      <c r="L601" s="96" t="s">
        <v>203</v>
      </c>
      <c r="M601" s="96" t="s">
        <v>324</v>
      </c>
      <c r="N601" s="96" t="s">
        <v>339</v>
      </c>
      <c r="O601" s="96" t="s">
        <v>440</v>
      </c>
      <c r="P601" s="96" t="s">
        <v>338</v>
      </c>
      <c r="Q601" s="96" t="s">
        <v>409</v>
      </c>
      <c r="R601" s="96" t="s">
        <v>409</v>
      </c>
      <c r="S601" s="96" t="s">
        <v>409</v>
      </c>
      <c r="T601" s="96" t="s">
        <v>1200</v>
      </c>
      <c r="U601" s="97">
        <v>2.35</v>
      </c>
      <c r="V601" s="100">
        <v>46752</v>
      </c>
      <c r="W601" s="98">
        <v>2.9499999999999998E-2</v>
      </c>
      <c r="X601" s="98">
        <v>4.19E-2</v>
      </c>
      <c r="Y601" s="96" t="s">
        <v>411</v>
      </c>
      <c r="Z601" s="96"/>
      <c r="AA601" s="97">
        <v>205844.080873</v>
      </c>
      <c r="AB601" s="97">
        <v>1</v>
      </c>
      <c r="AC601" s="97">
        <v>106</v>
      </c>
      <c r="AD601" s="97"/>
      <c r="AE601" s="97">
        <v>218.19472500000001</v>
      </c>
      <c r="AF601" s="96"/>
      <c r="AG601" s="96"/>
      <c r="AH601" s="96"/>
      <c r="AI601" s="98">
        <v>9.1200000000000005E-4</v>
      </c>
      <c r="AJ601" s="98">
        <v>8.1700000000000002E-4</v>
      </c>
      <c r="AK601" s="98">
        <v>1.13E-4</v>
      </c>
      <c r="AL601" s="106"/>
    </row>
    <row r="602" spans="1:38" ht="15" customHeight="1">
      <c r="A602" s="106"/>
      <c r="B602" s="96">
        <v>286</v>
      </c>
      <c r="C602" s="96">
        <v>286</v>
      </c>
      <c r="D602" s="96" t="s">
        <v>1197</v>
      </c>
      <c r="E602" s="96">
        <v>520018078</v>
      </c>
      <c r="F602" s="96" t="s">
        <v>308</v>
      </c>
      <c r="G602" s="96" t="s">
        <v>1908</v>
      </c>
      <c r="H602" s="96" t="s">
        <v>1909</v>
      </c>
      <c r="I602" s="96" t="s">
        <v>320</v>
      </c>
      <c r="J602" s="96" t="s">
        <v>753</v>
      </c>
      <c r="K602" s="96" t="s">
        <v>203</v>
      </c>
      <c r="L602" s="96" t="s">
        <v>203</v>
      </c>
      <c r="M602" s="96" t="s">
        <v>324</v>
      </c>
      <c r="N602" s="96" t="s">
        <v>339</v>
      </c>
      <c r="O602" s="96" t="s">
        <v>447</v>
      </c>
      <c r="P602" s="96" t="s">
        <v>338</v>
      </c>
      <c r="Q602" s="96" t="s">
        <v>1199</v>
      </c>
      <c r="R602" s="96" t="s">
        <v>412</v>
      </c>
      <c r="S602" s="96" t="s">
        <v>406</v>
      </c>
      <c r="T602" s="96" t="s">
        <v>1200</v>
      </c>
      <c r="U602" s="97">
        <v>5.3</v>
      </c>
      <c r="V602" s="100">
        <v>48913</v>
      </c>
      <c r="W602" s="98">
        <v>2.0199999999999999E-2</v>
      </c>
      <c r="X602" s="98">
        <v>2.5899999999999999E-2</v>
      </c>
      <c r="Y602" s="96" t="s">
        <v>411</v>
      </c>
      <c r="Z602" s="96"/>
      <c r="AA602" s="97">
        <v>2192471.423306</v>
      </c>
      <c r="AB602" s="97">
        <v>1</v>
      </c>
      <c r="AC602" s="97">
        <v>99.13</v>
      </c>
      <c r="AD602" s="97"/>
      <c r="AE602" s="97">
        <v>2173.396921</v>
      </c>
      <c r="AF602" s="96"/>
      <c r="AG602" s="96"/>
      <c r="AH602" s="96"/>
      <c r="AI602" s="98">
        <v>1.0319999999999999E-3</v>
      </c>
      <c r="AJ602" s="98">
        <v>8.1429999999999992E-3</v>
      </c>
      <c r="AK602" s="98">
        <v>1.1310000000000001E-3</v>
      </c>
      <c r="AL602" s="106"/>
    </row>
    <row r="603" spans="1:38" ht="15" customHeight="1">
      <c r="A603" s="106"/>
      <c r="B603" s="96">
        <v>286</v>
      </c>
      <c r="C603" s="96">
        <v>286</v>
      </c>
      <c r="D603" s="96" t="s">
        <v>1955</v>
      </c>
      <c r="E603" s="96">
        <v>516167343</v>
      </c>
      <c r="F603" s="96" t="s">
        <v>308</v>
      </c>
      <c r="G603" s="96" t="s">
        <v>1956</v>
      </c>
      <c r="H603" s="96" t="s">
        <v>1957</v>
      </c>
      <c r="I603" s="96" t="s">
        <v>320</v>
      </c>
      <c r="J603" s="96" t="s">
        <v>753</v>
      </c>
      <c r="K603" s="96" t="s">
        <v>203</v>
      </c>
      <c r="L603" s="96" t="s">
        <v>203</v>
      </c>
      <c r="M603" s="96" t="s">
        <v>324</v>
      </c>
      <c r="N603" s="96" t="s">
        <v>339</v>
      </c>
      <c r="O603" s="96" t="s">
        <v>439</v>
      </c>
      <c r="P603" s="96" t="s">
        <v>338</v>
      </c>
      <c r="Q603" s="96" t="s">
        <v>409</v>
      </c>
      <c r="R603" s="96" t="s">
        <v>409</v>
      </c>
      <c r="S603" s="96" t="s">
        <v>409</v>
      </c>
      <c r="T603" s="96" t="s">
        <v>1200</v>
      </c>
      <c r="U603" s="97">
        <v>1.64</v>
      </c>
      <c r="V603" s="100">
        <v>46112</v>
      </c>
      <c r="W603" s="98">
        <v>1.6400000000000001E-2</v>
      </c>
      <c r="X603" s="98">
        <v>3.4299999999999997E-2</v>
      </c>
      <c r="Y603" s="96" t="s">
        <v>411</v>
      </c>
      <c r="Z603" s="96"/>
      <c r="AA603" s="97">
        <v>18761.610741</v>
      </c>
      <c r="AB603" s="97">
        <v>1</v>
      </c>
      <c r="AC603" s="97">
        <v>110.89</v>
      </c>
      <c r="AD603" s="97"/>
      <c r="AE603" s="97">
        <v>20.804749999999999</v>
      </c>
      <c r="AF603" s="96"/>
      <c r="AG603" s="96"/>
      <c r="AH603" s="96"/>
      <c r="AI603" s="98">
        <v>7.4999999999999993E-5</v>
      </c>
      <c r="AJ603" s="98">
        <v>7.7000000000000001E-5</v>
      </c>
      <c r="AK603" s="98">
        <v>1.0000000000000001E-5</v>
      </c>
      <c r="AL603" s="106"/>
    </row>
    <row r="604" spans="1:38" ht="15" customHeight="1">
      <c r="A604" s="106"/>
      <c r="B604" s="96">
        <v>286</v>
      </c>
      <c r="C604" s="96">
        <v>286</v>
      </c>
      <c r="D604" s="96" t="s">
        <v>1797</v>
      </c>
      <c r="E604" s="96">
        <v>512607888</v>
      </c>
      <c r="F604" s="96" t="s">
        <v>308</v>
      </c>
      <c r="G604" s="96" t="s">
        <v>1798</v>
      </c>
      <c r="H604" s="96" t="s">
        <v>1799</v>
      </c>
      <c r="I604" s="96" t="s">
        <v>320</v>
      </c>
      <c r="J604" s="96" t="s">
        <v>952</v>
      </c>
      <c r="K604" s="96" t="s">
        <v>203</v>
      </c>
      <c r="L604" s="96" t="s">
        <v>203</v>
      </c>
      <c r="M604" s="96" t="s">
        <v>324</v>
      </c>
      <c r="N604" s="96" t="s">
        <v>339</v>
      </c>
      <c r="O604" s="96" t="s">
        <v>460</v>
      </c>
      <c r="P604" s="96" t="s">
        <v>338</v>
      </c>
      <c r="Q604" s="96" t="s">
        <v>1520</v>
      </c>
      <c r="R604" s="96" t="s">
        <v>414</v>
      </c>
      <c r="S604" s="96" t="s">
        <v>406</v>
      </c>
      <c r="T604" s="96" t="s">
        <v>1200</v>
      </c>
      <c r="U604" s="97">
        <v>3.33</v>
      </c>
      <c r="V604" s="100">
        <v>48091</v>
      </c>
      <c r="W604" s="98">
        <v>2.1600000000000001E-2</v>
      </c>
      <c r="X604" s="98">
        <v>6.3500000000000001E-2</v>
      </c>
      <c r="Y604" s="96" t="s">
        <v>411</v>
      </c>
      <c r="Z604" s="96"/>
      <c r="AA604" s="97">
        <v>83493.646582000001</v>
      </c>
      <c r="AB604" s="97">
        <v>1</v>
      </c>
      <c r="AC604" s="97">
        <v>87.82</v>
      </c>
      <c r="AD604" s="97"/>
      <c r="AE604" s="97">
        <v>73.324119999999994</v>
      </c>
      <c r="AF604" s="96"/>
      <c r="AG604" s="96"/>
      <c r="AH604" s="96"/>
      <c r="AI604" s="98">
        <v>1.1400000000000001E-4</v>
      </c>
      <c r="AJ604" s="98">
        <v>2.7399999999999999E-4</v>
      </c>
      <c r="AK604" s="98">
        <v>3.8000000000000002E-5</v>
      </c>
      <c r="AL604" s="106"/>
    </row>
    <row r="605" spans="1:38" ht="15" customHeight="1">
      <c r="A605" s="106"/>
      <c r="B605" s="96">
        <v>286</v>
      </c>
      <c r="C605" s="96">
        <v>286</v>
      </c>
      <c r="D605" s="96" t="s">
        <v>1302</v>
      </c>
      <c r="E605" s="96">
        <v>513623314</v>
      </c>
      <c r="F605" s="96" t="s">
        <v>308</v>
      </c>
      <c r="G605" s="96" t="s">
        <v>1616</v>
      </c>
      <c r="H605" s="96" t="s">
        <v>1617</v>
      </c>
      <c r="I605" s="96" t="s">
        <v>320</v>
      </c>
      <c r="J605" s="96" t="s">
        <v>753</v>
      </c>
      <c r="K605" s="96" t="s">
        <v>203</v>
      </c>
      <c r="L605" s="96" t="s">
        <v>203</v>
      </c>
      <c r="M605" s="96" t="s">
        <v>324</v>
      </c>
      <c r="N605" s="96" t="s">
        <v>339</v>
      </c>
      <c r="O605" s="96" t="s">
        <v>463</v>
      </c>
      <c r="P605" s="96" t="s">
        <v>337</v>
      </c>
      <c r="Q605" s="96" t="s">
        <v>1313</v>
      </c>
      <c r="R605" s="96" t="s">
        <v>412</v>
      </c>
      <c r="S605" s="96" t="s">
        <v>406</v>
      </c>
      <c r="T605" s="96" t="s">
        <v>1200</v>
      </c>
      <c r="U605" s="97">
        <v>3.91</v>
      </c>
      <c r="V605" s="100">
        <v>47202</v>
      </c>
      <c r="W605" s="98">
        <v>7.7999999999999996E-3</v>
      </c>
      <c r="X605" s="98">
        <v>2.86E-2</v>
      </c>
      <c r="Y605" s="96" t="s">
        <v>411</v>
      </c>
      <c r="Z605" s="96"/>
      <c r="AA605" s="97">
        <v>455902.73960799997</v>
      </c>
      <c r="AB605" s="97">
        <v>1</v>
      </c>
      <c r="AC605" s="97">
        <v>104.07</v>
      </c>
      <c r="AD605" s="97"/>
      <c r="AE605" s="97">
        <v>474.45798100000002</v>
      </c>
      <c r="AF605" s="96"/>
      <c r="AG605" s="96"/>
      <c r="AH605" s="96"/>
      <c r="AI605" s="98">
        <v>1.158E-3</v>
      </c>
      <c r="AJ605" s="98">
        <v>1.7769999999999999E-3</v>
      </c>
      <c r="AK605" s="98">
        <v>2.4699999999999999E-4</v>
      </c>
      <c r="AL605" s="106"/>
    </row>
    <row r="606" spans="1:38" ht="15" customHeight="1">
      <c r="A606" s="106"/>
      <c r="B606" s="96">
        <v>286</v>
      </c>
      <c r="C606" s="96">
        <v>286</v>
      </c>
      <c r="D606" s="96" t="s">
        <v>1302</v>
      </c>
      <c r="E606" s="96">
        <v>513623314</v>
      </c>
      <c r="F606" s="96" t="s">
        <v>308</v>
      </c>
      <c r="G606" s="96" t="s">
        <v>1404</v>
      </c>
      <c r="H606" s="96" t="s">
        <v>1405</v>
      </c>
      <c r="I606" s="96" t="s">
        <v>320</v>
      </c>
      <c r="J606" s="96" t="s">
        <v>753</v>
      </c>
      <c r="K606" s="96" t="s">
        <v>203</v>
      </c>
      <c r="L606" s="96" t="s">
        <v>203</v>
      </c>
      <c r="M606" s="96" t="s">
        <v>324</v>
      </c>
      <c r="N606" s="96" t="s">
        <v>339</v>
      </c>
      <c r="O606" s="96" t="s">
        <v>463</v>
      </c>
      <c r="P606" s="96" t="s">
        <v>337</v>
      </c>
      <c r="Q606" s="96" t="s">
        <v>1313</v>
      </c>
      <c r="R606" s="96" t="s">
        <v>412</v>
      </c>
      <c r="S606" s="96" t="s">
        <v>406</v>
      </c>
      <c r="T606" s="96" t="s">
        <v>1200</v>
      </c>
      <c r="U606" s="97">
        <v>1.37</v>
      </c>
      <c r="V606" s="100">
        <v>45991</v>
      </c>
      <c r="W606" s="98">
        <v>2E-3</v>
      </c>
      <c r="X606" s="98">
        <v>2.4199999999999999E-2</v>
      </c>
      <c r="Y606" s="96" t="s">
        <v>411</v>
      </c>
      <c r="Z606" s="96"/>
      <c r="AA606" s="97">
        <v>17438.202168</v>
      </c>
      <c r="AB606" s="97">
        <v>1</v>
      </c>
      <c r="AC606" s="97">
        <v>109.12</v>
      </c>
      <c r="AD606" s="97"/>
      <c r="AE606" s="97">
        <v>19.028566000000001</v>
      </c>
      <c r="AF606" s="96"/>
      <c r="AG606" s="96"/>
      <c r="AH606" s="96"/>
      <c r="AI606" s="98">
        <v>5.5000000000000002E-5</v>
      </c>
      <c r="AJ606" s="98">
        <v>7.1000000000000005E-5</v>
      </c>
      <c r="AK606" s="98">
        <v>9.0000000000000002E-6</v>
      </c>
      <c r="AL606" s="106"/>
    </row>
    <row r="607" spans="1:38" ht="15" customHeight="1">
      <c r="A607" s="106"/>
      <c r="B607" s="96">
        <v>286</v>
      </c>
      <c r="C607" s="96">
        <v>286</v>
      </c>
      <c r="D607" s="96" t="s">
        <v>1367</v>
      </c>
      <c r="E607" s="96">
        <v>513141879</v>
      </c>
      <c r="F607" s="96" t="s">
        <v>308</v>
      </c>
      <c r="G607" s="96" t="s">
        <v>2041</v>
      </c>
      <c r="H607" s="96" t="s">
        <v>2042</v>
      </c>
      <c r="I607" s="96" t="s">
        <v>320</v>
      </c>
      <c r="J607" s="96" t="s">
        <v>753</v>
      </c>
      <c r="K607" s="96" t="s">
        <v>203</v>
      </c>
      <c r="L607" s="96" t="s">
        <v>203</v>
      </c>
      <c r="M607" s="96" t="s">
        <v>324</v>
      </c>
      <c r="N607" s="96" t="s">
        <v>339</v>
      </c>
      <c r="O607" s="96" t="s">
        <v>447</v>
      </c>
      <c r="P607" s="96" t="s">
        <v>338</v>
      </c>
      <c r="Q607" s="96" t="s">
        <v>1305</v>
      </c>
      <c r="R607" s="96" t="s">
        <v>414</v>
      </c>
      <c r="S607" s="96" t="s">
        <v>406</v>
      </c>
      <c r="T607" s="96" t="s">
        <v>1200</v>
      </c>
      <c r="U607" s="97">
        <v>1.96</v>
      </c>
      <c r="V607" s="100">
        <v>46196</v>
      </c>
      <c r="W607" s="98">
        <v>2.3199999999999998E-2</v>
      </c>
      <c r="X607" s="98">
        <v>2.69E-2</v>
      </c>
      <c r="Y607" s="96" t="s">
        <v>410</v>
      </c>
      <c r="Z607" s="96"/>
      <c r="AA607" s="97">
        <v>325211.079822</v>
      </c>
      <c r="AB607" s="97">
        <v>1</v>
      </c>
      <c r="AC607" s="97">
        <v>112.91</v>
      </c>
      <c r="AD607" s="97"/>
      <c r="AE607" s="97">
        <v>367.19583</v>
      </c>
      <c r="AF607" s="96"/>
      <c r="AG607" s="96"/>
      <c r="AH607" s="96"/>
      <c r="AI607" s="98">
        <v>1.0839999999999999E-3</v>
      </c>
      <c r="AJ607" s="98">
        <v>1.3749999999999999E-3</v>
      </c>
      <c r="AK607" s="98">
        <v>1.9100000000000001E-4</v>
      </c>
      <c r="AL607" s="106"/>
    </row>
    <row r="608" spans="1:38" ht="15" customHeight="1">
      <c r="A608" s="106"/>
      <c r="B608" s="96">
        <v>286</v>
      </c>
      <c r="C608" s="96">
        <v>286</v>
      </c>
      <c r="D608" s="96" t="s">
        <v>1376</v>
      </c>
      <c r="E608" s="96">
        <v>520025438</v>
      </c>
      <c r="F608" s="96" t="s">
        <v>308</v>
      </c>
      <c r="G608" s="96" t="s">
        <v>1409</v>
      </c>
      <c r="H608" s="96" t="s">
        <v>1410</v>
      </c>
      <c r="I608" s="96" t="s">
        <v>320</v>
      </c>
      <c r="J608" s="96" t="s">
        <v>753</v>
      </c>
      <c r="K608" s="96" t="s">
        <v>203</v>
      </c>
      <c r="L608" s="96" t="s">
        <v>203</v>
      </c>
      <c r="M608" s="96" t="s">
        <v>324</v>
      </c>
      <c r="N608" s="96" t="s">
        <v>339</v>
      </c>
      <c r="O608" s="96" t="s">
        <v>463</v>
      </c>
      <c r="P608" s="96" t="s">
        <v>338</v>
      </c>
      <c r="Q608" s="96" t="s">
        <v>1328</v>
      </c>
      <c r="R608" s="96" t="s">
        <v>412</v>
      </c>
      <c r="S608" s="96" t="s">
        <v>406</v>
      </c>
      <c r="T608" s="96" t="s">
        <v>1200</v>
      </c>
      <c r="U608" s="97">
        <v>4.3</v>
      </c>
      <c r="V608" s="100">
        <v>47299</v>
      </c>
      <c r="W608" s="98">
        <v>3.6200000000000003E-2</v>
      </c>
      <c r="X608" s="98">
        <v>4.1599999999999998E-2</v>
      </c>
      <c r="Y608" s="96" t="s">
        <v>411</v>
      </c>
      <c r="Z608" s="96"/>
      <c r="AA608" s="97">
        <v>577313.10070800001</v>
      </c>
      <c r="AB608" s="97">
        <v>1</v>
      </c>
      <c r="AC608" s="97">
        <v>102.52</v>
      </c>
      <c r="AD608" s="97"/>
      <c r="AE608" s="97">
        <v>591.86139000000003</v>
      </c>
      <c r="AF608" s="96"/>
      <c r="AG608" s="96"/>
      <c r="AH608" s="96"/>
      <c r="AI608" s="98">
        <v>3.3500000000000001E-4</v>
      </c>
      <c r="AJ608" s="98">
        <v>2.2169999999999998E-3</v>
      </c>
      <c r="AK608" s="98">
        <v>3.0800000000000001E-4</v>
      </c>
      <c r="AL608" s="106"/>
    </row>
    <row r="609" spans="1:38" ht="15" customHeight="1">
      <c r="A609" s="106"/>
      <c r="B609" s="96">
        <v>286</v>
      </c>
      <c r="C609" s="96">
        <v>286</v>
      </c>
      <c r="D609" s="96" t="s">
        <v>1704</v>
      </c>
      <c r="E609" s="96">
        <v>513834200</v>
      </c>
      <c r="F609" s="96" t="s">
        <v>308</v>
      </c>
      <c r="G609" s="96" t="s">
        <v>2019</v>
      </c>
      <c r="H609" s="96" t="s">
        <v>2020</v>
      </c>
      <c r="I609" s="96" t="s">
        <v>320</v>
      </c>
      <c r="J609" s="96" t="s">
        <v>952</v>
      </c>
      <c r="K609" s="96" t="s">
        <v>203</v>
      </c>
      <c r="L609" s="96" t="s">
        <v>203</v>
      </c>
      <c r="M609" s="96" t="s">
        <v>324</v>
      </c>
      <c r="N609" s="96" t="s">
        <v>339</v>
      </c>
      <c r="O609" s="96" t="s">
        <v>444</v>
      </c>
      <c r="P609" s="96" t="s">
        <v>338</v>
      </c>
      <c r="Q609" s="96" t="s">
        <v>1305</v>
      </c>
      <c r="R609" s="96" t="s">
        <v>414</v>
      </c>
      <c r="S609" s="96" t="s">
        <v>406</v>
      </c>
      <c r="T609" s="96" t="s">
        <v>1200</v>
      </c>
      <c r="U609" s="97">
        <v>7.53</v>
      </c>
      <c r="V609" s="100">
        <v>48579</v>
      </c>
      <c r="W609" s="98">
        <v>2.63E-2</v>
      </c>
      <c r="X609" s="98">
        <v>6.2E-2</v>
      </c>
      <c r="Y609" s="96" t="s">
        <v>411</v>
      </c>
      <c r="Z609" s="96"/>
      <c r="AA609" s="97">
        <v>676792.26687299996</v>
      </c>
      <c r="AB609" s="97">
        <v>1</v>
      </c>
      <c r="AC609" s="97">
        <v>77.16</v>
      </c>
      <c r="AD609" s="97"/>
      <c r="AE609" s="97">
        <v>522.21291299999996</v>
      </c>
      <c r="AF609" s="96"/>
      <c r="AG609" s="96"/>
      <c r="AH609" s="96"/>
      <c r="AI609" s="98">
        <v>9.7499999999999996E-4</v>
      </c>
      <c r="AJ609" s="98">
        <v>1.9559999999999998E-3</v>
      </c>
      <c r="AK609" s="98">
        <v>2.7099999999999997E-4</v>
      </c>
      <c r="AL609" s="106"/>
    </row>
    <row r="610" spans="1:38" ht="15" customHeight="1">
      <c r="A610" s="106"/>
      <c r="B610" s="96">
        <v>286</v>
      </c>
      <c r="C610" s="96">
        <v>286</v>
      </c>
      <c r="D610" s="96" t="s">
        <v>1496</v>
      </c>
      <c r="E610" s="96">
        <v>510216054</v>
      </c>
      <c r="F610" s="96" t="s">
        <v>308</v>
      </c>
      <c r="G610" s="96" t="s">
        <v>1575</v>
      </c>
      <c r="H610" s="96" t="s">
        <v>1576</v>
      </c>
      <c r="I610" s="96" t="s">
        <v>320</v>
      </c>
      <c r="J610" s="96" t="s">
        <v>952</v>
      </c>
      <c r="K610" s="96" t="s">
        <v>203</v>
      </c>
      <c r="L610" s="96" t="s">
        <v>203</v>
      </c>
      <c r="M610" s="96" t="s">
        <v>324</v>
      </c>
      <c r="N610" s="96" t="s">
        <v>339</v>
      </c>
      <c r="O610" s="96" t="s">
        <v>439</v>
      </c>
      <c r="P610" s="96" t="s">
        <v>337</v>
      </c>
      <c r="Q610" s="96" t="s">
        <v>1332</v>
      </c>
      <c r="R610" s="96" t="s">
        <v>412</v>
      </c>
      <c r="S610" s="96" t="s">
        <v>406</v>
      </c>
      <c r="T610" s="96" t="s">
        <v>1200</v>
      </c>
      <c r="U610" s="97">
        <v>4.04</v>
      </c>
      <c r="V610" s="100">
        <v>48182</v>
      </c>
      <c r="W610" s="98">
        <v>2.4299999999999999E-2</v>
      </c>
      <c r="X610" s="98">
        <v>5.6099999999999997E-2</v>
      </c>
      <c r="Y610" s="96" t="s">
        <v>411</v>
      </c>
      <c r="Z610" s="96"/>
      <c r="AA610" s="97">
        <v>1609019.0401699999</v>
      </c>
      <c r="AB610" s="97">
        <v>1</v>
      </c>
      <c r="AC610" s="97">
        <v>88.44</v>
      </c>
      <c r="AD610" s="97"/>
      <c r="AE610" s="97">
        <v>1423.016439</v>
      </c>
      <c r="AF610" s="96"/>
      <c r="AG610" s="96"/>
      <c r="AH610" s="96"/>
      <c r="AI610" s="98">
        <v>1.098E-3</v>
      </c>
      <c r="AJ610" s="98">
        <v>5.3319999999999999E-3</v>
      </c>
      <c r="AK610" s="98">
        <v>7.4100000000000001E-4</v>
      </c>
      <c r="AL610" s="106"/>
    </row>
    <row r="611" spans="1:38" ht="15" customHeight="1">
      <c r="A611" s="106"/>
      <c r="B611" s="96">
        <v>286</v>
      </c>
      <c r="C611" s="96">
        <v>286</v>
      </c>
      <c r="D611" s="96" t="s">
        <v>1203</v>
      </c>
      <c r="E611" s="96">
        <v>520000118</v>
      </c>
      <c r="F611" s="96" t="s">
        <v>308</v>
      </c>
      <c r="G611" s="96" t="s">
        <v>2044</v>
      </c>
      <c r="H611" s="96" t="s">
        <v>2045</v>
      </c>
      <c r="I611" s="96" t="s">
        <v>320</v>
      </c>
      <c r="J611" s="96" t="s">
        <v>753</v>
      </c>
      <c r="K611" s="96" t="s">
        <v>203</v>
      </c>
      <c r="L611" s="96" t="s">
        <v>203</v>
      </c>
      <c r="M611" s="96" t="s">
        <v>324</v>
      </c>
      <c r="N611" s="96" t="s">
        <v>339</v>
      </c>
      <c r="O611" s="96" t="s">
        <v>447</v>
      </c>
      <c r="P611" s="96" t="s">
        <v>338</v>
      </c>
      <c r="Q611" s="96" t="s">
        <v>1332</v>
      </c>
      <c r="R611" s="96" t="s">
        <v>412</v>
      </c>
      <c r="S611" s="96" t="s">
        <v>406</v>
      </c>
      <c r="T611" s="96" t="s">
        <v>1200</v>
      </c>
      <c r="U611" s="97">
        <v>4.12</v>
      </c>
      <c r="V611" s="100">
        <v>47086</v>
      </c>
      <c r="W611" s="98">
        <v>3.09E-2</v>
      </c>
      <c r="X611" s="98">
        <v>3.27E-2</v>
      </c>
      <c r="Y611" s="96" t="s">
        <v>410</v>
      </c>
      <c r="Z611" s="96"/>
      <c r="AA611" s="97">
        <v>506872.56598299998</v>
      </c>
      <c r="AB611" s="97">
        <v>1</v>
      </c>
      <c r="AC611" s="97">
        <v>106.53</v>
      </c>
      <c r="AD611" s="97"/>
      <c r="AE611" s="97">
        <v>539.97134400000004</v>
      </c>
      <c r="AF611" s="96"/>
      <c r="AG611" s="96"/>
      <c r="AH611" s="96"/>
      <c r="AI611" s="98">
        <v>5.3300000000000005E-4</v>
      </c>
      <c r="AJ611" s="98">
        <v>2.0230000000000001E-3</v>
      </c>
      <c r="AK611" s="98">
        <v>2.81E-4</v>
      </c>
      <c r="AL611" s="106"/>
    </row>
    <row r="612" spans="1:38" ht="15" customHeight="1">
      <c r="A612" s="106"/>
      <c r="B612" s="96">
        <v>286</v>
      </c>
      <c r="C612" s="96">
        <v>286</v>
      </c>
      <c r="D612" s="96" t="s">
        <v>1367</v>
      </c>
      <c r="E612" s="96">
        <v>513141879</v>
      </c>
      <c r="F612" s="96" t="s">
        <v>308</v>
      </c>
      <c r="G612" s="96" t="s">
        <v>1489</v>
      </c>
      <c r="H612" s="96" t="s">
        <v>1490</v>
      </c>
      <c r="I612" s="96" t="s">
        <v>320</v>
      </c>
      <c r="J612" s="96" t="s">
        <v>753</v>
      </c>
      <c r="K612" s="96" t="s">
        <v>203</v>
      </c>
      <c r="L612" s="96" t="s">
        <v>203</v>
      </c>
      <c r="M612" s="96" t="s">
        <v>324</v>
      </c>
      <c r="N612" s="96" t="s">
        <v>339</v>
      </c>
      <c r="O612" s="96" t="s">
        <v>447</v>
      </c>
      <c r="P612" s="96" t="s">
        <v>338</v>
      </c>
      <c r="Q612" s="96" t="s">
        <v>1305</v>
      </c>
      <c r="R612" s="96" t="s">
        <v>414</v>
      </c>
      <c r="S612" s="96" t="s">
        <v>406</v>
      </c>
      <c r="T612" s="96" t="s">
        <v>1200</v>
      </c>
      <c r="U612" s="97">
        <v>0.03</v>
      </c>
      <c r="V612" s="100">
        <v>45485</v>
      </c>
      <c r="W612" s="98">
        <v>2.1999999999999999E-2</v>
      </c>
      <c r="X612" s="98">
        <v>6.8699999999999997E-2</v>
      </c>
      <c r="Y612" s="96" t="s">
        <v>410</v>
      </c>
      <c r="Z612" s="96"/>
      <c r="AA612" s="97">
        <v>297680.669009</v>
      </c>
      <c r="AB612" s="97">
        <v>1</v>
      </c>
      <c r="AC612" s="97">
        <v>115.8</v>
      </c>
      <c r="AD612" s="97"/>
      <c r="AE612" s="97">
        <v>344.71421400000003</v>
      </c>
      <c r="AF612" s="96"/>
      <c r="AG612" s="96"/>
      <c r="AH612" s="96"/>
      <c r="AI612" s="98">
        <v>1.1820000000000001E-3</v>
      </c>
      <c r="AJ612" s="98">
        <v>1.291E-3</v>
      </c>
      <c r="AK612" s="98">
        <v>1.7899999999999999E-4</v>
      </c>
      <c r="AL612" s="106"/>
    </row>
    <row r="613" spans="1:38" ht="15" customHeight="1">
      <c r="A613" s="106"/>
      <c r="B613" s="96">
        <v>286</v>
      </c>
      <c r="C613" s="96">
        <v>286</v>
      </c>
      <c r="D613" s="96" t="s">
        <v>1421</v>
      </c>
      <c r="E613" s="96">
        <v>520026683</v>
      </c>
      <c r="F613" s="96" t="s">
        <v>308</v>
      </c>
      <c r="G613" s="96" t="s">
        <v>1819</v>
      </c>
      <c r="H613" s="96" t="s">
        <v>1820</v>
      </c>
      <c r="I613" s="96" t="s">
        <v>320</v>
      </c>
      <c r="J613" s="96" t="s">
        <v>952</v>
      </c>
      <c r="K613" s="96" t="s">
        <v>203</v>
      </c>
      <c r="L613" s="96" t="s">
        <v>203</v>
      </c>
      <c r="M613" s="96" t="s">
        <v>324</v>
      </c>
      <c r="N613" s="96" t="s">
        <v>339</v>
      </c>
      <c r="O613" s="96" t="s">
        <v>463</v>
      </c>
      <c r="P613" s="96" t="s">
        <v>338</v>
      </c>
      <c r="Q613" s="96" t="s">
        <v>1336</v>
      </c>
      <c r="R613" s="96" t="s">
        <v>414</v>
      </c>
      <c r="S613" s="96" t="s">
        <v>406</v>
      </c>
      <c r="T613" s="96" t="s">
        <v>1200</v>
      </c>
      <c r="U613" s="97">
        <v>5.5</v>
      </c>
      <c r="V613" s="100">
        <v>48218</v>
      </c>
      <c r="W613" s="98">
        <v>2.4400000000000002E-2</v>
      </c>
      <c r="X613" s="98">
        <v>6.13E-2</v>
      </c>
      <c r="Y613" s="96" t="s">
        <v>411</v>
      </c>
      <c r="Z613" s="96"/>
      <c r="AA613" s="97">
        <v>723086.31781200005</v>
      </c>
      <c r="AB613" s="97">
        <v>1</v>
      </c>
      <c r="AC613" s="97">
        <v>83.12</v>
      </c>
      <c r="AD613" s="97"/>
      <c r="AE613" s="97">
        <v>601.02934700000003</v>
      </c>
      <c r="AF613" s="96"/>
      <c r="AG613" s="96"/>
      <c r="AH613" s="96"/>
      <c r="AI613" s="98">
        <v>5.9400000000000002E-4</v>
      </c>
      <c r="AJ613" s="98">
        <v>2.2520000000000001E-3</v>
      </c>
      <c r="AK613" s="98">
        <v>3.1199999999999999E-4</v>
      </c>
      <c r="AL613" s="106"/>
    </row>
    <row r="614" spans="1:38" ht="15" customHeight="1">
      <c r="A614" s="106"/>
      <c r="B614" s="96">
        <v>286</v>
      </c>
      <c r="C614" s="96">
        <v>286</v>
      </c>
      <c r="D614" s="96" t="s">
        <v>1603</v>
      </c>
      <c r="E614" s="96">
        <v>520043878</v>
      </c>
      <c r="F614" s="96" t="s">
        <v>308</v>
      </c>
      <c r="G614" s="96" t="s">
        <v>1604</v>
      </c>
      <c r="H614" s="96" t="s">
        <v>1605</v>
      </c>
      <c r="I614" s="96" t="s">
        <v>320</v>
      </c>
      <c r="J614" s="96" t="s">
        <v>952</v>
      </c>
      <c r="K614" s="96" t="s">
        <v>203</v>
      </c>
      <c r="L614" s="96" t="s">
        <v>203</v>
      </c>
      <c r="M614" s="96" t="s">
        <v>324</v>
      </c>
      <c r="N614" s="96" t="s">
        <v>339</v>
      </c>
      <c r="O614" s="96" t="s">
        <v>439</v>
      </c>
      <c r="P614" s="96" t="s">
        <v>338</v>
      </c>
      <c r="Q614" s="96" t="s">
        <v>1520</v>
      </c>
      <c r="R614" s="96" t="s">
        <v>414</v>
      </c>
      <c r="S614" s="96" t="s">
        <v>406</v>
      </c>
      <c r="T614" s="96" t="s">
        <v>1200</v>
      </c>
      <c r="U614" s="97">
        <v>1.66</v>
      </c>
      <c r="V614" s="100">
        <v>46660</v>
      </c>
      <c r="W614" s="98">
        <v>3.2899999999999999E-2</v>
      </c>
      <c r="X614" s="98">
        <v>5.4199999999999998E-2</v>
      </c>
      <c r="Y614" s="96" t="s">
        <v>411</v>
      </c>
      <c r="Z614" s="96"/>
      <c r="AA614" s="97">
        <v>438028.56282499997</v>
      </c>
      <c r="AB614" s="97">
        <v>1</v>
      </c>
      <c r="AC614" s="97">
        <v>97.48</v>
      </c>
      <c r="AD614" s="97"/>
      <c r="AE614" s="97">
        <v>426.99024300000002</v>
      </c>
      <c r="AF614" s="96"/>
      <c r="AG614" s="96"/>
      <c r="AH614" s="96"/>
      <c r="AI614" s="98">
        <v>8.9800000000000004E-4</v>
      </c>
      <c r="AJ614" s="98">
        <v>1.5989999999999999E-3</v>
      </c>
      <c r="AK614" s="98">
        <v>2.22E-4</v>
      </c>
      <c r="AL614" s="106"/>
    </row>
    <row r="615" spans="1:38" ht="15" customHeight="1">
      <c r="A615" s="106"/>
      <c r="B615" s="96">
        <v>286</v>
      </c>
      <c r="C615" s="96">
        <v>286</v>
      </c>
      <c r="D615" s="96" t="s">
        <v>1608</v>
      </c>
      <c r="E615" s="96">
        <v>510609761</v>
      </c>
      <c r="F615" s="96" t="s">
        <v>308</v>
      </c>
      <c r="G615" s="96" t="s">
        <v>2023</v>
      </c>
      <c r="H615" s="96" t="s">
        <v>2024</v>
      </c>
      <c r="I615" s="96" t="s">
        <v>320</v>
      </c>
      <c r="J615" s="96" t="s">
        <v>952</v>
      </c>
      <c r="K615" s="96" t="s">
        <v>203</v>
      </c>
      <c r="L615" s="96" t="s">
        <v>203</v>
      </c>
      <c r="M615" s="96" t="s">
        <v>324</v>
      </c>
      <c r="N615" s="96" t="s">
        <v>339</v>
      </c>
      <c r="O615" s="96" t="s">
        <v>446</v>
      </c>
      <c r="P615" s="96" t="s">
        <v>338</v>
      </c>
      <c r="Q615" s="96" t="s">
        <v>1328</v>
      </c>
      <c r="R615" s="96" t="s">
        <v>412</v>
      </c>
      <c r="S615" s="96" t="s">
        <v>406</v>
      </c>
      <c r="T615" s="96" t="s">
        <v>1200</v>
      </c>
      <c r="U615" s="97">
        <v>0.01</v>
      </c>
      <c r="V615" s="100">
        <v>45474</v>
      </c>
      <c r="W615" s="98">
        <v>4.2000000000000003E-2</v>
      </c>
      <c r="X615" s="98">
        <v>0.1133</v>
      </c>
      <c r="Y615" s="96" t="s">
        <v>411</v>
      </c>
      <c r="Z615" s="96"/>
      <c r="AA615" s="97">
        <v>26571.205311000002</v>
      </c>
      <c r="AB615" s="97">
        <v>1</v>
      </c>
      <c r="AC615" s="97">
        <v>102.01</v>
      </c>
      <c r="AD615" s="97"/>
      <c r="AE615" s="97">
        <v>27.105286</v>
      </c>
      <c r="AF615" s="96"/>
      <c r="AG615" s="96"/>
      <c r="AH615" s="96"/>
      <c r="AI615" s="98">
        <v>5.9800000000000001E-4</v>
      </c>
      <c r="AJ615" s="98">
        <v>1.01E-4</v>
      </c>
      <c r="AK615" s="98">
        <v>1.4E-5</v>
      </c>
      <c r="AL615" s="106"/>
    </row>
    <row r="616" spans="1:38" ht="15" customHeight="1">
      <c r="A616" s="106"/>
      <c r="B616" s="96">
        <v>286</v>
      </c>
      <c r="C616" s="96">
        <v>286</v>
      </c>
      <c r="D616" s="96" t="s">
        <v>1901</v>
      </c>
      <c r="E616" s="96">
        <v>520038688</v>
      </c>
      <c r="F616" s="96" t="s">
        <v>308</v>
      </c>
      <c r="G616" s="96" t="s">
        <v>1902</v>
      </c>
      <c r="H616" s="96" t="s">
        <v>1903</v>
      </c>
      <c r="I616" s="96" t="s">
        <v>320</v>
      </c>
      <c r="J616" s="96" t="s">
        <v>952</v>
      </c>
      <c r="K616" s="96" t="s">
        <v>203</v>
      </c>
      <c r="L616" s="96" t="s">
        <v>203</v>
      </c>
      <c r="M616" s="96" t="s">
        <v>324</v>
      </c>
      <c r="N616" s="96" t="s">
        <v>339</v>
      </c>
      <c r="O616" s="96" t="s">
        <v>446</v>
      </c>
      <c r="P616" s="96" t="s">
        <v>338</v>
      </c>
      <c r="Q616" s="96" t="s">
        <v>409</v>
      </c>
      <c r="R616" s="96" t="s">
        <v>409</v>
      </c>
      <c r="S616" s="96" t="s">
        <v>409</v>
      </c>
      <c r="T616" s="96" t="s">
        <v>1200</v>
      </c>
      <c r="U616" s="97">
        <v>0.17</v>
      </c>
      <c r="V616" s="100">
        <v>45536</v>
      </c>
      <c r="W616" s="98">
        <v>9.4E-2</v>
      </c>
      <c r="X616" s="98">
        <v>5.8599999999999999E-2</v>
      </c>
      <c r="Y616" s="96" t="s">
        <v>411</v>
      </c>
      <c r="Z616" s="96"/>
      <c r="AA616" s="97">
        <v>165334.24225700001</v>
      </c>
      <c r="AB616" s="97">
        <v>1</v>
      </c>
      <c r="AC616" s="97">
        <v>102.14</v>
      </c>
      <c r="AD616" s="97"/>
      <c r="AE616" s="97">
        <v>168.87239500000001</v>
      </c>
      <c r="AF616" s="96"/>
      <c r="AG616" s="96"/>
      <c r="AH616" s="96"/>
      <c r="AI616" s="98">
        <v>1.008E-3</v>
      </c>
      <c r="AJ616" s="98">
        <v>6.3199999999999997E-4</v>
      </c>
      <c r="AK616" s="98">
        <v>8.7000000000000001E-5</v>
      </c>
      <c r="AL616" s="106"/>
    </row>
    <row r="617" spans="1:38" ht="15" customHeight="1">
      <c r="A617" s="106"/>
      <c r="B617" s="96">
        <v>286</v>
      </c>
      <c r="C617" s="96">
        <v>286</v>
      </c>
      <c r="D617" s="96" t="s">
        <v>1474</v>
      </c>
      <c r="E617" s="96">
        <v>1737</v>
      </c>
      <c r="F617" s="96" t="s">
        <v>80</v>
      </c>
      <c r="G617" s="96" t="s">
        <v>1723</v>
      </c>
      <c r="H617" s="96" t="s">
        <v>1724</v>
      </c>
      <c r="I617" s="96" t="s">
        <v>320</v>
      </c>
      <c r="J617" s="96" t="s">
        <v>952</v>
      </c>
      <c r="K617" s="96" t="s">
        <v>203</v>
      </c>
      <c r="L617" s="96" t="s">
        <v>203</v>
      </c>
      <c r="M617" s="96" t="s">
        <v>324</v>
      </c>
      <c r="N617" s="96" t="s">
        <v>339</v>
      </c>
      <c r="O617" s="96" t="s">
        <v>464</v>
      </c>
      <c r="P617" s="96" t="s">
        <v>338</v>
      </c>
      <c r="Q617" s="96" t="s">
        <v>1313</v>
      </c>
      <c r="R617" s="96" t="s">
        <v>412</v>
      </c>
      <c r="S617" s="96" t="s">
        <v>406</v>
      </c>
      <c r="T617" s="96" t="s">
        <v>1200</v>
      </c>
      <c r="U617" s="97">
        <v>2.38</v>
      </c>
      <c r="V617" s="100">
        <v>46752</v>
      </c>
      <c r="W617" s="98">
        <v>3.49E-2</v>
      </c>
      <c r="X617" s="98">
        <v>6.9800000000000001E-2</v>
      </c>
      <c r="Y617" s="96" t="s">
        <v>411</v>
      </c>
      <c r="Z617" s="96"/>
      <c r="AA617" s="97">
        <v>821296.93438500003</v>
      </c>
      <c r="AB617" s="97">
        <v>1</v>
      </c>
      <c r="AC617" s="97">
        <v>92.43</v>
      </c>
      <c r="AD617" s="97"/>
      <c r="AE617" s="97">
        <v>759.12475600000005</v>
      </c>
      <c r="AF617" s="96"/>
      <c r="AG617" s="96"/>
      <c r="AH617" s="96"/>
      <c r="AI617" s="98">
        <v>8.6799999999999996E-4</v>
      </c>
      <c r="AJ617" s="98">
        <v>2.8440000000000002E-3</v>
      </c>
      <c r="AK617" s="98">
        <v>3.9500000000000001E-4</v>
      </c>
      <c r="AL617" s="106"/>
    </row>
    <row r="618" spans="1:38" ht="15" customHeight="1">
      <c r="A618" s="106"/>
      <c r="B618" s="96">
        <v>286</v>
      </c>
      <c r="C618" s="96">
        <v>286</v>
      </c>
      <c r="D618" s="96" t="s">
        <v>1597</v>
      </c>
      <c r="E618" s="96">
        <v>520020116</v>
      </c>
      <c r="F618" s="96" t="s">
        <v>308</v>
      </c>
      <c r="G618" s="96" t="s">
        <v>1962</v>
      </c>
      <c r="H618" s="96" t="s">
        <v>1963</v>
      </c>
      <c r="I618" s="96" t="s">
        <v>320</v>
      </c>
      <c r="J618" s="96" t="s">
        <v>753</v>
      </c>
      <c r="K618" s="96" t="s">
        <v>203</v>
      </c>
      <c r="L618" s="96" t="s">
        <v>203</v>
      </c>
      <c r="M618" s="96" t="s">
        <v>324</v>
      </c>
      <c r="N618" s="96" t="s">
        <v>339</v>
      </c>
      <c r="O618" s="96" t="s">
        <v>463</v>
      </c>
      <c r="P618" s="96" t="s">
        <v>337</v>
      </c>
      <c r="Q618" s="96" t="s">
        <v>1324</v>
      </c>
      <c r="R618" s="96" t="s">
        <v>412</v>
      </c>
      <c r="S618" s="96" t="s">
        <v>406</v>
      </c>
      <c r="T618" s="96" t="s">
        <v>1200</v>
      </c>
      <c r="U618" s="97">
        <v>1.94</v>
      </c>
      <c r="V618" s="100">
        <v>46568</v>
      </c>
      <c r="W618" s="98">
        <v>2.2499999999999999E-2</v>
      </c>
      <c r="X618" s="98">
        <v>3.39E-2</v>
      </c>
      <c r="Y618" s="96" t="s">
        <v>411</v>
      </c>
      <c r="Z618" s="96"/>
      <c r="AA618" s="97">
        <v>170393.44642699999</v>
      </c>
      <c r="AB618" s="97">
        <v>1</v>
      </c>
      <c r="AC618" s="97">
        <v>111.81</v>
      </c>
      <c r="AD618" s="97"/>
      <c r="AE618" s="97">
        <v>190.51691199999999</v>
      </c>
      <c r="AF618" s="96"/>
      <c r="AG618" s="96"/>
      <c r="AH618" s="96"/>
      <c r="AI618" s="98">
        <v>4.55E-4</v>
      </c>
      <c r="AJ618" s="98">
        <v>7.1299999999999998E-4</v>
      </c>
      <c r="AK618" s="98">
        <v>9.8999999999999994E-5</v>
      </c>
      <c r="AL618" s="106"/>
    </row>
    <row r="619" spans="1:38" ht="15" customHeight="1">
      <c r="A619" s="106"/>
      <c r="B619" s="96">
        <v>286</v>
      </c>
      <c r="C619" s="96">
        <v>286</v>
      </c>
      <c r="D619" s="96" t="s">
        <v>1814</v>
      </c>
      <c r="E619" s="96">
        <v>514599943</v>
      </c>
      <c r="F619" s="96" t="s">
        <v>308</v>
      </c>
      <c r="G619" s="96" t="s">
        <v>1815</v>
      </c>
      <c r="H619" s="96" t="s">
        <v>1816</v>
      </c>
      <c r="I619" s="96" t="s">
        <v>320</v>
      </c>
      <c r="J619" s="96" t="s">
        <v>753</v>
      </c>
      <c r="K619" s="96" t="s">
        <v>203</v>
      </c>
      <c r="L619" s="96" t="s">
        <v>203</v>
      </c>
      <c r="M619" s="96" t="s">
        <v>324</v>
      </c>
      <c r="N619" s="96" t="s">
        <v>339</v>
      </c>
      <c r="O619" s="96" t="s">
        <v>440</v>
      </c>
      <c r="P619" s="96" t="s">
        <v>338</v>
      </c>
      <c r="Q619" s="96" t="s">
        <v>409</v>
      </c>
      <c r="R619" s="96" t="s">
        <v>409</v>
      </c>
      <c r="S619" s="96" t="s">
        <v>409</v>
      </c>
      <c r="T619" s="96" t="s">
        <v>1200</v>
      </c>
      <c r="U619" s="97">
        <v>2.73</v>
      </c>
      <c r="V619" s="100">
        <v>46752</v>
      </c>
      <c r="W619" s="98">
        <v>1.4800000000000001E-2</v>
      </c>
      <c r="X619" s="98">
        <v>4.2799999999999998E-2</v>
      </c>
      <c r="Y619" s="96" t="s">
        <v>411</v>
      </c>
      <c r="Z619" s="96"/>
      <c r="AA619" s="97">
        <v>65661.103161999999</v>
      </c>
      <c r="AB619" s="97">
        <v>1</v>
      </c>
      <c r="AC619" s="97">
        <v>103.41</v>
      </c>
      <c r="AD619" s="97"/>
      <c r="AE619" s="97">
        <v>67.900146000000007</v>
      </c>
      <c r="AF619" s="96"/>
      <c r="AG619" s="96"/>
      <c r="AH619" s="96"/>
      <c r="AI619" s="98">
        <v>8.7000000000000001E-5</v>
      </c>
      <c r="AJ619" s="98">
        <v>2.5399999999999999E-4</v>
      </c>
      <c r="AK619" s="98">
        <v>3.4999999999999997E-5</v>
      </c>
      <c r="AL619" s="106"/>
    </row>
    <row r="620" spans="1:38" ht="15" customHeight="1">
      <c r="A620" s="106"/>
      <c r="B620" s="96">
        <v>286</v>
      </c>
      <c r="C620" s="96">
        <v>286</v>
      </c>
      <c r="D620" s="96" t="s">
        <v>1385</v>
      </c>
      <c r="E620" s="96">
        <v>520017807</v>
      </c>
      <c r="F620" s="96" t="s">
        <v>308</v>
      </c>
      <c r="G620" s="96" t="s">
        <v>1386</v>
      </c>
      <c r="H620" s="96" t="s">
        <v>1387</v>
      </c>
      <c r="I620" s="96" t="s">
        <v>320</v>
      </c>
      <c r="J620" s="96" t="s">
        <v>753</v>
      </c>
      <c r="K620" s="96" t="s">
        <v>203</v>
      </c>
      <c r="L620" s="96" t="s">
        <v>203</v>
      </c>
      <c r="M620" s="96" t="s">
        <v>324</v>
      </c>
      <c r="N620" s="96" t="s">
        <v>339</v>
      </c>
      <c r="O620" s="96" t="s">
        <v>463</v>
      </c>
      <c r="P620" s="96" t="s">
        <v>337</v>
      </c>
      <c r="Q620" s="96" t="s">
        <v>1305</v>
      </c>
      <c r="R620" s="96" t="s">
        <v>414</v>
      </c>
      <c r="S620" s="96" t="s">
        <v>406</v>
      </c>
      <c r="T620" s="96" t="s">
        <v>1200</v>
      </c>
      <c r="U620" s="97">
        <v>3.43</v>
      </c>
      <c r="V620" s="100">
        <v>48059</v>
      </c>
      <c r="W620" s="98">
        <v>2.4E-2</v>
      </c>
      <c r="X620" s="98">
        <v>3.0499999999999999E-2</v>
      </c>
      <c r="Y620" s="96" t="s">
        <v>411</v>
      </c>
      <c r="Z620" s="96"/>
      <c r="AA620" s="97">
        <v>359606.43736500002</v>
      </c>
      <c r="AB620" s="97">
        <v>1</v>
      </c>
      <c r="AC620" s="97">
        <v>113.28</v>
      </c>
      <c r="AD620" s="97"/>
      <c r="AE620" s="97">
        <v>407.36217199999999</v>
      </c>
      <c r="AF620" s="96"/>
      <c r="AG620" s="96"/>
      <c r="AH620" s="96"/>
      <c r="AI620" s="98">
        <v>2.6600000000000001E-4</v>
      </c>
      <c r="AJ620" s="98">
        <v>1.526E-3</v>
      </c>
      <c r="AK620" s="98">
        <v>2.12E-4</v>
      </c>
      <c r="AL620" s="106"/>
    </row>
    <row r="621" spans="1:38" ht="15" customHeight="1">
      <c r="A621" s="106"/>
      <c r="B621" s="96">
        <v>286</v>
      </c>
      <c r="C621" s="96">
        <v>286</v>
      </c>
      <c r="D621" s="96" t="s">
        <v>1862</v>
      </c>
      <c r="E621" s="96">
        <v>520036120</v>
      </c>
      <c r="F621" s="96" t="s">
        <v>308</v>
      </c>
      <c r="G621" s="96" t="s">
        <v>1863</v>
      </c>
      <c r="H621" s="96" t="s">
        <v>1864</v>
      </c>
      <c r="I621" s="96" t="s">
        <v>320</v>
      </c>
      <c r="J621" s="96" t="s">
        <v>952</v>
      </c>
      <c r="K621" s="96" t="s">
        <v>203</v>
      </c>
      <c r="L621" s="96" t="s">
        <v>203</v>
      </c>
      <c r="M621" s="96" t="s">
        <v>324</v>
      </c>
      <c r="N621" s="96" t="s">
        <v>339</v>
      </c>
      <c r="O621" s="96" t="s">
        <v>444</v>
      </c>
      <c r="P621" s="96" t="s">
        <v>338</v>
      </c>
      <c r="Q621" s="96" t="s">
        <v>1332</v>
      </c>
      <c r="R621" s="96" t="s">
        <v>412</v>
      </c>
      <c r="S621" s="96" t="s">
        <v>406</v>
      </c>
      <c r="T621" s="96" t="s">
        <v>1200</v>
      </c>
      <c r="U621" s="97">
        <v>3.5</v>
      </c>
      <c r="V621" s="100">
        <v>46811</v>
      </c>
      <c r="W621" s="98">
        <v>2.8000000000000001E-2</v>
      </c>
      <c r="X621" s="98">
        <v>4.4400000000000002E-2</v>
      </c>
      <c r="Y621" s="96" t="s">
        <v>411</v>
      </c>
      <c r="Z621" s="96"/>
      <c r="AA621" s="97">
        <v>260602.66393800001</v>
      </c>
      <c r="AB621" s="97">
        <v>1</v>
      </c>
      <c r="AC621" s="97">
        <v>95.5</v>
      </c>
      <c r="AD621" s="97"/>
      <c r="AE621" s="97">
        <v>248.87554399999999</v>
      </c>
      <c r="AF621" s="96"/>
      <c r="AG621" s="96"/>
      <c r="AH621" s="96"/>
      <c r="AI621" s="98">
        <v>1.737E-3</v>
      </c>
      <c r="AJ621" s="98">
        <v>9.3199999999999999E-4</v>
      </c>
      <c r="AK621" s="98">
        <v>1.2899999999999999E-4</v>
      </c>
      <c r="AL621" s="106"/>
    </row>
    <row r="622" spans="1:38" ht="15" customHeight="1">
      <c r="A622" s="106"/>
      <c r="B622" s="96">
        <v>286</v>
      </c>
      <c r="C622" s="96">
        <v>286</v>
      </c>
      <c r="D622" s="96" t="s">
        <v>1452</v>
      </c>
      <c r="E622" s="96">
        <v>514065283</v>
      </c>
      <c r="F622" s="96" t="s">
        <v>308</v>
      </c>
      <c r="G622" s="96" t="s">
        <v>1453</v>
      </c>
      <c r="H622" s="96" t="s">
        <v>1454</v>
      </c>
      <c r="I622" s="96" t="s">
        <v>320</v>
      </c>
      <c r="J622" s="96" t="s">
        <v>952</v>
      </c>
      <c r="K622" s="96" t="s">
        <v>203</v>
      </c>
      <c r="L622" s="96" t="s">
        <v>203</v>
      </c>
      <c r="M622" s="96" t="s">
        <v>324</v>
      </c>
      <c r="N622" s="96" t="s">
        <v>339</v>
      </c>
      <c r="O622" s="96" t="s">
        <v>461</v>
      </c>
      <c r="P622" s="96" t="s">
        <v>337</v>
      </c>
      <c r="Q622" s="96" t="s">
        <v>1332</v>
      </c>
      <c r="R622" s="96" t="s">
        <v>412</v>
      </c>
      <c r="S622" s="96" t="s">
        <v>406</v>
      </c>
      <c r="T622" s="96" t="s">
        <v>1200</v>
      </c>
      <c r="U622" s="97">
        <v>2.14</v>
      </c>
      <c r="V622" s="100">
        <v>47027</v>
      </c>
      <c r="W622" s="98">
        <v>2.1499999999999998E-2</v>
      </c>
      <c r="X622" s="98">
        <v>5.6000000000000001E-2</v>
      </c>
      <c r="Y622" s="96" t="s">
        <v>411</v>
      </c>
      <c r="Z622" s="96"/>
      <c r="AA622" s="97">
        <v>539424.77150999999</v>
      </c>
      <c r="AB622" s="97">
        <v>1</v>
      </c>
      <c r="AC622" s="97">
        <v>93.09</v>
      </c>
      <c r="AD622" s="97">
        <v>31.674914999999999</v>
      </c>
      <c r="AE622" s="97">
        <v>533.82543399999997</v>
      </c>
      <c r="AF622" s="96"/>
      <c r="AG622" s="96"/>
      <c r="AH622" s="96"/>
      <c r="AI622" s="98">
        <v>5.8399999999999999E-4</v>
      </c>
      <c r="AJ622" s="98">
        <v>1.9989999999999999E-3</v>
      </c>
      <c r="AK622" s="98">
        <v>2.7700000000000001E-4</v>
      </c>
      <c r="AL622" s="106"/>
    </row>
    <row r="623" spans="1:38" ht="15" customHeight="1">
      <c r="A623" s="106"/>
      <c r="B623" s="96">
        <v>286</v>
      </c>
      <c r="C623" s="96">
        <v>286</v>
      </c>
      <c r="D623" s="96" t="s">
        <v>1462</v>
      </c>
      <c r="E623" s="96">
        <v>520000472</v>
      </c>
      <c r="F623" s="96" t="s">
        <v>308</v>
      </c>
      <c r="G623" s="96" t="s">
        <v>1932</v>
      </c>
      <c r="H623" s="96" t="s">
        <v>1933</v>
      </c>
      <c r="I623" s="96" t="s">
        <v>320</v>
      </c>
      <c r="J623" s="96" t="s">
        <v>753</v>
      </c>
      <c r="K623" s="96" t="s">
        <v>203</v>
      </c>
      <c r="L623" s="96" t="s">
        <v>203</v>
      </c>
      <c r="M623" s="96" t="s">
        <v>324</v>
      </c>
      <c r="N623" s="96" t="s">
        <v>339</v>
      </c>
      <c r="O623" s="96" t="s">
        <v>439</v>
      </c>
      <c r="P623" s="96" t="s">
        <v>338</v>
      </c>
      <c r="Q623" s="96" t="s">
        <v>1301</v>
      </c>
      <c r="R623" s="96" t="s">
        <v>414</v>
      </c>
      <c r="S623" s="96" t="s">
        <v>406</v>
      </c>
      <c r="T623" s="96" t="s">
        <v>1200</v>
      </c>
      <c r="U623" s="97">
        <v>7.89</v>
      </c>
      <c r="V623" s="100">
        <v>48742</v>
      </c>
      <c r="W623" s="98">
        <v>0.03</v>
      </c>
      <c r="X623" s="98">
        <v>3.3599999999999998E-2</v>
      </c>
      <c r="Y623" s="96" t="s">
        <v>411</v>
      </c>
      <c r="Z623" s="96"/>
      <c r="AA623" s="97">
        <v>1218703.873225</v>
      </c>
      <c r="AB623" s="97">
        <v>1</v>
      </c>
      <c r="AC623" s="97">
        <v>100.46</v>
      </c>
      <c r="AD623" s="97"/>
      <c r="AE623" s="97">
        <v>1224.3099110000001</v>
      </c>
      <c r="AF623" s="96"/>
      <c r="AG623" s="96"/>
      <c r="AH623" s="96"/>
      <c r="AI623" s="98">
        <v>4.7600000000000002E-4</v>
      </c>
      <c r="AJ623" s="98">
        <v>4.5869999999999999E-3</v>
      </c>
      <c r="AK623" s="98">
        <v>6.3699999999999998E-4</v>
      </c>
      <c r="AL623" s="106"/>
    </row>
    <row r="624" spans="1:38" ht="15" customHeight="1">
      <c r="A624" s="106"/>
      <c r="B624" s="96">
        <v>286</v>
      </c>
      <c r="C624" s="96">
        <v>286</v>
      </c>
      <c r="D624" s="96" t="s">
        <v>1735</v>
      </c>
      <c r="E624" s="96">
        <v>550010003</v>
      </c>
      <c r="F624" s="96" t="s">
        <v>309</v>
      </c>
      <c r="G624" s="96" t="s">
        <v>1736</v>
      </c>
      <c r="H624" s="96" t="s">
        <v>1737</v>
      </c>
      <c r="I624" s="96" t="s">
        <v>320</v>
      </c>
      <c r="J624" s="96" t="s">
        <v>952</v>
      </c>
      <c r="K624" s="96" t="s">
        <v>203</v>
      </c>
      <c r="L624" s="96" t="s">
        <v>203</v>
      </c>
      <c r="M624" s="96" t="s">
        <v>324</v>
      </c>
      <c r="N624" s="96" t="s">
        <v>339</v>
      </c>
      <c r="O624" s="96" t="s">
        <v>453</v>
      </c>
      <c r="P624" s="96" t="s">
        <v>338</v>
      </c>
      <c r="Q624" s="96" t="s">
        <v>1313</v>
      </c>
      <c r="R624" s="96" t="s">
        <v>412</v>
      </c>
      <c r="S624" s="96" t="s">
        <v>406</v>
      </c>
      <c r="T624" s="96" t="s">
        <v>1200</v>
      </c>
      <c r="U624" s="97">
        <v>3.49</v>
      </c>
      <c r="V624" s="100">
        <v>47766</v>
      </c>
      <c r="W624" s="98">
        <v>2.24E-2</v>
      </c>
      <c r="X624" s="98">
        <v>5.5199999999999999E-2</v>
      </c>
      <c r="Y624" s="96" t="s">
        <v>411</v>
      </c>
      <c r="Z624" s="96"/>
      <c r="AA624" s="97">
        <v>385288.87972199998</v>
      </c>
      <c r="AB624" s="97">
        <v>1</v>
      </c>
      <c r="AC624" s="97">
        <v>89.89</v>
      </c>
      <c r="AD624" s="97"/>
      <c r="AE624" s="97">
        <v>346.33617299999997</v>
      </c>
      <c r="AF624" s="96"/>
      <c r="AG624" s="96"/>
      <c r="AH624" s="96"/>
      <c r="AI624" s="98">
        <v>6.5499999999999998E-4</v>
      </c>
      <c r="AJ624" s="98">
        <v>1.297E-3</v>
      </c>
      <c r="AK624" s="98">
        <v>1.8000000000000001E-4</v>
      </c>
      <c r="AL624" s="106"/>
    </row>
    <row r="625" spans="1:38" ht="15" customHeight="1">
      <c r="A625" s="106"/>
      <c r="B625" s="96">
        <v>286</v>
      </c>
      <c r="C625" s="96">
        <v>286</v>
      </c>
      <c r="D625" s="96" t="s">
        <v>1565</v>
      </c>
      <c r="E625" s="96">
        <v>520033234</v>
      </c>
      <c r="F625" s="96" t="s">
        <v>308</v>
      </c>
      <c r="G625" s="96" t="s">
        <v>1618</v>
      </c>
      <c r="H625" s="96" t="s">
        <v>1619</v>
      </c>
      <c r="I625" s="96" t="s">
        <v>320</v>
      </c>
      <c r="J625" s="96" t="s">
        <v>753</v>
      </c>
      <c r="K625" s="96" t="s">
        <v>203</v>
      </c>
      <c r="L625" s="96" t="s">
        <v>203</v>
      </c>
      <c r="M625" s="96" t="s">
        <v>324</v>
      </c>
      <c r="N625" s="96" t="s">
        <v>339</v>
      </c>
      <c r="O625" s="96" t="s">
        <v>464</v>
      </c>
      <c r="P625" s="96" t="s">
        <v>337</v>
      </c>
      <c r="Q625" s="96" t="s">
        <v>1520</v>
      </c>
      <c r="R625" s="96" t="s">
        <v>414</v>
      </c>
      <c r="S625" s="96" t="s">
        <v>406</v>
      </c>
      <c r="T625" s="96" t="s">
        <v>1200</v>
      </c>
      <c r="U625" s="97">
        <v>2.85</v>
      </c>
      <c r="V625" s="100">
        <v>46843</v>
      </c>
      <c r="W625" s="98">
        <v>1.3299999999999999E-2</v>
      </c>
      <c r="X625" s="98">
        <v>3.0499999999999999E-2</v>
      </c>
      <c r="Y625" s="96" t="s">
        <v>411</v>
      </c>
      <c r="Z625" s="96"/>
      <c r="AA625" s="97">
        <v>16915.649855</v>
      </c>
      <c r="AB625" s="97">
        <v>1</v>
      </c>
      <c r="AC625" s="97">
        <v>108.67</v>
      </c>
      <c r="AD625" s="97"/>
      <c r="AE625" s="97">
        <v>18.382235999999999</v>
      </c>
      <c r="AF625" s="96"/>
      <c r="AG625" s="96"/>
      <c r="AH625" s="96"/>
      <c r="AI625" s="98">
        <v>4.5000000000000003E-5</v>
      </c>
      <c r="AJ625" s="98">
        <v>6.7999999999999999E-5</v>
      </c>
      <c r="AK625" s="98">
        <v>9.0000000000000002E-6</v>
      </c>
      <c r="AL625" s="106"/>
    </row>
    <row r="626" spans="1:38" ht="15" customHeight="1">
      <c r="A626" s="106"/>
      <c r="B626" s="96">
        <v>286</v>
      </c>
      <c r="C626" s="96">
        <v>286</v>
      </c>
      <c r="D626" s="96" t="s">
        <v>1459</v>
      </c>
      <c r="E626" s="96">
        <v>520033424</v>
      </c>
      <c r="F626" s="96" t="s">
        <v>308</v>
      </c>
      <c r="G626" s="96" t="s">
        <v>1472</v>
      </c>
      <c r="H626" s="96" t="s">
        <v>1473</v>
      </c>
      <c r="I626" s="96" t="s">
        <v>320</v>
      </c>
      <c r="J626" s="96" t="s">
        <v>952</v>
      </c>
      <c r="K626" s="96" t="s">
        <v>203</v>
      </c>
      <c r="L626" s="96" t="s">
        <v>203</v>
      </c>
      <c r="M626" s="96" t="s">
        <v>324</v>
      </c>
      <c r="N626" s="96" t="s">
        <v>339</v>
      </c>
      <c r="O626" s="96" t="s">
        <v>446</v>
      </c>
      <c r="P626" s="96" t="s">
        <v>338</v>
      </c>
      <c r="Q626" s="96" t="s">
        <v>1320</v>
      </c>
      <c r="R626" s="96" t="s">
        <v>412</v>
      </c>
      <c r="S626" s="96" t="s">
        <v>406</v>
      </c>
      <c r="T626" s="96" t="s">
        <v>1200</v>
      </c>
      <c r="U626" s="97">
        <v>0.99</v>
      </c>
      <c r="V626" s="100">
        <v>45838</v>
      </c>
      <c r="W626" s="98">
        <v>3.0300000000000001E-2</v>
      </c>
      <c r="X626" s="98">
        <v>5.7500000000000002E-2</v>
      </c>
      <c r="Y626" s="96" t="s">
        <v>411</v>
      </c>
      <c r="Z626" s="96"/>
      <c r="AA626" s="97">
        <v>63642.380155999999</v>
      </c>
      <c r="AB626" s="97">
        <v>1</v>
      </c>
      <c r="AC626" s="97">
        <v>97.48</v>
      </c>
      <c r="AD626" s="97"/>
      <c r="AE626" s="97">
        <v>62.038592000000001</v>
      </c>
      <c r="AF626" s="96"/>
      <c r="AG626" s="96"/>
      <c r="AH626" s="96"/>
      <c r="AI626" s="98">
        <v>2.1419999999999998E-3</v>
      </c>
      <c r="AJ626" s="98">
        <v>2.32E-4</v>
      </c>
      <c r="AK626" s="98">
        <v>3.1999999999999999E-5</v>
      </c>
      <c r="AL626" s="106"/>
    </row>
    <row r="627" spans="1:38" ht="15" customHeight="1">
      <c r="A627" s="106"/>
      <c r="B627" s="96">
        <v>286</v>
      </c>
      <c r="C627" s="96">
        <v>286</v>
      </c>
      <c r="D627" s="96" t="s">
        <v>1354</v>
      </c>
      <c r="E627" s="96">
        <v>513893123</v>
      </c>
      <c r="F627" s="96" t="s">
        <v>308</v>
      </c>
      <c r="G627" s="96" t="s">
        <v>1809</v>
      </c>
      <c r="H627" s="96" t="s">
        <v>1786</v>
      </c>
      <c r="I627" s="96" t="s">
        <v>320</v>
      </c>
      <c r="J627" s="96" t="s">
        <v>753</v>
      </c>
      <c r="K627" s="96" t="s">
        <v>203</v>
      </c>
      <c r="L627" s="96" t="s">
        <v>203</v>
      </c>
      <c r="M627" s="96" t="s">
        <v>324</v>
      </c>
      <c r="N627" s="96" t="s">
        <v>339</v>
      </c>
      <c r="O627" s="96" t="s">
        <v>442</v>
      </c>
      <c r="P627" s="96" t="s">
        <v>338</v>
      </c>
      <c r="Q627" s="96" t="s">
        <v>1357</v>
      </c>
      <c r="R627" s="96" t="s">
        <v>414</v>
      </c>
      <c r="S627" s="96" t="s">
        <v>406</v>
      </c>
      <c r="T627" s="96" t="s">
        <v>1200</v>
      </c>
      <c r="U627" s="97">
        <v>1.88</v>
      </c>
      <c r="V627" s="100">
        <v>46477</v>
      </c>
      <c r="W627" s="98">
        <v>3.5400000000000001E-2</v>
      </c>
      <c r="X627" s="98">
        <v>3.4500000000000003E-2</v>
      </c>
      <c r="Y627" s="96" t="s">
        <v>411</v>
      </c>
      <c r="Z627" s="96"/>
      <c r="AA627" s="97">
        <v>110948.812181</v>
      </c>
      <c r="AB627" s="97">
        <v>1</v>
      </c>
      <c r="AC627" s="97">
        <v>106.57</v>
      </c>
      <c r="AD627" s="97"/>
      <c r="AE627" s="97">
        <v>118.23814900000001</v>
      </c>
      <c r="AF627" s="96"/>
      <c r="AG627" s="96"/>
      <c r="AH627" s="96"/>
      <c r="AI627" s="98">
        <v>9.8999999999999994E-5</v>
      </c>
      <c r="AJ627" s="98">
        <v>4.4299999999999998E-4</v>
      </c>
      <c r="AK627" s="98">
        <v>6.0999999999999999E-5</v>
      </c>
      <c r="AL627" s="106"/>
    </row>
    <row r="628" spans="1:38" ht="15" customHeight="1">
      <c r="A628" s="106"/>
      <c r="B628" s="96">
        <v>286</v>
      </c>
      <c r="C628" s="96">
        <v>286</v>
      </c>
      <c r="D628" s="96" t="s">
        <v>1203</v>
      </c>
      <c r="E628" s="96">
        <v>520000118</v>
      </c>
      <c r="F628" s="96" t="s">
        <v>308</v>
      </c>
      <c r="G628" s="96" t="s">
        <v>1678</v>
      </c>
      <c r="H628" s="96" t="s">
        <v>1679</v>
      </c>
      <c r="I628" s="96" t="s">
        <v>320</v>
      </c>
      <c r="J628" s="96" t="s">
        <v>753</v>
      </c>
      <c r="K628" s="96" t="s">
        <v>203</v>
      </c>
      <c r="L628" s="96" t="s">
        <v>203</v>
      </c>
      <c r="M628" s="96" t="s">
        <v>324</v>
      </c>
      <c r="N628" s="96" t="s">
        <v>339</v>
      </c>
      <c r="O628" s="96" t="s">
        <v>447</v>
      </c>
      <c r="P628" s="96" t="s">
        <v>338</v>
      </c>
      <c r="Q628" s="96" t="s">
        <v>1332</v>
      </c>
      <c r="R628" s="96" t="s">
        <v>412</v>
      </c>
      <c r="S628" s="96" t="s">
        <v>406</v>
      </c>
      <c r="T628" s="96" t="s">
        <v>1200</v>
      </c>
      <c r="U628" s="97">
        <v>3.65</v>
      </c>
      <c r="V628" s="100">
        <v>46825</v>
      </c>
      <c r="W628" s="98">
        <v>8.3999999999999995E-3</v>
      </c>
      <c r="X628" s="98">
        <v>3.3399999999999999E-2</v>
      </c>
      <c r="Y628" s="96" t="s">
        <v>410</v>
      </c>
      <c r="Z628" s="96"/>
      <c r="AA628" s="97">
        <v>60444.665352000004</v>
      </c>
      <c r="AB628" s="97">
        <v>1</v>
      </c>
      <c r="AC628" s="97">
        <v>101.16</v>
      </c>
      <c r="AD628" s="97"/>
      <c r="AE628" s="97">
        <v>61.145823</v>
      </c>
      <c r="AF628" s="96"/>
      <c r="AG628" s="96"/>
      <c r="AH628" s="96"/>
      <c r="AI628" s="98">
        <v>1.5200000000000001E-4</v>
      </c>
      <c r="AJ628" s="98">
        <v>2.2900000000000001E-4</v>
      </c>
      <c r="AK628" s="98">
        <v>3.1000000000000001E-5</v>
      </c>
      <c r="AL628" s="106"/>
    </row>
    <row r="629" spans="1:38" ht="15" customHeight="1">
      <c r="A629" s="106"/>
      <c r="B629" s="96">
        <v>286</v>
      </c>
      <c r="C629" s="96">
        <v>286</v>
      </c>
      <c r="D629" s="96" t="s">
        <v>1379</v>
      </c>
      <c r="E629" s="96">
        <v>510454333</v>
      </c>
      <c r="F629" s="96" t="s">
        <v>308</v>
      </c>
      <c r="G629" s="96" t="s">
        <v>1972</v>
      </c>
      <c r="H629" s="96" t="s">
        <v>1973</v>
      </c>
      <c r="I629" s="96" t="s">
        <v>320</v>
      </c>
      <c r="J629" s="96" t="s">
        <v>952</v>
      </c>
      <c r="K629" s="96" t="s">
        <v>203</v>
      </c>
      <c r="L629" s="96" t="s">
        <v>203</v>
      </c>
      <c r="M629" s="96" t="s">
        <v>324</v>
      </c>
      <c r="N629" s="96" t="s">
        <v>339</v>
      </c>
      <c r="O629" s="96" t="s">
        <v>476</v>
      </c>
      <c r="P629" s="96" t="s">
        <v>338</v>
      </c>
      <c r="Q629" s="96" t="s">
        <v>1320</v>
      </c>
      <c r="R629" s="96" t="s">
        <v>412</v>
      </c>
      <c r="S629" s="96" t="s">
        <v>406</v>
      </c>
      <c r="T629" s="96" t="s">
        <v>1200</v>
      </c>
      <c r="U629" s="97">
        <v>2.78</v>
      </c>
      <c r="V629" s="100">
        <v>47756</v>
      </c>
      <c r="W629" s="98">
        <v>5.6500000000000002E-2</v>
      </c>
      <c r="X629" s="98">
        <v>5.9799999999999999E-2</v>
      </c>
      <c r="Y629" s="96" t="s">
        <v>411</v>
      </c>
      <c r="Z629" s="96"/>
      <c r="AA629" s="97">
        <v>381830.00216199999</v>
      </c>
      <c r="AB629" s="97">
        <v>1</v>
      </c>
      <c r="AC629" s="97">
        <v>100.74</v>
      </c>
      <c r="AD629" s="97"/>
      <c r="AE629" s="97">
        <v>384.65554400000002</v>
      </c>
      <c r="AF629" s="96"/>
      <c r="AG629" s="96"/>
      <c r="AH629" s="96"/>
      <c r="AI629" s="98">
        <v>7.0899999999999999E-4</v>
      </c>
      <c r="AJ629" s="98">
        <v>1.441E-3</v>
      </c>
      <c r="AK629" s="98">
        <v>2.0000000000000001E-4</v>
      </c>
      <c r="AL629" s="106"/>
    </row>
    <row r="630" spans="1:38" ht="15" customHeight="1">
      <c r="A630" s="106"/>
      <c r="B630" s="96">
        <v>286</v>
      </c>
      <c r="C630" s="96">
        <v>286</v>
      </c>
      <c r="D630" s="96" t="s">
        <v>1710</v>
      </c>
      <c r="E630" s="96">
        <v>520034372</v>
      </c>
      <c r="F630" s="96" t="s">
        <v>308</v>
      </c>
      <c r="G630" s="96" t="s">
        <v>1807</v>
      </c>
      <c r="H630" s="96" t="s">
        <v>1808</v>
      </c>
      <c r="I630" s="96" t="s">
        <v>320</v>
      </c>
      <c r="J630" s="96" t="s">
        <v>753</v>
      </c>
      <c r="K630" s="96" t="s">
        <v>203</v>
      </c>
      <c r="L630" s="96" t="s">
        <v>203</v>
      </c>
      <c r="M630" s="96" t="s">
        <v>324</v>
      </c>
      <c r="N630" s="96" t="s">
        <v>339</v>
      </c>
      <c r="O630" s="96" t="s">
        <v>476</v>
      </c>
      <c r="P630" s="96" t="s">
        <v>338</v>
      </c>
      <c r="Q630" s="96" t="s">
        <v>1313</v>
      </c>
      <c r="R630" s="96" t="s">
        <v>412</v>
      </c>
      <c r="S630" s="96" t="s">
        <v>406</v>
      </c>
      <c r="T630" s="96" t="s">
        <v>1200</v>
      </c>
      <c r="U630" s="97">
        <v>1.08</v>
      </c>
      <c r="V630" s="100">
        <v>46193</v>
      </c>
      <c r="W630" s="98">
        <v>1.7999999999999999E-2</v>
      </c>
      <c r="X630" s="98">
        <v>3.09E-2</v>
      </c>
      <c r="Y630" s="96" t="s">
        <v>411</v>
      </c>
      <c r="Z630" s="96"/>
      <c r="AA630" s="97">
        <v>849529.75687399996</v>
      </c>
      <c r="AB630" s="97">
        <v>1</v>
      </c>
      <c r="AC630" s="97">
        <v>112.65</v>
      </c>
      <c r="AD630" s="97"/>
      <c r="AE630" s="97">
        <v>956.995271</v>
      </c>
      <c r="AF630" s="96"/>
      <c r="AG630" s="96"/>
      <c r="AH630" s="96"/>
      <c r="AI630" s="98">
        <v>1.307E-3</v>
      </c>
      <c r="AJ630" s="98">
        <v>3.5850000000000001E-3</v>
      </c>
      <c r="AK630" s="98">
        <v>4.9799999999999996E-4</v>
      </c>
      <c r="AL630" s="106"/>
    </row>
    <row r="631" spans="1:38" ht="15" customHeight="1">
      <c r="A631" s="106"/>
      <c r="B631" s="96">
        <v>286</v>
      </c>
      <c r="C631" s="96">
        <v>286</v>
      </c>
      <c r="D631" s="96" t="s">
        <v>1524</v>
      </c>
      <c r="E631" s="96">
        <v>513257873</v>
      </c>
      <c r="F631" s="96" t="s">
        <v>308</v>
      </c>
      <c r="G631" s="96" t="s">
        <v>1525</v>
      </c>
      <c r="H631" s="96" t="s">
        <v>1526</v>
      </c>
      <c r="I631" s="96" t="s">
        <v>320</v>
      </c>
      <c r="J631" s="96" t="s">
        <v>753</v>
      </c>
      <c r="K631" s="96" t="s">
        <v>203</v>
      </c>
      <c r="L631" s="96" t="s">
        <v>203</v>
      </c>
      <c r="M631" s="96" t="s">
        <v>324</v>
      </c>
      <c r="N631" s="96" t="s">
        <v>339</v>
      </c>
      <c r="O631" s="96" t="s">
        <v>463</v>
      </c>
      <c r="P631" s="96" t="s">
        <v>338</v>
      </c>
      <c r="Q631" s="96" t="s">
        <v>1320</v>
      </c>
      <c r="R631" s="96" t="s">
        <v>412</v>
      </c>
      <c r="S631" s="96" t="s">
        <v>406</v>
      </c>
      <c r="T631" s="96" t="s">
        <v>1200</v>
      </c>
      <c r="U631" s="97">
        <v>5.66</v>
      </c>
      <c r="V631" s="100">
        <v>48304</v>
      </c>
      <c r="W631" s="98">
        <v>9.7000000000000003E-3</v>
      </c>
      <c r="X631" s="98">
        <v>3.8100000000000002E-2</v>
      </c>
      <c r="Y631" s="96" t="s">
        <v>411</v>
      </c>
      <c r="Z631" s="96"/>
      <c r="AA631" s="97">
        <v>48894.771828999998</v>
      </c>
      <c r="AB631" s="97">
        <v>1</v>
      </c>
      <c r="AC631" s="97">
        <v>95.73</v>
      </c>
      <c r="AD631" s="97"/>
      <c r="AE631" s="97">
        <v>46.806964999999998</v>
      </c>
      <c r="AF631" s="96"/>
      <c r="AG631" s="96"/>
      <c r="AH631" s="96"/>
      <c r="AI631" s="98">
        <v>1.2300000000000001E-4</v>
      </c>
      <c r="AJ631" s="98">
        <v>1.75E-4</v>
      </c>
      <c r="AK631" s="98">
        <v>2.4000000000000001E-5</v>
      </c>
      <c r="AL631" s="106"/>
    </row>
    <row r="632" spans="1:38" ht="15" customHeight="1">
      <c r="A632" s="106"/>
      <c r="B632" s="96">
        <v>286</v>
      </c>
      <c r="C632" s="96">
        <v>286</v>
      </c>
      <c r="D632" s="96" t="s">
        <v>1926</v>
      </c>
      <c r="E632" s="96">
        <v>520030859</v>
      </c>
      <c r="F632" s="96" t="s">
        <v>308</v>
      </c>
      <c r="G632" s="96" t="s">
        <v>1927</v>
      </c>
      <c r="H632" s="96" t="s">
        <v>1928</v>
      </c>
      <c r="I632" s="96" t="s">
        <v>320</v>
      </c>
      <c r="J632" s="96" t="s">
        <v>952</v>
      </c>
      <c r="K632" s="96" t="s">
        <v>203</v>
      </c>
      <c r="L632" s="96" t="s">
        <v>203</v>
      </c>
      <c r="M632" s="96" t="s">
        <v>324</v>
      </c>
      <c r="N632" s="96" t="s">
        <v>339</v>
      </c>
      <c r="O632" s="96" t="s">
        <v>450</v>
      </c>
      <c r="P632" s="96" t="s">
        <v>337</v>
      </c>
      <c r="Q632" s="96" t="s">
        <v>1313</v>
      </c>
      <c r="R632" s="96" t="s">
        <v>412</v>
      </c>
      <c r="S632" s="96" t="s">
        <v>406</v>
      </c>
      <c r="T632" s="96" t="s">
        <v>1200</v>
      </c>
      <c r="U632" s="97">
        <v>6.36</v>
      </c>
      <c r="V632" s="100">
        <v>49881</v>
      </c>
      <c r="W632" s="98">
        <v>5.3100000000000001E-2</v>
      </c>
      <c r="X632" s="98">
        <v>6.13E-2</v>
      </c>
      <c r="Y632" s="96" t="s">
        <v>411</v>
      </c>
      <c r="Z632" s="96"/>
      <c r="AA632" s="97">
        <v>466763.583445</v>
      </c>
      <c r="AB632" s="97">
        <v>1</v>
      </c>
      <c r="AC632" s="97">
        <v>97.75</v>
      </c>
      <c r="AD632" s="97"/>
      <c r="AE632" s="97">
        <v>456.26140199999998</v>
      </c>
      <c r="AF632" s="96"/>
      <c r="AG632" s="96"/>
      <c r="AH632" s="96"/>
      <c r="AI632" s="98">
        <v>2.8839999999999998E-3</v>
      </c>
      <c r="AJ632" s="98">
        <v>1.709E-3</v>
      </c>
      <c r="AK632" s="98">
        <v>2.3699999999999999E-4</v>
      </c>
      <c r="AL632" s="106"/>
    </row>
    <row r="633" spans="1:38" ht="15" customHeight="1">
      <c r="A633" s="106"/>
      <c r="B633" s="96">
        <v>286</v>
      </c>
      <c r="C633" s="96">
        <v>286</v>
      </c>
      <c r="D633" s="96" t="s">
        <v>1950</v>
      </c>
      <c r="E633" s="96">
        <v>520043605</v>
      </c>
      <c r="F633" s="96" t="s">
        <v>308</v>
      </c>
      <c r="G633" s="96" t="s">
        <v>1951</v>
      </c>
      <c r="H633" s="96" t="s">
        <v>1952</v>
      </c>
      <c r="I633" s="96" t="s">
        <v>320</v>
      </c>
      <c r="J633" s="96" t="s">
        <v>753</v>
      </c>
      <c r="K633" s="96" t="s">
        <v>203</v>
      </c>
      <c r="L633" s="96" t="s">
        <v>203</v>
      </c>
      <c r="M633" s="96" t="s">
        <v>324</v>
      </c>
      <c r="N633" s="96" t="s">
        <v>339</v>
      </c>
      <c r="O633" s="96" t="s">
        <v>455</v>
      </c>
      <c r="P633" s="96" t="s">
        <v>338</v>
      </c>
      <c r="Q633" s="96" t="s">
        <v>1332</v>
      </c>
      <c r="R633" s="96" t="s">
        <v>412</v>
      </c>
      <c r="S633" s="96" t="s">
        <v>406</v>
      </c>
      <c r="T633" s="96" t="s">
        <v>1200</v>
      </c>
      <c r="U633" s="97">
        <v>5.43</v>
      </c>
      <c r="V633" s="100">
        <v>50009</v>
      </c>
      <c r="W633" s="98">
        <v>5.1499999999999997E-2</v>
      </c>
      <c r="X633" s="98">
        <v>3.8899999999999997E-2</v>
      </c>
      <c r="Y633" s="96" t="s">
        <v>411</v>
      </c>
      <c r="Z633" s="96"/>
      <c r="AA633" s="97">
        <v>2071796.585092</v>
      </c>
      <c r="AB633" s="97">
        <v>1</v>
      </c>
      <c r="AC633" s="97">
        <v>147.13</v>
      </c>
      <c r="AD633" s="97"/>
      <c r="AE633" s="97">
        <v>3048.2343150000002</v>
      </c>
      <c r="AF633" s="96"/>
      <c r="AG633" s="96"/>
      <c r="AH633" s="96"/>
      <c r="AI633" s="98">
        <v>7.1299999999999998E-4</v>
      </c>
      <c r="AJ633" s="98">
        <v>1.1422E-2</v>
      </c>
      <c r="AK633" s="98">
        <v>1.5870000000000001E-3</v>
      </c>
      <c r="AL633" s="106"/>
    </row>
    <row r="634" spans="1:38" ht="15" customHeight="1">
      <c r="A634" s="106"/>
      <c r="B634" s="96">
        <v>286</v>
      </c>
      <c r="C634" s="96">
        <v>286</v>
      </c>
      <c r="D634" s="96" t="s">
        <v>1414</v>
      </c>
      <c r="E634" s="96">
        <v>520037789</v>
      </c>
      <c r="F634" s="96" t="s">
        <v>308</v>
      </c>
      <c r="G634" s="96" t="s">
        <v>1753</v>
      </c>
      <c r="H634" s="96" t="s">
        <v>1754</v>
      </c>
      <c r="I634" s="96" t="s">
        <v>320</v>
      </c>
      <c r="J634" s="96" t="s">
        <v>753</v>
      </c>
      <c r="K634" s="96" t="s">
        <v>203</v>
      </c>
      <c r="L634" s="96" t="s">
        <v>203</v>
      </c>
      <c r="M634" s="96" t="s">
        <v>324</v>
      </c>
      <c r="N634" s="96" t="s">
        <v>339</v>
      </c>
      <c r="O634" s="96" t="s">
        <v>463</v>
      </c>
      <c r="P634" s="96" t="s">
        <v>337</v>
      </c>
      <c r="Q634" s="96" t="s">
        <v>1313</v>
      </c>
      <c r="R634" s="96" t="s">
        <v>412</v>
      </c>
      <c r="S634" s="96" t="s">
        <v>406</v>
      </c>
      <c r="T634" s="96" t="s">
        <v>1200</v>
      </c>
      <c r="U634" s="97">
        <v>3.8</v>
      </c>
      <c r="V634" s="100">
        <v>46935</v>
      </c>
      <c r="W634" s="98">
        <v>6.4999999999999997E-3</v>
      </c>
      <c r="X634" s="98">
        <v>2.75E-2</v>
      </c>
      <c r="Y634" s="96" t="s">
        <v>411</v>
      </c>
      <c r="Z634" s="96"/>
      <c r="AA634" s="97">
        <v>588729.22978099994</v>
      </c>
      <c r="AB634" s="97">
        <v>1</v>
      </c>
      <c r="AC634" s="97">
        <v>104.76</v>
      </c>
      <c r="AD634" s="97">
        <v>7.3303849999999997</v>
      </c>
      <c r="AE634" s="97">
        <v>624.08312599999999</v>
      </c>
      <c r="AF634" s="96"/>
      <c r="AG634" s="96"/>
      <c r="AH634" s="96"/>
      <c r="AI634" s="98">
        <v>1.194E-3</v>
      </c>
      <c r="AJ634" s="98">
        <v>2.3379999999999998E-3</v>
      </c>
      <c r="AK634" s="98">
        <v>3.2400000000000001E-4</v>
      </c>
      <c r="AL634" s="106"/>
    </row>
    <row r="635" spans="1:38" ht="15" customHeight="1">
      <c r="A635" s="106"/>
      <c r="B635" s="96">
        <v>286</v>
      </c>
      <c r="C635" s="96">
        <v>286</v>
      </c>
      <c r="D635" s="96" t="s">
        <v>1462</v>
      </c>
      <c r="E635" s="96">
        <v>520000472</v>
      </c>
      <c r="F635" s="96" t="s">
        <v>308</v>
      </c>
      <c r="G635" s="96" t="s">
        <v>1463</v>
      </c>
      <c r="H635" s="96" t="s">
        <v>1464</v>
      </c>
      <c r="I635" s="96" t="s">
        <v>320</v>
      </c>
      <c r="J635" s="96" t="s">
        <v>753</v>
      </c>
      <c r="K635" s="96" t="s">
        <v>203</v>
      </c>
      <c r="L635" s="96" t="s">
        <v>203</v>
      </c>
      <c r="M635" s="96" t="s">
        <v>324</v>
      </c>
      <c r="N635" s="96" t="s">
        <v>339</v>
      </c>
      <c r="O635" s="96" t="s">
        <v>439</v>
      </c>
      <c r="P635" s="96" t="s">
        <v>338</v>
      </c>
      <c r="Q635" s="96" t="s">
        <v>1301</v>
      </c>
      <c r="R635" s="96" t="s">
        <v>414</v>
      </c>
      <c r="S635" s="96" t="s">
        <v>406</v>
      </c>
      <c r="T635" s="96" t="s">
        <v>1200</v>
      </c>
      <c r="U635" s="97">
        <v>11.01</v>
      </c>
      <c r="V635" s="100">
        <v>49825</v>
      </c>
      <c r="W635" s="98">
        <v>1.2500000000000001E-2</v>
      </c>
      <c r="X635" s="98">
        <v>3.5299999999999998E-2</v>
      </c>
      <c r="Y635" s="96" t="s">
        <v>411</v>
      </c>
      <c r="Z635" s="96"/>
      <c r="AA635" s="97">
        <v>3054384.0041780001</v>
      </c>
      <c r="AB635" s="97">
        <v>1</v>
      </c>
      <c r="AC635" s="97">
        <v>87.53</v>
      </c>
      <c r="AD635" s="97"/>
      <c r="AE635" s="97">
        <v>2673.5023179999998</v>
      </c>
      <c r="AF635" s="96"/>
      <c r="AG635" s="96"/>
      <c r="AH635" s="96"/>
      <c r="AI635" s="98">
        <v>7.1100000000000004E-4</v>
      </c>
      <c r="AJ635" s="98">
        <v>1.0017E-2</v>
      </c>
      <c r="AK635" s="98">
        <v>1.392E-3</v>
      </c>
      <c r="AL635" s="106"/>
    </row>
    <row r="636" spans="1:38" ht="15" customHeight="1">
      <c r="A636" s="106"/>
      <c r="B636" s="96">
        <v>286</v>
      </c>
      <c r="C636" s="96">
        <v>286</v>
      </c>
      <c r="D636" s="96" t="s">
        <v>1514</v>
      </c>
      <c r="E636" s="96">
        <v>520043027</v>
      </c>
      <c r="F636" s="96" t="s">
        <v>308</v>
      </c>
      <c r="G636" s="96" t="s">
        <v>1515</v>
      </c>
      <c r="H636" s="96" t="s">
        <v>1516</v>
      </c>
      <c r="I636" s="96" t="s">
        <v>320</v>
      </c>
      <c r="J636" s="96" t="s">
        <v>754</v>
      </c>
      <c r="K636" s="96" t="s">
        <v>203</v>
      </c>
      <c r="L636" s="96" t="s">
        <v>203</v>
      </c>
      <c r="M636" s="96" t="s">
        <v>324</v>
      </c>
      <c r="N636" s="96" t="s">
        <v>339</v>
      </c>
      <c r="O636" s="96" t="s">
        <v>445</v>
      </c>
      <c r="P636" s="96" t="s">
        <v>338</v>
      </c>
      <c r="Q636" s="96" t="s">
        <v>1313</v>
      </c>
      <c r="R636" s="96" t="s">
        <v>412</v>
      </c>
      <c r="S636" s="96" t="s">
        <v>406</v>
      </c>
      <c r="T636" s="96" t="s">
        <v>1200</v>
      </c>
      <c r="U636" s="97">
        <v>5.16</v>
      </c>
      <c r="V636" s="100">
        <v>49490</v>
      </c>
      <c r="W636" s="98">
        <v>2.6700000000000002E-2</v>
      </c>
      <c r="X636" s="98">
        <v>5.9900000000000002E-2</v>
      </c>
      <c r="Y636" s="96" t="s">
        <v>411</v>
      </c>
      <c r="Z636" s="96"/>
      <c r="AA636" s="97">
        <v>234793.12039500001</v>
      </c>
      <c r="AB636" s="97">
        <v>1</v>
      </c>
      <c r="AC636" s="97">
        <v>97.08</v>
      </c>
      <c r="AD636" s="97"/>
      <c r="AE636" s="97">
        <v>227.937161</v>
      </c>
      <c r="AF636" s="96"/>
      <c r="AG636" s="96"/>
      <c r="AH636" s="96"/>
      <c r="AI636" s="98">
        <v>1.493E-3</v>
      </c>
      <c r="AJ636" s="98">
        <v>8.5400000000000005E-4</v>
      </c>
      <c r="AK636" s="98">
        <v>1.18E-4</v>
      </c>
      <c r="AL636" s="106"/>
    </row>
    <row r="637" spans="1:38" ht="15" customHeight="1">
      <c r="A637" s="106"/>
      <c r="B637" s="96">
        <v>286</v>
      </c>
      <c r="C637" s="96">
        <v>286</v>
      </c>
      <c r="D637" s="96" t="s">
        <v>1445</v>
      </c>
      <c r="E637" s="96">
        <v>510381601</v>
      </c>
      <c r="F637" s="96" t="s">
        <v>308</v>
      </c>
      <c r="G637" s="96" t="s">
        <v>1892</v>
      </c>
      <c r="H637" s="96" t="s">
        <v>1893</v>
      </c>
      <c r="I637" s="96" t="s">
        <v>320</v>
      </c>
      <c r="J637" s="96" t="s">
        <v>753</v>
      </c>
      <c r="K637" s="96" t="s">
        <v>203</v>
      </c>
      <c r="L637" s="96" t="s">
        <v>203</v>
      </c>
      <c r="M637" s="96" t="s">
        <v>324</v>
      </c>
      <c r="N637" s="96" t="s">
        <v>339</v>
      </c>
      <c r="O637" s="96" t="s">
        <v>446</v>
      </c>
      <c r="P637" s="96" t="s">
        <v>337</v>
      </c>
      <c r="Q637" s="96" t="s">
        <v>1328</v>
      </c>
      <c r="R637" s="96" t="s">
        <v>412</v>
      </c>
      <c r="S637" s="96" t="s">
        <v>406</v>
      </c>
      <c r="T637" s="96" t="s">
        <v>1200</v>
      </c>
      <c r="U637" s="97">
        <v>3.5</v>
      </c>
      <c r="V637" s="100">
        <v>47483</v>
      </c>
      <c r="W637" s="98">
        <v>7.4999999999999997E-3</v>
      </c>
      <c r="X637" s="98">
        <v>3.9E-2</v>
      </c>
      <c r="Y637" s="96" t="s">
        <v>411</v>
      </c>
      <c r="Z637" s="96"/>
      <c r="AA637" s="97">
        <v>752798.89103199996</v>
      </c>
      <c r="AB637" s="97">
        <v>1</v>
      </c>
      <c r="AC637" s="97">
        <v>99.42</v>
      </c>
      <c r="AD637" s="97"/>
      <c r="AE637" s="97">
        <v>748.43265699999995</v>
      </c>
      <c r="AF637" s="96"/>
      <c r="AG637" s="96"/>
      <c r="AH637" s="96"/>
      <c r="AI637" s="98">
        <v>4.8899999999999996E-4</v>
      </c>
      <c r="AJ637" s="98">
        <v>2.8040000000000001E-3</v>
      </c>
      <c r="AK637" s="98">
        <v>3.8900000000000002E-4</v>
      </c>
      <c r="AL637" s="106"/>
    </row>
    <row r="638" spans="1:38" ht="15" customHeight="1">
      <c r="A638" s="106"/>
      <c r="B638" s="96">
        <v>286</v>
      </c>
      <c r="C638" s="96">
        <v>286</v>
      </c>
      <c r="D638" s="96" t="s">
        <v>1358</v>
      </c>
      <c r="E638" s="96">
        <v>520022732</v>
      </c>
      <c r="F638" s="96" t="s">
        <v>308</v>
      </c>
      <c r="G638" s="96" t="s">
        <v>1359</v>
      </c>
      <c r="H638" s="96" t="s">
        <v>1360</v>
      </c>
      <c r="I638" s="96" t="s">
        <v>320</v>
      </c>
      <c r="J638" s="96" t="s">
        <v>952</v>
      </c>
      <c r="K638" s="96" t="s">
        <v>203</v>
      </c>
      <c r="L638" s="96" t="s">
        <v>203</v>
      </c>
      <c r="M638" s="96" t="s">
        <v>324</v>
      </c>
      <c r="N638" s="96" t="s">
        <v>339</v>
      </c>
      <c r="O638" s="96" t="s">
        <v>474</v>
      </c>
      <c r="P638" s="96" t="s">
        <v>337</v>
      </c>
      <c r="Q638" s="96" t="s">
        <v>1313</v>
      </c>
      <c r="R638" s="96" t="s">
        <v>412</v>
      </c>
      <c r="S638" s="96" t="s">
        <v>406</v>
      </c>
      <c r="T638" s="96" t="s">
        <v>1200</v>
      </c>
      <c r="U638" s="97">
        <v>2.5</v>
      </c>
      <c r="V638" s="100">
        <v>47399</v>
      </c>
      <c r="W638" s="98">
        <v>5.0900000000000001E-2</v>
      </c>
      <c r="X638" s="98">
        <v>5.1799999999999999E-2</v>
      </c>
      <c r="Y638" s="96" t="s">
        <v>411</v>
      </c>
      <c r="Z638" s="96"/>
      <c r="AA638" s="97">
        <v>305755.80672300002</v>
      </c>
      <c r="AB638" s="97">
        <v>1</v>
      </c>
      <c r="AC638" s="97">
        <v>103.46</v>
      </c>
      <c r="AD638" s="97"/>
      <c r="AE638" s="97">
        <v>316.33495699999997</v>
      </c>
      <c r="AF638" s="96"/>
      <c r="AG638" s="96"/>
      <c r="AH638" s="96"/>
      <c r="AI638" s="98">
        <v>4.9299999999999995E-4</v>
      </c>
      <c r="AJ638" s="98">
        <v>1.1850000000000001E-3</v>
      </c>
      <c r="AK638" s="98">
        <v>1.64E-4</v>
      </c>
      <c r="AL638" s="106"/>
    </row>
    <row r="639" spans="1:38" ht="15" customHeight="1">
      <c r="A639" s="106"/>
      <c r="B639" s="96">
        <v>286</v>
      </c>
      <c r="C639" s="96">
        <v>286</v>
      </c>
      <c r="D639" s="96" t="s">
        <v>1718</v>
      </c>
      <c r="E639" s="96">
        <v>511996803</v>
      </c>
      <c r="F639" s="96" t="s">
        <v>308</v>
      </c>
      <c r="G639" s="96" t="s">
        <v>1719</v>
      </c>
      <c r="H639" s="96" t="s">
        <v>1720</v>
      </c>
      <c r="I639" s="96" t="s">
        <v>320</v>
      </c>
      <c r="J639" s="96" t="s">
        <v>952</v>
      </c>
      <c r="K639" s="96" t="s">
        <v>203</v>
      </c>
      <c r="L639" s="96" t="s">
        <v>203</v>
      </c>
      <c r="M639" s="96" t="s">
        <v>324</v>
      </c>
      <c r="N639" s="96" t="s">
        <v>339</v>
      </c>
      <c r="O639" s="96" t="s">
        <v>446</v>
      </c>
      <c r="P639" s="96" t="s">
        <v>338</v>
      </c>
      <c r="Q639" s="96" t="s">
        <v>1309</v>
      </c>
      <c r="R639" s="96" t="s">
        <v>414</v>
      </c>
      <c r="S639" s="96" t="s">
        <v>406</v>
      </c>
      <c r="T639" s="96" t="s">
        <v>1200</v>
      </c>
      <c r="U639" s="97">
        <v>2.4900000000000002</v>
      </c>
      <c r="V639" s="100">
        <v>46752</v>
      </c>
      <c r="W639" s="98">
        <v>4.53E-2</v>
      </c>
      <c r="X639" s="98">
        <v>6.2600000000000003E-2</v>
      </c>
      <c r="Y639" s="96" t="s">
        <v>411</v>
      </c>
      <c r="Z639" s="96"/>
      <c r="AA639" s="97">
        <v>243746.600049</v>
      </c>
      <c r="AB639" s="97">
        <v>1</v>
      </c>
      <c r="AC639" s="97">
        <v>96.1</v>
      </c>
      <c r="AD639" s="97"/>
      <c r="AE639" s="97">
        <v>234.24048199999999</v>
      </c>
      <c r="AF639" s="96"/>
      <c r="AG639" s="96"/>
      <c r="AH639" s="96"/>
      <c r="AI639" s="98">
        <v>3.48E-4</v>
      </c>
      <c r="AJ639" s="98">
        <v>8.7699999999999996E-4</v>
      </c>
      <c r="AK639" s="98">
        <v>1.21E-4</v>
      </c>
      <c r="AL639" s="106"/>
    </row>
    <row r="640" spans="1:38" ht="15" customHeight="1">
      <c r="A640" s="106"/>
      <c r="B640" s="96">
        <v>286</v>
      </c>
      <c r="C640" s="96">
        <v>286</v>
      </c>
      <c r="D640" s="96" t="s">
        <v>1477</v>
      </c>
      <c r="E640" s="96">
        <v>520029935</v>
      </c>
      <c r="F640" s="96" t="s">
        <v>308</v>
      </c>
      <c r="G640" s="96" t="s">
        <v>1920</v>
      </c>
      <c r="H640" s="96" t="s">
        <v>1921</v>
      </c>
      <c r="I640" s="96" t="s">
        <v>320</v>
      </c>
      <c r="J640" s="96" t="s">
        <v>753</v>
      </c>
      <c r="K640" s="96" t="s">
        <v>203</v>
      </c>
      <c r="L640" s="96" t="s">
        <v>203</v>
      </c>
      <c r="M640" s="96" t="s">
        <v>324</v>
      </c>
      <c r="N640" s="96" t="s">
        <v>339</v>
      </c>
      <c r="O640" s="96" t="s">
        <v>447</v>
      </c>
      <c r="P640" s="96" t="s">
        <v>338</v>
      </c>
      <c r="Q640" s="96" t="s">
        <v>1305</v>
      </c>
      <c r="R640" s="96" t="s">
        <v>414</v>
      </c>
      <c r="S640" s="96" t="s">
        <v>406</v>
      </c>
      <c r="T640" s="96" t="s">
        <v>1200</v>
      </c>
      <c r="U640" s="97">
        <v>1.98</v>
      </c>
      <c r="V640" s="100">
        <v>46204</v>
      </c>
      <c r="W640" s="98">
        <v>2.4199999999999999E-2</v>
      </c>
      <c r="X640" s="98">
        <v>2.8000000000000001E-2</v>
      </c>
      <c r="Y640" s="96" t="s">
        <v>410</v>
      </c>
      <c r="Z640" s="96"/>
      <c r="AA640" s="97">
        <v>744706.18545899994</v>
      </c>
      <c r="AB640" s="97">
        <v>1</v>
      </c>
      <c r="AC640" s="97">
        <v>112.82</v>
      </c>
      <c r="AD640" s="97"/>
      <c r="AE640" s="97">
        <v>840.17751799999996</v>
      </c>
      <c r="AF640" s="96"/>
      <c r="AG640" s="96"/>
      <c r="AH640" s="96"/>
      <c r="AI640" s="98">
        <v>4.9100000000000001E-4</v>
      </c>
      <c r="AJ640" s="98">
        <v>3.1480000000000002E-3</v>
      </c>
      <c r="AK640" s="98">
        <v>4.37E-4</v>
      </c>
      <c r="AL640" s="106"/>
    </row>
    <row r="641" spans="1:38" ht="15" customHeight="1">
      <c r="A641" s="106"/>
      <c r="B641" s="96">
        <v>286</v>
      </c>
      <c r="C641" s="96">
        <v>286</v>
      </c>
      <c r="D641" s="96" t="s">
        <v>1600</v>
      </c>
      <c r="E641" s="96">
        <v>520043795</v>
      </c>
      <c r="F641" s="96" t="s">
        <v>308</v>
      </c>
      <c r="G641" s="96" t="s">
        <v>1601</v>
      </c>
      <c r="H641" s="96" t="s">
        <v>1602</v>
      </c>
      <c r="I641" s="96" t="s">
        <v>320</v>
      </c>
      <c r="J641" s="96" t="s">
        <v>952</v>
      </c>
      <c r="K641" s="96" t="s">
        <v>203</v>
      </c>
      <c r="L641" s="96" t="s">
        <v>203</v>
      </c>
      <c r="M641" s="96" t="s">
        <v>324</v>
      </c>
      <c r="N641" s="96" t="s">
        <v>339</v>
      </c>
      <c r="O641" s="96" t="s">
        <v>477</v>
      </c>
      <c r="P641" s="96" t="s">
        <v>338</v>
      </c>
      <c r="Q641" s="96" t="s">
        <v>1357</v>
      </c>
      <c r="R641" s="96" t="s">
        <v>414</v>
      </c>
      <c r="S641" s="96" t="s">
        <v>406</v>
      </c>
      <c r="T641" s="96" t="s">
        <v>1200</v>
      </c>
      <c r="U641" s="97">
        <v>3.36</v>
      </c>
      <c r="V641" s="100">
        <v>47462</v>
      </c>
      <c r="W641" s="98">
        <v>2.1100000000000001E-2</v>
      </c>
      <c r="X641" s="98">
        <v>5.5E-2</v>
      </c>
      <c r="Y641" s="96" t="s">
        <v>411</v>
      </c>
      <c r="Z641" s="96"/>
      <c r="AA641" s="97">
        <v>289619.34688799997</v>
      </c>
      <c r="AB641" s="97">
        <v>1</v>
      </c>
      <c r="AC641" s="97">
        <v>89.64</v>
      </c>
      <c r="AD641" s="97"/>
      <c r="AE641" s="97">
        <v>259.61478199999999</v>
      </c>
      <c r="AF641" s="96"/>
      <c r="AG641" s="96"/>
      <c r="AH641" s="96"/>
      <c r="AI641" s="98">
        <v>5.13E-4</v>
      </c>
      <c r="AJ641" s="98">
        <v>9.7199999999999999E-4</v>
      </c>
      <c r="AK641" s="98">
        <v>1.35E-4</v>
      </c>
      <c r="AL641" s="106"/>
    </row>
    <row r="642" spans="1:38" ht="15" customHeight="1">
      <c r="A642" s="106"/>
      <c r="B642" s="96">
        <v>286</v>
      </c>
      <c r="C642" s="96">
        <v>286</v>
      </c>
      <c r="D642" s="96" t="s">
        <v>1203</v>
      </c>
      <c r="E642" s="96">
        <v>520000118</v>
      </c>
      <c r="F642" s="96" t="s">
        <v>308</v>
      </c>
      <c r="G642" s="96" t="s">
        <v>1663</v>
      </c>
      <c r="H642" s="96" t="s">
        <v>1664</v>
      </c>
      <c r="I642" s="96" t="s">
        <v>320</v>
      </c>
      <c r="J642" s="96" t="s">
        <v>753</v>
      </c>
      <c r="K642" s="96" t="s">
        <v>203</v>
      </c>
      <c r="L642" s="96" t="s">
        <v>203</v>
      </c>
      <c r="M642" s="96" t="s">
        <v>324</v>
      </c>
      <c r="N642" s="96" t="s">
        <v>339</v>
      </c>
      <c r="O642" s="96" t="s">
        <v>447</v>
      </c>
      <c r="P642" s="96" t="s">
        <v>338</v>
      </c>
      <c r="Q642" s="96" t="s">
        <v>1211</v>
      </c>
      <c r="R642" s="96" t="s">
        <v>414</v>
      </c>
      <c r="S642" s="96" t="s">
        <v>406</v>
      </c>
      <c r="T642" s="96" t="s">
        <v>1200</v>
      </c>
      <c r="U642" s="97">
        <v>2.29</v>
      </c>
      <c r="V642" s="100">
        <v>46872</v>
      </c>
      <c r="W642" s="98">
        <v>6.0000000000000001E-3</v>
      </c>
      <c r="X642" s="98">
        <v>2.1600000000000001E-2</v>
      </c>
      <c r="Y642" s="96" t="s">
        <v>411</v>
      </c>
      <c r="Z642" s="96"/>
      <c r="AA642" s="97">
        <v>1165939.3113790001</v>
      </c>
      <c r="AB642" s="97">
        <v>1</v>
      </c>
      <c r="AC642" s="97">
        <v>110.68</v>
      </c>
      <c r="AD642" s="97"/>
      <c r="AE642" s="97">
        <v>1290.4616289999999</v>
      </c>
      <c r="AF642" s="96"/>
      <c r="AG642" s="96"/>
      <c r="AH642" s="96"/>
      <c r="AI642" s="98">
        <v>1.31E-3</v>
      </c>
      <c r="AJ642" s="98">
        <v>4.8349999999999999E-3</v>
      </c>
      <c r="AK642" s="98">
        <v>6.7199999999999996E-4</v>
      </c>
      <c r="AL642" s="106"/>
    </row>
    <row r="643" spans="1:38" ht="15" customHeight="1">
      <c r="A643" s="106"/>
      <c r="B643" s="96">
        <v>286</v>
      </c>
      <c r="C643" s="96">
        <v>286</v>
      </c>
      <c r="D643" s="96" t="s">
        <v>1565</v>
      </c>
      <c r="E643" s="96">
        <v>520033234</v>
      </c>
      <c r="F643" s="96" t="s">
        <v>308</v>
      </c>
      <c r="G643" s="96" t="s">
        <v>1825</v>
      </c>
      <c r="H643" s="96" t="s">
        <v>1619</v>
      </c>
      <c r="I643" s="96" t="s">
        <v>320</v>
      </c>
      <c r="J643" s="96" t="s">
        <v>753</v>
      </c>
      <c r="K643" s="96" t="s">
        <v>203</v>
      </c>
      <c r="L643" s="96" t="s">
        <v>203</v>
      </c>
      <c r="M643" s="96" t="s">
        <v>326</v>
      </c>
      <c r="N643" s="96" t="s">
        <v>339</v>
      </c>
      <c r="O643" s="96" t="s">
        <v>464</v>
      </c>
      <c r="P643" s="96" t="s">
        <v>337</v>
      </c>
      <c r="Q643" s="96" t="s">
        <v>1520</v>
      </c>
      <c r="R643" s="96" t="s">
        <v>414</v>
      </c>
      <c r="S643" s="96" t="s">
        <v>406</v>
      </c>
      <c r="T643" s="96" t="s">
        <v>1200</v>
      </c>
      <c r="U643" s="97">
        <v>2.85</v>
      </c>
      <c r="V643" s="100">
        <v>46843</v>
      </c>
      <c r="W643" s="98">
        <v>1.3299999999999999E-2</v>
      </c>
      <c r="X643" s="98">
        <v>3.7100000000000001E-2</v>
      </c>
      <c r="Y643" s="96" t="s">
        <v>411</v>
      </c>
      <c r="Z643" s="96"/>
      <c r="AA643" s="97">
        <v>23019.319318000002</v>
      </c>
      <c r="AB643" s="97">
        <v>1</v>
      </c>
      <c r="AC643" s="97">
        <v>106.7037</v>
      </c>
      <c r="AD643" s="97"/>
      <c r="AE643" s="97">
        <v>24.562460000000002</v>
      </c>
      <c r="AF643" s="96"/>
      <c r="AG643" s="96"/>
      <c r="AH643" s="96"/>
      <c r="AI643" s="98">
        <v>6.2000000000000003E-5</v>
      </c>
      <c r="AJ643" s="98">
        <v>9.2E-5</v>
      </c>
      <c r="AK643" s="98">
        <v>1.2E-5</v>
      </c>
      <c r="AL643" s="106"/>
    </row>
    <row r="644" spans="1:38" ht="15" customHeight="1">
      <c r="A644" s="106"/>
      <c r="B644" s="96">
        <v>286</v>
      </c>
      <c r="C644" s="96">
        <v>286</v>
      </c>
      <c r="D644" s="96" t="s">
        <v>1484</v>
      </c>
      <c r="E644" s="96">
        <v>520036617</v>
      </c>
      <c r="F644" s="96" t="s">
        <v>308</v>
      </c>
      <c r="G644" s="96" t="s">
        <v>1810</v>
      </c>
      <c r="H644" s="96" t="s">
        <v>1811</v>
      </c>
      <c r="I644" s="96" t="s">
        <v>320</v>
      </c>
      <c r="J644" s="96" t="s">
        <v>753</v>
      </c>
      <c r="K644" s="96" t="s">
        <v>203</v>
      </c>
      <c r="L644" s="96" t="s">
        <v>203</v>
      </c>
      <c r="M644" s="96" t="s">
        <v>324</v>
      </c>
      <c r="N644" s="96" t="s">
        <v>339</v>
      </c>
      <c r="O644" s="96" t="s">
        <v>463</v>
      </c>
      <c r="P644" s="96" t="s">
        <v>338</v>
      </c>
      <c r="Q644" s="96" t="s">
        <v>1320</v>
      </c>
      <c r="R644" s="96" t="s">
        <v>412</v>
      </c>
      <c r="S644" s="96" t="s">
        <v>406</v>
      </c>
      <c r="T644" s="96" t="s">
        <v>1200</v>
      </c>
      <c r="U644" s="97">
        <v>3.68</v>
      </c>
      <c r="V644" s="100">
        <v>47056</v>
      </c>
      <c r="W644" s="98">
        <v>1.83E-2</v>
      </c>
      <c r="X644" s="98">
        <v>3.1600000000000003E-2</v>
      </c>
      <c r="Y644" s="96" t="s">
        <v>411</v>
      </c>
      <c r="Z644" s="96"/>
      <c r="AA644" s="97">
        <v>32181.014529</v>
      </c>
      <c r="AB644" s="97">
        <v>1</v>
      </c>
      <c r="AC644" s="97">
        <v>108.49</v>
      </c>
      <c r="AD644" s="97"/>
      <c r="AE644" s="97">
        <v>34.913181999999999</v>
      </c>
      <c r="AF644" s="96"/>
      <c r="AG644" s="96"/>
      <c r="AH644" s="96"/>
      <c r="AI644" s="98">
        <v>1.65E-4</v>
      </c>
      <c r="AJ644" s="98">
        <v>1.2999999999999999E-4</v>
      </c>
      <c r="AK644" s="98">
        <v>1.8E-5</v>
      </c>
      <c r="AL644" s="106"/>
    </row>
    <row r="645" spans="1:38" ht="15" customHeight="1">
      <c r="A645" s="106"/>
      <c r="B645" s="96">
        <v>286</v>
      </c>
      <c r="C645" s="96">
        <v>286</v>
      </c>
      <c r="D645" s="96" t="s">
        <v>1551</v>
      </c>
      <c r="E645" s="96">
        <v>511659401</v>
      </c>
      <c r="F645" s="96" t="s">
        <v>308</v>
      </c>
      <c r="G645" s="96" t="s">
        <v>2033</v>
      </c>
      <c r="H645" s="96" t="s">
        <v>2034</v>
      </c>
      <c r="I645" s="96" t="s">
        <v>320</v>
      </c>
      <c r="J645" s="96" t="s">
        <v>753</v>
      </c>
      <c r="K645" s="96" t="s">
        <v>203</v>
      </c>
      <c r="L645" s="96" t="s">
        <v>203</v>
      </c>
      <c r="M645" s="96" t="s">
        <v>324</v>
      </c>
      <c r="N645" s="96" t="s">
        <v>339</v>
      </c>
      <c r="O645" s="96" t="s">
        <v>463</v>
      </c>
      <c r="P645" s="96" t="s">
        <v>338</v>
      </c>
      <c r="Q645" s="96" t="s">
        <v>1313</v>
      </c>
      <c r="R645" s="96" t="s">
        <v>412</v>
      </c>
      <c r="S645" s="96" t="s">
        <v>406</v>
      </c>
      <c r="T645" s="96" t="s">
        <v>1200</v>
      </c>
      <c r="U645" s="97">
        <v>8.1999999999999993</v>
      </c>
      <c r="V645" s="100">
        <v>50890</v>
      </c>
      <c r="W645" s="98">
        <v>2.64E-2</v>
      </c>
      <c r="X645" s="98">
        <v>3.4000000000000002E-2</v>
      </c>
      <c r="Y645" s="96" t="s">
        <v>411</v>
      </c>
      <c r="Z645" s="96"/>
      <c r="AA645" s="97">
        <v>623625.14044800005</v>
      </c>
      <c r="AB645" s="97">
        <v>1</v>
      </c>
      <c r="AC645" s="97">
        <v>98.16</v>
      </c>
      <c r="AD645" s="97"/>
      <c r="AE645" s="97">
        <v>612.15043700000001</v>
      </c>
      <c r="AF645" s="96"/>
      <c r="AG645" s="96"/>
      <c r="AH645" s="96"/>
      <c r="AI645" s="98">
        <v>2.078E-3</v>
      </c>
      <c r="AJ645" s="98">
        <v>2.2929999999999999E-3</v>
      </c>
      <c r="AK645" s="98">
        <v>3.1799999999999998E-4</v>
      </c>
      <c r="AL645" s="106"/>
    </row>
    <row r="646" spans="1:38" ht="15" customHeight="1">
      <c r="A646" s="106"/>
      <c r="B646" s="96">
        <v>286</v>
      </c>
      <c r="C646" s="96">
        <v>286</v>
      </c>
      <c r="D646" s="96" t="s">
        <v>1645</v>
      </c>
      <c r="E646" s="96">
        <v>1630</v>
      </c>
      <c r="F646" s="96" t="s">
        <v>80</v>
      </c>
      <c r="G646" s="96" t="s">
        <v>1656</v>
      </c>
      <c r="H646" s="96" t="s">
        <v>1657</v>
      </c>
      <c r="I646" s="96" t="s">
        <v>320</v>
      </c>
      <c r="J646" s="96" t="s">
        <v>952</v>
      </c>
      <c r="K646" s="96" t="s">
        <v>203</v>
      </c>
      <c r="L646" s="96" t="s">
        <v>203</v>
      </c>
      <c r="M646" s="96" t="s">
        <v>324</v>
      </c>
      <c r="N646" s="96" t="s">
        <v>339</v>
      </c>
      <c r="O646" s="96" t="s">
        <v>464</v>
      </c>
      <c r="P646" s="96" t="s">
        <v>338</v>
      </c>
      <c r="Q646" s="96" t="s">
        <v>1313</v>
      </c>
      <c r="R646" s="96" t="s">
        <v>412</v>
      </c>
      <c r="S646" s="96" t="s">
        <v>406</v>
      </c>
      <c r="T646" s="96" t="s">
        <v>1200</v>
      </c>
      <c r="U646" s="97">
        <v>3.2</v>
      </c>
      <c r="V646" s="100">
        <v>46798</v>
      </c>
      <c r="W646" s="98">
        <v>5.8999999999999997E-2</v>
      </c>
      <c r="X646" s="98">
        <v>6.4399999999999999E-2</v>
      </c>
      <c r="Y646" s="96" t="s">
        <v>411</v>
      </c>
      <c r="Z646" s="96"/>
      <c r="AA646" s="97">
        <v>781262.30496900005</v>
      </c>
      <c r="AB646" s="97">
        <v>1</v>
      </c>
      <c r="AC646" s="97">
        <v>100.64</v>
      </c>
      <c r="AD646" s="97"/>
      <c r="AE646" s="97">
        <v>786.262383</v>
      </c>
      <c r="AF646" s="96"/>
      <c r="AG646" s="96"/>
      <c r="AH646" s="96"/>
      <c r="AI646" s="98">
        <v>1.201E-3</v>
      </c>
      <c r="AJ646" s="98">
        <v>2.9459999999999998E-3</v>
      </c>
      <c r="AK646" s="98">
        <v>4.0900000000000002E-4</v>
      </c>
      <c r="AL646" s="106"/>
    </row>
    <row r="647" spans="1:38" ht="15" customHeight="1">
      <c r="A647" s="106"/>
      <c r="B647" s="96">
        <v>286</v>
      </c>
      <c r="C647" s="96">
        <v>286</v>
      </c>
      <c r="D647" s="96" t="s">
        <v>1382</v>
      </c>
      <c r="E647" s="96">
        <v>520036690</v>
      </c>
      <c r="F647" s="96" t="s">
        <v>308</v>
      </c>
      <c r="G647" s="96" t="s">
        <v>1383</v>
      </c>
      <c r="H647" s="96" t="s">
        <v>1384</v>
      </c>
      <c r="I647" s="96" t="s">
        <v>320</v>
      </c>
      <c r="J647" s="96" t="s">
        <v>952</v>
      </c>
      <c r="K647" s="96" t="s">
        <v>203</v>
      </c>
      <c r="L647" s="96" t="s">
        <v>203</v>
      </c>
      <c r="M647" s="96" t="s">
        <v>324</v>
      </c>
      <c r="N647" s="96" t="s">
        <v>339</v>
      </c>
      <c r="O647" s="96" t="s">
        <v>475</v>
      </c>
      <c r="P647" s="96" t="s">
        <v>337</v>
      </c>
      <c r="Q647" s="96" t="s">
        <v>1305</v>
      </c>
      <c r="R647" s="96" t="s">
        <v>414</v>
      </c>
      <c r="S647" s="96" t="s">
        <v>406</v>
      </c>
      <c r="T647" s="96" t="s">
        <v>1200</v>
      </c>
      <c r="U647" s="97">
        <v>1.58</v>
      </c>
      <c r="V647" s="100">
        <v>46357</v>
      </c>
      <c r="W647" s="98">
        <v>2.29E-2</v>
      </c>
      <c r="X647" s="98">
        <v>4.9099999999999998E-2</v>
      </c>
      <c r="Y647" s="96" t="s">
        <v>411</v>
      </c>
      <c r="Z647" s="96"/>
      <c r="AA647" s="97">
        <v>170420.897001</v>
      </c>
      <c r="AB647" s="97">
        <v>1</v>
      </c>
      <c r="AC647" s="97">
        <v>96.26</v>
      </c>
      <c r="AD647" s="97"/>
      <c r="AE647" s="97">
        <v>164.047155</v>
      </c>
      <c r="AF647" s="96"/>
      <c r="AG647" s="96"/>
      <c r="AH647" s="96"/>
      <c r="AI647" s="98">
        <v>4.1300000000000001E-4</v>
      </c>
      <c r="AJ647" s="98">
        <v>6.1399999999999996E-4</v>
      </c>
      <c r="AK647" s="98">
        <v>8.5000000000000006E-5</v>
      </c>
      <c r="AL647" s="106"/>
    </row>
    <row r="648" spans="1:38" ht="15" customHeight="1">
      <c r="A648" s="106"/>
      <c r="B648" s="96">
        <v>286</v>
      </c>
      <c r="C648" s="96">
        <v>286</v>
      </c>
      <c r="D648" s="96" t="s">
        <v>1517</v>
      </c>
      <c r="E648" s="96">
        <v>510560188</v>
      </c>
      <c r="F648" s="96" t="s">
        <v>308</v>
      </c>
      <c r="G648" s="96" t="s">
        <v>1985</v>
      </c>
      <c r="H648" s="96" t="s">
        <v>1986</v>
      </c>
      <c r="I648" s="96" t="s">
        <v>320</v>
      </c>
      <c r="J648" s="96" t="s">
        <v>753</v>
      </c>
      <c r="K648" s="96" t="s">
        <v>203</v>
      </c>
      <c r="L648" s="96" t="s">
        <v>203</v>
      </c>
      <c r="M648" s="96" t="s">
        <v>324</v>
      </c>
      <c r="N648" s="96" t="s">
        <v>339</v>
      </c>
      <c r="O648" s="96" t="s">
        <v>464</v>
      </c>
      <c r="P648" s="96" t="s">
        <v>338</v>
      </c>
      <c r="Q648" s="96" t="s">
        <v>1520</v>
      </c>
      <c r="R648" s="96" t="s">
        <v>414</v>
      </c>
      <c r="S648" s="96" t="s">
        <v>406</v>
      </c>
      <c r="T648" s="96" t="s">
        <v>1200</v>
      </c>
      <c r="U648" s="97">
        <v>4.3899999999999997</v>
      </c>
      <c r="V648" s="100">
        <v>47299</v>
      </c>
      <c r="W648" s="98">
        <v>1.09E-2</v>
      </c>
      <c r="X648" s="98">
        <v>3.7699999999999997E-2</v>
      </c>
      <c r="Y648" s="96" t="s">
        <v>411</v>
      </c>
      <c r="Z648" s="96"/>
      <c r="AA648" s="97">
        <v>392551.378868</v>
      </c>
      <c r="AB648" s="97">
        <v>1</v>
      </c>
      <c r="AC648" s="97">
        <v>99.8</v>
      </c>
      <c r="AD648" s="97"/>
      <c r="AE648" s="97">
        <v>391.766276</v>
      </c>
      <c r="AF648" s="96"/>
      <c r="AG648" s="96"/>
      <c r="AH648" s="96"/>
      <c r="AI648" s="98">
        <v>5.5099999999999995E-4</v>
      </c>
      <c r="AJ648" s="98">
        <v>1.467E-3</v>
      </c>
      <c r="AK648" s="98">
        <v>2.04E-4</v>
      </c>
      <c r="AL648" s="106"/>
    </row>
    <row r="649" spans="1:38" ht="15" customHeight="1">
      <c r="A649" s="106"/>
      <c r="B649" s="96">
        <v>286</v>
      </c>
      <c r="C649" s="96">
        <v>286</v>
      </c>
      <c r="D649" s="96" t="s">
        <v>1399</v>
      </c>
      <c r="E649" s="96">
        <v>520032046</v>
      </c>
      <c r="F649" s="96" t="s">
        <v>308</v>
      </c>
      <c r="G649" s="96" t="s">
        <v>1536</v>
      </c>
      <c r="H649" s="96" t="s">
        <v>1537</v>
      </c>
      <c r="I649" s="96" t="s">
        <v>320</v>
      </c>
      <c r="J649" s="96" t="s">
        <v>753</v>
      </c>
      <c r="K649" s="96" t="s">
        <v>203</v>
      </c>
      <c r="L649" s="96" t="s">
        <v>203</v>
      </c>
      <c r="M649" s="96" t="s">
        <v>324</v>
      </c>
      <c r="N649" s="96" t="s">
        <v>339</v>
      </c>
      <c r="O649" s="96" t="s">
        <v>447</v>
      </c>
      <c r="P649" s="96" t="s">
        <v>338</v>
      </c>
      <c r="Q649" s="96" t="s">
        <v>1305</v>
      </c>
      <c r="R649" s="96" t="s">
        <v>414</v>
      </c>
      <c r="S649" s="96" t="s">
        <v>406</v>
      </c>
      <c r="T649" s="96" t="s">
        <v>1200</v>
      </c>
      <c r="U649" s="97">
        <v>1.96</v>
      </c>
      <c r="V649" s="100">
        <v>46197</v>
      </c>
      <c r="W649" s="98">
        <v>1.89E-2</v>
      </c>
      <c r="X649" s="98">
        <v>2.81E-2</v>
      </c>
      <c r="Y649" s="96" t="s">
        <v>410</v>
      </c>
      <c r="Z649" s="96"/>
      <c r="AA649" s="97">
        <v>55197.901437</v>
      </c>
      <c r="AB649" s="97">
        <v>1</v>
      </c>
      <c r="AC649" s="97">
        <v>111.58</v>
      </c>
      <c r="AD649" s="97"/>
      <c r="AE649" s="97">
        <v>61.589818000000001</v>
      </c>
      <c r="AF649" s="96"/>
      <c r="AG649" s="96"/>
      <c r="AH649" s="96"/>
      <c r="AI649" s="98">
        <v>1.37E-4</v>
      </c>
      <c r="AJ649" s="98">
        <v>2.3000000000000001E-4</v>
      </c>
      <c r="AK649" s="98">
        <v>3.1999999999999999E-5</v>
      </c>
      <c r="AL649" s="106"/>
    </row>
    <row r="650" spans="1:38" ht="15" customHeight="1">
      <c r="A650" s="106"/>
      <c r="B650" s="96">
        <v>286</v>
      </c>
      <c r="C650" s="96">
        <v>286</v>
      </c>
      <c r="D650" s="96" t="s">
        <v>1590</v>
      </c>
      <c r="E650" s="96">
        <v>1154</v>
      </c>
      <c r="F650" s="96" t="s">
        <v>80</v>
      </c>
      <c r="G650" s="96" t="s">
        <v>1591</v>
      </c>
      <c r="H650" s="96" t="s">
        <v>1592</v>
      </c>
      <c r="I650" s="96" t="s">
        <v>320</v>
      </c>
      <c r="J650" s="96" t="s">
        <v>753</v>
      </c>
      <c r="K650" s="96" t="s">
        <v>203</v>
      </c>
      <c r="L650" s="96" t="s">
        <v>203</v>
      </c>
      <c r="M650" s="96" t="s">
        <v>324</v>
      </c>
      <c r="N650" s="96" t="s">
        <v>339</v>
      </c>
      <c r="O650" s="96" t="s">
        <v>450</v>
      </c>
      <c r="P650" s="96" t="s">
        <v>338</v>
      </c>
      <c r="Q650" s="96" t="s">
        <v>409</v>
      </c>
      <c r="R650" s="96" t="s">
        <v>409</v>
      </c>
      <c r="S650" s="96" t="s">
        <v>409</v>
      </c>
      <c r="T650" s="96" t="s">
        <v>1200</v>
      </c>
      <c r="U650" s="97">
        <v>1.45</v>
      </c>
      <c r="V650" s="100">
        <v>45657</v>
      </c>
      <c r="W650" s="98">
        <v>6.8000000000000005E-2</v>
      </c>
      <c r="X650" s="98">
        <v>9.99</v>
      </c>
      <c r="Y650" s="96" t="s">
        <v>411</v>
      </c>
      <c r="Z650" s="96"/>
      <c r="AA650" s="97">
        <v>28062.990132999999</v>
      </c>
      <c r="AB650" s="97">
        <v>1</v>
      </c>
      <c r="AC650" s="97">
        <v>24.03</v>
      </c>
      <c r="AD650" s="97"/>
      <c r="AE650" s="97">
        <v>6.7435359999999998</v>
      </c>
      <c r="AF650" s="96"/>
      <c r="AG650" s="96"/>
      <c r="AH650" s="96"/>
      <c r="AI650" s="98">
        <v>6.0999999999999999E-5</v>
      </c>
      <c r="AJ650" s="98">
        <v>2.5000000000000001E-5</v>
      </c>
      <c r="AK650" s="98">
        <v>3.0000000000000001E-6</v>
      </c>
      <c r="AL650" s="106"/>
    </row>
    <row r="651" spans="1:38" ht="15" customHeight="1">
      <c r="A651" s="106"/>
      <c r="B651" s="96">
        <v>286</v>
      </c>
      <c r="C651" s="96">
        <v>286</v>
      </c>
      <c r="D651" s="96" t="s">
        <v>1517</v>
      </c>
      <c r="E651" s="96">
        <v>510560188</v>
      </c>
      <c r="F651" s="96" t="s">
        <v>308</v>
      </c>
      <c r="G651" s="96" t="s">
        <v>1532</v>
      </c>
      <c r="H651" s="96" t="s">
        <v>1533</v>
      </c>
      <c r="I651" s="96" t="s">
        <v>320</v>
      </c>
      <c r="J651" s="96" t="s">
        <v>753</v>
      </c>
      <c r="K651" s="96" t="s">
        <v>203</v>
      </c>
      <c r="L651" s="96" t="s">
        <v>203</v>
      </c>
      <c r="M651" s="96" t="s">
        <v>324</v>
      </c>
      <c r="N651" s="96" t="s">
        <v>339</v>
      </c>
      <c r="O651" s="96" t="s">
        <v>464</v>
      </c>
      <c r="P651" s="96" t="s">
        <v>338</v>
      </c>
      <c r="Q651" s="96" t="s">
        <v>1520</v>
      </c>
      <c r="R651" s="96" t="s">
        <v>414</v>
      </c>
      <c r="S651" s="96" t="s">
        <v>406</v>
      </c>
      <c r="T651" s="96" t="s">
        <v>1200</v>
      </c>
      <c r="U651" s="97">
        <v>5.36</v>
      </c>
      <c r="V651" s="100">
        <v>47937</v>
      </c>
      <c r="W651" s="98">
        <v>1.54E-2</v>
      </c>
      <c r="X651" s="98">
        <v>4.02E-2</v>
      </c>
      <c r="Y651" s="96" t="s">
        <v>411</v>
      </c>
      <c r="Z651" s="96"/>
      <c r="AA651" s="97">
        <v>54350.183210000003</v>
      </c>
      <c r="AB651" s="97">
        <v>1</v>
      </c>
      <c r="AC651" s="97">
        <v>97.3</v>
      </c>
      <c r="AD651" s="97"/>
      <c r="AE651" s="97">
        <v>52.882728</v>
      </c>
      <c r="AF651" s="96"/>
      <c r="AG651" s="96"/>
      <c r="AH651" s="96"/>
      <c r="AI651" s="98">
        <v>9.1000000000000003E-5</v>
      </c>
      <c r="AJ651" s="98">
        <v>1.9799999999999999E-4</v>
      </c>
      <c r="AK651" s="98">
        <v>2.6999999999999999E-5</v>
      </c>
      <c r="AL651" s="106"/>
    </row>
    <row r="652" spans="1:38" ht="15" customHeight="1">
      <c r="A652" s="106"/>
      <c r="B652" s="96">
        <v>286</v>
      </c>
      <c r="C652" s="96">
        <v>286</v>
      </c>
      <c r="D652" s="96" t="s">
        <v>1484</v>
      </c>
      <c r="E652" s="96">
        <v>520036617</v>
      </c>
      <c r="F652" s="96" t="s">
        <v>308</v>
      </c>
      <c r="G652" s="96" t="s">
        <v>2061</v>
      </c>
      <c r="H652" s="96" t="s">
        <v>2062</v>
      </c>
      <c r="I652" s="96" t="s">
        <v>320</v>
      </c>
      <c r="J652" s="96" t="s">
        <v>952</v>
      </c>
      <c r="K652" s="96" t="s">
        <v>203</v>
      </c>
      <c r="L652" s="96" t="s">
        <v>203</v>
      </c>
      <c r="M652" s="96" t="s">
        <v>324</v>
      </c>
      <c r="N652" s="96" t="s">
        <v>339</v>
      </c>
      <c r="O652" s="96" t="s">
        <v>463</v>
      </c>
      <c r="P652" s="96" t="s">
        <v>338</v>
      </c>
      <c r="Q652" s="96" t="s">
        <v>1328</v>
      </c>
      <c r="R652" s="96" t="s">
        <v>412</v>
      </c>
      <c r="S652" s="96" t="s">
        <v>406</v>
      </c>
      <c r="T652" s="96" t="s">
        <v>1200</v>
      </c>
      <c r="U652" s="97">
        <v>2.4900000000000002</v>
      </c>
      <c r="V652" s="100">
        <v>47392</v>
      </c>
      <c r="W652" s="98">
        <v>5.2999999999999999E-2</v>
      </c>
      <c r="X652" s="98">
        <v>5.7200000000000001E-2</v>
      </c>
      <c r="Y652" s="96" t="s">
        <v>411</v>
      </c>
      <c r="Z652" s="96"/>
      <c r="AA652" s="97">
        <v>64616.226068000004</v>
      </c>
      <c r="AB652" s="97">
        <v>1</v>
      </c>
      <c r="AC652" s="97">
        <v>100.33</v>
      </c>
      <c r="AD652" s="97"/>
      <c r="AE652" s="97">
        <v>64.829459</v>
      </c>
      <c r="AF652" s="96"/>
      <c r="AG652" s="96"/>
      <c r="AH652" s="96"/>
      <c r="AI652" s="98">
        <v>1.4200000000000001E-4</v>
      </c>
      <c r="AJ652" s="98">
        <v>2.42E-4</v>
      </c>
      <c r="AK652" s="98">
        <v>3.3000000000000003E-5</v>
      </c>
      <c r="AL652" s="106"/>
    </row>
    <row r="653" spans="1:38" ht="15" customHeight="1">
      <c r="A653" s="106"/>
      <c r="B653" s="96">
        <v>286</v>
      </c>
      <c r="C653" s="96">
        <v>286</v>
      </c>
      <c r="D653" s="96" t="s">
        <v>1203</v>
      </c>
      <c r="E653" s="96">
        <v>520000118</v>
      </c>
      <c r="F653" s="96" t="s">
        <v>308</v>
      </c>
      <c r="G653" s="96" t="s">
        <v>2015</v>
      </c>
      <c r="H653" s="96" t="s">
        <v>2016</v>
      </c>
      <c r="I653" s="96" t="s">
        <v>320</v>
      </c>
      <c r="J653" s="96" t="s">
        <v>753</v>
      </c>
      <c r="K653" s="96" t="s">
        <v>203</v>
      </c>
      <c r="L653" s="96" t="s">
        <v>203</v>
      </c>
      <c r="M653" s="96" t="s">
        <v>324</v>
      </c>
      <c r="N653" s="96" t="s">
        <v>339</v>
      </c>
      <c r="O653" s="96" t="s">
        <v>447</v>
      </c>
      <c r="P653" s="96" t="s">
        <v>338</v>
      </c>
      <c r="Q653" s="96" t="s">
        <v>1332</v>
      </c>
      <c r="R653" s="96" t="s">
        <v>412</v>
      </c>
      <c r="S653" s="96" t="s">
        <v>406</v>
      </c>
      <c r="T653" s="96" t="s">
        <v>1200</v>
      </c>
      <c r="U653" s="97">
        <v>0.76</v>
      </c>
      <c r="V653" s="100">
        <v>45750</v>
      </c>
      <c r="W653" s="98">
        <v>2.0199999999999999E-2</v>
      </c>
      <c r="X653" s="98">
        <v>3.5499999999999997E-2</v>
      </c>
      <c r="Y653" s="96" t="s">
        <v>410</v>
      </c>
      <c r="Z653" s="96"/>
      <c r="AA653" s="97">
        <v>1448939.1665399999</v>
      </c>
      <c r="AB653" s="97">
        <v>1</v>
      </c>
      <c r="AC653" s="97">
        <v>112.81</v>
      </c>
      <c r="AD653" s="97"/>
      <c r="AE653" s="97">
        <v>1634.5482730000001</v>
      </c>
      <c r="AF653" s="96"/>
      <c r="AG653" s="96"/>
      <c r="AH653" s="96"/>
      <c r="AI653" s="98">
        <v>1.3760000000000001E-3</v>
      </c>
      <c r="AJ653" s="98">
        <v>6.1240000000000001E-3</v>
      </c>
      <c r="AK653" s="98">
        <v>8.5099999999999998E-4</v>
      </c>
      <c r="AL653" s="106"/>
    </row>
    <row r="654" spans="1:38" ht="15" customHeight="1">
      <c r="A654" s="106"/>
      <c r="B654" s="96">
        <v>286</v>
      </c>
      <c r="C654" s="96">
        <v>286</v>
      </c>
      <c r="D654" s="96" t="s">
        <v>1325</v>
      </c>
      <c r="E654" s="96">
        <v>510488190</v>
      </c>
      <c r="F654" s="96" t="s">
        <v>308</v>
      </c>
      <c r="G654" s="96" t="s">
        <v>1326</v>
      </c>
      <c r="H654" s="96" t="s">
        <v>1327</v>
      </c>
      <c r="I654" s="96" t="s">
        <v>320</v>
      </c>
      <c r="J654" s="96" t="s">
        <v>952</v>
      </c>
      <c r="K654" s="96" t="s">
        <v>203</v>
      </c>
      <c r="L654" s="96" t="s">
        <v>203</v>
      </c>
      <c r="M654" s="96" t="s">
        <v>324</v>
      </c>
      <c r="N654" s="96" t="s">
        <v>339</v>
      </c>
      <c r="O654" s="96" t="s">
        <v>446</v>
      </c>
      <c r="P654" s="96" t="s">
        <v>338</v>
      </c>
      <c r="Q654" s="96" t="s">
        <v>1328</v>
      </c>
      <c r="R654" s="96" t="s">
        <v>412</v>
      </c>
      <c r="S654" s="96" t="s">
        <v>406</v>
      </c>
      <c r="T654" s="96" t="s">
        <v>1200</v>
      </c>
      <c r="U654" s="97">
        <v>3.09</v>
      </c>
      <c r="V654" s="100">
        <v>47452</v>
      </c>
      <c r="W654" s="98">
        <v>5.3400000000000003E-2</v>
      </c>
      <c r="X654" s="98">
        <v>6.3500000000000001E-2</v>
      </c>
      <c r="Y654" s="96" t="s">
        <v>411</v>
      </c>
      <c r="Z654" s="96"/>
      <c r="AA654" s="97">
        <v>754308.07297400001</v>
      </c>
      <c r="AB654" s="97">
        <v>1</v>
      </c>
      <c r="AC654" s="97">
        <v>97.71</v>
      </c>
      <c r="AD654" s="97"/>
      <c r="AE654" s="97">
        <v>737.03441799999996</v>
      </c>
      <c r="AF654" s="96"/>
      <c r="AG654" s="96"/>
      <c r="AH654" s="96"/>
      <c r="AI654" s="98">
        <v>1.0820000000000001E-3</v>
      </c>
      <c r="AJ654" s="98">
        <v>2.761E-3</v>
      </c>
      <c r="AK654" s="98">
        <v>3.8299999999999999E-4</v>
      </c>
      <c r="AL654" s="106"/>
    </row>
    <row r="655" spans="1:38" ht="15" customHeight="1">
      <c r="A655" s="106"/>
      <c r="B655" s="96">
        <v>286</v>
      </c>
      <c r="C655" s="96">
        <v>286</v>
      </c>
      <c r="D655" s="96" t="s">
        <v>1411</v>
      </c>
      <c r="E655" s="96">
        <v>512025891</v>
      </c>
      <c r="F655" s="96" t="s">
        <v>308</v>
      </c>
      <c r="G655" s="96" t="s">
        <v>1556</v>
      </c>
      <c r="H655" s="96" t="s">
        <v>1557</v>
      </c>
      <c r="I655" s="96" t="s">
        <v>320</v>
      </c>
      <c r="J655" s="96" t="s">
        <v>753</v>
      </c>
      <c r="K655" s="96" t="s">
        <v>203</v>
      </c>
      <c r="L655" s="96" t="s">
        <v>203</v>
      </c>
      <c r="M655" s="96" t="s">
        <v>324</v>
      </c>
      <c r="N655" s="96" t="s">
        <v>339</v>
      </c>
      <c r="O655" s="96" t="s">
        <v>476</v>
      </c>
      <c r="P655" s="96" t="s">
        <v>338</v>
      </c>
      <c r="Q655" s="96" t="s">
        <v>1320</v>
      </c>
      <c r="R655" s="96" t="s">
        <v>412</v>
      </c>
      <c r="S655" s="96" t="s">
        <v>406</v>
      </c>
      <c r="T655" s="96" t="s">
        <v>1200</v>
      </c>
      <c r="U655" s="97">
        <v>1.28</v>
      </c>
      <c r="V655" s="100">
        <v>46407</v>
      </c>
      <c r="W655" s="98">
        <v>1.8499999999999999E-2</v>
      </c>
      <c r="X655" s="98">
        <v>2.9600000000000001E-2</v>
      </c>
      <c r="Y655" s="96" t="s">
        <v>411</v>
      </c>
      <c r="Z655" s="96"/>
      <c r="AA655" s="97">
        <v>414880.642827</v>
      </c>
      <c r="AB655" s="97">
        <v>1</v>
      </c>
      <c r="AC655" s="97">
        <v>110.73</v>
      </c>
      <c r="AD655" s="97"/>
      <c r="AE655" s="97">
        <v>459.397335</v>
      </c>
      <c r="AF655" s="96"/>
      <c r="AG655" s="96"/>
      <c r="AH655" s="96"/>
      <c r="AI655" s="98">
        <v>6.8099999999999996E-4</v>
      </c>
      <c r="AJ655" s="98">
        <v>1.7210000000000001E-3</v>
      </c>
      <c r="AK655" s="98">
        <v>2.3900000000000001E-4</v>
      </c>
      <c r="AL655" s="106"/>
    </row>
    <row r="656" spans="1:38" ht="15" customHeight="1">
      <c r="A656" s="106"/>
      <c r="B656" s="96">
        <v>286</v>
      </c>
      <c r="C656" s="96">
        <v>286</v>
      </c>
      <c r="D656" s="96" t="s">
        <v>1760</v>
      </c>
      <c r="E656" s="96">
        <v>520038894</v>
      </c>
      <c r="F656" s="96" t="s">
        <v>308</v>
      </c>
      <c r="G656" s="96" t="s">
        <v>1767</v>
      </c>
      <c r="H656" s="96" t="s">
        <v>1768</v>
      </c>
      <c r="I656" s="96" t="s">
        <v>320</v>
      </c>
      <c r="J656" s="96" t="s">
        <v>753</v>
      </c>
      <c r="K656" s="96" t="s">
        <v>203</v>
      </c>
      <c r="L656" s="96" t="s">
        <v>203</v>
      </c>
      <c r="M656" s="96" t="s">
        <v>324</v>
      </c>
      <c r="N656" s="96" t="s">
        <v>339</v>
      </c>
      <c r="O656" s="96" t="s">
        <v>464</v>
      </c>
      <c r="P656" s="96" t="s">
        <v>338</v>
      </c>
      <c r="Q656" s="96" t="s">
        <v>1332</v>
      </c>
      <c r="R656" s="96" t="s">
        <v>412</v>
      </c>
      <c r="S656" s="96" t="s">
        <v>406</v>
      </c>
      <c r="T656" s="96" t="s">
        <v>1200</v>
      </c>
      <c r="U656" s="97">
        <v>1.95</v>
      </c>
      <c r="V656" s="100">
        <v>46752</v>
      </c>
      <c r="W656" s="98">
        <v>1.4999999999999999E-2</v>
      </c>
      <c r="X656" s="98">
        <v>2.9600000000000001E-2</v>
      </c>
      <c r="Y656" s="96" t="s">
        <v>411</v>
      </c>
      <c r="Z656" s="96"/>
      <c r="AA656" s="97">
        <v>79474.378758000006</v>
      </c>
      <c r="AB656" s="97">
        <v>1</v>
      </c>
      <c r="AC656" s="97">
        <v>109.35</v>
      </c>
      <c r="AD656" s="97"/>
      <c r="AE656" s="97">
        <v>86.905232999999996</v>
      </c>
      <c r="AF656" s="96"/>
      <c r="AG656" s="96"/>
      <c r="AH656" s="96"/>
      <c r="AI656" s="98">
        <v>2.1100000000000001E-4</v>
      </c>
      <c r="AJ656" s="98">
        <v>3.2499999999999999E-4</v>
      </c>
      <c r="AK656" s="98">
        <v>4.5000000000000003E-5</v>
      </c>
      <c r="AL656" s="106"/>
    </row>
    <row r="657" spans="1:38" ht="15" customHeight="1">
      <c r="A657" s="106"/>
      <c r="B657" s="96">
        <v>286</v>
      </c>
      <c r="C657" s="96">
        <v>286</v>
      </c>
      <c r="D657" s="96" t="s">
        <v>1317</v>
      </c>
      <c r="E657" s="96">
        <v>520028911</v>
      </c>
      <c r="F657" s="96" t="s">
        <v>308</v>
      </c>
      <c r="G657" s="96" t="s">
        <v>1318</v>
      </c>
      <c r="H657" s="96" t="s">
        <v>1319</v>
      </c>
      <c r="I657" s="96" t="s">
        <v>320</v>
      </c>
      <c r="J657" s="96" t="s">
        <v>952</v>
      </c>
      <c r="K657" s="96" t="s">
        <v>203</v>
      </c>
      <c r="L657" s="96" t="s">
        <v>203</v>
      </c>
      <c r="M657" s="96" t="s">
        <v>324</v>
      </c>
      <c r="N657" s="96" t="s">
        <v>339</v>
      </c>
      <c r="O657" s="96" t="s">
        <v>450</v>
      </c>
      <c r="P657" s="96" t="s">
        <v>337</v>
      </c>
      <c r="Q657" s="96" t="s">
        <v>1320</v>
      </c>
      <c r="R657" s="96" t="s">
        <v>412</v>
      </c>
      <c r="S657" s="96" t="s">
        <v>406</v>
      </c>
      <c r="T657" s="96" t="s">
        <v>1200</v>
      </c>
      <c r="U657" s="97">
        <v>3.13</v>
      </c>
      <c r="V657" s="100">
        <v>47858</v>
      </c>
      <c r="W657" s="98">
        <v>0.04</v>
      </c>
      <c r="X657" s="98">
        <v>5.6899999999999999E-2</v>
      </c>
      <c r="Y657" s="96" t="s">
        <v>411</v>
      </c>
      <c r="Z657" s="96"/>
      <c r="AA657" s="97">
        <v>381043.939748</v>
      </c>
      <c r="AB657" s="97">
        <v>1</v>
      </c>
      <c r="AC657" s="97">
        <v>96.92</v>
      </c>
      <c r="AD657" s="97"/>
      <c r="AE657" s="97">
        <v>369.30778600000002</v>
      </c>
      <c r="AF657" s="96"/>
      <c r="AG657" s="96"/>
      <c r="AH657" s="96"/>
      <c r="AI657" s="98">
        <v>5.62E-4</v>
      </c>
      <c r="AJ657" s="98">
        <v>1.3829999999999999E-3</v>
      </c>
      <c r="AK657" s="98">
        <v>1.92E-4</v>
      </c>
      <c r="AL657" s="106"/>
    </row>
    <row r="658" spans="1:38" ht="15" customHeight="1">
      <c r="A658" s="106"/>
      <c r="B658" s="96">
        <v>286</v>
      </c>
      <c r="C658" s="96">
        <v>286</v>
      </c>
      <c r="D658" s="96" t="s">
        <v>1414</v>
      </c>
      <c r="E658" s="96">
        <v>520037789</v>
      </c>
      <c r="F658" s="96" t="s">
        <v>308</v>
      </c>
      <c r="G658" s="96" t="s">
        <v>2059</v>
      </c>
      <c r="H658" s="96" t="s">
        <v>2060</v>
      </c>
      <c r="I658" s="96" t="s">
        <v>320</v>
      </c>
      <c r="J658" s="96" t="s">
        <v>753</v>
      </c>
      <c r="K658" s="96" t="s">
        <v>203</v>
      </c>
      <c r="L658" s="96" t="s">
        <v>203</v>
      </c>
      <c r="M658" s="96" t="s">
        <v>324</v>
      </c>
      <c r="N658" s="96" t="s">
        <v>339</v>
      </c>
      <c r="O658" s="96" t="s">
        <v>463</v>
      </c>
      <c r="P658" s="96" t="s">
        <v>337</v>
      </c>
      <c r="Q658" s="96" t="s">
        <v>1313</v>
      </c>
      <c r="R658" s="96" t="s">
        <v>412</v>
      </c>
      <c r="S658" s="96" t="s">
        <v>406</v>
      </c>
      <c r="T658" s="96" t="s">
        <v>1200</v>
      </c>
      <c r="U658" s="97">
        <v>1.76</v>
      </c>
      <c r="V658" s="100">
        <v>46139</v>
      </c>
      <c r="W658" s="98">
        <v>2.1499999999999998E-2</v>
      </c>
      <c r="X658" s="98">
        <v>2.6100000000000002E-2</v>
      </c>
      <c r="Y658" s="96" t="s">
        <v>411</v>
      </c>
      <c r="Z658" s="96"/>
      <c r="AA658" s="97">
        <v>969930.553679</v>
      </c>
      <c r="AB658" s="97">
        <v>1</v>
      </c>
      <c r="AC658" s="97">
        <v>115.16</v>
      </c>
      <c r="AD658" s="97"/>
      <c r="AE658" s="97">
        <v>1116.972025</v>
      </c>
      <c r="AF658" s="96"/>
      <c r="AG658" s="96"/>
      <c r="AH658" s="96"/>
      <c r="AI658" s="98">
        <v>8.1300000000000003E-4</v>
      </c>
      <c r="AJ658" s="98">
        <v>4.1850000000000004E-3</v>
      </c>
      <c r="AK658" s="98">
        <v>5.8100000000000003E-4</v>
      </c>
      <c r="AL658" s="106"/>
    </row>
    <row r="659" spans="1:38" ht="15" customHeight="1">
      <c r="A659" s="106"/>
      <c r="B659" s="96">
        <v>286</v>
      </c>
      <c r="C659" s="96">
        <v>286</v>
      </c>
      <c r="D659" s="96" t="s">
        <v>1385</v>
      </c>
      <c r="E659" s="96">
        <v>520017807</v>
      </c>
      <c r="F659" s="96" t="s">
        <v>308</v>
      </c>
      <c r="G659" s="96" t="s">
        <v>2068</v>
      </c>
      <c r="H659" s="96" t="s">
        <v>2069</v>
      </c>
      <c r="I659" s="96" t="s">
        <v>320</v>
      </c>
      <c r="J659" s="96" t="s">
        <v>753</v>
      </c>
      <c r="K659" s="96" t="s">
        <v>203</v>
      </c>
      <c r="L659" s="96" t="s">
        <v>203</v>
      </c>
      <c r="M659" s="96" t="s">
        <v>324</v>
      </c>
      <c r="N659" s="96" t="s">
        <v>339</v>
      </c>
      <c r="O659" s="96" t="s">
        <v>463</v>
      </c>
      <c r="P659" s="96" t="s">
        <v>337</v>
      </c>
      <c r="Q659" s="96" t="s">
        <v>1336</v>
      </c>
      <c r="R659" s="96" t="s">
        <v>414</v>
      </c>
      <c r="S659" s="96" t="s">
        <v>406</v>
      </c>
      <c r="T659" s="96" t="s">
        <v>1200</v>
      </c>
      <c r="U659" s="97">
        <v>4.99</v>
      </c>
      <c r="V659" s="100">
        <v>47583</v>
      </c>
      <c r="W659" s="98">
        <v>8.3999999999999995E-3</v>
      </c>
      <c r="X659" s="98">
        <v>3.2099999999999997E-2</v>
      </c>
      <c r="Y659" s="96" t="s">
        <v>411</v>
      </c>
      <c r="Z659" s="96"/>
      <c r="AA659" s="97">
        <v>191767.66943899999</v>
      </c>
      <c r="AB659" s="97">
        <v>1</v>
      </c>
      <c r="AC659" s="97">
        <v>100.43</v>
      </c>
      <c r="AD659" s="97"/>
      <c r="AE659" s="97">
        <v>192.59227000000001</v>
      </c>
      <c r="AF659" s="96"/>
      <c r="AG659" s="96"/>
      <c r="AH659" s="96"/>
      <c r="AI659" s="98">
        <v>2.41E-4</v>
      </c>
      <c r="AJ659" s="98">
        <v>7.2099999999999996E-4</v>
      </c>
      <c r="AK659" s="98">
        <v>1E-4</v>
      </c>
      <c r="AL659" s="106"/>
    </row>
    <row r="660" spans="1:38" ht="15" customHeight="1">
      <c r="A660" s="106"/>
      <c r="B660" s="96">
        <v>286</v>
      </c>
      <c r="C660" s="96">
        <v>286</v>
      </c>
      <c r="D660" s="96" t="s">
        <v>1354</v>
      </c>
      <c r="E660" s="96">
        <v>513893123</v>
      </c>
      <c r="F660" s="96" t="s">
        <v>308</v>
      </c>
      <c r="G660" s="96" t="s">
        <v>1523</v>
      </c>
      <c r="H660" s="96" t="s">
        <v>1396</v>
      </c>
      <c r="I660" s="96" t="s">
        <v>320</v>
      </c>
      <c r="J660" s="96" t="s">
        <v>753</v>
      </c>
      <c r="K660" s="96" t="s">
        <v>203</v>
      </c>
      <c r="L660" s="96" t="s">
        <v>203</v>
      </c>
      <c r="M660" s="96" t="s">
        <v>326</v>
      </c>
      <c r="N660" s="96" t="s">
        <v>339</v>
      </c>
      <c r="O660" s="96" t="s">
        <v>442</v>
      </c>
      <c r="P660" s="96" t="s">
        <v>338</v>
      </c>
      <c r="Q660" s="96" t="s">
        <v>1357</v>
      </c>
      <c r="R660" s="96" t="s">
        <v>414</v>
      </c>
      <c r="S660" s="96" t="s">
        <v>406</v>
      </c>
      <c r="T660" s="96" t="s">
        <v>1200</v>
      </c>
      <c r="U660" s="97">
        <v>3.22</v>
      </c>
      <c r="V660" s="100">
        <v>48060</v>
      </c>
      <c r="W660" s="98">
        <v>0.01</v>
      </c>
      <c r="X660" s="98">
        <v>3.6200000000000003E-2</v>
      </c>
      <c r="Y660" s="96" t="s">
        <v>411</v>
      </c>
      <c r="Z660" s="96"/>
      <c r="AA660" s="97">
        <v>41192.471215999998</v>
      </c>
      <c r="AB660" s="97">
        <v>1</v>
      </c>
      <c r="AC660" s="97">
        <v>102.3857</v>
      </c>
      <c r="AD660" s="97"/>
      <c r="AE660" s="97">
        <v>42.175195000000002</v>
      </c>
      <c r="AF660" s="96"/>
      <c r="AG660" s="96"/>
      <c r="AH660" s="96"/>
      <c r="AI660" s="98">
        <v>2.4000000000000001E-5</v>
      </c>
      <c r="AJ660" s="98">
        <v>1.5799999999999999E-4</v>
      </c>
      <c r="AK660" s="98">
        <v>2.0999999999999999E-5</v>
      </c>
      <c r="AL660" s="106"/>
    </row>
    <row r="661" spans="1:38" ht="15" customHeight="1">
      <c r="A661" s="106"/>
      <c r="B661" s="96">
        <v>286</v>
      </c>
      <c r="C661" s="96">
        <v>286</v>
      </c>
      <c r="D661" s="96" t="s">
        <v>1658</v>
      </c>
      <c r="E661" s="96">
        <v>520038506</v>
      </c>
      <c r="F661" s="96" t="s">
        <v>308</v>
      </c>
      <c r="G661" s="96" t="s">
        <v>1763</v>
      </c>
      <c r="H661" s="96" t="s">
        <v>1764</v>
      </c>
      <c r="I661" s="96" t="s">
        <v>320</v>
      </c>
      <c r="J661" s="96" t="s">
        <v>952</v>
      </c>
      <c r="K661" s="96" t="s">
        <v>203</v>
      </c>
      <c r="L661" s="96" t="s">
        <v>203</v>
      </c>
      <c r="M661" s="96" t="s">
        <v>324</v>
      </c>
      <c r="N661" s="96" t="s">
        <v>339</v>
      </c>
      <c r="O661" s="96" t="s">
        <v>463</v>
      </c>
      <c r="P661" s="96" t="s">
        <v>337</v>
      </c>
      <c r="Q661" s="96" t="s">
        <v>1305</v>
      </c>
      <c r="R661" s="96" t="s">
        <v>414</v>
      </c>
      <c r="S661" s="96" t="s">
        <v>406</v>
      </c>
      <c r="T661" s="96" t="s">
        <v>1200</v>
      </c>
      <c r="U661" s="97">
        <v>6.47</v>
      </c>
      <c r="V661" s="100">
        <v>50099</v>
      </c>
      <c r="W661" s="98">
        <v>4.9399999999999999E-2</v>
      </c>
      <c r="X661" s="98">
        <v>6.9400000000000003E-2</v>
      </c>
      <c r="Y661" s="96" t="s">
        <v>411</v>
      </c>
      <c r="Z661" s="96"/>
      <c r="AA661" s="97">
        <v>925810.95550399995</v>
      </c>
      <c r="AB661" s="97">
        <v>1</v>
      </c>
      <c r="AC661" s="97">
        <v>89.76</v>
      </c>
      <c r="AD661" s="97"/>
      <c r="AE661" s="97">
        <v>831.00791300000003</v>
      </c>
      <c r="AF661" s="96"/>
      <c r="AG661" s="96"/>
      <c r="AH661" s="96"/>
      <c r="AI661" s="98">
        <v>1.031E-3</v>
      </c>
      <c r="AJ661" s="98">
        <v>3.1129999999999999E-3</v>
      </c>
      <c r="AK661" s="98">
        <v>4.3199999999999998E-4</v>
      </c>
      <c r="AL661" s="106"/>
    </row>
    <row r="662" spans="1:38" ht="15" customHeight="1">
      <c r="A662" s="106"/>
      <c r="B662" s="96">
        <v>286</v>
      </c>
      <c r="C662" s="96">
        <v>286</v>
      </c>
      <c r="D662" s="96" t="s">
        <v>1440</v>
      </c>
      <c r="E662" s="96">
        <v>513992529</v>
      </c>
      <c r="F662" s="96" t="s">
        <v>308</v>
      </c>
      <c r="G662" s="96" t="s">
        <v>1441</v>
      </c>
      <c r="H662" s="96" t="s">
        <v>1442</v>
      </c>
      <c r="I662" s="96" t="s">
        <v>320</v>
      </c>
      <c r="J662" s="96" t="s">
        <v>753</v>
      </c>
      <c r="K662" s="96" t="s">
        <v>203</v>
      </c>
      <c r="L662" s="96" t="s">
        <v>203</v>
      </c>
      <c r="M662" s="96" t="s">
        <v>324</v>
      </c>
      <c r="N662" s="96" t="s">
        <v>339</v>
      </c>
      <c r="O662" s="96" t="s">
        <v>463</v>
      </c>
      <c r="P662" s="96" t="s">
        <v>338</v>
      </c>
      <c r="Q662" s="96" t="s">
        <v>1313</v>
      </c>
      <c r="R662" s="96" t="s">
        <v>412</v>
      </c>
      <c r="S662" s="96" t="s">
        <v>406</v>
      </c>
      <c r="T662" s="96" t="s">
        <v>1200</v>
      </c>
      <c r="U662" s="97">
        <v>7.58</v>
      </c>
      <c r="V662" s="100">
        <v>50140</v>
      </c>
      <c r="W662" s="98">
        <v>0.03</v>
      </c>
      <c r="X662" s="98">
        <v>3.7400000000000003E-2</v>
      </c>
      <c r="Y662" s="96" t="s">
        <v>411</v>
      </c>
      <c r="Z662" s="96"/>
      <c r="AA662" s="97">
        <v>338737.14506000001</v>
      </c>
      <c r="AB662" s="97">
        <v>1</v>
      </c>
      <c r="AC662" s="97">
        <v>97.12</v>
      </c>
      <c r="AD662" s="97"/>
      <c r="AE662" s="97">
        <v>328.981515</v>
      </c>
      <c r="AF662" s="96"/>
      <c r="AG662" s="96"/>
      <c r="AH662" s="96"/>
      <c r="AI662" s="98">
        <v>1.539E-3</v>
      </c>
      <c r="AJ662" s="98">
        <v>1.232E-3</v>
      </c>
      <c r="AK662" s="98">
        <v>1.7100000000000001E-4</v>
      </c>
      <c r="AL662" s="106"/>
    </row>
    <row r="663" spans="1:38" ht="15" customHeight="1">
      <c r="A663" s="106"/>
      <c r="B663" s="96">
        <v>286</v>
      </c>
      <c r="C663" s="96">
        <v>286</v>
      </c>
      <c r="D663" s="96" t="s">
        <v>1340</v>
      </c>
      <c r="E663" s="96">
        <v>520036658</v>
      </c>
      <c r="F663" s="96" t="s">
        <v>308</v>
      </c>
      <c r="G663" s="96" t="s">
        <v>1684</v>
      </c>
      <c r="H663" s="96" t="s">
        <v>1685</v>
      </c>
      <c r="I663" s="96" t="s">
        <v>320</v>
      </c>
      <c r="J663" s="96" t="s">
        <v>952</v>
      </c>
      <c r="K663" s="96" t="s">
        <v>203</v>
      </c>
      <c r="L663" s="96" t="s">
        <v>203</v>
      </c>
      <c r="M663" s="96" t="s">
        <v>324</v>
      </c>
      <c r="N663" s="96" t="s">
        <v>339</v>
      </c>
      <c r="O663" s="96" t="s">
        <v>439</v>
      </c>
      <c r="P663" s="96" t="s">
        <v>338</v>
      </c>
      <c r="Q663" s="96" t="s">
        <v>1320</v>
      </c>
      <c r="R663" s="96" t="s">
        <v>412</v>
      </c>
      <c r="S663" s="96" t="s">
        <v>406</v>
      </c>
      <c r="T663" s="96" t="s">
        <v>1200</v>
      </c>
      <c r="U663" s="97">
        <v>4.71</v>
      </c>
      <c r="V663" s="100">
        <v>48482</v>
      </c>
      <c r="W663" s="98">
        <v>5.7500000000000002E-2</v>
      </c>
      <c r="X663" s="98">
        <v>6.7699999999999996E-2</v>
      </c>
      <c r="Y663" s="96" t="s">
        <v>411</v>
      </c>
      <c r="Z663" s="96"/>
      <c r="AA663" s="97">
        <v>651508.329471</v>
      </c>
      <c r="AB663" s="97">
        <v>1</v>
      </c>
      <c r="AC663" s="97">
        <v>97.35</v>
      </c>
      <c r="AD663" s="97"/>
      <c r="AE663" s="97">
        <v>634.24335799999994</v>
      </c>
      <c r="AF663" s="96"/>
      <c r="AG663" s="96"/>
      <c r="AH663" s="96"/>
      <c r="AI663" s="98">
        <v>1.24E-3</v>
      </c>
      <c r="AJ663" s="98">
        <v>2.3760000000000001E-3</v>
      </c>
      <c r="AK663" s="98">
        <v>3.3E-4</v>
      </c>
      <c r="AL663" s="106"/>
    </row>
    <row r="664" spans="1:38" ht="15" customHeight="1">
      <c r="A664" s="106"/>
      <c r="B664" s="96">
        <v>286</v>
      </c>
      <c r="C664" s="96">
        <v>286</v>
      </c>
      <c r="D664" s="96" t="s">
        <v>1565</v>
      </c>
      <c r="E664" s="96">
        <v>520033234</v>
      </c>
      <c r="F664" s="96" t="s">
        <v>308</v>
      </c>
      <c r="G664" s="96" t="s">
        <v>2006</v>
      </c>
      <c r="H664" s="96" t="s">
        <v>1695</v>
      </c>
      <c r="I664" s="96" t="s">
        <v>320</v>
      </c>
      <c r="J664" s="96" t="s">
        <v>952</v>
      </c>
      <c r="K664" s="96" t="s">
        <v>203</v>
      </c>
      <c r="L664" s="96" t="s">
        <v>203</v>
      </c>
      <c r="M664" s="96" t="s">
        <v>326</v>
      </c>
      <c r="N664" s="96" t="s">
        <v>339</v>
      </c>
      <c r="O664" s="96" t="s">
        <v>464</v>
      </c>
      <c r="P664" s="96" t="s">
        <v>337</v>
      </c>
      <c r="Q664" s="96" t="s">
        <v>1309</v>
      </c>
      <c r="R664" s="96" t="s">
        <v>414</v>
      </c>
      <c r="S664" s="96" t="s">
        <v>406</v>
      </c>
      <c r="T664" s="96" t="s">
        <v>1200</v>
      </c>
      <c r="U664" s="97">
        <v>4.0999999999999996</v>
      </c>
      <c r="V664" s="100">
        <v>47299</v>
      </c>
      <c r="W664" s="98">
        <v>5.5E-2</v>
      </c>
      <c r="X664" s="98">
        <v>8.5300000000000001E-2</v>
      </c>
      <c r="Y664" s="96" t="s">
        <v>411</v>
      </c>
      <c r="Z664" s="96"/>
      <c r="AA664" s="97">
        <v>365611.16196699999</v>
      </c>
      <c r="AB664" s="97">
        <v>1</v>
      </c>
      <c r="AC664" s="97">
        <v>88.947699999999998</v>
      </c>
      <c r="AD664" s="97"/>
      <c r="AE664" s="97">
        <v>325.20269100000002</v>
      </c>
      <c r="AF664" s="96"/>
      <c r="AG664" s="96"/>
      <c r="AH664" s="96"/>
      <c r="AI664" s="98">
        <v>6.3599999999999996E-4</v>
      </c>
      <c r="AJ664" s="98">
        <v>1.2179999999999999E-3</v>
      </c>
      <c r="AK664" s="98">
        <v>1.6899999999999999E-4</v>
      </c>
      <c r="AL664" s="106"/>
    </row>
    <row r="665" spans="1:38" ht="15" customHeight="1">
      <c r="A665" s="106"/>
      <c r="B665" s="96">
        <v>286</v>
      </c>
      <c r="C665" s="96">
        <v>286</v>
      </c>
      <c r="D665" s="96" t="s">
        <v>1735</v>
      </c>
      <c r="E665" s="96">
        <v>550010003</v>
      </c>
      <c r="F665" s="96" t="s">
        <v>309</v>
      </c>
      <c r="G665" s="96" t="s">
        <v>1805</v>
      </c>
      <c r="H665" s="96" t="s">
        <v>1806</v>
      </c>
      <c r="I665" s="96" t="s">
        <v>320</v>
      </c>
      <c r="J665" s="96" t="s">
        <v>754</v>
      </c>
      <c r="K665" s="96" t="s">
        <v>203</v>
      </c>
      <c r="L665" s="96" t="s">
        <v>203</v>
      </c>
      <c r="M665" s="96" t="s">
        <v>324</v>
      </c>
      <c r="N665" s="96" t="s">
        <v>339</v>
      </c>
      <c r="O665" s="96" t="s">
        <v>453</v>
      </c>
      <c r="P665" s="96" t="s">
        <v>338</v>
      </c>
      <c r="Q665" s="96" t="s">
        <v>1313</v>
      </c>
      <c r="R665" s="96" t="s">
        <v>412</v>
      </c>
      <c r="S665" s="96" t="s">
        <v>406</v>
      </c>
      <c r="T665" s="96" t="s">
        <v>1200</v>
      </c>
      <c r="U665" s="97">
        <v>0.76</v>
      </c>
      <c r="V665" s="100">
        <v>45940</v>
      </c>
      <c r="W665" s="98">
        <v>3.49E-2</v>
      </c>
      <c r="X665" s="98">
        <v>7.2700000000000001E-2</v>
      </c>
      <c r="Y665" s="96" t="s">
        <v>411</v>
      </c>
      <c r="Z665" s="96"/>
      <c r="AA665" s="97">
        <v>716759.448706</v>
      </c>
      <c r="AB665" s="97">
        <v>1</v>
      </c>
      <c r="AC665" s="97">
        <v>102.13</v>
      </c>
      <c r="AD665" s="97"/>
      <c r="AE665" s="97">
        <v>732.02642400000002</v>
      </c>
      <c r="AF665" s="96"/>
      <c r="AG665" s="96"/>
      <c r="AH665" s="96"/>
      <c r="AI665" s="98">
        <v>1.4220000000000001E-3</v>
      </c>
      <c r="AJ665" s="98">
        <v>2.7420000000000001E-3</v>
      </c>
      <c r="AK665" s="98">
        <v>3.8099999999999999E-4</v>
      </c>
      <c r="AL665" s="106"/>
    </row>
    <row r="666" spans="1:38" ht="15" customHeight="1">
      <c r="A666" s="106"/>
      <c r="B666" s="96">
        <v>286</v>
      </c>
      <c r="C666" s="96">
        <v>286</v>
      </c>
      <c r="D666" s="96" t="s">
        <v>1565</v>
      </c>
      <c r="E666" s="96">
        <v>520033234</v>
      </c>
      <c r="F666" s="96" t="s">
        <v>308</v>
      </c>
      <c r="G666" s="96" t="s">
        <v>1688</v>
      </c>
      <c r="H666" s="96" t="s">
        <v>1689</v>
      </c>
      <c r="I666" s="96" t="s">
        <v>320</v>
      </c>
      <c r="J666" s="96" t="s">
        <v>753</v>
      </c>
      <c r="K666" s="96" t="s">
        <v>203</v>
      </c>
      <c r="L666" s="96" t="s">
        <v>203</v>
      </c>
      <c r="M666" s="96" t="s">
        <v>324</v>
      </c>
      <c r="N666" s="96" t="s">
        <v>339</v>
      </c>
      <c r="O666" s="96" t="s">
        <v>464</v>
      </c>
      <c r="P666" s="96" t="s">
        <v>337</v>
      </c>
      <c r="Q666" s="96" t="s">
        <v>1309</v>
      </c>
      <c r="R666" s="96" t="s">
        <v>414</v>
      </c>
      <c r="S666" s="96" t="s">
        <v>406</v>
      </c>
      <c r="T666" s="96" t="s">
        <v>1200</v>
      </c>
      <c r="U666" s="97">
        <v>2.46</v>
      </c>
      <c r="V666" s="100">
        <v>46934</v>
      </c>
      <c r="W666" s="98">
        <v>3.2800000000000003E-2</v>
      </c>
      <c r="X666" s="98">
        <v>5.8000000000000003E-2</v>
      </c>
      <c r="Y666" s="96" t="s">
        <v>411</v>
      </c>
      <c r="Z666" s="96"/>
      <c r="AA666" s="97">
        <v>958453.11685400002</v>
      </c>
      <c r="AB666" s="97">
        <v>1</v>
      </c>
      <c r="AC666" s="97">
        <v>108.4</v>
      </c>
      <c r="AD666" s="97"/>
      <c r="AE666" s="97">
        <v>1038.963178</v>
      </c>
      <c r="AF666" s="96"/>
      <c r="AG666" s="96"/>
      <c r="AH666" s="96"/>
      <c r="AI666" s="98">
        <v>6.9300000000000004E-4</v>
      </c>
      <c r="AJ666" s="98">
        <v>3.8930000000000002E-3</v>
      </c>
      <c r="AK666" s="98">
        <v>5.4100000000000003E-4</v>
      </c>
      <c r="AL666" s="106"/>
    </row>
    <row r="667" spans="1:38" ht="15" customHeight="1">
      <c r="A667" s="106"/>
      <c r="B667" s="96">
        <v>286</v>
      </c>
      <c r="C667" s="96">
        <v>286</v>
      </c>
      <c r="D667" s="96" t="s">
        <v>1704</v>
      </c>
      <c r="E667" s="96">
        <v>513834200</v>
      </c>
      <c r="F667" s="96" t="s">
        <v>308</v>
      </c>
      <c r="G667" s="96" t="s">
        <v>1996</v>
      </c>
      <c r="H667" s="96" t="s">
        <v>1997</v>
      </c>
      <c r="I667" s="96" t="s">
        <v>320</v>
      </c>
      <c r="J667" s="96" t="s">
        <v>952</v>
      </c>
      <c r="K667" s="96" t="s">
        <v>203</v>
      </c>
      <c r="L667" s="96" t="s">
        <v>203</v>
      </c>
      <c r="M667" s="96" t="s">
        <v>324</v>
      </c>
      <c r="N667" s="96" t="s">
        <v>339</v>
      </c>
      <c r="O667" s="96" t="s">
        <v>444</v>
      </c>
      <c r="P667" s="96" t="s">
        <v>338</v>
      </c>
      <c r="Q667" s="96" t="s">
        <v>1332</v>
      </c>
      <c r="R667" s="96" t="s">
        <v>412</v>
      </c>
      <c r="S667" s="96" t="s">
        <v>406</v>
      </c>
      <c r="T667" s="96" t="s">
        <v>1200</v>
      </c>
      <c r="U667" s="97">
        <v>7.37</v>
      </c>
      <c r="V667" s="100">
        <v>48944</v>
      </c>
      <c r="W667" s="98">
        <v>6.0199999999999997E-2</v>
      </c>
      <c r="X667" s="98">
        <v>6.2100000000000002E-2</v>
      </c>
      <c r="Y667" s="96" t="s">
        <v>411</v>
      </c>
      <c r="Z667" s="96"/>
      <c r="AA667" s="97">
        <v>609156.94399299996</v>
      </c>
      <c r="AB667" s="97">
        <v>1</v>
      </c>
      <c r="AC667" s="97">
        <v>99.249799999999993</v>
      </c>
      <c r="AD667" s="97"/>
      <c r="AE667" s="97">
        <v>604.58681100000001</v>
      </c>
      <c r="AF667" s="96"/>
      <c r="AG667" s="96"/>
      <c r="AH667" s="96"/>
      <c r="AI667" s="98">
        <v>1.2179999999999999E-3</v>
      </c>
      <c r="AJ667" s="98">
        <v>2.2650000000000001E-3</v>
      </c>
      <c r="AK667" s="98">
        <v>3.1399999999999999E-4</v>
      </c>
      <c r="AL667" s="106"/>
    </row>
    <row r="668" spans="1:38" ht="15" customHeight="1">
      <c r="A668" s="106"/>
      <c r="B668" s="96">
        <v>286</v>
      </c>
      <c r="C668" s="96">
        <v>286</v>
      </c>
      <c r="D668" s="96" t="s">
        <v>1477</v>
      </c>
      <c r="E668" s="96">
        <v>520029935</v>
      </c>
      <c r="F668" s="96" t="s">
        <v>308</v>
      </c>
      <c r="G668" s="96" t="s">
        <v>1755</v>
      </c>
      <c r="H668" s="96" t="s">
        <v>1756</v>
      </c>
      <c r="I668" s="96" t="s">
        <v>320</v>
      </c>
      <c r="J668" s="96" t="s">
        <v>753</v>
      </c>
      <c r="K668" s="96" t="s">
        <v>203</v>
      </c>
      <c r="L668" s="96" t="s">
        <v>203</v>
      </c>
      <c r="M668" s="96" t="s">
        <v>324</v>
      </c>
      <c r="N668" s="96" t="s">
        <v>339</v>
      </c>
      <c r="O668" s="96" t="s">
        <v>447</v>
      </c>
      <c r="P668" s="96" t="s">
        <v>338</v>
      </c>
      <c r="Q668" s="96" t="s">
        <v>1305</v>
      </c>
      <c r="R668" s="96" t="s">
        <v>414</v>
      </c>
      <c r="S668" s="96" t="s">
        <v>406</v>
      </c>
      <c r="T668" s="96" t="s">
        <v>1200</v>
      </c>
      <c r="U668" s="97">
        <v>1.31</v>
      </c>
      <c r="V668" s="100">
        <v>45959</v>
      </c>
      <c r="W668" s="98">
        <v>1.46E-2</v>
      </c>
      <c r="X668" s="98">
        <v>2.47E-2</v>
      </c>
      <c r="Y668" s="96" t="s">
        <v>410</v>
      </c>
      <c r="Z668" s="96"/>
      <c r="AA668" s="97">
        <v>736938.142597</v>
      </c>
      <c r="AB668" s="97">
        <v>1</v>
      </c>
      <c r="AC668" s="97">
        <v>112.48</v>
      </c>
      <c r="AD668" s="97"/>
      <c r="AE668" s="97">
        <v>828.90802199999996</v>
      </c>
      <c r="AF668" s="96"/>
      <c r="AG668" s="96"/>
      <c r="AH668" s="96"/>
      <c r="AI668" s="98">
        <v>5.53E-4</v>
      </c>
      <c r="AJ668" s="98">
        <v>3.1050000000000001E-3</v>
      </c>
      <c r="AK668" s="98">
        <v>4.3100000000000001E-4</v>
      </c>
      <c r="AL668" s="106"/>
    </row>
    <row r="669" spans="1:38" ht="15" customHeight="1">
      <c r="A669" s="106"/>
      <c r="B669" s="96">
        <v>286</v>
      </c>
      <c r="C669" s="96">
        <v>286</v>
      </c>
      <c r="D669" s="96" t="s">
        <v>1197</v>
      </c>
      <c r="E669" s="96">
        <v>520018078</v>
      </c>
      <c r="F669" s="96" t="s">
        <v>308</v>
      </c>
      <c r="G669" s="96" t="s">
        <v>1563</v>
      </c>
      <c r="H669" s="96" t="s">
        <v>1564</v>
      </c>
      <c r="I669" s="96" t="s">
        <v>320</v>
      </c>
      <c r="J669" s="96" t="s">
        <v>753</v>
      </c>
      <c r="K669" s="96" t="s">
        <v>203</v>
      </c>
      <c r="L669" s="96" t="s">
        <v>203</v>
      </c>
      <c r="M669" s="96" t="s">
        <v>324</v>
      </c>
      <c r="N669" s="96" t="s">
        <v>339</v>
      </c>
      <c r="O669" s="96" t="s">
        <v>447</v>
      </c>
      <c r="P669" s="96" t="s">
        <v>338</v>
      </c>
      <c r="Q669" s="96" t="s">
        <v>1199</v>
      </c>
      <c r="R669" s="96" t="s">
        <v>412</v>
      </c>
      <c r="S669" s="96" t="s">
        <v>406</v>
      </c>
      <c r="T669" s="96" t="s">
        <v>1200</v>
      </c>
      <c r="U669" s="97">
        <v>5.39</v>
      </c>
      <c r="V669" s="100">
        <v>47447</v>
      </c>
      <c r="W669" s="98">
        <v>1E-3</v>
      </c>
      <c r="X669" s="98">
        <v>2.58E-2</v>
      </c>
      <c r="Y669" s="96" t="s">
        <v>411</v>
      </c>
      <c r="Z669" s="96"/>
      <c r="AA669" s="97">
        <v>1340574.260548</v>
      </c>
      <c r="AB669" s="97">
        <v>1</v>
      </c>
      <c r="AC669" s="97">
        <v>97.13</v>
      </c>
      <c r="AD669" s="97"/>
      <c r="AE669" s="97">
        <v>1302.0997789999999</v>
      </c>
      <c r="AF669" s="96"/>
      <c r="AG669" s="96"/>
      <c r="AH669" s="96"/>
      <c r="AI669" s="98">
        <v>5.3899999999999998E-4</v>
      </c>
      <c r="AJ669" s="98">
        <v>4.8789999999999997E-3</v>
      </c>
      <c r="AK669" s="98">
        <v>6.78E-4</v>
      </c>
      <c r="AL669" s="106"/>
    </row>
    <row r="670" spans="1:38" ht="15" customHeight="1">
      <c r="A670" s="106"/>
      <c r="B670" s="96">
        <v>286</v>
      </c>
      <c r="C670" s="96">
        <v>286</v>
      </c>
      <c r="D670" s="96" t="s">
        <v>1517</v>
      </c>
      <c r="E670" s="96">
        <v>510560188</v>
      </c>
      <c r="F670" s="96" t="s">
        <v>308</v>
      </c>
      <c r="G670" s="96" t="s">
        <v>1518</v>
      </c>
      <c r="H670" s="96" t="s">
        <v>1519</v>
      </c>
      <c r="I670" s="96" t="s">
        <v>320</v>
      </c>
      <c r="J670" s="96" t="s">
        <v>952</v>
      </c>
      <c r="K670" s="96" t="s">
        <v>203</v>
      </c>
      <c r="L670" s="96" t="s">
        <v>203</v>
      </c>
      <c r="M670" s="96" t="s">
        <v>324</v>
      </c>
      <c r="N670" s="96" t="s">
        <v>339</v>
      </c>
      <c r="O670" s="96" t="s">
        <v>464</v>
      </c>
      <c r="P670" s="96" t="s">
        <v>338</v>
      </c>
      <c r="Q670" s="96" t="s">
        <v>1520</v>
      </c>
      <c r="R670" s="96" t="s">
        <v>414</v>
      </c>
      <c r="S670" s="96" t="s">
        <v>406</v>
      </c>
      <c r="T670" s="96" t="s">
        <v>1200</v>
      </c>
      <c r="U670" s="97">
        <v>2.79</v>
      </c>
      <c r="V670" s="100">
        <v>46645</v>
      </c>
      <c r="W670" s="98">
        <v>2.3E-2</v>
      </c>
      <c r="X670" s="98">
        <v>5.6500000000000002E-2</v>
      </c>
      <c r="Y670" s="96" t="s">
        <v>411</v>
      </c>
      <c r="Z670" s="96"/>
      <c r="AA670" s="97">
        <v>832432.54122500005</v>
      </c>
      <c r="AB670" s="97">
        <v>1</v>
      </c>
      <c r="AC670" s="97">
        <v>92.02</v>
      </c>
      <c r="AD670" s="97"/>
      <c r="AE670" s="97">
        <v>766.00442399999997</v>
      </c>
      <c r="AF670" s="96"/>
      <c r="AG670" s="96"/>
      <c r="AH670" s="96"/>
      <c r="AI670" s="98">
        <v>1.0889999999999999E-3</v>
      </c>
      <c r="AJ670" s="98">
        <v>2.8700000000000002E-3</v>
      </c>
      <c r="AK670" s="98">
        <v>3.9800000000000002E-4</v>
      </c>
      <c r="AL670" s="106"/>
    </row>
    <row r="671" spans="1:38" ht="15" customHeight="1">
      <c r="A671" s="106"/>
      <c r="B671" s="96">
        <v>286</v>
      </c>
      <c r="C671" s="96">
        <v>286</v>
      </c>
      <c r="D671" s="96" t="s">
        <v>1505</v>
      </c>
      <c r="E671" s="96">
        <v>520010869</v>
      </c>
      <c r="F671" s="96" t="s">
        <v>308</v>
      </c>
      <c r="G671" s="96" t="s">
        <v>1506</v>
      </c>
      <c r="H671" s="96" t="s">
        <v>1507</v>
      </c>
      <c r="I671" s="96" t="s">
        <v>320</v>
      </c>
      <c r="J671" s="96" t="s">
        <v>753</v>
      </c>
      <c r="K671" s="96" t="s">
        <v>203</v>
      </c>
      <c r="L671" s="96" t="s">
        <v>203</v>
      </c>
      <c r="M671" s="96" t="s">
        <v>324</v>
      </c>
      <c r="N671" s="96" t="s">
        <v>339</v>
      </c>
      <c r="O671" s="96" t="s">
        <v>476</v>
      </c>
      <c r="P671" s="96" t="s">
        <v>338</v>
      </c>
      <c r="Q671" s="96" t="s">
        <v>1199</v>
      </c>
      <c r="R671" s="96" t="s">
        <v>412</v>
      </c>
      <c r="S671" s="96" t="s">
        <v>406</v>
      </c>
      <c r="T671" s="96" t="s">
        <v>1200</v>
      </c>
      <c r="U671" s="97">
        <v>11.71</v>
      </c>
      <c r="V671" s="100">
        <v>56249</v>
      </c>
      <c r="W671" s="98">
        <v>2.07E-2</v>
      </c>
      <c r="X671" s="98">
        <v>3.2599999999999997E-2</v>
      </c>
      <c r="Y671" s="96" t="s">
        <v>411</v>
      </c>
      <c r="Z671" s="96"/>
      <c r="AA671" s="97">
        <v>4019379.7091330001</v>
      </c>
      <c r="AB671" s="97">
        <v>1</v>
      </c>
      <c r="AC671" s="97">
        <v>97.32</v>
      </c>
      <c r="AD671" s="97"/>
      <c r="AE671" s="97">
        <v>3911.6603319999999</v>
      </c>
      <c r="AF671" s="96"/>
      <c r="AG671" s="96"/>
      <c r="AH671" s="96"/>
      <c r="AI671" s="98">
        <v>8.8199999999999997E-4</v>
      </c>
      <c r="AJ671" s="98">
        <v>1.4657E-2</v>
      </c>
      <c r="AK671" s="98">
        <v>2.0370000000000002E-3</v>
      </c>
      <c r="AL671" s="106"/>
    </row>
    <row r="672" spans="1:38" ht="15" customHeight="1">
      <c r="A672" s="106"/>
      <c r="B672" s="96">
        <v>286</v>
      </c>
      <c r="C672" s="96">
        <v>286</v>
      </c>
      <c r="D672" s="96" t="s">
        <v>1361</v>
      </c>
      <c r="E672" s="96">
        <v>512764408</v>
      </c>
      <c r="F672" s="96" t="s">
        <v>308</v>
      </c>
      <c r="G672" s="96" t="s">
        <v>1715</v>
      </c>
      <c r="H672" s="96" t="s">
        <v>1363</v>
      </c>
      <c r="I672" s="96" t="s">
        <v>320</v>
      </c>
      <c r="J672" s="96" t="s">
        <v>952</v>
      </c>
      <c r="K672" s="96" t="s">
        <v>203</v>
      </c>
      <c r="L672" s="96" t="s">
        <v>203</v>
      </c>
      <c r="M672" s="96" t="s">
        <v>326</v>
      </c>
      <c r="N672" s="96" t="s">
        <v>339</v>
      </c>
      <c r="O672" s="96" t="s">
        <v>442</v>
      </c>
      <c r="P672" s="96" t="s">
        <v>338</v>
      </c>
      <c r="Q672" s="96" t="s">
        <v>1309</v>
      </c>
      <c r="R672" s="96" t="s">
        <v>414</v>
      </c>
      <c r="S672" s="96" t="s">
        <v>406</v>
      </c>
      <c r="T672" s="96" t="s">
        <v>1200</v>
      </c>
      <c r="U672" s="97">
        <v>1.19</v>
      </c>
      <c r="V672" s="100">
        <v>46295</v>
      </c>
      <c r="W672" s="98">
        <v>6.9000000000000006E-2</v>
      </c>
      <c r="X672" s="98">
        <v>7.0499999999999993E-2</v>
      </c>
      <c r="Y672" s="96" t="s">
        <v>411</v>
      </c>
      <c r="Z672" s="96"/>
      <c r="AA672" s="97">
        <v>19384.691620000001</v>
      </c>
      <c r="AB672" s="97">
        <v>1</v>
      </c>
      <c r="AC672" s="97">
        <v>101.87</v>
      </c>
      <c r="AD672" s="97"/>
      <c r="AE672" s="97">
        <v>19.747185000000002</v>
      </c>
      <c r="AF672" s="96"/>
      <c r="AG672" s="96"/>
      <c r="AH672" s="96"/>
      <c r="AI672" s="98">
        <v>5.3000000000000001E-5</v>
      </c>
      <c r="AJ672" s="98">
        <v>7.2999999999999999E-5</v>
      </c>
      <c r="AK672" s="98">
        <v>1.0000000000000001E-5</v>
      </c>
      <c r="AL672" s="106"/>
    </row>
    <row r="673" spans="1:38" ht="15" customHeight="1">
      <c r="A673" s="106"/>
      <c r="B673" s="96">
        <v>286</v>
      </c>
      <c r="C673" s="96">
        <v>286</v>
      </c>
      <c r="D673" s="96" t="s">
        <v>1837</v>
      </c>
      <c r="E673" s="96">
        <v>1742</v>
      </c>
      <c r="F673" s="96" t="s">
        <v>80</v>
      </c>
      <c r="G673" s="96" t="s">
        <v>1838</v>
      </c>
      <c r="H673" s="96" t="s">
        <v>1839</v>
      </c>
      <c r="I673" s="96" t="s">
        <v>320</v>
      </c>
      <c r="J673" s="96" t="s">
        <v>754</v>
      </c>
      <c r="K673" s="96" t="s">
        <v>203</v>
      </c>
      <c r="L673" s="96" t="s">
        <v>203</v>
      </c>
      <c r="M673" s="96" t="s">
        <v>324</v>
      </c>
      <c r="N673" s="96" t="s">
        <v>339</v>
      </c>
      <c r="O673" s="96" t="s">
        <v>464</v>
      </c>
      <c r="P673" s="96" t="s">
        <v>338</v>
      </c>
      <c r="Q673" s="96" t="s">
        <v>1305</v>
      </c>
      <c r="R673" s="96" t="s">
        <v>414</v>
      </c>
      <c r="S673" s="96" t="s">
        <v>406</v>
      </c>
      <c r="T673" s="96" t="s">
        <v>1200</v>
      </c>
      <c r="U673" s="97">
        <v>3.1</v>
      </c>
      <c r="V673" s="100">
        <v>46944</v>
      </c>
      <c r="W673" s="98">
        <v>4.2999999999999997E-2</v>
      </c>
      <c r="X673" s="98">
        <v>7.8299999999999995E-2</v>
      </c>
      <c r="Y673" s="96" t="s">
        <v>411</v>
      </c>
      <c r="Z673" s="96"/>
      <c r="AA673" s="97">
        <v>1812740.653068</v>
      </c>
      <c r="AB673" s="97">
        <v>1</v>
      </c>
      <c r="AC673" s="97">
        <v>90.67</v>
      </c>
      <c r="AD673" s="97"/>
      <c r="AE673" s="97">
        <v>1643.61195</v>
      </c>
      <c r="AF673" s="96"/>
      <c r="AG673" s="96"/>
      <c r="AH673" s="96"/>
      <c r="AI673" s="98">
        <v>1.6100000000000001E-3</v>
      </c>
      <c r="AJ673" s="98">
        <v>6.1580000000000003E-3</v>
      </c>
      <c r="AK673" s="98">
        <v>8.5499999999999997E-4</v>
      </c>
      <c r="AL673" s="106"/>
    </row>
    <row r="674" spans="1:38" ht="15" customHeight="1">
      <c r="A674" s="106"/>
      <c r="B674" s="96">
        <v>286</v>
      </c>
      <c r="C674" s="96">
        <v>286</v>
      </c>
      <c r="D674" s="96" t="s">
        <v>1477</v>
      </c>
      <c r="E674" s="96">
        <v>520029935</v>
      </c>
      <c r="F674" s="96" t="s">
        <v>308</v>
      </c>
      <c r="G674" s="96" t="s">
        <v>1733</v>
      </c>
      <c r="H674" s="96" t="s">
        <v>1734</v>
      </c>
      <c r="I674" s="96" t="s">
        <v>320</v>
      </c>
      <c r="J674" s="96" t="s">
        <v>753</v>
      </c>
      <c r="K674" s="96" t="s">
        <v>203</v>
      </c>
      <c r="L674" s="96" t="s">
        <v>203</v>
      </c>
      <c r="M674" s="96" t="s">
        <v>324</v>
      </c>
      <c r="N674" s="96" t="s">
        <v>339</v>
      </c>
      <c r="O674" s="96" t="s">
        <v>447</v>
      </c>
      <c r="P674" s="96" t="s">
        <v>338</v>
      </c>
      <c r="Q674" s="96" t="s">
        <v>1305</v>
      </c>
      <c r="R674" s="96" t="s">
        <v>414</v>
      </c>
      <c r="S674" s="96" t="s">
        <v>406</v>
      </c>
      <c r="T674" s="96" t="s">
        <v>1200</v>
      </c>
      <c r="U674" s="97">
        <v>4.12</v>
      </c>
      <c r="V674" s="100">
        <v>47087</v>
      </c>
      <c r="W674" s="98">
        <v>3.1699999999999999E-2</v>
      </c>
      <c r="X674" s="98">
        <v>3.5900000000000001E-2</v>
      </c>
      <c r="Y674" s="96" t="s">
        <v>410</v>
      </c>
      <c r="Z674" s="96"/>
      <c r="AA674" s="97">
        <v>45360.170348</v>
      </c>
      <c r="AB674" s="97">
        <v>1</v>
      </c>
      <c r="AC674" s="97">
        <v>105.55</v>
      </c>
      <c r="AD674" s="97"/>
      <c r="AE674" s="97">
        <v>47.877659000000001</v>
      </c>
      <c r="AF674" s="96"/>
      <c r="AG674" s="96"/>
      <c r="AH674" s="96"/>
      <c r="AI674" s="98">
        <v>5.3000000000000001E-5</v>
      </c>
      <c r="AJ674" s="98">
        <v>1.7899999999999999E-4</v>
      </c>
      <c r="AK674" s="98">
        <v>2.4000000000000001E-5</v>
      </c>
      <c r="AL674" s="106"/>
    </row>
    <row r="675" spans="1:38" ht="15" customHeight="1">
      <c r="A675" s="106"/>
      <c r="B675" s="96">
        <v>286</v>
      </c>
      <c r="C675" s="96">
        <v>286</v>
      </c>
      <c r="D675" s="96" t="s">
        <v>1508</v>
      </c>
      <c r="E675" s="96">
        <v>511134298</v>
      </c>
      <c r="F675" s="96" t="s">
        <v>308</v>
      </c>
      <c r="G675" s="96" t="s">
        <v>1509</v>
      </c>
      <c r="H675" s="96" t="s">
        <v>1510</v>
      </c>
      <c r="I675" s="96" t="s">
        <v>320</v>
      </c>
      <c r="J675" s="96" t="s">
        <v>952</v>
      </c>
      <c r="K675" s="96" t="s">
        <v>203</v>
      </c>
      <c r="L675" s="96" t="s">
        <v>203</v>
      </c>
      <c r="M675" s="96" t="s">
        <v>326</v>
      </c>
      <c r="N675" s="96" t="s">
        <v>339</v>
      </c>
      <c r="O675" s="96" t="s">
        <v>463</v>
      </c>
      <c r="P675" s="96" t="s">
        <v>337</v>
      </c>
      <c r="Q675" s="96" t="s">
        <v>1320</v>
      </c>
      <c r="R675" s="96" t="s">
        <v>412</v>
      </c>
      <c r="S675" s="96" t="s">
        <v>406</v>
      </c>
      <c r="T675" s="96" t="s">
        <v>1200</v>
      </c>
      <c r="U675" s="97">
        <v>2.8</v>
      </c>
      <c r="V675" s="100">
        <v>47483</v>
      </c>
      <c r="W675" s="98">
        <v>1.9E-2</v>
      </c>
      <c r="X675" s="98">
        <v>6.0499999999999998E-2</v>
      </c>
      <c r="Y675" s="96" t="s">
        <v>411</v>
      </c>
      <c r="Z675" s="96"/>
      <c r="AA675" s="97">
        <v>30400.044074000001</v>
      </c>
      <c r="AB675" s="97">
        <v>1</v>
      </c>
      <c r="AC675" s="97">
        <v>89.248500000000007</v>
      </c>
      <c r="AD675" s="97"/>
      <c r="AE675" s="97">
        <v>27.131571000000001</v>
      </c>
      <c r="AF675" s="96"/>
      <c r="AG675" s="96"/>
      <c r="AH675" s="96"/>
      <c r="AI675" s="98">
        <v>9.7E-5</v>
      </c>
      <c r="AJ675" s="98">
        <v>1.01E-4</v>
      </c>
      <c r="AK675" s="98">
        <v>1.4E-5</v>
      </c>
      <c r="AL675" s="106"/>
    </row>
    <row r="676" spans="1:38" ht="15" customHeight="1">
      <c r="A676" s="106"/>
      <c r="B676" s="96">
        <v>286</v>
      </c>
      <c r="C676" s="96">
        <v>286</v>
      </c>
      <c r="D676" s="96" t="s">
        <v>1414</v>
      </c>
      <c r="E676" s="96">
        <v>520037789</v>
      </c>
      <c r="F676" s="96" t="s">
        <v>308</v>
      </c>
      <c r="G676" s="96" t="s">
        <v>1861</v>
      </c>
      <c r="H676" s="96" t="s">
        <v>1841</v>
      </c>
      <c r="I676" s="96" t="s">
        <v>320</v>
      </c>
      <c r="J676" s="96" t="s">
        <v>753</v>
      </c>
      <c r="K676" s="96" t="s">
        <v>203</v>
      </c>
      <c r="L676" s="96" t="s">
        <v>203</v>
      </c>
      <c r="M676" s="96" t="s">
        <v>326</v>
      </c>
      <c r="N676" s="96" t="s">
        <v>339</v>
      </c>
      <c r="O676" s="96" t="s">
        <v>463</v>
      </c>
      <c r="P676" s="96" t="s">
        <v>337</v>
      </c>
      <c r="Q676" s="96" t="s">
        <v>1313</v>
      </c>
      <c r="R676" s="96" t="s">
        <v>412</v>
      </c>
      <c r="S676" s="96" t="s">
        <v>406</v>
      </c>
      <c r="T676" s="96" t="s">
        <v>1200</v>
      </c>
      <c r="U676" s="97">
        <v>5.55</v>
      </c>
      <c r="V676" s="100">
        <v>47665</v>
      </c>
      <c r="W676" s="98">
        <v>2.5000000000000001E-3</v>
      </c>
      <c r="X676" s="98">
        <v>3.2500000000000001E-2</v>
      </c>
      <c r="Y676" s="96" t="s">
        <v>411</v>
      </c>
      <c r="Z676" s="96"/>
      <c r="AA676" s="97">
        <v>53622.077355000001</v>
      </c>
      <c r="AB676" s="97">
        <v>1</v>
      </c>
      <c r="AC676" s="97">
        <v>94.531800000000004</v>
      </c>
      <c r="AD676" s="97"/>
      <c r="AE676" s="97">
        <v>50.689889000000001</v>
      </c>
      <c r="AF676" s="96"/>
      <c r="AG676" s="96"/>
      <c r="AH676" s="96"/>
      <c r="AI676" s="98">
        <v>4.3000000000000002E-5</v>
      </c>
      <c r="AJ676" s="98">
        <v>1.8900000000000001E-4</v>
      </c>
      <c r="AK676" s="98">
        <v>2.5999999999999998E-5</v>
      </c>
      <c r="AL676" s="106"/>
    </row>
    <row r="677" spans="1:38" ht="15" customHeight="1">
      <c r="A677" s="106"/>
      <c r="B677" s="96">
        <v>286</v>
      </c>
      <c r="C677" s="96">
        <v>286</v>
      </c>
      <c r="D677" s="96" t="s">
        <v>1929</v>
      </c>
      <c r="E677" s="96">
        <v>520044314</v>
      </c>
      <c r="F677" s="96" t="s">
        <v>308</v>
      </c>
      <c r="G677" s="96" t="s">
        <v>1930</v>
      </c>
      <c r="H677" s="96" t="s">
        <v>1931</v>
      </c>
      <c r="I677" s="96" t="s">
        <v>320</v>
      </c>
      <c r="J677" s="96" t="s">
        <v>952</v>
      </c>
      <c r="K677" s="96" t="s">
        <v>203</v>
      </c>
      <c r="L677" s="96" t="s">
        <v>203</v>
      </c>
      <c r="M677" s="96" t="s">
        <v>324</v>
      </c>
      <c r="N677" s="96" t="s">
        <v>339</v>
      </c>
      <c r="O677" s="96" t="s">
        <v>483</v>
      </c>
      <c r="P677" s="96" t="s">
        <v>337</v>
      </c>
      <c r="Q677" s="96" t="s">
        <v>1332</v>
      </c>
      <c r="R677" s="96" t="s">
        <v>412</v>
      </c>
      <c r="S677" s="96" t="s">
        <v>406</v>
      </c>
      <c r="T677" s="96" t="s">
        <v>1200</v>
      </c>
      <c r="U677" s="97">
        <v>3.71</v>
      </c>
      <c r="V677" s="100">
        <v>47659</v>
      </c>
      <c r="W677" s="98">
        <v>2.0799999999999999E-2</v>
      </c>
      <c r="X677" s="98">
        <v>5.5100000000000003E-2</v>
      </c>
      <c r="Y677" s="96" t="s">
        <v>411</v>
      </c>
      <c r="Z677" s="96"/>
      <c r="AA677" s="97">
        <v>293944.25699099997</v>
      </c>
      <c r="AB677" s="97">
        <v>1</v>
      </c>
      <c r="AC677" s="97">
        <v>88.3</v>
      </c>
      <c r="AD677" s="97"/>
      <c r="AE677" s="97">
        <v>259.55277799999999</v>
      </c>
      <c r="AF677" s="96"/>
      <c r="AG677" s="96"/>
      <c r="AH677" s="96"/>
      <c r="AI677" s="98">
        <v>1.4809999999999999E-3</v>
      </c>
      <c r="AJ677" s="98">
        <v>9.7199999999999999E-4</v>
      </c>
      <c r="AK677" s="98">
        <v>1.35E-4</v>
      </c>
      <c r="AL677" s="106"/>
    </row>
    <row r="678" spans="1:38" ht="15" customHeight="1">
      <c r="A678" s="106"/>
      <c r="B678" s="96">
        <v>286</v>
      </c>
      <c r="C678" s="96">
        <v>286</v>
      </c>
      <c r="D678" s="96" t="s">
        <v>1306</v>
      </c>
      <c r="E678" s="96">
        <v>520044322</v>
      </c>
      <c r="F678" s="96" t="s">
        <v>308</v>
      </c>
      <c r="G678" s="96" t="s">
        <v>1732</v>
      </c>
      <c r="H678" s="96" t="s">
        <v>1308</v>
      </c>
      <c r="I678" s="96" t="s">
        <v>320</v>
      </c>
      <c r="J678" s="96" t="s">
        <v>952</v>
      </c>
      <c r="K678" s="96" t="s">
        <v>203</v>
      </c>
      <c r="L678" s="96" t="s">
        <v>203</v>
      </c>
      <c r="M678" s="96" t="s">
        <v>326</v>
      </c>
      <c r="N678" s="96" t="s">
        <v>339</v>
      </c>
      <c r="O678" s="96" t="s">
        <v>453</v>
      </c>
      <c r="P678" s="96" t="s">
        <v>338</v>
      </c>
      <c r="Q678" s="96" t="s">
        <v>1309</v>
      </c>
      <c r="R678" s="96" t="s">
        <v>414</v>
      </c>
      <c r="S678" s="96" t="s">
        <v>406</v>
      </c>
      <c r="T678" s="96" t="s">
        <v>1200</v>
      </c>
      <c r="U678" s="97">
        <v>4.07</v>
      </c>
      <c r="V678" s="100">
        <v>48152</v>
      </c>
      <c r="W678" s="98">
        <v>6.5199999999999994E-2</v>
      </c>
      <c r="X678" s="98">
        <v>6.9199999999999998E-2</v>
      </c>
      <c r="Y678" s="96" t="s">
        <v>411</v>
      </c>
      <c r="Z678" s="96"/>
      <c r="AA678" s="97">
        <v>701429.20657599997</v>
      </c>
      <c r="AB678" s="97">
        <v>1</v>
      </c>
      <c r="AC678" s="97">
        <v>99.921300000000002</v>
      </c>
      <c r="AD678" s="97"/>
      <c r="AE678" s="97">
        <v>700.876891</v>
      </c>
      <c r="AF678" s="96"/>
      <c r="AG678" s="96"/>
      <c r="AH678" s="96"/>
      <c r="AI678" s="98">
        <v>5.2599999999999999E-4</v>
      </c>
      <c r="AJ678" s="98">
        <v>2.6259999999999999E-3</v>
      </c>
      <c r="AK678" s="98">
        <v>3.6400000000000001E-4</v>
      </c>
      <c r="AL678" s="106"/>
    </row>
    <row r="679" spans="1:38" ht="15" customHeight="1">
      <c r="A679" s="106"/>
      <c r="B679" s="96">
        <v>286</v>
      </c>
      <c r="C679" s="96">
        <v>286</v>
      </c>
      <c r="D679" s="96" t="s">
        <v>1477</v>
      </c>
      <c r="E679" s="96">
        <v>520029935</v>
      </c>
      <c r="F679" s="96" t="s">
        <v>308</v>
      </c>
      <c r="G679" s="96" t="s">
        <v>1478</v>
      </c>
      <c r="H679" s="96" t="s">
        <v>1479</v>
      </c>
      <c r="I679" s="96" t="s">
        <v>320</v>
      </c>
      <c r="J679" s="96" t="s">
        <v>952</v>
      </c>
      <c r="K679" s="96" t="s">
        <v>203</v>
      </c>
      <c r="L679" s="96" t="s">
        <v>203</v>
      </c>
      <c r="M679" s="96" t="s">
        <v>324</v>
      </c>
      <c r="N679" s="96" t="s">
        <v>339</v>
      </c>
      <c r="O679" s="96" t="s">
        <v>447</v>
      </c>
      <c r="P679" s="96" t="s">
        <v>338</v>
      </c>
      <c r="Q679" s="96" t="s">
        <v>1211</v>
      </c>
      <c r="R679" s="96" t="s">
        <v>414</v>
      </c>
      <c r="S679" s="96" t="s">
        <v>406</v>
      </c>
      <c r="T679" s="96" t="s">
        <v>1200</v>
      </c>
      <c r="U679" s="97">
        <v>3.14</v>
      </c>
      <c r="V679" s="100">
        <v>47822</v>
      </c>
      <c r="W679" s="98">
        <v>2.6800000000000001E-2</v>
      </c>
      <c r="X679" s="98">
        <v>5.0999999999999997E-2</v>
      </c>
      <c r="Y679" s="96" t="s">
        <v>411</v>
      </c>
      <c r="Z679" s="96"/>
      <c r="AA679" s="97">
        <v>1282274.7088830001</v>
      </c>
      <c r="AB679" s="97">
        <v>1</v>
      </c>
      <c r="AC679" s="97">
        <v>94.27</v>
      </c>
      <c r="AD679" s="97"/>
      <c r="AE679" s="97">
        <v>1208.8003679999999</v>
      </c>
      <c r="AF679" s="96"/>
      <c r="AG679" s="96"/>
      <c r="AH679" s="96"/>
      <c r="AI679" s="98">
        <v>5.6099999999999998E-4</v>
      </c>
      <c r="AJ679" s="98">
        <v>4.529E-3</v>
      </c>
      <c r="AK679" s="98">
        <v>6.29E-4</v>
      </c>
      <c r="AL679" s="106"/>
    </row>
    <row r="680" spans="1:38" ht="15" customHeight="1">
      <c r="A680" s="106"/>
      <c r="B680" s="96">
        <v>286</v>
      </c>
      <c r="C680" s="96">
        <v>286</v>
      </c>
      <c r="D680" s="96" t="s">
        <v>1511</v>
      </c>
      <c r="E680" s="96">
        <v>513765859</v>
      </c>
      <c r="F680" s="96" t="s">
        <v>308</v>
      </c>
      <c r="G680" s="96" t="s">
        <v>1817</v>
      </c>
      <c r="H680" s="96" t="s">
        <v>1818</v>
      </c>
      <c r="I680" s="96" t="s">
        <v>320</v>
      </c>
      <c r="J680" s="96" t="s">
        <v>753</v>
      </c>
      <c r="K680" s="96" t="s">
        <v>203</v>
      </c>
      <c r="L680" s="96" t="s">
        <v>203</v>
      </c>
      <c r="M680" s="96" t="s">
        <v>324</v>
      </c>
      <c r="N680" s="96" t="s">
        <v>339</v>
      </c>
      <c r="O680" s="96" t="s">
        <v>463</v>
      </c>
      <c r="P680" s="96" t="s">
        <v>337</v>
      </c>
      <c r="Q680" s="96" t="s">
        <v>1332</v>
      </c>
      <c r="R680" s="96" t="s">
        <v>412</v>
      </c>
      <c r="S680" s="96" t="s">
        <v>406</v>
      </c>
      <c r="T680" s="96" t="s">
        <v>1200</v>
      </c>
      <c r="U680" s="97">
        <v>6.52</v>
      </c>
      <c r="V680" s="100">
        <v>49490</v>
      </c>
      <c r="W680" s="98">
        <v>1.15E-2</v>
      </c>
      <c r="X680" s="98">
        <v>3.9E-2</v>
      </c>
      <c r="Y680" s="96" t="s">
        <v>411</v>
      </c>
      <c r="Z680" s="96"/>
      <c r="AA680" s="97">
        <v>275873.340333</v>
      </c>
      <c r="AB680" s="97">
        <v>1</v>
      </c>
      <c r="AC680" s="97">
        <v>94.98</v>
      </c>
      <c r="AD680" s="97"/>
      <c r="AE680" s="97">
        <v>262.02449799999999</v>
      </c>
      <c r="AF680" s="96"/>
      <c r="AG680" s="96"/>
      <c r="AH680" s="96"/>
      <c r="AI680" s="98">
        <v>5.9999999999999995E-4</v>
      </c>
      <c r="AJ680" s="98">
        <v>9.810000000000001E-4</v>
      </c>
      <c r="AK680" s="98">
        <v>1.36E-4</v>
      </c>
      <c r="AL680" s="106"/>
    </row>
    <row r="681" spans="1:38" ht="15" customHeight="1">
      <c r="A681" s="106"/>
      <c r="B681" s="96">
        <v>286</v>
      </c>
      <c r="C681" s="96">
        <v>286</v>
      </c>
      <c r="D681" s="96" t="s">
        <v>1699</v>
      </c>
      <c r="E681" s="96">
        <v>511809071</v>
      </c>
      <c r="F681" s="96" t="s">
        <v>308</v>
      </c>
      <c r="G681" s="96" t="s">
        <v>1745</v>
      </c>
      <c r="H681" s="96" t="s">
        <v>1746</v>
      </c>
      <c r="I681" s="96" t="s">
        <v>320</v>
      </c>
      <c r="J681" s="96" t="s">
        <v>753</v>
      </c>
      <c r="K681" s="96" t="s">
        <v>203</v>
      </c>
      <c r="L681" s="96" t="s">
        <v>203</v>
      </c>
      <c r="M681" s="96" t="s">
        <v>324</v>
      </c>
      <c r="N681" s="96" t="s">
        <v>339</v>
      </c>
      <c r="O681" s="96" t="s">
        <v>461</v>
      </c>
      <c r="P681" s="96" t="s">
        <v>338</v>
      </c>
      <c r="Q681" s="96" t="s">
        <v>1332</v>
      </c>
      <c r="R681" s="96" t="s">
        <v>412</v>
      </c>
      <c r="S681" s="96" t="s">
        <v>406</v>
      </c>
      <c r="T681" s="96" t="s">
        <v>1200</v>
      </c>
      <c r="U681" s="97">
        <v>3.17</v>
      </c>
      <c r="V681" s="100">
        <v>47889</v>
      </c>
      <c r="W681" s="98">
        <v>2.1999999999999999E-2</v>
      </c>
      <c r="X681" s="98">
        <v>3.1099999999999999E-2</v>
      </c>
      <c r="Y681" s="96" t="s">
        <v>411</v>
      </c>
      <c r="Z681" s="96"/>
      <c r="AA681" s="97">
        <v>452471.98924600001</v>
      </c>
      <c r="AB681" s="97">
        <v>1</v>
      </c>
      <c r="AC681" s="97">
        <v>102.76</v>
      </c>
      <c r="AD681" s="97"/>
      <c r="AE681" s="97">
        <v>464.960216</v>
      </c>
      <c r="AF681" s="96"/>
      <c r="AG681" s="96"/>
      <c r="AH681" s="96"/>
      <c r="AI681" s="98">
        <v>1.289E-3</v>
      </c>
      <c r="AJ681" s="98">
        <v>1.7420000000000001E-3</v>
      </c>
      <c r="AK681" s="98">
        <v>2.42E-4</v>
      </c>
      <c r="AL681" s="106"/>
    </row>
    <row r="682" spans="1:38" ht="15" customHeight="1">
      <c r="A682" s="106"/>
      <c r="B682" s="96">
        <v>286</v>
      </c>
      <c r="C682" s="96">
        <v>286</v>
      </c>
      <c r="D682" s="96" t="s">
        <v>1445</v>
      </c>
      <c r="E682" s="96">
        <v>510381601</v>
      </c>
      <c r="F682" s="96" t="s">
        <v>308</v>
      </c>
      <c r="G682" s="96" t="s">
        <v>1446</v>
      </c>
      <c r="H682" s="96" t="s">
        <v>1447</v>
      </c>
      <c r="I682" s="96" t="s">
        <v>320</v>
      </c>
      <c r="J682" s="96" t="s">
        <v>753</v>
      </c>
      <c r="K682" s="96" t="s">
        <v>203</v>
      </c>
      <c r="L682" s="96" t="s">
        <v>203</v>
      </c>
      <c r="M682" s="96" t="s">
        <v>324</v>
      </c>
      <c r="N682" s="96" t="s">
        <v>339</v>
      </c>
      <c r="O682" s="96" t="s">
        <v>446</v>
      </c>
      <c r="P682" s="96" t="s">
        <v>337</v>
      </c>
      <c r="Q682" s="96" t="s">
        <v>1328</v>
      </c>
      <c r="R682" s="96" t="s">
        <v>412</v>
      </c>
      <c r="S682" s="96" t="s">
        <v>406</v>
      </c>
      <c r="T682" s="96" t="s">
        <v>1200</v>
      </c>
      <c r="U682" s="97">
        <v>5.7</v>
      </c>
      <c r="V682" s="100">
        <v>48579</v>
      </c>
      <c r="W682" s="98">
        <v>4.0800000000000003E-2</v>
      </c>
      <c r="X682" s="98">
        <v>4.2999999999999997E-2</v>
      </c>
      <c r="Y682" s="96" t="s">
        <v>411</v>
      </c>
      <c r="Z682" s="96"/>
      <c r="AA682" s="97">
        <v>38129.612455000002</v>
      </c>
      <c r="AB682" s="97">
        <v>1</v>
      </c>
      <c r="AC682" s="97">
        <v>101.46</v>
      </c>
      <c r="AD682" s="97"/>
      <c r="AE682" s="97">
        <v>38.686304</v>
      </c>
      <c r="AF682" s="96"/>
      <c r="AG682" s="96"/>
      <c r="AH682" s="96"/>
      <c r="AI682" s="98">
        <v>1.08E-4</v>
      </c>
      <c r="AJ682" s="98">
        <v>1.44E-4</v>
      </c>
      <c r="AK682" s="98">
        <v>2.0000000000000002E-5</v>
      </c>
      <c r="AL682" s="106"/>
    </row>
    <row r="683" spans="1:38" ht="15" customHeight="1">
      <c r="A683" s="106"/>
      <c r="B683" s="96">
        <v>286</v>
      </c>
      <c r="C683" s="96">
        <v>286</v>
      </c>
      <c r="D683" s="96" t="s">
        <v>1585</v>
      </c>
      <c r="E683" s="96"/>
      <c r="F683" s="96" t="s">
        <v>308</v>
      </c>
      <c r="G683" s="96" t="s">
        <v>1586</v>
      </c>
      <c r="H683" s="96" t="s">
        <v>1587</v>
      </c>
      <c r="I683" s="96" t="s">
        <v>320</v>
      </c>
      <c r="J683" s="96" t="s">
        <v>753</v>
      </c>
      <c r="K683" s="96" t="s">
        <v>203</v>
      </c>
      <c r="L683" s="96" t="s">
        <v>203</v>
      </c>
      <c r="M683" s="96" t="s">
        <v>324</v>
      </c>
      <c r="N683" s="96" t="s">
        <v>339</v>
      </c>
      <c r="O683" s="96" t="s">
        <v>464</v>
      </c>
      <c r="P683" s="96" t="s">
        <v>338</v>
      </c>
      <c r="Q683" s="96" t="s">
        <v>1520</v>
      </c>
      <c r="R683" s="96" t="s">
        <v>414</v>
      </c>
      <c r="S683" s="96" t="s">
        <v>406</v>
      </c>
      <c r="T683" s="96" t="s">
        <v>1200</v>
      </c>
      <c r="U683" s="97">
        <v>4.28</v>
      </c>
      <c r="V683" s="100">
        <v>47938</v>
      </c>
      <c r="W683" s="98">
        <v>4.3E-3</v>
      </c>
      <c r="X683" s="98">
        <v>4.48E-2</v>
      </c>
      <c r="Y683" s="96" t="s">
        <v>411</v>
      </c>
      <c r="Z683" s="96"/>
      <c r="AA683" s="97">
        <v>26920.421128000002</v>
      </c>
      <c r="AB683" s="97">
        <v>1</v>
      </c>
      <c r="AC683" s="97">
        <v>93.5</v>
      </c>
      <c r="AD683" s="97"/>
      <c r="AE683" s="97">
        <v>25.170593</v>
      </c>
      <c r="AF683" s="96"/>
      <c r="AG683" s="96"/>
      <c r="AH683" s="96"/>
      <c r="AI683" s="98">
        <v>4.3000000000000002E-5</v>
      </c>
      <c r="AJ683" s="98">
        <v>9.3999999999999994E-5</v>
      </c>
      <c r="AK683" s="98">
        <v>1.2999999999999999E-5</v>
      </c>
      <c r="AL683" s="106"/>
    </row>
    <row r="684" spans="1:38" ht="15" customHeight="1">
      <c r="A684" s="106"/>
      <c r="B684" s="96">
        <v>286</v>
      </c>
      <c r="C684" s="96">
        <v>286</v>
      </c>
      <c r="D684" s="96" t="s">
        <v>1427</v>
      </c>
      <c r="E684" s="96">
        <v>520031931</v>
      </c>
      <c r="F684" s="96" t="s">
        <v>308</v>
      </c>
      <c r="G684" s="96" t="s">
        <v>1831</v>
      </c>
      <c r="H684" s="96" t="s">
        <v>1832</v>
      </c>
      <c r="I684" s="96" t="s">
        <v>320</v>
      </c>
      <c r="J684" s="96" t="s">
        <v>952</v>
      </c>
      <c r="K684" s="96" t="s">
        <v>203</v>
      </c>
      <c r="L684" s="96" t="s">
        <v>203</v>
      </c>
      <c r="M684" s="96" t="s">
        <v>324</v>
      </c>
      <c r="N684" s="96" t="s">
        <v>339</v>
      </c>
      <c r="O684" s="96" t="s">
        <v>483</v>
      </c>
      <c r="P684" s="96" t="s">
        <v>338</v>
      </c>
      <c r="Q684" s="96" t="s">
        <v>1336</v>
      </c>
      <c r="R684" s="96" t="s">
        <v>414</v>
      </c>
      <c r="S684" s="96" t="s">
        <v>406</v>
      </c>
      <c r="T684" s="96" t="s">
        <v>1200</v>
      </c>
      <c r="U684" s="97">
        <v>8.09</v>
      </c>
      <c r="V684" s="100">
        <v>49644</v>
      </c>
      <c r="W684" s="98">
        <v>2.7900000000000001E-2</v>
      </c>
      <c r="X684" s="98">
        <v>5.8900000000000001E-2</v>
      </c>
      <c r="Y684" s="96" t="s">
        <v>411</v>
      </c>
      <c r="Z684" s="96"/>
      <c r="AA684" s="97">
        <v>1225759.6689820001</v>
      </c>
      <c r="AB684" s="97">
        <v>1</v>
      </c>
      <c r="AC684" s="97">
        <v>78.680000000000007</v>
      </c>
      <c r="AD684" s="97"/>
      <c r="AE684" s="97">
        <v>964.42770700000005</v>
      </c>
      <c r="AF684" s="96"/>
      <c r="AG684" s="96"/>
      <c r="AH684" s="96"/>
      <c r="AI684" s="98">
        <v>1.421E-3</v>
      </c>
      <c r="AJ684" s="98">
        <v>3.6129999999999999E-3</v>
      </c>
      <c r="AK684" s="98">
        <v>5.0199999999999995E-4</v>
      </c>
      <c r="AL684" s="106"/>
    </row>
    <row r="685" spans="1:38" ht="15" customHeight="1">
      <c r="A685" s="106"/>
      <c r="B685" s="96">
        <v>286</v>
      </c>
      <c r="C685" s="96">
        <v>286</v>
      </c>
      <c r="D685" s="96" t="s">
        <v>1747</v>
      </c>
      <c r="E685" s="96">
        <v>512832742</v>
      </c>
      <c r="F685" s="96" t="s">
        <v>308</v>
      </c>
      <c r="G685" s="96" t="s">
        <v>1748</v>
      </c>
      <c r="H685" s="96" t="s">
        <v>1749</v>
      </c>
      <c r="I685" s="96" t="s">
        <v>320</v>
      </c>
      <c r="J685" s="96" t="s">
        <v>952</v>
      </c>
      <c r="K685" s="96" t="s">
        <v>203</v>
      </c>
      <c r="L685" s="96" t="s">
        <v>203</v>
      </c>
      <c r="M685" s="96" t="s">
        <v>324</v>
      </c>
      <c r="N685" s="96" t="s">
        <v>339</v>
      </c>
      <c r="O685" s="96" t="s">
        <v>483</v>
      </c>
      <c r="P685" s="96" t="s">
        <v>338</v>
      </c>
      <c r="Q685" s="96" t="s">
        <v>1309</v>
      </c>
      <c r="R685" s="96" t="s">
        <v>414</v>
      </c>
      <c r="S685" s="96" t="s">
        <v>406</v>
      </c>
      <c r="T685" s="96" t="s">
        <v>1200</v>
      </c>
      <c r="U685" s="97">
        <v>2.33</v>
      </c>
      <c r="V685" s="100">
        <v>46356</v>
      </c>
      <c r="W685" s="98">
        <v>3.6499999999999998E-2</v>
      </c>
      <c r="X685" s="98">
        <v>5.8000000000000003E-2</v>
      </c>
      <c r="Y685" s="96" t="s">
        <v>411</v>
      </c>
      <c r="Z685" s="96"/>
      <c r="AA685" s="97">
        <v>522910.97000099998</v>
      </c>
      <c r="AB685" s="97">
        <v>1</v>
      </c>
      <c r="AC685" s="97">
        <v>95.7</v>
      </c>
      <c r="AD685" s="97"/>
      <c r="AE685" s="97">
        <v>500.42579799999999</v>
      </c>
      <c r="AF685" s="96"/>
      <c r="AG685" s="96"/>
      <c r="AH685" s="96"/>
      <c r="AI685" s="98">
        <v>2.5999999999999998E-4</v>
      </c>
      <c r="AJ685" s="98">
        <v>1.8749999999999999E-3</v>
      </c>
      <c r="AK685" s="98">
        <v>2.5999999999999998E-4</v>
      </c>
      <c r="AL685" s="106"/>
    </row>
    <row r="686" spans="1:38" ht="15" customHeight="1">
      <c r="A686" s="106"/>
      <c r="B686" s="96">
        <v>286</v>
      </c>
      <c r="C686" s="96">
        <v>286</v>
      </c>
      <c r="D686" s="96" t="s">
        <v>1511</v>
      </c>
      <c r="E686" s="96">
        <v>513765859</v>
      </c>
      <c r="F686" s="96" t="s">
        <v>308</v>
      </c>
      <c r="G686" s="96" t="s">
        <v>1512</v>
      </c>
      <c r="H686" s="96" t="s">
        <v>1513</v>
      </c>
      <c r="I686" s="96" t="s">
        <v>320</v>
      </c>
      <c r="J686" s="96" t="s">
        <v>753</v>
      </c>
      <c r="K686" s="96" t="s">
        <v>203</v>
      </c>
      <c r="L686" s="96" t="s">
        <v>203</v>
      </c>
      <c r="M686" s="96" t="s">
        <v>324</v>
      </c>
      <c r="N686" s="96" t="s">
        <v>339</v>
      </c>
      <c r="O686" s="96" t="s">
        <v>463</v>
      </c>
      <c r="P686" s="96" t="s">
        <v>337</v>
      </c>
      <c r="Q686" s="96" t="s">
        <v>1313</v>
      </c>
      <c r="R686" s="96" t="s">
        <v>412</v>
      </c>
      <c r="S686" s="96" t="s">
        <v>406</v>
      </c>
      <c r="T686" s="96" t="s">
        <v>1200</v>
      </c>
      <c r="U686" s="97">
        <v>1.41</v>
      </c>
      <c r="V686" s="100">
        <v>46356</v>
      </c>
      <c r="W686" s="98">
        <v>1.6E-2</v>
      </c>
      <c r="X686" s="98">
        <v>2.6599999999999999E-2</v>
      </c>
      <c r="Y686" s="96" t="s">
        <v>411</v>
      </c>
      <c r="Z686" s="96"/>
      <c r="AA686" s="97">
        <v>44043.738611000001</v>
      </c>
      <c r="AB686" s="97">
        <v>1</v>
      </c>
      <c r="AC686" s="97">
        <v>113.63</v>
      </c>
      <c r="AD686" s="97"/>
      <c r="AE686" s="97">
        <v>50.046900000000001</v>
      </c>
      <c r="AF686" s="96"/>
      <c r="AG686" s="96"/>
      <c r="AH686" s="96"/>
      <c r="AI686" s="98">
        <v>1.13E-4</v>
      </c>
      <c r="AJ686" s="98">
        <v>1.8699999999999999E-4</v>
      </c>
      <c r="AK686" s="98">
        <v>2.5999999999999998E-5</v>
      </c>
      <c r="AL686" s="106"/>
    </row>
    <row r="687" spans="1:38" ht="15" customHeight="1">
      <c r="A687" s="106"/>
      <c r="B687" s="96">
        <v>286</v>
      </c>
      <c r="C687" s="96">
        <v>286</v>
      </c>
      <c r="D687" s="96" t="s">
        <v>1373</v>
      </c>
      <c r="E687" s="96">
        <v>1476</v>
      </c>
      <c r="F687" s="96" t="s">
        <v>80</v>
      </c>
      <c r="G687" s="96" t="s">
        <v>1443</v>
      </c>
      <c r="H687" s="96" t="s">
        <v>1444</v>
      </c>
      <c r="I687" s="96" t="s">
        <v>320</v>
      </c>
      <c r="J687" s="96" t="s">
        <v>753</v>
      </c>
      <c r="K687" s="96" t="s">
        <v>203</v>
      </c>
      <c r="L687" s="96" t="s">
        <v>298</v>
      </c>
      <c r="M687" s="96" t="s">
        <v>324</v>
      </c>
      <c r="N687" s="96" t="s">
        <v>339</v>
      </c>
      <c r="O687" s="96" t="s">
        <v>446</v>
      </c>
      <c r="P687" s="96" t="s">
        <v>338</v>
      </c>
      <c r="Q687" s="96" t="s">
        <v>409</v>
      </c>
      <c r="R687" s="96" t="s">
        <v>409</v>
      </c>
      <c r="S687" s="96" t="s">
        <v>409</v>
      </c>
      <c r="T687" s="96" t="s">
        <v>1200</v>
      </c>
      <c r="U687" s="97">
        <v>2.35</v>
      </c>
      <c r="V687" s="100">
        <v>45658</v>
      </c>
      <c r="W687" s="98">
        <v>0.06</v>
      </c>
      <c r="X687" s="98">
        <v>9.99</v>
      </c>
      <c r="Y687" s="96" t="s">
        <v>411</v>
      </c>
      <c r="Z687" s="96"/>
      <c r="AA687" s="97">
        <v>40831.918771999997</v>
      </c>
      <c r="AB687" s="97">
        <v>1</v>
      </c>
      <c r="AC687" s="97">
        <v>12.55</v>
      </c>
      <c r="AD687" s="97"/>
      <c r="AE687" s="97">
        <v>5.1244050000000003</v>
      </c>
      <c r="AF687" s="96"/>
      <c r="AG687" s="96"/>
      <c r="AH687" s="96"/>
      <c r="AI687" s="98">
        <v>3.4600000000000001E-4</v>
      </c>
      <c r="AJ687" s="98">
        <v>1.9000000000000001E-5</v>
      </c>
      <c r="AK687" s="98">
        <v>1.9999999999999999E-6</v>
      </c>
      <c r="AL687" s="106"/>
    </row>
    <row r="688" spans="1:38" ht="15" customHeight="1">
      <c r="A688" s="106"/>
      <c r="B688" s="96">
        <v>286</v>
      </c>
      <c r="C688" s="96">
        <v>286</v>
      </c>
      <c r="D688" s="96" t="s">
        <v>1421</v>
      </c>
      <c r="E688" s="96">
        <v>520026683</v>
      </c>
      <c r="F688" s="96" t="s">
        <v>308</v>
      </c>
      <c r="G688" s="96" t="s">
        <v>1422</v>
      </c>
      <c r="H688" s="96" t="s">
        <v>1423</v>
      </c>
      <c r="I688" s="96" t="s">
        <v>320</v>
      </c>
      <c r="J688" s="96" t="s">
        <v>753</v>
      </c>
      <c r="K688" s="96" t="s">
        <v>203</v>
      </c>
      <c r="L688" s="96" t="s">
        <v>203</v>
      </c>
      <c r="M688" s="96" t="s">
        <v>324</v>
      </c>
      <c r="N688" s="96" t="s">
        <v>339</v>
      </c>
      <c r="O688" s="96" t="s">
        <v>463</v>
      </c>
      <c r="P688" s="96" t="s">
        <v>338</v>
      </c>
      <c r="Q688" s="96" t="s">
        <v>1336</v>
      </c>
      <c r="R688" s="96" t="s">
        <v>414</v>
      </c>
      <c r="S688" s="96" t="s">
        <v>406</v>
      </c>
      <c r="T688" s="96" t="s">
        <v>1200</v>
      </c>
      <c r="U688" s="97">
        <v>5.81</v>
      </c>
      <c r="V688" s="100">
        <v>48218</v>
      </c>
      <c r="W688" s="98">
        <v>9.1999999999999998E-3</v>
      </c>
      <c r="X688" s="98">
        <v>3.5099999999999999E-2</v>
      </c>
      <c r="Y688" s="96" t="s">
        <v>411</v>
      </c>
      <c r="Z688" s="96"/>
      <c r="AA688" s="97">
        <v>1620123.1873880001</v>
      </c>
      <c r="AB688" s="97">
        <v>1</v>
      </c>
      <c r="AC688" s="97">
        <v>98.59</v>
      </c>
      <c r="AD688" s="97"/>
      <c r="AE688" s="97">
        <v>1597.27945</v>
      </c>
      <c r="AF688" s="96"/>
      <c r="AG688" s="96"/>
      <c r="AH688" s="96"/>
      <c r="AI688" s="98">
        <v>6.2600000000000004E-4</v>
      </c>
      <c r="AJ688" s="98">
        <v>5.9849999999999999E-3</v>
      </c>
      <c r="AK688" s="98">
        <v>8.3100000000000003E-4</v>
      </c>
      <c r="AL688" s="106"/>
    </row>
    <row r="689" spans="1:38" ht="15" customHeight="1">
      <c r="A689" s="106"/>
      <c r="B689" s="96">
        <v>286</v>
      </c>
      <c r="C689" s="96">
        <v>286</v>
      </c>
      <c r="D689" s="96" t="s">
        <v>1462</v>
      </c>
      <c r="E689" s="96">
        <v>520000472</v>
      </c>
      <c r="F689" s="96" t="s">
        <v>308</v>
      </c>
      <c r="G689" s="96" t="s">
        <v>1482</v>
      </c>
      <c r="H689" s="96" t="s">
        <v>1483</v>
      </c>
      <c r="I689" s="96" t="s">
        <v>320</v>
      </c>
      <c r="J689" s="96" t="s">
        <v>753</v>
      </c>
      <c r="K689" s="96" t="s">
        <v>203</v>
      </c>
      <c r="L689" s="96" t="s">
        <v>203</v>
      </c>
      <c r="M689" s="96" t="s">
        <v>324</v>
      </c>
      <c r="N689" s="96" t="s">
        <v>339</v>
      </c>
      <c r="O689" s="96" t="s">
        <v>439</v>
      </c>
      <c r="P689" s="96" t="s">
        <v>338</v>
      </c>
      <c r="Q689" s="96" t="s">
        <v>1301</v>
      </c>
      <c r="R689" s="96" t="s">
        <v>414</v>
      </c>
      <c r="S689" s="96" t="s">
        <v>406</v>
      </c>
      <c r="T689" s="96" t="s">
        <v>1200</v>
      </c>
      <c r="U689" s="97">
        <v>10.65</v>
      </c>
      <c r="V689" s="100">
        <v>50203</v>
      </c>
      <c r="W689" s="98">
        <v>3.2000000000000001E-2</v>
      </c>
      <c r="X689" s="98">
        <v>3.5200000000000002E-2</v>
      </c>
      <c r="Y689" s="96" t="s">
        <v>411</v>
      </c>
      <c r="Z689" s="96"/>
      <c r="AA689" s="97">
        <v>1036787.2879690001</v>
      </c>
      <c r="AB689" s="97">
        <v>1</v>
      </c>
      <c r="AC689" s="97">
        <v>100</v>
      </c>
      <c r="AD689" s="97"/>
      <c r="AE689" s="97">
        <v>1036.7872870000001</v>
      </c>
      <c r="AF689" s="96"/>
      <c r="AG689" s="96"/>
      <c r="AH689" s="96"/>
      <c r="AI689" s="98">
        <v>3.3199999999999999E-4</v>
      </c>
      <c r="AJ689" s="98">
        <v>3.8839999999999999E-3</v>
      </c>
      <c r="AK689" s="98">
        <v>5.3899999999999998E-4</v>
      </c>
      <c r="AL689" s="106"/>
    </row>
    <row r="690" spans="1:38" ht="15" customHeight="1">
      <c r="A690" s="106"/>
      <c r="B690" s="96">
        <v>286</v>
      </c>
      <c r="C690" s="96">
        <v>286</v>
      </c>
      <c r="D690" s="96" t="s">
        <v>1203</v>
      </c>
      <c r="E690" s="96">
        <v>520000118</v>
      </c>
      <c r="F690" s="96" t="s">
        <v>308</v>
      </c>
      <c r="G690" s="96" t="s">
        <v>1470</v>
      </c>
      <c r="H690" s="96" t="s">
        <v>1471</v>
      </c>
      <c r="I690" s="96" t="s">
        <v>320</v>
      </c>
      <c r="J690" s="96" t="s">
        <v>753</v>
      </c>
      <c r="K690" s="96" t="s">
        <v>203</v>
      </c>
      <c r="L690" s="96" t="s">
        <v>203</v>
      </c>
      <c r="M690" s="96" t="s">
        <v>324</v>
      </c>
      <c r="N690" s="96" t="s">
        <v>339</v>
      </c>
      <c r="O690" s="96" t="s">
        <v>447</v>
      </c>
      <c r="P690" s="96" t="s">
        <v>338</v>
      </c>
      <c r="Q690" s="96" t="s">
        <v>1211</v>
      </c>
      <c r="R690" s="96" t="s">
        <v>414</v>
      </c>
      <c r="S690" s="96" t="s">
        <v>406</v>
      </c>
      <c r="T690" s="96" t="s">
        <v>1200</v>
      </c>
      <c r="U690" s="97">
        <v>4.16</v>
      </c>
      <c r="V690" s="100">
        <v>48547</v>
      </c>
      <c r="W690" s="98">
        <v>1.3899999999999999E-2</v>
      </c>
      <c r="X690" s="98">
        <v>2.5100000000000001E-2</v>
      </c>
      <c r="Y690" s="96" t="s">
        <v>411</v>
      </c>
      <c r="Z690" s="96"/>
      <c r="AA690" s="97">
        <v>641947.13447799999</v>
      </c>
      <c r="AB690" s="97">
        <v>1</v>
      </c>
      <c r="AC690" s="97">
        <v>101.46</v>
      </c>
      <c r="AD690" s="97"/>
      <c r="AE690" s="97">
        <v>651.31956200000002</v>
      </c>
      <c r="AF690" s="96"/>
      <c r="AG690" s="96"/>
      <c r="AH690" s="96"/>
      <c r="AI690" s="98">
        <v>3.5599999999999998E-4</v>
      </c>
      <c r="AJ690" s="98">
        <v>2.4399999999999999E-3</v>
      </c>
      <c r="AK690" s="98">
        <v>3.39E-4</v>
      </c>
      <c r="AL690" s="106"/>
    </row>
    <row r="691" spans="1:38" ht="15" customHeight="1">
      <c r="A691" s="106"/>
      <c r="B691" s="96">
        <v>286</v>
      </c>
      <c r="C691" s="96">
        <v>286</v>
      </c>
      <c r="D691" s="96" t="s">
        <v>1298</v>
      </c>
      <c r="E691" s="96">
        <v>510960719</v>
      </c>
      <c r="F691" s="96" t="s">
        <v>308</v>
      </c>
      <c r="G691" s="96" t="s">
        <v>1299</v>
      </c>
      <c r="H691" s="96" t="s">
        <v>1300</v>
      </c>
      <c r="I691" s="96" t="s">
        <v>320</v>
      </c>
      <c r="J691" s="96" t="s">
        <v>753</v>
      </c>
      <c r="K691" s="96" t="s">
        <v>203</v>
      </c>
      <c r="L691" s="96" t="s">
        <v>203</v>
      </c>
      <c r="M691" s="96" t="s">
        <v>324</v>
      </c>
      <c r="N691" s="96" t="s">
        <v>339</v>
      </c>
      <c r="O691" s="96" t="s">
        <v>463</v>
      </c>
      <c r="P691" s="96" t="s">
        <v>338</v>
      </c>
      <c r="Q691" s="96" t="s">
        <v>1301</v>
      </c>
      <c r="R691" s="96" t="s">
        <v>414</v>
      </c>
      <c r="S691" s="96" t="s">
        <v>406</v>
      </c>
      <c r="T691" s="96" t="s">
        <v>1200</v>
      </c>
      <c r="U691" s="97">
        <v>3.14</v>
      </c>
      <c r="V691" s="100">
        <v>47669</v>
      </c>
      <c r="W691" s="98">
        <v>1.34E-2</v>
      </c>
      <c r="X691" s="98">
        <v>2.7799999999999998E-2</v>
      </c>
      <c r="Y691" s="96" t="s">
        <v>411</v>
      </c>
      <c r="Z691" s="96"/>
      <c r="AA691" s="97">
        <v>1898954.3722329999</v>
      </c>
      <c r="AB691" s="97">
        <v>1</v>
      </c>
      <c r="AC691" s="97">
        <v>110</v>
      </c>
      <c r="AD691" s="97">
        <v>182.00369599999999</v>
      </c>
      <c r="AE691" s="97">
        <v>2270.853505</v>
      </c>
      <c r="AF691" s="96"/>
      <c r="AG691" s="96"/>
      <c r="AH691" s="96"/>
      <c r="AI691" s="98">
        <v>7.1599999999999995E-4</v>
      </c>
      <c r="AJ691" s="98">
        <v>8.5079999999999999E-3</v>
      </c>
      <c r="AK691" s="98">
        <v>1.181E-3</v>
      </c>
      <c r="AL691" s="106"/>
    </row>
    <row r="692" spans="1:38" ht="15" customHeight="1">
      <c r="A692" s="106"/>
      <c r="B692" s="96">
        <v>286</v>
      </c>
      <c r="C692" s="96">
        <v>286</v>
      </c>
      <c r="D692" s="96" t="s">
        <v>1477</v>
      </c>
      <c r="E692" s="96">
        <v>520029935</v>
      </c>
      <c r="F692" s="96" t="s">
        <v>308</v>
      </c>
      <c r="G692" s="96" t="s">
        <v>2035</v>
      </c>
      <c r="H692" s="96" t="s">
        <v>2036</v>
      </c>
      <c r="I692" s="96" t="s">
        <v>320</v>
      </c>
      <c r="J692" s="96" t="s">
        <v>753</v>
      </c>
      <c r="K692" s="96" t="s">
        <v>203</v>
      </c>
      <c r="L692" s="96" t="s">
        <v>203</v>
      </c>
      <c r="M692" s="96" t="s">
        <v>324</v>
      </c>
      <c r="N692" s="96" t="s">
        <v>339</v>
      </c>
      <c r="O692" s="96" t="s">
        <v>447</v>
      </c>
      <c r="P692" s="96" t="s">
        <v>338</v>
      </c>
      <c r="Q692" s="96" t="s">
        <v>1211</v>
      </c>
      <c r="R692" s="96" t="s">
        <v>414</v>
      </c>
      <c r="S692" s="96" t="s">
        <v>406</v>
      </c>
      <c r="T692" s="96" t="s">
        <v>1200</v>
      </c>
      <c r="U692" s="97">
        <v>3.96</v>
      </c>
      <c r="V692" s="100">
        <v>48441</v>
      </c>
      <c r="W692" s="98">
        <v>2E-3</v>
      </c>
      <c r="X692" s="98">
        <v>2.58E-2</v>
      </c>
      <c r="Y692" s="96" t="s">
        <v>411</v>
      </c>
      <c r="Z692" s="96"/>
      <c r="AA692" s="97">
        <v>2311416.2193590002</v>
      </c>
      <c r="AB692" s="97">
        <v>1</v>
      </c>
      <c r="AC692" s="97">
        <v>100.85</v>
      </c>
      <c r="AD692" s="97"/>
      <c r="AE692" s="97">
        <v>2331.0632569999998</v>
      </c>
      <c r="AF692" s="96"/>
      <c r="AG692" s="96"/>
      <c r="AH692" s="96"/>
      <c r="AI692" s="98">
        <v>5.9800000000000001E-4</v>
      </c>
      <c r="AJ692" s="98">
        <v>8.7340000000000004E-3</v>
      </c>
      <c r="AK692" s="98">
        <v>1.2130000000000001E-3</v>
      </c>
      <c r="AL692" s="106"/>
    </row>
    <row r="693" spans="1:38" ht="15" customHeight="1">
      <c r="A693" s="106"/>
      <c r="B693" s="96">
        <v>286</v>
      </c>
      <c r="C693" s="96">
        <v>286</v>
      </c>
      <c r="D693" s="96" t="s">
        <v>1203</v>
      </c>
      <c r="E693" s="96">
        <v>520000118</v>
      </c>
      <c r="F693" s="96" t="s">
        <v>308</v>
      </c>
      <c r="G693" s="96" t="s">
        <v>1397</v>
      </c>
      <c r="H693" s="96" t="s">
        <v>1398</v>
      </c>
      <c r="I693" s="96" t="s">
        <v>320</v>
      </c>
      <c r="J693" s="96" t="s">
        <v>753</v>
      </c>
      <c r="K693" s="96" t="s">
        <v>203</v>
      </c>
      <c r="L693" s="96" t="s">
        <v>203</v>
      </c>
      <c r="M693" s="96" t="s">
        <v>324</v>
      </c>
      <c r="N693" s="96" t="s">
        <v>339</v>
      </c>
      <c r="O693" s="96" t="s">
        <v>447</v>
      </c>
      <c r="P693" s="96" t="s">
        <v>338</v>
      </c>
      <c r="Q693" s="96" t="s">
        <v>1332</v>
      </c>
      <c r="R693" s="96" t="s">
        <v>412</v>
      </c>
      <c r="S693" s="96" t="s">
        <v>406</v>
      </c>
      <c r="T693" s="96" t="s">
        <v>1200</v>
      </c>
      <c r="U693" s="97">
        <v>1.85</v>
      </c>
      <c r="V693" s="100">
        <v>46159</v>
      </c>
      <c r="W693" s="98">
        <v>2.5899999999999999E-2</v>
      </c>
      <c r="X693" s="98">
        <v>2.6499999999999999E-2</v>
      </c>
      <c r="Y693" s="96" t="s">
        <v>410</v>
      </c>
      <c r="Z693" s="96"/>
      <c r="AA693" s="97">
        <v>913601.35856299999</v>
      </c>
      <c r="AB693" s="97">
        <v>1</v>
      </c>
      <c r="AC693" s="97">
        <v>113.54</v>
      </c>
      <c r="AD693" s="97"/>
      <c r="AE693" s="97">
        <v>1037.3029819999999</v>
      </c>
      <c r="AF693" s="96"/>
      <c r="AG693" s="96"/>
      <c r="AH693" s="96"/>
      <c r="AI693" s="98">
        <v>8.6499999999999999E-4</v>
      </c>
      <c r="AJ693" s="98">
        <v>3.8860000000000001E-3</v>
      </c>
      <c r="AK693" s="98">
        <v>5.4000000000000001E-4</v>
      </c>
      <c r="AL693" s="106"/>
    </row>
    <row r="694" spans="1:38" ht="15" customHeight="1">
      <c r="A694" s="106"/>
      <c r="B694" s="96">
        <v>286</v>
      </c>
      <c r="C694" s="96">
        <v>286</v>
      </c>
      <c r="D694" s="96" t="s">
        <v>1302</v>
      </c>
      <c r="E694" s="96">
        <v>513623314</v>
      </c>
      <c r="F694" s="96" t="s">
        <v>308</v>
      </c>
      <c r="G694" s="96" t="s">
        <v>1953</v>
      </c>
      <c r="H694" s="96" t="s">
        <v>1954</v>
      </c>
      <c r="I694" s="96" t="s">
        <v>320</v>
      </c>
      <c r="J694" s="96" t="s">
        <v>753</v>
      </c>
      <c r="K694" s="96" t="s">
        <v>203</v>
      </c>
      <c r="L694" s="96" t="s">
        <v>203</v>
      </c>
      <c r="M694" s="96" t="s">
        <v>324</v>
      </c>
      <c r="N694" s="96" t="s">
        <v>339</v>
      </c>
      <c r="O694" s="96" t="s">
        <v>463</v>
      </c>
      <c r="P694" s="96" t="s">
        <v>337</v>
      </c>
      <c r="Q694" s="96" t="s">
        <v>1313</v>
      </c>
      <c r="R694" s="96" t="s">
        <v>412</v>
      </c>
      <c r="S694" s="96" t="s">
        <v>406</v>
      </c>
      <c r="T694" s="96" t="s">
        <v>1200</v>
      </c>
      <c r="U694" s="97">
        <v>3.63</v>
      </c>
      <c r="V694" s="100">
        <v>46993</v>
      </c>
      <c r="W694" s="98">
        <v>6.8999999999999999E-3</v>
      </c>
      <c r="X694" s="98">
        <v>2.87E-2</v>
      </c>
      <c r="Y694" s="96" t="s">
        <v>411</v>
      </c>
      <c r="Z694" s="96"/>
      <c r="AA694" s="97">
        <v>307027.73821899999</v>
      </c>
      <c r="AB694" s="97">
        <v>1</v>
      </c>
      <c r="AC694" s="97">
        <v>105.27</v>
      </c>
      <c r="AD694" s="97"/>
      <c r="AE694" s="97">
        <v>323.2081</v>
      </c>
      <c r="AF694" s="96"/>
      <c r="AG694" s="96"/>
      <c r="AH694" s="96"/>
      <c r="AI694" s="98">
        <v>1.585E-3</v>
      </c>
      <c r="AJ694" s="98">
        <v>1.2110000000000001E-3</v>
      </c>
      <c r="AK694" s="98">
        <v>1.6799999999999999E-4</v>
      </c>
      <c r="AL694" s="106"/>
    </row>
    <row r="695" spans="1:38" ht="15" customHeight="1">
      <c r="A695" s="106"/>
      <c r="B695" s="96">
        <v>286</v>
      </c>
      <c r="C695" s="96">
        <v>286</v>
      </c>
      <c r="D695" s="96" t="s">
        <v>1302</v>
      </c>
      <c r="E695" s="96">
        <v>513623314</v>
      </c>
      <c r="F695" s="96" t="s">
        <v>308</v>
      </c>
      <c r="G695" s="96" t="s">
        <v>2056</v>
      </c>
      <c r="H695" s="96" t="s">
        <v>2057</v>
      </c>
      <c r="I695" s="96" t="s">
        <v>320</v>
      </c>
      <c r="J695" s="96" t="s">
        <v>753</v>
      </c>
      <c r="K695" s="96" t="s">
        <v>203</v>
      </c>
      <c r="L695" s="96" t="s">
        <v>203</v>
      </c>
      <c r="M695" s="96" t="s">
        <v>324</v>
      </c>
      <c r="N695" s="96" t="s">
        <v>339</v>
      </c>
      <c r="O695" s="96" t="s">
        <v>463</v>
      </c>
      <c r="P695" s="96" t="s">
        <v>337</v>
      </c>
      <c r="Q695" s="96" t="s">
        <v>1313</v>
      </c>
      <c r="R695" s="96" t="s">
        <v>412</v>
      </c>
      <c r="S695" s="96" t="s">
        <v>406</v>
      </c>
      <c r="T695" s="96" t="s">
        <v>1200</v>
      </c>
      <c r="U695" s="97">
        <v>3.15</v>
      </c>
      <c r="V695" s="100">
        <v>46680</v>
      </c>
      <c r="W695" s="98">
        <v>1.8200000000000001E-2</v>
      </c>
      <c r="X695" s="98">
        <v>2.7199999999999998E-2</v>
      </c>
      <c r="Y695" s="96" t="s">
        <v>411</v>
      </c>
      <c r="Z695" s="96"/>
      <c r="AA695" s="97">
        <v>258721.88054000001</v>
      </c>
      <c r="AB695" s="97">
        <v>1</v>
      </c>
      <c r="AC695" s="97">
        <v>110.75</v>
      </c>
      <c r="AD695" s="97"/>
      <c r="AE695" s="97">
        <v>286.53448200000003</v>
      </c>
      <c r="AF695" s="96"/>
      <c r="AG695" s="96"/>
      <c r="AH695" s="96"/>
      <c r="AI695" s="98">
        <v>5.1599999999999997E-4</v>
      </c>
      <c r="AJ695" s="98">
        <v>1.073E-3</v>
      </c>
      <c r="AK695" s="98">
        <v>1.4899999999999999E-4</v>
      </c>
      <c r="AL695" s="106"/>
    </row>
    <row r="696" spans="1:38" ht="15" customHeight="1">
      <c r="A696" s="106"/>
      <c r="B696" s="96">
        <v>286</v>
      </c>
      <c r="C696" s="96">
        <v>286</v>
      </c>
      <c r="D696" s="96" t="s">
        <v>1343</v>
      </c>
      <c r="E696" s="96">
        <v>514290345</v>
      </c>
      <c r="F696" s="96" t="s">
        <v>308</v>
      </c>
      <c r="G696" s="96" t="s">
        <v>1344</v>
      </c>
      <c r="H696" s="96" t="s">
        <v>1345</v>
      </c>
      <c r="I696" s="96" t="s">
        <v>320</v>
      </c>
      <c r="J696" s="96" t="s">
        <v>952</v>
      </c>
      <c r="K696" s="96" t="s">
        <v>203</v>
      </c>
      <c r="L696" s="96" t="s">
        <v>203</v>
      </c>
      <c r="M696" s="96" t="s">
        <v>324</v>
      </c>
      <c r="N696" s="96" t="s">
        <v>339</v>
      </c>
      <c r="O696" s="96" t="s">
        <v>444</v>
      </c>
      <c r="P696" s="96" t="s">
        <v>338</v>
      </c>
      <c r="Q696" s="96" t="s">
        <v>1305</v>
      </c>
      <c r="R696" s="96" t="s">
        <v>414</v>
      </c>
      <c r="S696" s="96" t="s">
        <v>406</v>
      </c>
      <c r="T696" s="96" t="s">
        <v>1200</v>
      </c>
      <c r="U696" s="97">
        <v>5.24</v>
      </c>
      <c r="V696" s="100">
        <v>47664</v>
      </c>
      <c r="W696" s="98">
        <v>4.6899999999999997E-2</v>
      </c>
      <c r="X696" s="98">
        <v>5.7500000000000002E-2</v>
      </c>
      <c r="Y696" s="96" t="s">
        <v>411</v>
      </c>
      <c r="Z696" s="96"/>
      <c r="AA696" s="97">
        <v>266742.29905899998</v>
      </c>
      <c r="AB696" s="97">
        <v>1</v>
      </c>
      <c r="AC696" s="97">
        <v>95.24</v>
      </c>
      <c r="AD696" s="97"/>
      <c r="AE696" s="97">
        <v>254.045365</v>
      </c>
      <c r="AF696" s="96"/>
      <c r="AG696" s="96"/>
      <c r="AH696" s="96"/>
      <c r="AI696" s="98">
        <v>5.3300000000000005E-4</v>
      </c>
      <c r="AJ696" s="98">
        <v>9.5100000000000002E-4</v>
      </c>
      <c r="AK696" s="98">
        <v>1.3200000000000001E-4</v>
      </c>
      <c r="AL696" s="106"/>
    </row>
    <row r="697" spans="1:38" ht="15" customHeight="1">
      <c r="A697" s="106"/>
      <c r="B697" s="96">
        <v>286</v>
      </c>
      <c r="C697" s="96">
        <v>286</v>
      </c>
      <c r="D697" s="96" t="s">
        <v>1379</v>
      </c>
      <c r="E697" s="96">
        <v>510454333</v>
      </c>
      <c r="F697" s="96" t="s">
        <v>308</v>
      </c>
      <c r="G697" s="96" t="s">
        <v>1380</v>
      </c>
      <c r="H697" s="96" t="s">
        <v>1381</v>
      </c>
      <c r="I697" s="96" t="s">
        <v>320</v>
      </c>
      <c r="J697" s="96" t="s">
        <v>753</v>
      </c>
      <c r="K697" s="96" t="s">
        <v>203</v>
      </c>
      <c r="L697" s="96" t="s">
        <v>203</v>
      </c>
      <c r="M697" s="96" t="s">
        <v>324</v>
      </c>
      <c r="N697" s="96" t="s">
        <v>339</v>
      </c>
      <c r="O697" s="96" t="s">
        <v>476</v>
      </c>
      <c r="P697" s="96" t="s">
        <v>338</v>
      </c>
      <c r="Q697" s="96" t="s">
        <v>1320</v>
      </c>
      <c r="R697" s="96" t="s">
        <v>412</v>
      </c>
      <c r="S697" s="96" t="s">
        <v>406</v>
      </c>
      <c r="T697" s="96" t="s">
        <v>1200</v>
      </c>
      <c r="U697" s="97">
        <v>2.73</v>
      </c>
      <c r="V697" s="100">
        <v>47391</v>
      </c>
      <c r="W697" s="98">
        <v>3.2300000000000002E-2</v>
      </c>
      <c r="X697" s="98">
        <v>3.32E-2</v>
      </c>
      <c r="Y697" s="96" t="s">
        <v>411</v>
      </c>
      <c r="Z697" s="96"/>
      <c r="AA697" s="97">
        <v>418005.118281</v>
      </c>
      <c r="AB697" s="97">
        <v>1</v>
      </c>
      <c r="AC697" s="97">
        <v>105.98</v>
      </c>
      <c r="AD697" s="97"/>
      <c r="AE697" s="97">
        <v>443.001824</v>
      </c>
      <c r="AF697" s="96"/>
      <c r="AG697" s="96"/>
      <c r="AH697" s="96"/>
      <c r="AI697" s="98">
        <v>7.0799999999999997E-4</v>
      </c>
      <c r="AJ697" s="98">
        <v>1.6590000000000001E-3</v>
      </c>
      <c r="AK697" s="98">
        <v>2.3000000000000001E-4</v>
      </c>
      <c r="AL697" s="106"/>
    </row>
    <row r="698" spans="1:38" ht="15" customHeight="1">
      <c r="A698" s="106"/>
      <c r="B698" s="96">
        <v>286</v>
      </c>
      <c r="C698" s="96">
        <v>286</v>
      </c>
      <c r="D698" s="96" t="s">
        <v>1411</v>
      </c>
      <c r="E698" s="96">
        <v>512025891</v>
      </c>
      <c r="F698" s="96" t="s">
        <v>308</v>
      </c>
      <c r="G698" s="96" t="s">
        <v>1412</v>
      </c>
      <c r="H698" s="96" t="s">
        <v>1413</v>
      </c>
      <c r="I698" s="96" t="s">
        <v>320</v>
      </c>
      <c r="J698" s="96" t="s">
        <v>952</v>
      </c>
      <c r="K698" s="96" t="s">
        <v>203</v>
      </c>
      <c r="L698" s="96" t="s">
        <v>203</v>
      </c>
      <c r="M698" s="96" t="s">
        <v>324</v>
      </c>
      <c r="N698" s="96" t="s">
        <v>339</v>
      </c>
      <c r="O698" s="96" t="s">
        <v>476</v>
      </c>
      <c r="P698" s="96" t="s">
        <v>338</v>
      </c>
      <c r="Q698" s="96" t="s">
        <v>1320</v>
      </c>
      <c r="R698" s="96" t="s">
        <v>412</v>
      </c>
      <c r="S698" s="96" t="s">
        <v>406</v>
      </c>
      <c r="T698" s="96" t="s">
        <v>1200</v>
      </c>
      <c r="U698" s="97">
        <v>1.24</v>
      </c>
      <c r="V698" s="100">
        <v>46400</v>
      </c>
      <c r="W698" s="98">
        <v>3.2500000000000001E-2</v>
      </c>
      <c r="X698" s="98">
        <v>5.5100000000000003E-2</v>
      </c>
      <c r="Y698" s="96" t="s">
        <v>411</v>
      </c>
      <c r="Z698" s="96"/>
      <c r="AA698" s="97">
        <v>233646.36246199999</v>
      </c>
      <c r="AB698" s="97">
        <v>1</v>
      </c>
      <c r="AC698" s="97">
        <v>98.07</v>
      </c>
      <c r="AD698" s="97"/>
      <c r="AE698" s="97">
        <v>229.136987</v>
      </c>
      <c r="AF698" s="96"/>
      <c r="AG698" s="96"/>
      <c r="AH698" s="96"/>
      <c r="AI698" s="98">
        <v>5.2099999999999998E-4</v>
      </c>
      <c r="AJ698" s="98">
        <v>8.5800000000000004E-4</v>
      </c>
      <c r="AK698" s="98">
        <v>1.1900000000000001E-4</v>
      </c>
      <c r="AL698" s="106"/>
    </row>
    <row r="699" spans="1:38" ht="15" customHeight="1">
      <c r="A699" s="106"/>
      <c r="B699" s="96">
        <v>286</v>
      </c>
      <c r="C699" s="96">
        <v>286</v>
      </c>
      <c r="D699" s="96" t="s">
        <v>1417</v>
      </c>
      <c r="E699" s="96">
        <v>513230029</v>
      </c>
      <c r="F699" s="96" t="s">
        <v>308</v>
      </c>
      <c r="G699" s="96" t="s">
        <v>1521</v>
      </c>
      <c r="H699" s="96" t="s">
        <v>1522</v>
      </c>
      <c r="I699" s="96" t="s">
        <v>320</v>
      </c>
      <c r="J699" s="96" t="s">
        <v>952</v>
      </c>
      <c r="K699" s="96" t="s">
        <v>203</v>
      </c>
      <c r="L699" s="96" t="s">
        <v>203</v>
      </c>
      <c r="M699" s="96" t="s">
        <v>324</v>
      </c>
      <c r="N699" s="96" t="s">
        <v>339</v>
      </c>
      <c r="O699" s="96" t="s">
        <v>444</v>
      </c>
      <c r="P699" s="96" t="s">
        <v>338</v>
      </c>
      <c r="Q699" s="96" t="s">
        <v>1357</v>
      </c>
      <c r="R699" s="96" t="s">
        <v>414</v>
      </c>
      <c r="S699" s="96" t="s">
        <v>406</v>
      </c>
      <c r="T699" s="96" t="s">
        <v>1200</v>
      </c>
      <c r="U699" s="97">
        <v>6.73</v>
      </c>
      <c r="V699" s="100">
        <v>48579</v>
      </c>
      <c r="W699" s="98">
        <v>6.0699999999999997E-2</v>
      </c>
      <c r="X699" s="98">
        <v>6.4199999999999993E-2</v>
      </c>
      <c r="Y699" s="96" t="s">
        <v>411</v>
      </c>
      <c r="Z699" s="96"/>
      <c r="AA699" s="97">
        <v>304675.968306</v>
      </c>
      <c r="AB699" s="97">
        <v>1</v>
      </c>
      <c r="AC699" s="97">
        <v>98.77</v>
      </c>
      <c r="AD699" s="97"/>
      <c r="AE699" s="97">
        <v>300.92845299999999</v>
      </c>
      <c r="AF699" s="96"/>
      <c r="AG699" s="96"/>
      <c r="AH699" s="96"/>
      <c r="AI699" s="98">
        <v>1.4480000000000001E-3</v>
      </c>
      <c r="AJ699" s="98">
        <v>1.127E-3</v>
      </c>
      <c r="AK699" s="98">
        <v>1.56E-4</v>
      </c>
      <c r="AL699" s="106"/>
    </row>
    <row r="700" spans="1:38" ht="15" customHeight="1">
      <c r="A700" s="106"/>
      <c r="B700" s="96">
        <v>286</v>
      </c>
      <c r="C700" s="96">
        <v>286</v>
      </c>
      <c r="D700" s="96" t="s">
        <v>1197</v>
      </c>
      <c r="E700" s="96">
        <v>520018078</v>
      </c>
      <c r="F700" s="96" t="s">
        <v>308</v>
      </c>
      <c r="G700" s="96" t="s">
        <v>1624</v>
      </c>
      <c r="H700" s="96" t="s">
        <v>1625</v>
      </c>
      <c r="I700" s="96" t="s">
        <v>320</v>
      </c>
      <c r="J700" s="96" t="s">
        <v>952</v>
      </c>
      <c r="K700" s="96" t="s">
        <v>203</v>
      </c>
      <c r="L700" s="96" t="s">
        <v>203</v>
      </c>
      <c r="M700" s="96" t="s">
        <v>324</v>
      </c>
      <c r="N700" s="96" t="s">
        <v>339</v>
      </c>
      <c r="O700" s="96" t="s">
        <v>447</v>
      </c>
      <c r="P700" s="96" t="s">
        <v>338</v>
      </c>
      <c r="Q700" s="96" t="s">
        <v>1211</v>
      </c>
      <c r="R700" s="96" t="s">
        <v>414</v>
      </c>
      <c r="S700" s="96" t="s">
        <v>406</v>
      </c>
      <c r="T700" s="96" t="s">
        <v>1200</v>
      </c>
      <c r="U700" s="97">
        <v>3.36</v>
      </c>
      <c r="V700" s="100">
        <v>47608</v>
      </c>
      <c r="W700" s="98">
        <v>2.76E-2</v>
      </c>
      <c r="X700" s="98">
        <v>0.05</v>
      </c>
      <c r="Y700" s="96" t="s">
        <v>411</v>
      </c>
      <c r="Z700" s="96"/>
      <c r="AA700" s="97">
        <v>733659.73168099998</v>
      </c>
      <c r="AB700" s="97">
        <v>1</v>
      </c>
      <c r="AC700" s="97">
        <v>93.41</v>
      </c>
      <c r="AD700" s="97"/>
      <c r="AE700" s="97">
        <v>685.311555</v>
      </c>
      <c r="AF700" s="96"/>
      <c r="AG700" s="96"/>
      <c r="AH700" s="96"/>
      <c r="AI700" s="98">
        <v>5.4900000000000001E-4</v>
      </c>
      <c r="AJ700" s="98">
        <v>2.5669999999999998E-3</v>
      </c>
      <c r="AK700" s="98">
        <v>3.5599999999999998E-4</v>
      </c>
      <c r="AL700" s="106"/>
    </row>
    <row r="701" spans="1:38" ht="15" customHeight="1">
      <c r="A701" s="106"/>
      <c r="B701" s="96">
        <v>286</v>
      </c>
      <c r="C701" s="96">
        <v>286</v>
      </c>
      <c r="D701" s="96" t="s">
        <v>1343</v>
      </c>
      <c r="E701" s="96">
        <v>514290345</v>
      </c>
      <c r="F701" s="96" t="s">
        <v>308</v>
      </c>
      <c r="G701" s="96" t="s">
        <v>1844</v>
      </c>
      <c r="H701" s="96" t="s">
        <v>1845</v>
      </c>
      <c r="I701" s="96" t="s">
        <v>320</v>
      </c>
      <c r="J701" s="96" t="s">
        <v>753</v>
      </c>
      <c r="K701" s="96" t="s">
        <v>203</v>
      </c>
      <c r="L701" s="96" t="s">
        <v>203</v>
      </c>
      <c r="M701" s="96" t="s">
        <v>324</v>
      </c>
      <c r="N701" s="96" t="s">
        <v>339</v>
      </c>
      <c r="O701" s="96" t="s">
        <v>444</v>
      </c>
      <c r="P701" s="96" t="s">
        <v>338</v>
      </c>
      <c r="Q701" s="96" t="s">
        <v>1305</v>
      </c>
      <c r="R701" s="96" t="s">
        <v>414</v>
      </c>
      <c r="S701" s="96" t="s">
        <v>406</v>
      </c>
      <c r="T701" s="96" t="s">
        <v>1200</v>
      </c>
      <c r="U701" s="97">
        <v>2.2799999999999998</v>
      </c>
      <c r="V701" s="100">
        <v>46326</v>
      </c>
      <c r="W701" s="98">
        <v>2.2499999999999999E-2</v>
      </c>
      <c r="X701" s="98">
        <v>2.24E-2</v>
      </c>
      <c r="Y701" s="96" t="s">
        <v>411</v>
      </c>
      <c r="Z701" s="96"/>
      <c r="AA701" s="97">
        <v>219366.703274</v>
      </c>
      <c r="AB701" s="97">
        <v>1</v>
      </c>
      <c r="AC701" s="97">
        <v>115.51</v>
      </c>
      <c r="AD701" s="97"/>
      <c r="AE701" s="97">
        <v>253.390478</v>
      </c>
      <c r="AF701" s="96"/>
      <c r="AG701" s="96"/>
      <c r="AH701" s="96"/>
      <c r="AI701" s="98">
        <v>5.3600000000000002E-4</v>
      </c>
      <c r="AJ701" s="98">
        <v>9.4899999999999997E-4</v>
      </c>
      <c r="AK701" s="98">
        <v>1.3100000000000001E-4</v>
      </c>
      <c r="AL701" s="106"/>
    </row>
    <row r="702" spans="1:38" ht="15" customHeight="1">
      <c r="A702" s="106"/>
      <c r="B702" s="96">
        <v>286</v>
      </c>
      <c r="C702" s="96">
        <v>286</v>
      </c>
      <c r="D702" s="96" t="s">
        <v>1546</v>
      </c>
      <c r="E702" s="96">
        <v>511930125</v>
      </c>
      <c r="F702" s="96" t="s">
        <v>308</v>
      </c>
      <c r="G702" s="96" t="s">
        <v>1547</v>
      </c>
      <c r="H702" s="96" t="s">
        <v>1548</v>
      </c>
      <c r="I702" s="96" t="s">
        <v>320</v>
      </c>
      <c r="J702" s="96" t="s">
        <v>753</v>
      </c>
      <c r="K702" s="96" t="s">
        <v>203</v>
      </c>
      <c r="L702" s="96" t="s">
        <v>203</v>
      </c>
      <c r="M702" s="96" t="s">
        <v>324</v>
      </c>
      <c r="N702" s="96" t="s">
        <v>339</v>
      </c>
      <c r="O702" s="96" t="s">
        <v>483</v>
      </c>
      <c r="P702" s="96" t="s">
        <v>337</v>
      </c>
      <c r="Q702" s="96" t="s">
        <v>1320</v>
      </c>
      <c r="R702" s="96" t="s">
        <v>412</v>
      </c>
      <c r="S702" s="96" t="s">
        <v>406</v>
      </c>
      <c r="T702" s="96" t="s">
        <v>1200</v>
      </c>
      <c r="U702" s="97">
        <v>0.01</v>
      </c>
      <c r="V702" s="100">
        <v>45478</v>
      </c>
      <c r="W702" s="98">
        <v>1.9800000000000002E-2</v>
      </c>
      <c r="X702" s="98">
        <v>5.5500000000000001E-2</v>
      </c>
      <c r="Y702" s="96" t="s">
        <v>411</v>
      </c>
      <c r="Z702" s="96"/>
      <c r="AA702" s="97">
        <v>17360.997276999999</v>
      </c>
      <c r="AB702" s="97">
        <v>1</v>
      </c>
      <c r="AC702" s="97">
        <v>114.69</v>
      </c>
      <c r="AD702" s="97"/>
      <c r="AE702" s="97">
        <v>19.911327</v>
      </c>
      <c r="AF702" s="96"/>
      <c r="AG702" s="96"/>
      <c r="AH702" s="96"/>
      <c r="AI702" s="98">
        <v>1.1400000000000001E-4</v>
      </c>
      <c r="AJ702" s="98">
        <v>7.3999999999999996E-5</v>
      </c>
      <c r="AK702" s="98">
        <v>1.0000000000000001E-5</v>
      </c>
      <c r="AL702" s="106"/>
    </row>
    <row r="703" spans="1:38" ht="15" customHeight="1">
      <c r="A703" s="106"/>
      <c r="B703" s="96">
        <v>286</v>
      </c>
      <c r="C703" s="96">
        <v>286</v>
      </c>
      <c r="D703" s="96" t="s">
        <v>1474</v>
      </c>
      <c r="E703" s="96">
        <v>1737</v>
      </c>
      <c r="F703" s="96" t="s">
        <v>80</v>
      </c>
      <c r="G703" s="96" t="s">
        <v>1475</v>
      </c>
      <c r="H703" s="96" t="s">
        <v>1476</v>
      </c>
      <c r="I703" s="96" t="s">
        <v>320</v>
      </c>
      <c r="J703" s="96" t="s">
        <v>952</v>
      </c>
      <c r="K703" s="96" t="s">
        <v>203</v>
      </c>
      <c r="L703" s="96" t="s">
        <v>203</v>
      </c>
      <c r="M703" s="96" t="s">
        <v>324</v>
      </c>
      <c r="N703" s="96" t="s">
        <v>339</v>
      </c>
      <c r="O703" s="96" t="s">
        <v>464</v>
      </c>
      <c r="P703" s="96" t="s">
        <v>338</v>
      </c>
      <c r="Q703" s="96" t="s">
        <v>1313</v>
      </c>
      <c r="R703" s="96" t="s">
        <v>412</v>
      </c>
      <c r="S703" s="96" t="s">
        <v>406</v>
      </c>
      <c r="T703" s="96" t="s">
        <v>1200</v>
      </c>
      <c r="U703" s="97">
        <v>0.5</v>
      </c>
      <c r="V703" s="100">
        <v>45657</v>
      </c>
      <c r="W703" s="98">
        <v>3.3799999999999997E-2</v>
      </c>
      <c r="X703" s="98">
        <v>5.79E-2</v>
      </c>
      <c r="Y703" s="96" t="s">
        <v>411</v>
      </c>
      <c r="Z703" s="96"/>
      <c r="AA703" s="97">
        <v>262337.07868600002</v>
      </c>
      <c r="AB703" s="97">
        <v>1</v>
      </c>
      <c r="AC703" s="97">
        <v>98.86</v>
      </c>
      <c r="AD703" s="97"/>
      <c r="AE703" s="97">
        <v>259.34643499999999</v>
      </c>
      <c r="AF703" s="96"/>
      <c r="AG703" s="96"/>
      <c r="AH703" s="96"/>
      <c r="AI703" s="98">
        <v>1.281E-3</v>
      </c>
      <c r="AJ703" s="98">
        <v>9.7099999999999997E-4</v>
      </c>
      <c r="AK703" s="98">
        <v>1.35E-4</v>
      </c>
      <c r="AL703" s="106"/>
    </row>
    <row r="704" spans="1:38" ht="15" customHeight="1">
      <c r="A704" s="106"/>
      <c r="B704" s="96">
        <v>286</v>
      </c>
      <c r="C704" s="96">
        <v>286</v>
      </c>
      <c r="D704" s="96" t="s">
        <v>1445</v>
      </c>
      <c r="E704" s="96">
        <v>510381601</v>
      </c>
      <c r="F704" s="96" t="s">
        <v>308</v>
      </c>
      <c r="G704" s="96" t="s">
        <v>1544</v>
      </c>
      <c r="H704" s="96" t="s">
        <v>1545</v>
      </c>
      <c r="I704" s="96" t="s">
        <v>320</v>
      </c>
      <c r="J704" s="96" t="s">
        <v>952</v>
      </c>
      <c r="K704" s="96" t="s">
        <v>203</v>
      </c>
      <c r="L704" s="96" t="s">
        <v>203</v>
      </c>
      <c r="M704" s="96" t="s">
        <v>324</v>
      </c>
      <c r="N704" s="96" t="s">
        <v>339</v>
      </c>
      <c r="O704" s="96" t="s">
        <v>446</v>
      </c>
      <c r="P704" s="96" t="s">
        <v>337</v>
      </c>
      <c r="Q704" s="96" t="s">
        <v>1328</v>
      </c>
      <c r="R704" s="96" t="s">
        <v>412</v>
      </c>
      <c r="S704" s="96" t="s">
        <v>406</v>
      </c>
      <c r="T704" s="96" t="s">
        <v>1200</v>
      </c>
      <c r="U704" s="97">
        <v>2.09</v>
      </c>
      <c r="V704" s="100">
        <v>47133</v>
      </c>
      <c r="W704" s="98">
        <v>4.2999999999999997E-2</v>
      </c>
      <c r="X704" s="98">
        <v>5.8900000000000001E-2</v>
      </c>
      <c r="Y704" s="96" t="s">
        <v>411</v>
      </c>
      <c r="Z704" s="96"/>
      <c r="AA704" s="97">
        <v>632390.39518800005</v>
      </c>
      <c r="AB704" s="97">
        <v>1</v>
      </c>
      <c r="AC704" s="97">
        <v>98.86</v>
      </c>
      <c r="AD704" s="97"/>
      <c r="AE704" s="97">
        <v>625.18114400000002</v>
      </c>
      <c r="AF704" s="96"/>
      <c r="AG704" s="96"/>
      <c r="AH704" s="96"/>
      <c r="AI704" s="98">
        <v>6.2600000000000004E-4</v>
      </c>
      <c r="AJ704" s="98">
        <v>2.3419999999999999E-3</v>
      </c>
      <c r="AK704" s="98">
        <v>3.2499999999999999E-4</v>
      </c>
      <c r="AL704" s="106"/>
    </row>
    <row r="705" spans="1:38" ht="15" customHeight="1">
      <c r="A705" s="106"/>
      <c r="B705" s="96">
        <v>286</v>
      </c>
      <c r="C705" s="96">
        <v>286</v>
      </c>
      <c r="D705" s="96" t="s">
        <v>1399</v>
      </c>
      <c r="E705" s="96">
        <v>520032046</v>
      </c>
      <c r="F705" s="96" t="s">
        <v>308</v>
      </c>
      <c r="G705" s="96" t="s">
        <v>1896</v>
      </c>
      <c r="H705" s="96" t="s">
        <v>1897</v>
      </c>
      <c r="I705" s="96" t="s">
        <v>320</v>
      </c>
      <c r="J705" s="96" t="s">
        <v>753</v>
      </c>
      <c r="K705" s="96" t="s">
        <v>203</v>
      </c>
      <c r="L705" s="96" t="s">
        <v>203</v>
      </c>
      <c r="M705" s="96" t="s">
        <v>324</v>
      </c>
      <c r="N705" s="96" t="s">
        <v>339</v>
      </c>
      <c r="O705" s="96" t="s">
        <v>447</v>
      </c>
      <c r="P705" s="96" t="s">
        <v>338</v>
      </c>
      <c r="Q705" s="96" t="s">
        <v>1211</v>
      </c>
      <c r="R705" s="96" t="s">
        <v>414</v>
      </c>
      <c r="S705" s="96" t="s">
        <v>406</v>
      </c>
      <c r="T705" s="96" t="s">
        <v>1200</v>
      </c>
      <c r="U705" s="97">
        <v>4.63</v>
      </c>
      <c r="V705" s="100">
        <v>48938</v>
      </c>
      <c r="W705" s="98">
        <v>1.9900000000000001E-2</v>
      </c>
      <c r="X705" s="98">
        <v>2.58E-2</v>
      </c>
      <c r="Y705" s="96" t="s">
        <v>411</v>
      </c>
      <c r="Z705" s="96"/>
      <c r="AA705" s="97">
        <v>2559278.133773</v>
      </c>
      <c r="AB705" s="97">
        <v>1</v>
      </c>
      <c r="AC705" s="97">
        <v>100.23</v>
      </c>
      <c r="AD705" s="97"/>
      <c r="AE705" s="97">
        <v>2565.1644729999998</v>
      </c>
      <c r="AF705" s="96"/>
      <c r="AG705" s="96"/>
      <c r="AH705" s="96"/>
      <c r="AI705" s="98">
        <v>9.4700000000000003E-4</v>
      </c>
      <c r="AJ705" s="98">
        <v>9.6109999999999998E-3</v>
      </c>
      <c r="AK705" s="98">
        <v>1.335E-3</v>
      </c>
      <c r="AL705" s="106"/>
    </row>
    <row r="706" spans="1:38" ht="15" customHeight="1">
      <c r="A706" s="106"/>
      <c r="B706" s="96">
        <v>286</v>
      </c>
      <c r="C706" s="96">
        <v>286</v>
      </c>
      <c r="D706" s="96" t="s">
        <v>1846</v>
      </c>
      <c r="E706" s="96">
        <v>1991033</v>
      </c>
      <c r="F706" s="96" t="s">
        <v>310</v>
      </c>
      <c r="G706" s="96" t="s">
        <v>1847</v>
      </c>
      <c r="H706" s="96" t="s">
        <v>1848</v>
      </c>
      <c r="I706" s="96" t="s">
        <v>320</v>
      </c>
      <c r="J706" s="96" t="s">
        <v>952</v>
      </c>
      <c r="K706" s="96" t="s">
        <v>203</v>
      </c>
      <c r="L706" s="96" t="s">
        <v>203</v>
      </c>
      <c r="M706" s="96" t="s">
        <v>324</v>
      </c>
      <c r="N706" s="96" t="s">
        <v>339</v>
      </c>
      <c r="O706" s="96" t="s">
        <v>464</v>
      </c>
      <c r="P706" s="96" t="s">
        <v>338</v>
      </c>
      <c r="Q706" s="96" t="s">
        <v>1332</v>
      </c>
      <c r="R706" s="96" t="s">
        <v>412</v>
      </c>
      <c r="S706" s="96" t="s">
        <v>406</v>
      </c>
      <c r="T706" s="96" t="s">
        <v>1200</v>
      </c>
      <c r="U706" s="97">
        <v>1.17</v>
      </c>
      <c r="V706" s="100">
        <v>45503</v>
      </c>
      <c r="W706" s="98">
        <v>4.8000000000000001E-2</v>
      </c>
      <c r="X706" s="98">
        <v>5.3900000000000003E-2</v>
      </c>
      <c r="Y706" s="96" t="s">
        <v>411</v>
      </c>
      <c r="Z706" s="96"/>
      <c r="AA706" s="97">
        <v>34792.118776000003</v>
      </c>
      <c r="AB706" s="97">
        <v>1</v>
      </c>
      <c r="AC706" s="97">
        <v>100.21</v>
      </c>
      <c r="AD706" s="97"/>
      <c r="AE706" s="97">
        <v>34.865181999999997</v>
      </c>
      <c r="AF706" s="96"/>
      <c r="AG706" s="96"/>
      <c r="AH706" s="96"/>
      <c r="AI706" s="98">
        <v>9.2E-5</v>
      </c>
      <c r="AJ706" s="98">
        <v>1.2999999999999999E-4</v>
      </c>
      <c r="AK706" s="98">
        <v>1.8E-5</v>
      </c>
      <c r="AL706" s="106"/>
    </row>
    <row r="707" spans="1:38" ht="15" customHeight="1">
      <c r="A707" s="106"/>
      <c r="B707" s="96">
        <v>286</v>
      </c>
      <c r="C707" s="96">
        <v>286</v>
      </c>
      <c r="D707" s="96" t="s">
        <v>1351</v>
      </c>
      <c r="E707" s="96">
        <v>520033986</v>
      </c>
      <c r="F707" s="96" t="s">
        <v>308</v>
      </c>
      <c r="G707" s="96" t="s">
        <v>1352</v>
      </c>
      <c r="H707" s="96" t="s">
        <v>1353</v>
      </c>
      <c r="I707" s="96" t="s">
        <v>320</v>
      </c>
      <c r="J707" s="96" t="s">
        <v>952</v>
      </c>
      <c r="K707" s="96" t="s">
        <v>203</v>
      </c>
      <c r="L707" s="96" t="s">
        <v>203</v>
      </c>
      <c r="M707" s="96" t="s">
        <v>324</v>
      </c>
      <c r="N707" s="96" t="s">
        <v>339</v>
      </c>
      <c r="O707" s="96" t="s">
        <v>444</v>
      </c>
      <c r="P707" s="96" t="s">
        <v>338</v>
      </c>
      <c r="Q707" s="96" t="s">
        <v>1336</v>
      </c>
      <c r="R707" s="96" t="s">
        <v>414</v>
      </c>
      <c r="S707" s="96" t="s">
        <v>406</v>
      </c>
      <c r="T707" s="96" t="s">
        <v>1200</v>
      </c>
      <c r="U707" s="97">
        <v>5.21</v>
      </c>
      <c r="V707" s="100">
        <v>49674</v>
      </c>
      <c r="W707" s="98">
        <v>1.95E-2</v>
      </c>
      <c r="X707" s="98">
        <v>5.74E-2</v>
      </c>
      <c r="Y707" s="96" t="s">
        <v>411</v>
      </c>
      <c r="Z707" s="96"/>
      <c r="AA707" s="97">
        <v>1062930.715668</v>
      </c>
      <c r="AB707" s="97">
        <v>1</v>
      </c>
      <c r="AC707" s="97">
        <v>82.15</v>
      </c>
      <c r="AD707" s="97"/>
      <c r="AE707" s="97">
        <v>873.19758200000001</v>
      </c>
      <c r="AF707" s="96"/>
      <c r="AG707" s="96"/>
      <c r="AH707" s="96"/>
      <c r="AI707" s="98">
        <v>1.013E-3</v>
      </c>
      <c r="AJ707" s="98">
        <v>3.271E-3</v>
      </c>
      <c r="AK707" s="98">
        <v>4.5399999999999998E-4</v>
      </c>
      <c r="AL707" s="106"/>
    </row>
    <row r="708" spans="1:38" ht="15" customHeight="1">
      <c r="A708" s="106"/>
      <c r="B708" s="96">
        <v>286</v>
      </c>
      <c r="C708" s="96">
        <v>286</v>
      </c>
      <c r="D708" s="96" t="s">
        <v>1414</v>
      </c>
      <c r="E708" s="96">
        <v>520037789</v>
      </c>
      <c r="F708" s="96" t="s">
        <v>308</v>
      </c>
      <c r="G708" s="96" t="s">
        <v>1415</v>
      </c>
      <c r="H708" s="96" t="s">
        <v>1416</v>
      </c>
      <c r="I708" s="96" t="s">
        <v>320</v>
      </c>
      <c r="J708" s="96" t="s">
        <v>753</v>
      </c>
      <c r="K708" s="96" t="s">
        <v>203</v>
      </c>
      <c r="L708" s="96" t="s">
        <v>203</v>
      </c>
      <c r="M708" s="96" t="s">
        <v>324</v>
      </c>
      <c r="N708" s="96" t="s">
        <v>339</v>
      </c>
      <c r="O708" s="96" t="s">
        <v>463</v>
      </c>
      <c r="P708" s="96" t="s">
        <v>337</v>
      </c>
      <c r="Q708" s="96" t="s">
        <v>1313</v>
      </c>
      <c r="R708" s="96" t="s">
        <v>412</v>
      </c>
      <c r="S708" s="96" t="s">
        <v>406</v>
      </c>
      <c r="T708" s="96" t="s">
        <v>1200</v>
      </c>
      <c r="U708" s="97">
        <v>4.1399999999999997</v>
      </c>
      <c r="V708" s="100">
        <v>48214</v>
      </c>
      <c r="W708" s="98">
        <v>2.2499999999999999E-2</v>
      </c>
      <c r="X708" s="98">
        <v>3.1E-2</v>
      </c>
      <c r="Y708" s="96" t="s">
        <v>411</v>
      </c>
      <c r="Z708" s="96"/>
      <c r="AA708" s="97">
        <v>584905.77683500003</v>
      </c>
      <c r="AB708" s="97">
        <v>1</v>
      </c>
      <c r="AC708" s="97">
        <v>111.19</v>
      </c>
      <c r="AD708" s="97">
        <v>50.202269999999999</v>
      </c>
      <c r="AE708" s="97">
        <v>700.55900299999996</v>
      </c>
      <c r="AF708" s="96"/>
      <c r="AG708" s="96"/>
      <c r="AH708" s="96"/>
      <c r="AI708" s="98">
        <v>4.9700000000000005E-4</v>
      </c>
      <c r="AJ708" s="98">
        <v>2.624E-3</v>
      </c>
      <c r="AK708" s="98">
        <v>3.6400000000000001E-4</v>
      </c>
      <c r="AL708" s="106"/>
    </row>
    <row r="709" spans="1:38" ht="15" customHeight="1">
      <c r="A709" s="106"/>
      <c r="B709" s="96">
        <v>286</v>
      </c>
      <c r="C709" s="96">
        <v>286</v>
      </c>
      <c r="D709" s="96" t="s">
        <v>1361</v>
      </c>
      <c r="E709" s="96">
        <v>512764408</v>
      </c>
      <c r="F709" s="96" t="s">
        <v>308</v>
      </c>
      <c r="G709" s="96" t="s">
        <v>1362</v>
      </c>
      <c r="H709" s="96" t="s">
        <v>1363</v>
      </c>
      <c r="I709" s="96" t="s">
        <v>320</v>
      </c>
      <c r="J709" s="96" t="s">
        <v>952</v>
      </c>
      <c r="K709" s="96" t="s">
        <v>203</v>
      </c>
      <c r="L709" s="96" t="s">
        <v>203</v>
      </c>
      <c r="M709" s="96" t="s">
        <v>324</v>
      </c>
      <c r="N709" s="96" t="s">
        <v>339</v>
      </c>
      <c r="O709" s="96" t="s">
        <v>442</v>
      </c>
      <c r="P709" s="96" t="s">
        <v>338</v>
      </c>
      <c r="Q709" s="96" t="s">
        <v>1309</v>
      </c>
      <c r="R709" s="96" t="s">
        <v>414</v>
      </c>
      <c r="S709" s="96" t="s">
        <v>406</v>
      </c>
      <c r="T709" s="96" t="s">
        <v>1200</v>
      </c>
      <c r="U709" s="97">
        <v>1.19</v>
      </c>
      <c r="V709" s="100">
        <v>46295</v>
      </c>
      <c r="W709" s="98">
        <v>6.9000000000000006E-2</v>
      </c>
      <c r="X709" s="98">
        <v>6.88E-2</v>
      </c>
      <c r="Y709" s="96" t="s">
        <v>411</v>
      </c>
      <c r="Z709" s="96"/>
      <c r="AA709" s="97">
        <v>29077.031337</v>
      </c>
      <c r="AB709" s="97">
        <v>1</v>
      </c>
      <c r="AC709" s="97">
        <v>101.87</v>
      </c>
      <c r="AD709" s="97"/>
      <c r="AE709" s="97">
        <v>29.620771000000001</v>
      </c>
      <c r="AF709" s="96"/>
      <c r="AG709" s="96"/>
      <c r="AH709" s="96"/>
      <c r="AI709" s="98">
        <v>8.0000000000000007E-5</v>
      </c>
      <c r="AJ709" s="98">
        <v>1.1E-4</v>
      </c>
      <c r="AK709" s="98">
        <v>1.5E-5</v>
      </c>
      <c r="AL709" s="106"/>
    </row>
    <row r="710" spans="1:38" ht="15" customHeight="1">
      <c r="A710" s="106"/>
      <c r="B710" s="96">
        <v>286</v>
      </c>
      <c r="C710" s="96">
        <v>286</v>
      </c>
      <c r="D710" s="96" t="s">
        <v>1399</v>
      </c>
      <c r="E710" s="96">
        <v>520032046</v>
      </c>
      <c r="F710" s="96" t="s">
        <v>308</v>
      </c>
      <c r="G710" s="96" t="s">
        <v>1400</v>
      </c>
      <c r="H710" s="96" t="s">
        <v>1401</v>
      </c>
      <c r="I710" s="96" t="s">
        <v>320</v>
      </c>
      <c r="J710" s="96" t="s">
        <v>753</v>
      </c>
      <c r="K710" s="96" t="s">
        <v>203</v>
      </c>
      <c r="L710" s="96" t="s">
        <v>203</v>
      </c>
      <c r="M710" s="96" t="s">
        <v>324</v>
      </c>
      <c r="N710" s="96" t="s">
        <v>339</v>
      </c>
      <c r="O710" s="96" t="s">
        <v>447</v>
      </c>
      <c r="P710" s="96" t="s">
        <v>338</v>
      </c>
      <c r="Q710" s="96" t="s">
        <v>1305</v>
      </c>
      <c r="R710" s="96" t="s">
        <v>414</v>
      </c>
      <c r="S710" s="96" t="s">
        <v>406</v>
      </c>
      <c r="T710" s="96" t="s">
        <v>1200</v>
      </c>
      <c r="U710" s="97">
        <v>0.48</v>
      </c>
      <c r="V710" s="100">
        <v>45649</v>
      </c>
      <c r="W710" s="98">
        <v>1.9E-2</v>
      </c>
      <c r="X710" s="98">
        <v>4.4699999999999997E-2</v>
      </c>
      <c r="Y710" s="96" t="s">
        <v>410</v>
      </c>
      <c r="Z710" s="96"/>
      <c r="AA710" s="97">
        <v>994352.12878599996</v>
      </c>
      <c r="AB710" s="97">
        <v>1</v>
      </c>
      <c r="AC710" s="97">
        <v>111.73</v>
      </c>
      <c r="AD710" s="97"/>
      <c r="AE710" s="97">
        <v>1110.9896329999999</v>
      </c>
      <c r="AF710" s="96"/>
      <c r="AG710" s="96"/>
      <c r="AH710" s="96"/>
      <c r="AI710" s="98">
        <v>9.1200000000000005E-4</v>
      </c>
      <c r="AJ710" s="98">
        <v>4.1619999999999999E-3</v>
      </c>
      <c r="AK710" s="98">
        <v>5.7799999999999995E-4</v>
      </c>
      <c r="AL710" s="106"/>
    </row>
    <row r="711" spans="1:38" ht="15" customHeight="1">
      <c r="A711" s="106"/>
      <c r="B711" s="96">
        <v>286</v>
      </c>
      <c r="C711" s="96">
        <v>286</v>
      </c>
      <c r="D711" s="96" t="s">
        <v>1399</v>
      </c>
      <c r="E711" s="96">
        <v>520032046</v>
      </c>
      <c r="F711" s="96" t="s">
        <v>308</v>
      </c>
      <c r="G711" s="96" t="s">
        <v>1595</v>
      </c>
      <c r="H711" s="96" t="s">
        <v>1596</v>
      </c>
      <c r="I711" s="96" t="s">
        <v>320</v>
      </c>
      <c r="J711" s="96" t="s">
        <v>952</v>
      </c>
      <c r="K711" s="96" t="s">
        <v>203</v>
      </c>
      <c r="L711" s="96" t="s">
        <v>203</v>
      </c>
      <c r="M711" s="96" t="s">
        <v>324</v>
      </c>
      <c r="N711" s="96" t="s">
        <v>339</v>
      </c>
      <c r="O711" s="96" t="s">
        <v>447</v>
      </c>
      <c r="P711" s="96" t="s">
        <v>338</v>
      </c>
      <c r="Q711" s="96" t="s">
        <v>1211</v>
      </c>
      <c r="R711" s="96" t="s">
        <v>414</v>
      </c>
      <c r="S711" s="96" t="s">
        <v>406</v>
      </c>
      <c r="T711" s="96" t="s">
        <v>1200</v>
      </c>
      <c r="U711" s="97">
        <v>3.49</v>
      </c>
      <c r="V711" s="100">
        <v>47950</v>
      </c>
      <c r="W711" s="98">
        <v>2.7400000000000001E-2</v>
      </c>
      <c r="X711" s="98">
        <v>5.0200000000000002E-2</v>
      </c>
      <c r="Y711" s="96" t="s">
        <v>411</v>
      </c>
      <c r="Z711" s="96"/>
      <c r="AA711" s="97">
        <v>972424.20741200005</v>
      </c>
      <c r="AB711" s="97">
        <v>1</v>
      </c>
      <c r="AC711" s="97">
        <v>93.09</v>
      </c>
      <c r="AD711" s="97"/>
      <c r="AE711" s="97">
        <v>905.22969399999999</v>
      </c>
      <c r="AF711" s="96"/>
      <c r="AG711" s="96"/>
      <c r="AH711" s="96"/>
      <c r="AI711" s="98">
        <v>6.4899999999999995E-4</v>
      </c>
      <c r="AJ711" s="98">
        <v>3.3909999999999999E-3</v>
      </c>
      <c r="AK711" s="98">
        <v>4.7100000000000001E-4</v>
      </c>
      <c r="AL711" s="106"/>
    </row>
    <row r="712" spans="1:38" ht="15" customHeight="1">
      <c r="A712" s="106"/>
      <c r="B712" s="96">
        <v>286</v>
      </c>
      <c r="C712" s="96">
        <v>286</v>
      </c>
      <c r="D712" s="96" t="s">
        <v>1302</v>
      </c>
      <c r="E712" s="96">
        <v>513623314</v>
      </c>
      <c r="F712" s="96" t="s">
        <v>308</v>
      </c>
      <c r="G712" s="96" t="s">
        <v>1583</v>
      </c>
      <c r="H712" s="96" t="s">
        <v>1584</v>
      </c>
      <c r="I712" s="96" t="s">
        <v>320</v>
      </c>
      <c r="J712" s="96" t="s">
        <v>952</v>
      </c>
      <c r="K712" s="96" t="s">
        <v>203</v>
      </c>
      <c r="L712" s="96" t="s">
        <v>203</v>
      </c>
      <c r="M712" s="96" t="s">
        <v>324</v>
      </c>
      <c r="N712" s="96" t="s">
        <v>339</v>
      </c>
      <c r="O712" s="96" t="s">
        <v>463</v>
      </c>
      <c r="P712" s="96" t="s">
        <v>337</v>
      </c>
      <c r="Q712" s="96" t="s">
        <v>1332</v>
      </c>
      <c r="R712" s="96" t="s">
        <v>412</v>
      </c>
      <c r="S712" s="96" t="s">
        <v>406</v>
      </c>
      <c r="T712" s="96" t="s">
        <v>1200</v>
      </c>
      <c r="U712" s="97">
        <v>4.54</v>
      </c>
      <c r="V712" s="100">
        <v>47421</v>
      </c>
      <c r="W712" s="98">
        <v>2.0899999999999998E-2</v>
      </c>
      <c r="X712" s="98">
        <v>5.5399999999999998E-2</v>
      </c>
      <c r="Y712" s="96" t="s">
        <v>411</v>
      </c>
      <c r="Z712" s="96"/>
      <c r="AA712" s="97">
        <v>280216.39900799998</v>
      </c>
      <c r="AB712" s="97">
        <v>1</v>
      </c>
      <c r="AC712" s="97">
        <v>86.21</v>
      </c>
      <c r="AD712" s="97"/>
      <c r="AE712" s="97">
        <v>241.574557</v>
      </c>
      <c r="AF712" s="96"/>
      <c r="AG712" s="96"/>
      <c r="AH712" s="96"/>
      <c r="AI712" s="98">
        <v>1.485E-3</v>
      </c>
      <c r="AJ712" s="98">
        <v>9.0499999999999999E-4</v>
      </c>
      <c r="AK712" s="98">
        <v>1.25E-4</v>
      </c>
      <c r="AL712" s="106"/>
    </row>
    <row r="713" spans="1:38" ht="15" customHeight="1">
      <c r="A713" s="106"/>
      <c r="B713" s="96">
        <v>286</v>
      </c>
      <c r="C713" s="96">
        <v>286</v>
      </c>
      <c r="D713" s="96" t="s">
        <v>1551</v>
      </c>
      <c r="E713" s="96">
        <v>511659401</v>
      </c>
      <c r="F713" s="96" t="s">
        <v>308</v>
      </c>
      <c r="G713" s="96" t="s">
        <v>1630</v>
      </c>
      <c r="H713" s="96" t="s">
        <v>1631</v>
      </c>
      <c r="I713" s="96" t="s">
        <v>320</v>
      </c>
      <c r="J713" s="96" t="s">
        <v>753</v>
      </c>
      <c r="K713" s="96" t="s">
        <v>203</v>
      </c>
      <c r="L713" s="96" t="s">
        <v>203</v>
      </c>
      <c r="M713" s="96" t="s">
        <v>324</v>
      </c>
      <c r="N713" s="96" t="s">
        <v>339</v>
      </c>
      <c r="O713" s="96" t="s">
        <v>463</v>
      </c>
      <c r="P713" s="96" t="s">
        <v>338</v>
      </c>
      <c r="Q713" s="96" t="s">
        <v>1313</v>
      </c>
      <c r="R713" s="96" t="s">
        <v>412</v>
      </c>
      <c r="S713" s="96" t="s">
        <v>406</v>
      </c>
      <c r="T713" s="96" t="s">
        <v>1200</v>
      </c>
      <c r="U713" s="97">
        <v>2.44</v>
      </c>
      <c r="V713" s="100">
        <v>47177</v>
      </c>
      <c r="W713" s="98">
        <v>2.3400000000000001E-2</v>
      </c>
      <c r="X713" s="98">
        <v>2.75E-2</v>
      </c>
      <c r="Y713" s="96" t="s">
        <v>411</v>
      </c>
      <c r="Z713" s="96"/>
      <c r="AA713" s="97">
        <v>1327380.030215</v>
      </c>
      <c r="AB713" s="97">
        <v>1</v>
      </c>
      <c r="AC713" s="97">
        <v>113.08</v>
      </c>
      <c r="AD713" s="97"/>
      <c r="AE713" s="97">
        <v>1501.001338</v>
      </c>
      <c r="AF713" s="96"/>
      <c r="AG713" s="96"/>
      <c r="AH713" s="96"/>
      <c r="AI713" s="98">
        <v>6.29E-4</v>
      </c>
      <c r="AJ713" s="98">
        <v>5.6239999999999997E-3</v>
      </c>
      <c r="AK713" s="98">
        <v>7.8100000000000001E-4</v>
      </c>
      <c r="AL713" s="106"/>
    </row>
    <row r="714" spans="1:38" ht="15" customHeight="1">
      <c r="A714" s="106"/>
      <c r="B714" s="96">
        <v>286</v>
      </c>
      <c r="C714" s="96">
        <v>286</v>
      </c>
      <c r="D714" s="96" t="s">
        <v>1354</v>
      </c>
      <c r="E714" s="96">
        <v>513893123</v>
      </c>
      <c r="F714" s="96" t="s">
        <v>308</v>
      </c>
      <c r="G714" s="96" t="s">
        <v>1355</v>
      </c>
      <c r="H714" s="96" t="s">
        <v>1356</v>
      </c>
      <c r="I714" s="96" t="s">
        <v>320</v>
      </c>
      <c r="J714" s="96" t="s">
        <v>753</v>
      </c>
      <c r="K714" s="96" t="s">
        <v>203</v>
      </c>
      <c r="L714" s="96" t="s">
        <v>203</v>
      </c>
      <c r="M714" s="96" t="s">
        <v>324</v>
      </c>
      <c r="N714" s="96" t="s">
        <v>339</v>
      </c>
      <c r="O714" s="96" t="s">
        <v>442</v>
      </c>
      <c r="P714" s="96" t="s">
        <v>338</v>
      </c>
      <c r="Q714" s="96" t="s">
        <v>1357</v>
      </c>
      <c r="R714" s="96" t="s">
        <v>414</v>
      </c>
      <c r="S714" s="96" t="s">
        <v>406</v>
      </c>
      <c r="T714" s="96" t="s">
        <v>1200</v>
      </c>
      <c r="U714" s="97">
        <v>1.04</v>
      </c>
      <c r="V714" s="100">
        <v>46022</v>
      </c>
      <c r="W714" s="98">
        <v>1.8499999999999999E-2</v>
      </c>
      <c r="X714" s="98">
        <v>2.9399999999999999E-2</v>
      </c>
      <c r="Y714" s="96" t="s">
        <v>411</v>
      </c>
      <c r="Z714" s="96"/>
      <c r="AA714" s="97">
        <v>12050.534514000001</v>
      </c>
      <c r="AB714" s="97">
        <v>1</v>
      </c>
      <c r="AC714" s="97">
        <v>112.32</v>
      </c>
      <c r="AD714" s="97"/>
      <c r="AE714" s="97">
        <v>13.535159999999999</v>
      </c>
      <c r="AF714" s="96"/>
      <c r="AG714" s="96"/>
      <c r="AH714" s="96"/>
      <c r="AI714" s="98">
        <v>3.1999999999999999E-5</v>
      </c>
      <c r="AJ714" s="98">
        <v>5.0000000000000002E-5</v>
      </c>
      <c r="AK714" s="98">
        <v>6.9999999999999999E-6</v>
      </c>
      <c r="AL714" s="106"/>
    </row>
    <row r="715" spans="1:38" ht="15" customHeight="1">
      <c r="A715" s="106"/>
      <c r="B715" s="96">
        <v>286</v>
      </c>
      <c r="C715" s="96">
        <v>286</v>
      </c>
      <c r="D715" s="96" t="s">
        <v>1477</v>
      </c>
      <c r="E715" s="96">
        <v>520029935</v>
      </c>
      <c r="F715" s="96" t="s">
        <v>308</v>
      </c>
      <c r="G715" s="96" t="s">
        <v>1958</v>
      </c>
      <c r="H715" s="96" t="s">
        <v>1959</v>
      </c>
      <c r="I715" s="96" t="s">
        <v>320</v>
      </c>
      <c r="J715" s="96" t="s">
        <v>753</v>
      </c>
      <c r="K715" s="96" t="s">
        <v>203</v>
      </c>
      <c r="L715" s="96" t="s">
        <v>203</v>
      </c>
      <c r="M715" s="96" t="s">
        <v>324</v>
      </c>
      <c r="N715" s="96" t="s">
        <v>339</v>
      </c>
      <c r="O715" s="96" t="s">
        <v>447</v>
      </c>
      <c r="P715" s="96" t="s">
        <v>338</v>
      </c>
      <c r="Q715" s="96" t="s">
        <v>1305</v>
      </c>
      <c r="R715" s="96" t="s">
        <v>414</v>
      </c>
      <c r="S715" s="96" t="s">
        <v>406</v>
      </c>
      <c r="T715" s="96" t="s">
        <v>1200</v>
      </c>
      <c r="U715" s="97">
        <v>3.32</v>
      </c>
      <c r="V715" s="100">
        <v>46692</v>
      </c>
      <c r="W715" s="98">
        <v>2E-3</v>
      </c>
      <c r="X715" s="98">
        <v>3.39E-2</v>
      </c>
      <c r="Y715" s="96" t="s">
        <v>410</v>
      </c>
      <c r="Z715" s="96"/>
      <c r="AA715" s="97">
        <v>57069.452788000002</v>
      </c>
      <c r="AB715" s="97">
        <v>1</v>
      </c>
      <c r="AC715" s="97">
        <v>99.94</v>
      </c>
      <c r="AD715" s="97"/>
      <c r="AE715" s="97">
        <v>57.035210999999997</v>
      </c>
      <c r="AF715" s="96"/>
      <c r="AG715" s="96"/>
      <c r="AH715" s="96"/>
      <c r="AI715" s="98">
        <v>9.8999999999999994E-5</v>
      </c>
      <c r="AJ715" s="98">
        <v>2.13E-4</v>
      </c>
      <c r="AK715" s="98">
        <v>2.9E-5</v>
      </c>
      <c r="AL715" s="106"/>
    </row>
    <row r="716" spans="1:38" ht="15" customHeight="1">
      <c r="A716" s="106"/>
      <c r="B716" s="96">
        <v>286</v>
      </c>
      <c r="C716" s="96">
        <v>286</v>
      </c>
      <c r="D716" s="96" t="s">
        <v>1672</v>
      </c>
      <c r="E716" s="96">
        <v>1146</v>
      </c>
      <c r="F716" s="96" t="s">
        <v>80</v>
      </c>
      <c r="G716" s="96" t="s">
        <v>1673</v>
      </c>
      <c r="H716" s="96" t="s">
        <v>1674</v>
      </c>
      <c r="I716" s="96" t="s">
        <v>320</v>
      </c>
      <c r="J716" s="96" t="s">
        <v>754</v>
      </c>
      <c r="K716" s="96" t="s">
        <v>203</v>
      </c>
      <c r="L716" s="96" t="s">
        <v>203</v>
      </c>
      <c r="M716" s="96" t="s">
        <v>324</v>
      </c>
      <c r="N716" s="96" t="s">
        <v>339</v>
      </c>
      <c r="O716" s="96" t="s">
        <v>479</v>
      </c>
      <c r="P716" s="96" t="s">
        <v>338</v>
      </c>
      <c r="Q716" s="96" t="s">
        <v>1332</v>
      </c>
      <c r="R716" s="96" t="s">
        <v>412</v>
      </c>
      <c r="S716" s="96" t="s">
        <v>406</v>
      </c>
      <c r="T716" s="96" t="s">
        <v>1200</v>
      </c>
      <c r="U716" s="97">
        <v>0.98</v>
      </c>
      <c r="V716" s="100">
        <v>46023</v>
      </c>
      <c r="W716" s="98">
        <v>3.3700000000000001E-2</v>
      </c>
      <c r="X716" s="98">
        <v>6.4399999999999999E-2</v>
      </c>
      <c r="Y716" s="96" t="s">
        <v>411</v>
      </c>
      <c r="Z716" s="96"/>
      <c r="AA716" s="97">
        <v>198523.275887</v>
      </c>
      <c r="AB716" s="97">
        <v>1</v>
      </c>
      <c r="AC716" s="97">
        <v>103.29</v>
      </c>
      <c r="AD716" s="97"/>
      <c r="AE716" s="97">
        <v>205.05469099999999</v>
      </c>
      <c r="AF716" s="96"/>
      <c r="AG716" s="96"/>
      <c r="AH716" s="96"/>
      <c r="AI716" s="98">
        <v>1.418E-3</v>
      </c>
      <c r="AJ716" s="98">
        <v>7.6800000000000002E-4</v>
      </c>
      <c r="AK716" s="98">
        <v>1.06E-4</v>
      </c>
      <c r="AL716" s="106"/>
    </row>
    <row r="717" spans="1:38" ht="15" customHeight="1">
      <c r="A717" s="106"/>
      <c r="B717" s="96">
        <v>286</v>
      </c>
      <c r="C717" s="96">
        <v>286</v>
      </c>
      <c r="D717" s="96" t="s">
        <v>1414</v>
      </c>
      <c r="E717" s="96">
        <v>520037789</v>
      </c>
      <c r="F717" s="96" t="s">
        <v>308</v>
      </c>
      <c r="G717" s="96" t="s">
        <v>1455</v>
      </c>
      <c r="H717" s="96" t="s">
        <v>1456</v>
      </c>
      <c r="I717" s="96" t="s">
        <v>320</v>
      </c>
      <c r="J717" s="96" t="s">
        <v>753</v>
      </c>
      <c r="K717" s="96" t="s">
        <v>203</v>
      </c>
      <c r="L717" s="96" t="s">
        <v>203</v>
      </c>
      <c r="M717" s="96" t="s">
        <v>324</v>
      </c>
      <c r="N717" s="96" t="s">
        <v>339</v>
      </c>
      <c r="O717" s="96" t="s">
        <v>463</v>
      </c>
      <c r="P717" s="96" t="s">
        <v>337</v>
      </c>
      <c r="Q717" s="96" t="s">
        <v>1313</v>
      </c>
      <c r="R717" s="96" t="s">
        <v>412</v>
      </c>
      <c r="S717" s="96" t="s">
        <v>406</v>
      </c>
      <c r="T717" s="96" t="s">
        <v>1200</v>
      </c>
      <c r="U717" s="97">
        <v>4.59</v>
      </c>
      <c r="V717" s="100">
        <v>47300</v>
      </c>
      <c r="W717" s="98">
        <v>1.43E-2</v>
      </c>
      <c r="X717" s="98">
        <v>3.1800000000000002E-2</v>
      </c>
      <c r="Y717" s="96" t="s">
        <v>411</v>
      </c>
      <c r="Z717" s="96"/>
      <c r="AA717" s="97">
        <v>1301224.770973</v>
      </c>
      <c r="AB717" s="97">
        <v>1</v>
      </c>
      <c r="AC717" s="97">
        <v>104.95</v>
      </c>
      <c r="AD717" s="97">
        <v>16.057690999999998</v>
      </c>
      <c r="AE717" s="97">
        <v>1381.693088</v>
      </c>
      <c r="AF717" s="96"/>
      <c r="AG717" s="96"/>
      <c r="AH717" s="96"/>
      <c r="AI717" s="98">
        <v>1.157E-3</v>
      </c>
      <c r="AJ717" s="98">
        <v>5.1770000000000002E-3</v>
      </c>
      <c r="AK717" s="98">
        <v>7.1900000000000002E-4</v>
      </c>
      <c r="AL717" s="106"/>
    </row>
    <row r="718" spans="1:38" ht="15" customHeight="1">
      <c r="A718" s="106"/>
      <c r="B718" s="96">
        <v>286</v>
      </c>
      <c r="C718" s="96">
        <v>286</v>
      </c>
      <c r="D718" s="96" t="s">
        <v>1517</v>
      </c>
      <c r="E718" s="96">
        <v>510560188</v>
      </c>
      <c r="F718" s="96" t="s">
        <v>308</v>
      </c>
      <c r="G718" s="96" t="s">
        <v>1534</v>
      </c>
      <c r="H718" s="96" t="s">
        <v>1535</v>
      </c>
      <c r="I718" s="96" t="s">
        <v>320</v>
      </c>
      <c r="J718" s="96" t="s">
        <v>753</v>
      </c>
      <c r="K718" s="96" t="s">
        <v>203</v>
      </c>
      <c r="L718" s="96" t="s">
        <v>203</v>
      </c>
      <c r="M718" s="96" t="s">
        <v>324</v>
      </c>
      <c r="N718" s="96" t="s">
        <v>339</v>
      </c>
      <c r="O718" s="96" t="s">
        <v>464</v>
      </c>
      <c r="P718" s="96" t="s">
        <v>338</v>
      </c>
      <c r="Q718" s="96" t="s">
        <v>1520</v>
      </c>
      <c r="R718" s="96" t="s">
        <v>414</v>
      </c>
      <c r="S718" s="96" t="s">
        <v>406</v>
      </c>
      <c r="T718" s="96" t="s">
        <v>1200</v>
      </c>
      <c r="U718" s="97">
        <v>0.99</v>
      </c>
      <c r="V718" s="100">
        <v>45838</v>
      </c>
      <c r="W718" s="98">
        <v>1.2200000000000001E-2</v>
      </c>
      <c r="X718" s="98">
        <v>3.1600000000000003E-2</v>
      </c>
      <c r="Y718" s="96" t="s">
        <v>411</v>
      </c>
      <c r="Z718" s="96"/>
      <c r="AA718" s="97">
        <v>16633.138576000001</v>
      </c>
      <c r="AB718" s="97">
        <v>1</v>
      </c>
      <c r="AC718" s="97">
        <v>111.42</v>
      </c>
      <c r="AD718" s="97"/>
      <c r="AE718" s="97">
        <v>18.532641999999999</v>
      </c>
      <c r="AF718" s="96"/>
      <c r="AG718" s="96"/>
      <c r="AH718" s="96"/>
      <c r="AI718" s="98">
        <v>7.2000000000000002E-5</v>
      </c>
      <c r="AJ718" s="98">
        <v>6.8999999999999997E-5</v>
      </c>
      <c r="AK718" s="98">
        <v>9.0000000000000002E-6</v>
      </c>
      <c r="AL718" s="106"/>
    </row>
    <row r="719" spans="1:38" ht="15" customHeight="1">
      <c r="A719" s="106"/>
      <c r="B719" s="96">
        <v>286</v>
      </c>
      <c r="C719" s="96">
        <v>286</v>
      </c>
      <c r="D719" s="96" t="s">
        <v>1364</v>
      </c>
      <c r="E719" s="96">
        <v>513821488</v>
      </c>
      <c r="F719" s="96" t="s">
        <v>308</v>
      </c>
      <c r="G719" s="96" t="s">
        <v>1635</v>
      </c>
      <c r="H719" s="96" t="s">
        <v>1636</v>
      </c>
      <c r="I719" s="96" t="s">
        <v>320</v>
      </c>
      <c r="J719" s="96" t="s">
        <v>753</v>
      </c>
      <c r="K719" s="96" t="s">
        <v>203</v>
      </c>
      <c r="L719" s="96" t="s">
        <v>203</v>
      </c>
      <c r="M719" s="96" t="s">
        <v>324</v>
      </c>
      <c r="N719" s="96" t="s">
        <v>339</v>
      </c>
      <c r="O719" s="96" t="s">
        <v>463</v>
      </c>
      <c r="P719" s="96" t="s">
        <v>337</v>
      </c>
      <c r="Q719" s="96" t="s">
        <v>1313</v>
      </c>
      <c r="R719" s="96" t="s">
        <v>412</v>
      </c>
      <c r="S719" s="96" t="s">
        <v>406</v>
      </c>
      <c r="T719" s="96" t="s">
        <v>1200</v>
      </c>
      <c r="U719" s="97">
        <v>6.45</v>
      </c>
      <c r="V719" s="100">
        <v>49207</v>
      </c>
      <c r="W719" s="98">
        <v>2.5000000000000001E-2</v>
      </c>
      <c r="X719" s="98">
        <v>3.5900000000000001E-2</v>
      </c>
      <c r="Y719" s="96" t="s">
        <v>411</v>
      </c>
      <c r="Z719" s="96"/>
      <c r="AA719" s="97">
        <v>1147574.13014</v>
      </c>
      <c r="AB719" s="97">
        <v>1</v>
      </c>
      <c r="AC719" s="97">
        <v>106.83</v>
      </c>
      <c r="AD719" s="97"/>
      <c r="AE719" s="97">
        <v>1225.9534430000001</v>
      </c>
      <c r="AF719" s="96"/>
      <c r="AG719" s="96"/>
      <c r="AH719" s="96"/>
      <c r="AI719" s="98">
        <v>1.286E-3</v>
      </c>
      <c r="AJ719" s="98">
        <v>4.5929999999999999E-3</v>
      </c>
      <c r="AK719" s="98">
        <v>6.38E-4</v>
      </c>
      <c r="AL719" s="106"/>
    </row>
    <row r="720" spans="1:38" ht="15" customHeight="1">
      <c r="A720" s="106"/>
      <c r="B720" s="96">
        <v>286</v>
      </c>
      <c r="C720" s="96">
        <v>286</v>
      </c>
      <c r="D720" s="96" t="s">
        <v>1427</v>
      </c>
      <c r="E720" s="96">
        <v>520031931</v>
      </c>
      <c r="F720" s="96" t="s">
        <v>308</v>
      </c>
      <c r="G720" s="96" t="s">
        <v>2046</v>
      </c>
      <c r="H720" s="96" t="s">
        <v>2047</v>
      </c>
      <c r="I720" s="96" t="s">
        <v>320</v>
      </c>
      <c r="J720" s="96" t="s">
        <v>952</v>
      </c>
      <c r="K720" s="96" t="s">
        <v>203</v>
      </c>
      <c r="L720" s="96" t="s">
        <v>203</v>
      </c>
      <c r="M720" s="96" t="s">
        <v>324</v>
      </c>
      <c r="N720" s="96" t="s">
        <v>339</v>
      </c>
      <c r="O720" s="96" t="s">
        <v>483</v>
      </c>
      <c r="P720" s="96" t="s">
        <v>338</v>
      </c>
      <c r="Q720" s="96" t="s">
        <v>1336</v>
      </c>
      <c r="R720" s="96" t="s">
        <v>414</v>
      </c>
      <c r="S720" s="96" t="s">
        <v>406</v>
      </c>
      <c r="T720" s="96" t="s">
        <v>1200</v>
      </c>
      <c r="U720" s="97">
        <v>3.63</v>
      </c>
      <c r="V720" s="100">
        <v>47635</v>
      </c>
      <c r="W720" s="98">
        <v>3.2000000000000001E-2</v>
      </c>
      <c r="X720" s="98">
        <v>5.2900000000000003E-2</v>
      </c>
      <c r="Y720" s="96" t="s">
        <v>411</v>
      </c>
      <c r="Z720" s="96"/>
      <c r="AA720" s="97">
        <v>822366.01798300003</v>
      </c>
      <c r="AB720" s="97">
        <v>1</v>
      </c>
      <c r="AC720" s="97">
        <v>93.25</v>
      </c>
      <c r="AD720" s="97"/>
      <c r="AE720" s="97">
        <v>766.85631100000001</v>
      </c>
      <c r="AF720" s="96"/>
      <c r="AG720" s="96"/>
      <c r="AH720" s="96"/>
      <c r="AI720" s="98">
        <v>5.8600000000000004E-4</v>
      </c>
      <c r="AJ720" s="98">
        <v>2.8730000000000001E-3</v>
      </c>
      <c r="AK720" s="98">
        <v>3.9899999999999999E-4</v>
      </c>
      <c r="AL720" s="106"/>
    </row>
    <row r="721" spans="1:38" ht="15" customHeight="1">
      <c r="A721" s="106"/>
      <c r="B721" s="96">
        <v>286</v>
      </c>
      <c r="C721" s="96">
        <v>286</v>
      </c>
      <c r="D721" s="96" t="s">
        <v>1948</v>
      </c>
      <c r="E721" s="96">
        <v>516269248</v>
      </c>
      <c r="F721" s="96" t="s">
        <v>308</v>
      </c>
      <c r="G721" s="96" t="s">
        <v>1949</v>
      </c>
      <c r="H721" s="96" t="s">
        <v>1394</v>
      </c>
      <c r="I721" s="96" t="s">
        <v>320</v>
      </c>
      <c r="J721" s="96" t="s">
        <v>753</v>
      </c>
      <c r="K721" s="96" t="s">
        <v>203</v>
      </c>
      <c r="L721" s="96" t="s">
        <v>203</v>
      </c>
      <c r="M721" s="96" t="s">
        <v>324</v>
      </c>
      <c r="N721" s="96" t="s">
        <v>339</v>
      </c>
      <c r="O721" s="96" t="s">
        <v>439</v>
      </c>
      <c r="P721" s="96" t="s">
        <v>338</v>
      </c>
      <c r="Q721" s="96" t="s">
        <v>1309</v>
      </c>
      <c r="R721" s="96" t="s">
        <v>414</v>
      </c>
      <c r="S721" s="96" t="s">
        <v>406</v>
      </c>
      <c r="T721" s="96" t="s">
        <v>1200</v>
      </c>
      <c r="U721" s="97">
        <v>5.97</v>
      </c>
      <c r="V721" s="100">
        <v>49217</v>
      </c>
      <c r="W721" s="98">
        <v>3.3000000000000002E-2</v>
      </c>
      <c r="X721" s="98">
        <v>4.19E-2</v>
      </c>
      <c r="Y721" s="96" t="s">
        <v>411</v>
      </c>
      <c r="Z721" s="96"/>
      <c r="AA721" s="97">
        <v>714361.33233799995</v>
      </c>
      <c r="AB721" s="97">
        <v>1</v>
      </c>
      <c r="AC721" s="97">
        <v>100.71</v>
      </c>
      <c r="AD721" s="97"/>
      <c r="AE721" s="97">
        <v>719.43329700000004</v>
      </c>
      <c r="AF721" s="96"/>
      <c r="AG721" s="96"/>
      <c r="AH721" s="96"/>
      <c r="AI721" s="98">
        <v>5.6999999999999998E-4</v>
      </c>
      <c r="AJ721" s="98">
        <v>2.6949999999999999E-3</v>
      </c>
      <c r="AK721" s="98">
        <v>3.7399999999999998E-4</v>
      </c>
      <c r="AL721" s="106"/>
    </row>
    <row r="722" spans="1:38" ht="15" customHeight="1">
      <c r="A722" s="106"/>
      <c r="B722" s="96">
        <v>286</v>
      </c>
      <c r="C722" s="96">
        <v>286</v>
      </c>
      <c r="D722" s="96" t="s">
        <v>1364</v>
      </c>
      <c r="E722" s="96">
        <v>513821488</v>
      </c>
      <c r="F722" s="96" t="s">
        <v>308</v>
      </c>
      <c r="G722" s="96" t="s">
        <v>1365</v>
      </c>
      <c r="H722" s="96" t="s">
        <v>1366</v>
      </c>
      <c r="I722" s="96" t="s">
        <v>320</v>
      </c>
      <c r="J722" s="96" t="s">
        <v>753</v>
      </c>
      <c r="K722" s="96" t="s">
        <v>203</v>
      </c>
      <c r="L722" s="96" t="s">
        <v>203</v>
      </c>
      <c r="M722" s="96" t="s">
        <v>324</v>
      </c>
      <c r="N722" s="96" t="s">
        <v>339</v>
      </c>
      <c r="O722" s="96" t="s">
        <v>463</v>
      </c>
      <c r="P722" s="96" t="s">
        <v>337</v>
      </c>
      <c r="Q722" s="96" t="s">
        <v>1313</v>
      </c>
      <c r="R722" s="96" t="s">
        <v>412</v>
      </c>
      <c r="S722" s="96" t="s">
        <v>406</v>
      </c>
      <c r="T722" s="96" t="s">
        <v>1200</v>
      </c>
      <c r="U722" s="97">
        <v>3.62</v>
      </c>
      <c r="V722" s="100">
        <v>48111</v>
      </c>
      <c r="W722" s="98">
        <v>3.5000000000000003E-2</v>
      </c>
      <c r="X722" s="98">
        <v>3.15E-2</v>
      </c>
      <c r="Y722" s="96" t="s">
        <v>411</v>
      </c>
      <c r="Z722" s="96"/>
      <c r="AA722" s="97">
        <v>378458.10167</v>
      </c>
      <c r="AB722" s="97">
        <v>1</v>
      </c>
      <c r="AC722" s="97">
        <v>118.06</v>
      </c>
      <c r="AD722" s="97"/>
      <c r="AE722" s="97">
        <v>446.80763400000001</v>
      </c>
      <c r="AF722" s="96"/>
      <c r="AG722" s="96"/>
      <c r="AH722" s="96"/>
      <c r="AI722" s="98">
        <v>4.3399999999999998E-4</v>
      </c>
      <c r="AJ722" s="98">
        <v>1.6739999999999999E-3</v>
      </c>
      <c r="AK722" s="98">
        <v>2.32E-4</v>
      </c>
      <c r="AL722" s="106"/>
    </row>
    <row r="723" spans="1:38" ht="15" customHeight="1">
      <c r="A723" s="106"/>
      <c r="B723" s="96">
        <v>286</v>
      </c>
      <c r="C723" s="96">
        <v>286</v>
      </c>
      <c r="D723" s="96" t="s">
        <v>1385</v>
      </c>
      <c r="E723" s="96">
        <v>520017807</v>
      </c>
      <c r="F723" s="96" t="s">
        <v>308</v>
      </c>
      <c r="G723" s="96" t="s">
        <v>1430</v>
      </c>
      <c r="H723" s="96" t="s">
        <v>1431</v>
      </c>
      <c r="I723" s="96" t="s">
        <v>320</v>
      </c>
      <c r="J723" s="96" t="s">
        <v>952</v>
      </c>
      <c r="K723" s="96" t="s">
        <v>203</v>
      </c>
      <c r="L723" s="96" t="s">
        <v>203</v>
      </c>
      <c r="M723" s="96" t="s">
        <v>324</v>
      </c>
      <c r="N723" s="96" t="s">
        <v>339</v>
      </c>
      <c r="O723" s="96" t="s">
        <v>463</v>
      </c>
      <c r="P723" s="96" t="s">
        <v>337</v>
      </c>
      <c r="Q723" s="96" t="s">
        <v>1305</v>
      </c>
      <c r="R723" s="96" t="s">
        <v>414</v>
      </c>
      <c r="S723" s="96" t="s">
        <v>406</v>
      </c>
      <c r="T723" s="96" t="s">
        <v>1200</v>
      </c>
      <c r="U723" s="97">
        <v>1.58</v>
      </c>
      <c r="V723" s="100">
        <v>46447</v>
      </c>
      <c r="W723" s="98">
        <v>5.0500000000000003E-2</v>
      </c>
      <c r="X723" s="98">
        <v>5.1799999999999999E-2</v>
      </c>
      <c r="Y723" s="96" t="s">
        <v>411</v>
      </c>
      <c r="Z723" s="96"/>
      <c r="AA723" s="97">
        <v>130221.25532500001</v>
      </c>
      <c r="AB723" s="97">
        <v>1</v>
      </c>
      <c r="AC723" s="97">
        <v>101.58</v>
      </c>
      <c r="AD723" s="97"/>
      <c r="AE723" s="97">
        <v>132.278751</v>
      </c>
      <c r="AF723" s="96"/>
      <c r="AG723" s="96"/>
      <c r="AH723" s="96"/>
      <c r="AI723" s="98">
        <v>4.6799999999999999E-4</v>
      </c>
      <c r="AJ723" s="98">
        <v>4.95E-4</v>
      </c>
      <c r="AK723" s="98">
        <v>6.7999999999999999E-5</v>
      </c>
      <c r="AL723" s="106"/>
    </row>
    <row r="724" spans="1:38" ht="15" customHeight="1">
      <c r="A724" s="106"/>
      <c r="B724" s="96">
        <v>286</v>
      </c>
      <c r="C724" s="96">
        <v>286</v>
      </c>
      <c r="D724" s="96" t="s">
        <v>1399</v>
      </c>
      <c r="E724" s="96">
        <v>520032046</v>
      </c>
      <c r="F724" s="96" t="s">
        <v>308</v>
      </c>
      <c r="G724" s="96" t="s">
        <v>1878</v>
      </c>
      <c r="H724" s="96" t="s">
        <v>1879</v>
      </c>
      <c r="I724" s="96" t="s">
        <v>320</v>
      </c>
      <c r="J724" s="96" t="s">
        <v>952</v>
      </c>
      <c r="K724" s="96" t="s">
        <v>203</v>
      </c>
      <c r="L724" s="96" t="s">
        <v>203</v>
      </c>
      <c r="M724" s="96" t="s">
        <v>324</v>
      </c>
      <c r="N724" s="96" t="s">
        <v>339</v>
      </c>
      <c r="O724" s="96" t="s">
        <v>447</v>
      </c>
      <c r="P724" s="96" t="s">
        <v>338</v>
      </c>
      <c r="Q724" s="96" t="s">
        <v>1211</v>
      </c>
      <c r="R724" s="96" t="s">
        <v>414</v>
      </c>
      <c r="S724" s="96" t="s">
        <v>406</v>
      </c>
      <c r="T724" s="96" t="s">
        <v>1200</v>
      </c>
      <c r="U724" s="97">
        <v>0.94</v>
      </c>
      <c r="V724" s="100">
        <v>45816</v>
      </c>
      <c r="W724" s="98">
        <v>2.98E-2</v>
      </c>
      <c r="X724" s="98">
        <v>4.4999999999999998E-2</v>
      </c>
      <c r="Y724" s="96" t="s">
        <v>411</v>
      </c>
      <c r="Z724" s="96"/>
      <c r="AA724" s="97">
        <v>828718.63379300002</v>
      </c>
      <c r="AB724" s="97">
        <v>1</v>
      </c>
      <c r="AC724" s="97">
        <v>98.82</v>
      </c>
      <c r="AD724" s="97"/>
      <c r="AE724" s="97">
        <v>818.939753</v>
      </c>
      <c r="AF724" s="96"/>
      <c r="AG724" s="96"/>
      <c r="AH724" s="96"/>
      <c r="AI724" s="98">
        <v>3.2499999999999999E-4</v>
      </c>
      <c r="AJ724" s="98">
        <v>3.068E-3</v>
      </c>
      <c r="AK724" s="98">
        <v>4.26E-4</v>
      </c>
      <c r="AL724" s="106"/>
    </row>
    <row r="725" spans="1:38" ht="15" customHeight="1">
      <c r="A725" s="106"/>
      <c r="B725" s="96">
        <v>286</v>
      </c>
      <c r="C725" s="96">
        <v>286</v>
      </c>
      <c r="D725" s="96" t="s">
        <v>1467</v>
      </c>
      <c r="E725" s="96">
        <v>515334662</v>
      </c>
      <c r="F725" s="96" t="s">
        <v>308</v>
      </c>
      <c r="G725" s="96" t="s">
        <v>1639</v>
      </c>
      <c r="H725" s="96" t="s">
        <v>1640</v>
      </c>
      <c r="I725" s="96" t="s">
        <v>320</v>
      </c>
      <c r="J725" s="96" t="s">
        <v>754</v>
      </c>
      <c r="K725" s="96" t="s">
        <v>203</v>
      </c>
      <c r="L725" s="96" t="s">
        <v>203</v>
      </c>
      <c r="M725" s="96" t="s">
        <v>324</v>
      </c>
      <c r="N725" s="96" t="s">
        <v>339</v>
      </c>
      <c r="O725" s="96" t="s">
        <v>453</v>
      </c>
      <c r="P725" s="96" t="s">
        <v>337</v>
      </c>
      <c r="Q725" s="96" t="s">
        <v>1357</v>
      </c>
      <c r="R725" s="96" t="s">
        <v>414</v>
      </c>
      <c r="S725" s="96" t="s">
        <v>406</v>
      </c>
      <c r="T725" s="96" t="s">
        <v>1200</v>
      </c>
      <c r="U725" s="97">
        <v>3.02</v>
      </c>
      <c r="V725" s="100">
        <v>46995</v>
      </c>
      <c r="W725" s="98">
        <v>4.6899999999999997E-2</v>
      </c>
      <c r="X725" s="98">
        <v>7.7100000000000002E-2</v>
      </c>
      <c r="Y725" s="96" t="s">
        <v>411</v>
      </c>
      <c r="Z725" s="96"/>
      <c r="AA725" s="97">
        <v>1139427.661323</v>
      </c>
      <c r="AB725" s="97">
        <v>1</v>
      </c>
      <c r="AC725" s="97">
        <v>99.55</v>
      </c>
      <c r="AD725" s="97"/>
      <c r="AE725" s="97">
        <v>1134.300236</v>
      </c>
      <c r="AF725" s="96"/>
      <c r="AG725" s="96"/>
      <c r="AH725" s="96"/>
      <c r="AI725" s="98">
        <v>8.0999999999999996E-4</v>
      </c>
      <c r="AJ725" s="98">
        <v>4.2500000000000003E-3</v>
      </c>
      <c r="AK725" s="98">
        <v>5.9000000000000003E-4</v>
      </c>
      <c r="AL725" s="106"/>
    </row>
    <row r="726" spans="1:38" ht="15" customHeight="1">
      <c r="A726" s="106"/>
      <c r="B726" s="96">
        <v>286</v>
      </c>
      <c r="C726" s="96">
        <v>286</v>
      </c>
      <c r="D726" s="96" t="s">
        <v>1597</v>
      </c>
      <c r="E726" s="96">
        <v>520020116</v>
      </c>
      <c r="F726" s="96" t="s">
        <v>308</v>
      </c>
      <c r="G726" s="96" t="s">
        <v>1738</v>
      </c>
      <c r="H726" s="96" t="s">
        <v>1739</v>
      </c>
      <c r="I726" s="96" t="s">
        <v>320</v>
      </c>
      <c r="J726" s="96" t="s">
        <v>753</v>
      </c>
      <c r="K726" s="96" t="s">
        <v>203</v>
      </c>
      <c r="L726" s="96" t="s">
        <v>203</v>
      </c>
      <c r="M726" s="96" t="s">
        <v>324</v>
      </c>
      <c r="N726" s="96" t="s">
        <v>339</v>
      </c>
      <c r="O726" s="96" t="s">
        <v>463</v>
      </c>
      <c r="P726" s="96" t="s">
        <v>337</v>
      </c>
      <c r="Q726" s="96" t="s">
        <v>1324</v>
      </c>
      <c r="R726" s="96" t="s">
        <v>412</v>
      </c>
      <c r="S726" s="96" t="s">
        <v>406</v>
      </c>
      <c r="T726" s="96" t="s">
        <v>1200</v>
      </c>
      <c r="U726" s="97">
        <v>4.97</v>
      </c>
      <c r="V726" s="100">
        <v>48029</v>
      </c>
      <c r="W726" s="98">
        <v>4.4499999999999998E-2</v>
      </c>
      <c r="X726" s="98">
        <v>4.7600000000000003E-2</v>
      </c>
      <c r="Y726" s="96" t="s">
        <v>411</v>
      </c>
      <c r="Z726" s="96"/>
      <c r="AA726" s="97">
        <v>512135.92864499998</v>
      </c>
      <c r="AB726" s="97">
        <v>1</v>
      </c>
      <c r="AC726" s="97">
        <v>101.38</v>
      </c>
      <c r="AD726" s="97"/>
      <c r="AE726" s="97">
        <v>519.20340399999998</v>
      </c>
      <c r="AF726" s="96"/>
      <c r="AG726" s="96"/>
      <c r="AH726" s="96"/>
      <c r="AI726" s="98">
        <v>1.1379999999999999E-3</v>
      </c>
      <c r="AJ726" s="98">
        <v>1.9449999999999999E-3</v>
      </c>
      <c r="AK726" s="98">
        <v>2.7E-4</v>
      </c>
      <c r="AL726" s="106"/>
    </row>
    <row r="727" spans="1:38" ht="15" customHeight="1">
      <c r="A727" s="106"/>
      <c r="B727" s="96">
        <v>286</v>
      </c>
      <c r="C727" s="96">
        <v>286</v>
      </c>
      <c r="D727" s="96" t="s">
        <v>1321</v>
      </c>
      <c r="E727" s="96">
        <v>550263107</v>
      </c>
      <c r="F727" s="96" t="s">
        <v>309</v>
      </c>
      <c r="G727" s="96" t="s">
        <v>1322</v>
      </c>
      <c r="H727" s="96" t="s">
        <v>1323</v>
      </c>
      <c r="I727" s="96" t="s">
        <v>320</v>
      </c>
      <c r="J727" s="96" t="s">
        <v>952</v>
      </c>
      <c r="K727" s="96" t="s">
        <v>203</v>
      </c>
      <c r="L727" s="96" t="s">
        <v>203</v>
      </c>
      <c r="M727" s="96" t="s">
        <v>324</v>
      </c>
      <c r="N727" s="96" t="s">
        <v>339</v>
      </c>
      <c r="O727" s="96" t="s">
        <v>453</v>
      </c>
      <c r="P727" s="96" t="s">
        <v>338</v>
      </c>
      <c r="Q727" s="96" t="s">
        <v>1324</v>
      </c>
      <c r="R727" s="96" t="s">
        <v>412</v>
      </c>
      <c r="S727" s="96" t="s">
        <v>406</v>
      </c>
      <c r="T727" s="96" t="s">
        <v>1200</v>
      </c>
      <c r="U727" s="97">
        <v>3.87</v>
      </c>
      <c r="V727" s="100">
        <v>47391</v>
      </c>
      <c r="W727" s="98">
        <v>6.7000000000000004E-2</v>
      </c>
      <c r="X727" s="98">
        <v>6.6000000000000003E-2</v>
      </c>
      <c r="Y727" s="96" t="s">
        <v>411</v>
      </c>
      <c r="Z727" s="96"/>
      <c r="AA727" s="97">
        <v>526480.073233</v>
      </c>
      <c r="AB727" s="97">
        <v>1</v>
      </c>
      <c r="AC727" s="97">
        <v>102.81</v>
      </c>
      <c r="AD727" s="97"/>
      <c r="AE727" s="97">
        <v>541.27416300000004</v>
      </c>
      <c r="AF727" s="96"/>
      <c r="AG727" s="96"/>
      <c r="AH727" s="96"/>
      <c r="AI727" s="98">
        <v>5.7799999999999995E-4</v>
      </c>
      <c r="AJ727" s="98">
        <v>2.0279999999999999E-3</v>
      </c>
      <c r="AK727" s="98">
        <v>2.81E-4</v>
      </c>
      <c r="AL727" s="106"/>
    </row>
    <row r="728" spans="1:38" ht="15" customHeight="1">
      <c r="A728" s="106"/>
      <c r="B728" s="96">
        <v>286</v>
      </c>
      <c r="C728" s="96">
        <v>286</v>
      </c>
      <c r="D728" s="96" t="s">
        <v>1385</v>
      </c>
      <c r="E728" s="96">
        <v>520017807</v>
      </c>
      <c r="F728" s="96" t="s">
        <v>308</v>
      </c>
      <c r="G728" s="96" t="s">
        <v>1622</v>
      </c>
      <c r="H728" s="96" t="s">
        <v>1623</v>
      </c>
      <c r="I728" s="96" t="s">
        <v>320</v>
      </c>
      <c r="J728" s="96" t="s">
        <v>753</v>
      </c>
      <c r="K728" s="96" t="s">
        <v>203</v>
      </c>
      <c r="L728" s="96" t="s">
        <v>203</v>
      </c>
      <c r="M728" s="96" t="s">
        <v>324</v>
      </c>
      <c r="N728" s="96" t="s">
        <v>339</v>
      </c>
      <c r="O728" s="96" t="s">
        <v>463</v>
      </c>
      <c r="P728" s="96" t="s">
        <v>337</v>
      </c>
      <c r="Q728" s="96" t="s">
        <v>1336</v>
      </c>
      <c r="R728" s="96" t="s">
        <v>414</v>
      </c>
      <c r="S728" s="96" t="s">
        <v>406</v>
      </c>
      <c r="T728" s="96" t="s">
        <v>1200</v>
      </c>
      <c r="U728" s="97">
        <v>2.57</v>
      </c>
      <c r="V728" s="100">
        <v>46522</v>
      </c>
      <c r="W728" s="98">
        <v>1.5800000000000002E-2</v>
      </c>
      <c r="X728" s="98">
        <v>2.6100000000000002E-2</v>
      </c>
      <c r="Y728" s="96" t="s">
        <v>411</v>
      </c>
      <c r="Z728" s="96"/>
      <c r="AA728" s="97">
        <v>798367.085479</v>
      </c>
      <c r="AB728" s="97">
        <v>1</v>
      </c>
      <c r="AC728" s="97">
        <v>111.97</v>
      </c>
      <c r="AD728" s="97"/>
      <c r="AE728" s="97">
        <v>893.93162500000005</v>
      </c>
      <c r="AF728" s="96"/>
      <c r="AG728" s="96"/>
      <c r="AH728" s="96"/>
      <c r="AI728" s="98">
        <v>1.859E-3</v>
      </c>
      <c r="AJ728" s="98">
        <v>3.349E-3</v>
      </c>
      <c r="AK728" s="98">
        <v>4.6500000000000003E-4</v>
      </c>
      <c r="AL728" s="106"/>
    </row>
    <row r="729" spans="1:38" ht="15" customHeight="1">
      <c r="A729" s="106"/>
      <c r="B729" s="96">
        <v>286</v>
      </c>
      <c r="C729" s="96">
        <v>286</v>
      </c>
      <c r="D729" s="96" t="s">
        <v>1740</v>
      </c>
      <c r="E729" s="96">
        <v>520042847</v>
      </c>
      <c r="F729" s="96" t="s">
        <v>308</v>
      </c>
      <c r="G729" s="96" t="s">
        <v>1741</v>
      </c>
      <c r="H729" s="96" t="s">
        <v>1742</v>
      </c>
      <c r="I729" s="96" t="s">
        <v>320</v>
      </c>
      <c r="J729" s="96" t="s">
        <v>952</v>
      </c>
      <c r="K729" s="96" t="s">
        <v>203</v>
      </c>
      <c r="L729" s="96" t="s">
        <v>203</v>
      </c>
      <c r="M729" s="96" t="s">
        <v>324</v>
      </c>
      <c r="N729" s="96" t="s">
        <v>339</v>
      </c>
      <c r="O729" s="96" t="s">
        <v>450</v>
      </c>
      <c r="P729" s="96" t="s">
        <v>338</v>
      </c>
      <c r="Q729" s="96" t="s">
        <v>1320</v>
      </c>
      <c r="R729" s="96" t="s">
        <v>412</v>
      </c>
      <c r="S729" s="96" t="s">
        <v>406</v>
      </c>
      <c r="T729" s="96" t="s">
        <v>1200</v>
      </c>
      <c r="U729" s="97">
        <v>1.32</v>
      </c>
      <c r="V729" s="100">
        <v>46295</v>
      </c>
      <c r="W729" s="98">
        <v>3.9E-2</v>
      </c>
      <c r="X729" s="98">
        <v>5.5899999999999998E-2</v>
      </c>
      <c r="Y729" s="96" t="s">
        <v>411</v>
      </c>
      <c r="Z729" s="96"/>
      <c r="AA729" s="97">
        <v>363395.44133</v>
      </c>
      <c r="AB729" s="97">
        <v>1</v>
      </c>
      <c r="AC729" s="97">
        <v>98.89</v>
      </c>
      <c r="AD729" s="97"/>
      <c r="AE729" s="97">
        <v>359.36175100000003</v>
      </c>
      <c r="AF729" s="96"/>
      <c r="AG729" s="96"/>
      <c r="AH729" s="96"/>
      <c r="AI729" s="98">
        <v>4.7199999999999998E-4</v>
      </c>
      <c r="AJ729" s="98">
        <v>1.346E-3</v>
      </c>
      <c r="AK729" s="98">
        <v>1.8699999999999999E-4</v>
      </c>
      <c r="AL729" s="106"/>
    </row>
    <row r="730" spans="1:38" ht="15" customHeight="1">
      <c r="A730" s="106"/>
      <c r="B730" s="96">
        <v>286</v>
      </c>
      <c r="C730" s="96">
        <v>286</v>
      </c>
      <c r="D730" s="96" t="s">
        <v>1399</v>
      </c>
      <c r="E730" s="96">
        <v>520032046</v>
      </c>
      <c r="F730" s="96" t="s">
        <v>308</v>
      </c>
      <c r="G730" s="96" t="s">
        <v>1620</v>
      </c>
      <c r="H730" s="96" t="s">
        <v>1621</v>
      </c>
      <c r="I730" s="96" t="s">
        <v>320</v>
      </c>
      <c r="J730" s="96" t="s">
        <v>753</v>
      </c>
      <c r="K730" s="96" t="s">
        <v>203</v>
      </c>
      <c r="L730" s="96" t="s">
        <v>203</v>
      </c>
      <c r="M730" s="96" t="s">
        <v>324</v>
      </c>
      <c r="N730" s="96" t="s">
        <v>339</v>
      </c>
      <c r="O730" s="96" t="s">
        <v>447</v>
      </c>
      <c r="P730" s="96" t="s">
        <v>338</v>
      </c>
      <c r="Q730" s="96" t="s">
        <v>1211</v>
      </c>
      <c r="R730" s="96" t="s">
        <v>414</v>
      </c>
      <c r="S730" s="96" t="s">
        <v>406</v>
      </c>
      <c r="T730" s="96" t="s">
        <v>1200</v>
      </c>
      <c r="U730" s="97">
        <v>4.66</v>
      </c>
      <c r="V730" s="100">
        <v>48742</v>
      </c>
      <c r="W730" s="98">
        <v>2.06E-2</v>
      </c>
      <c r="X730" s="98">
        <v>2.58E-2</v>
      </c>
      <c r="Y730" s="96" t="s">
        <v>411</v>
      </c>
      <c r="Z730" s="96"/>
      <c r="AA730" s="97">
        <v>2637441.4018999999</v>
      </c>
      <c r="AB730" s="97">
        <v>1</v>
      </c>
      <c r="AC730" s="97">
        <v>100.67</v>
      </c>
      <c r="AD730" s="97"/>
      <c r="AE730" s="97">
        <v>2655.112259</v>
      </c>
      <c r="AF730" s="96"/>
      <c r="AG730" s="96"/>
      <c r="AH730" s="96"/>
      <c r="AI730" s="98">
        <v>1.4649999999999999E-3</v>
      </c>
      <c r="AJ730" s="98">
        <v>9.9480000000000002E-3</v>
      </c>
      <c r="AK730" s="98">
        <v>1.382E-3</v>
      </c>
      <c r="AL730" s="106"/>
    </row>
    <row r="731" spans="1:38" ht="15" customHeight="1">
      <c r="A731" s="106"/>
      <c r="B731" s="96">
        <v>286</v>
      </c>
      <c r="C731" s="96">
        <v>286</v>
      </c>
      <c r="D731" s="96" t="s">
        <v>1511</v>
      </c>
      <c r="E731" s="96">
        <v>513765859</v>
      </c>
      <c r="F731" s="96" t="s">
        <v>308</v>
      </c>
      <c r="G731" s="96" t="s">
        <v>1690</v>
      </c>
      <c r="H731" s="96" t="s">
        <v>1687</v>
      </c>
      <c r="I731" s="96" t="s">
        <v>320</v>
      </c>
      <c r="J731" s="96" t="s">
        <v>753</v>
      </c>
      <c r="K731" s="96" t="s">
        <v>203</v>
      </c>
      <c r="L731" s="96" t="s">
        <v>203</v>
      </c>
      <c r="M731" s="96" t="s">
        <v>326</v>
      </c>
      <c r="N731" s="96" t="s">
        <v>339</v>
      </c>
      <c r="O731" s="96" t="s">
        <v>463</v>
      </c>
      <c r="P731" s="96" t="s">
        <v>337</v>
      </c>
      <c r="Q731" s="96" t="s">
        <v>1313</v>
      </c>
      <c r="R731" s="96" t="s">
        <v>412</v>
      </c>
      <c r="S731" s="96" t="s">
        <v>406</v>
      </c>
      <c r="T731" s="96" t="s">
        <v>1200</v>
      </c>
      <c r="U731" s="97">
        <v>2.4900000000000002</v>
      </c>
      <c r="V731" s="100">
        <v>47057</v>
      </c>
      <c r="W731" s="98">
        <v>1.4200000000000001E-2</v>
      </c>
      <c r="X731" s="98">
        <v>2.9899999999999999E-2</v>
      </c>
      <c r="Y731" s="96" t="s">
        <v>411</v>
      </c>
      <c r="Z731" s="96"/>
      <c r="AA731" s="97">
        <v>42202.484237999997</v>
      </c>
      <c r="AB731" s="97">
        <v>1</v>
      </c>
      <c r="AC731" s="97">
        <v>109.5226</v>
      </c>
      <c r="AD731" s="97"/>
      <c r="AE731" s="97">
        <v>46.221262000000003</v>
      </c>
      <c r="AF731" s="96"/>
      <c r="AG731" s="96"/>
      <c r="AH731" s="96"/>
      <c r="AI731" s="98">
        <v>3.4999999999999997E-5</v>
      </c>
      <c r="AJ731" s="98">
        <v>1.73E-4</v>
      </c>
      <c r="AK731" s="98">
        <v>2.4000000000000001E-5</v>
      </c>
      <c r="AL731" s="106"/>
    </row>
    <row r="732" spans="1:38" ht="15" customHeight="1">
      <c r="A732" s="106"/>
      <c r="B732" s="96">
        <v>286</v>
      </c>
      <c r="C732" s="96">
        <v>286</v>
      </c>
      <c r="D732" s="96" t="s">
        <v>1718</v>
      </c>
      <c r="E732" s="96">
        <v>511996803</v>
      </c>
      <c r="F732" s="96" t="s">
        <v>308</v>
      </c>
      <c r="G732" s="96" t="s">
        <v>2043</v>
      </c>
      <c r="H732" s="96" t="s">
        <v>1720</v>
      </c>
      <c r="I732" s="96" t="s">
        <v>320</v>
      </c>
      <c r="J732" s="96" t="s">
        <v>952</v>
      </c>
      <c r="K732" s="96" t="s">
        <v>203</v>
      </c>
      <c r="L732" s="96" t="s">
        <v>203</v>
      </c>
      <c r="M732" s="96" t="s">
        <v>326</v>
      </c>
      <c r="N732" s="96" t="s">
        <v>339</v>
      </c>
      <c r="O732" s="96" t="s">
        <v>446</v>
      </c>
      <c r="P732" s="96" t="s">
        <v>338</v>
      </c>
      <c r="Q732" s="96" t="s">
        <v>1309</v>
      </c>
      <c r="R732" s="96" t="s">
        <v>414</v>
      </c>
      <c r="S732" s="96" t="s">
        <v>406</v>
      </c>
      <c r="T732" s="96" t="s">
        <v>1200</v>
      </c>
      <c r="U732" s="97">
        <v>2.4900000000000002</v>
      </c>
      <c r="V732" s="100">
        <v>46752</v>
      </c>
      <c r="W732" s="98">
        <v>4.53E-2</v>
      </c>
      <c r="X732" s="98">
        <v>6.4000000000000001E-2</v>
      </c>
      <c r="Y732" s="96" t="s">
        <v>411</v>
      </c>
      <c r="Z732" s="96"/>
      <c r="AA732" s="97">
        <v>46334.109734999998</v>
      </c>
      <c r="AB732" s="97">
        <v>1</v>
      </c>
      <c r="AC732" s="97">
        <v>95.759600000000006</v>
      </c>
      <c r="AD732" s="97"/>
      <c r="AE732" s="97">
        <v>44.369343000000001</v>
      </c>
      <c r="AF732" s="96"/>
      <c r="AG732" s="96"/>
      <c r="AH732" s="96"/>
      <c r="AI732" s="98">
        <v>6.6000000000000005E-5</v>
      </c>
      <c r="AJ732" s="98">
        <v>1.66E-4</v>
      </c>
      <c r="AK732" s="98">
        <v>2.3E-5</v>
      </c>
      <c r="AL732" s="106"/>
    </row>
    <row r="733" spans="1:38" ht="15" customHeight="1">
      <c r="A733" s="106"/>
      <c r="B733" s="96">
        <v>286</v>
      </c>
      <c r="C733" s="96">
        <v>286</v>
      </c>
      <c r="D733" s="96" t="s">
        <v>1337</v>
      </c>
      <c r="E733" s="96">
        <v>520028010</v>
      </c>
      <c r="F733" s="96" t="s">
        <v>308</v>
      </c>
      <c r="G733" s="96" t="s">
        <v>1880</v>
      </c>
      <c r="H733" s="96" t="s">
        <v>1881</v>
      </c>
      <c r="I733" s="96" t="s">
        <v>320</v>
      </c>
      <c r="J733" s="96" t="s">
        <v>952</v>
      </c>
      <c r="K733" s="96" t="s">
        <v>203</v>
      </c>
      <c r="L733" s="96" t="s">
        <v>203</v>
      </c>
      <c r="M733" s="96" t="s">
        <v>324</v>
      </c>
      <c r="N733" s="96" t="s">
        <v>339</v>
      </c>
      <c r="O733" s="96" t="s">
        <v>450</v>
      </c>
      <c r="P733" s="96" t="s">
        <v>338</v>
      </c>
      <c r="Q733" s="96" t="s">
        <v>1320</v>
      </c>
      <c r="R733" s="96" t="s">
        <v>412</v>
      </c>
      <c r="S733" s="96" t="s">
        <v>406</v>
      </c>
      <c r="T733" s="96" t="s">
        <v>1200</v>
      </c>
      <c r="U733" s="97">
        <v>3.82</v>
      </c>
      <c r="V733" s="100">
        <v>47695</v>
      </c>
      <c r="W733" s="98">
        <v>2.7400000000000001E-2</v>
      </c>
      <c r="X733" s="98">
        <v>5.5599999999999997E-2</v>
      </c>
      <c r="Y733" s="96" t="s">
        <v>411</v>
      </c>
      <c r="Z733" s="96"/>
      <c r="AA733" s="97">
        <v>282864.02074200002</v>
      </c>
      <c r="AB733" s="97">
        <v>1</v>
      </c>
      <c r="AC733" s="97">
        <v>91.17</v>
      </c>
      <c r="AD733" s="97"/>
      <c r="AE733" s="97">
        <v>257.88712700000002</v>
      </c>
      <c r="AF733" s="96"/>
      <c r="AG733" s="96"/>
      <c r="AH733" s="96"/>
      <c r="AI733" s="98">
        <v>3.77E-4</v>
      </c>
      <c r="AJ733" s="98">
        <v>9.6599999999999995E-4</v>
      </c>
      <c r="AK733" s="98">
        <v>1.34E-4</v>
      </c>
      <c r="AL733" s="106"/>
    </row>
    <row r="734" spans="1:38" ht="15" customHeight="1">
      <c r="A734" s="106"/>
      <c r="B734" s="96">
        <v>286</v>
      </c>
      <c r="C734" s="96">
        <v>286</v>
      </c>
      <c r="D734" s="96" t="s">
        <v>1197</v>
      </c>
      <c r="E734" s="96">
        <v>520018078</v>
      </c>
      <c r="F734" s="96" t="s">
        <v>308</v>
      </c>
      <c r="G734" s="96" t="s">
        <v>1349</v>
      </c>
      <c r="H734" s="96" t="s">
        <v>1350</v>
      </c>
      <c r="I734" s="96" t="s">
        <v>320</v>
      </c>
      <c r="J734" s="96" t="s">
        <v>753</v>
      </c>
      <c r="K734" s="96" t="s">
        <v>203</v>
      </c>
      <c r="L734" s="96" t="s">
        <v>203</v>
      </c>
      <c r="M734" s="96" t="s">
        <v>324</v>
      </c>
      <c r="N734" s="96" t="s">
        <v>339</v>
      </c>
      <c r="O734" s="96" t="s">
        <v>447</v>
      </c>
      <c r="P734" s="96" t="s">
        <v>338</v>
      </c>
      <c r="Q734" s="96" t="s">
        <v>1199</v>
      </c>
      <c r="R734" s="96" t="s">
        <v>412</v>
      </c>
      <c r="S734" s="96" t="s">
        <v>406</v>
      </c>
      <c r="T734" s="96" t="s">
        <v>1200</v>
      </c>
      <c r="U734" s="97">
        <v>2.81</v>
      </c>
      <c r="V734" s="100">
        <v>47361</v>
      </c>
      <c r="W734" s="98">
        <v>1.8599999999999998E-2</v>
      </c>
      <c r="X734" s="98">
        <v>2.3E-2</v>
      </c>
      <c r="Y734" s="96" t="s">
        <v>411</v>
      </c>
      <c r="Z734" s="96"/>
      <c r="AA734" s="97">
        <v>229580.97120500001</v>
      </c>
      <c r="AB734" s="97">
        <v>1</v>
      </c>
      <c r="AC734" s="97">
        <v>101.33</v>
      </c>
      <c r="AD734" s="97"/>
      <c r="AE734" s="97">
        <v>232.634398</v>
      </c>
      <c r="AF734" s="96"/>
      <c r="AG734" s="96"/>
      <c r="AH734" s="96"/>
      <c r="AI734" s="98">
        <v>1.8599999999999999E-4</v>
      </c>
      <c r="AJ734" s="98">
        <v>8.7100000000000003E-4</v>
      </c>
      <c r="AK734" s="98">
        <v>1.21E-4</v>
      </c>
      <c r="AL734" s="106"/>
    </row>
    <row r="735" spans="1:38" ht="15" customHeight="1">
      <c r="A735" s="106"/>
      <c r="B735" s="96">
        <v>286</v>
      </c>
      <c r="C735" s="96">
        <v>286</v>
      </c>
      <c r="D735" s="96" t="s">
        <v>1771</v>
      </c>
      <c r="E735" s="96">
        <v>515364891</v>
      </c>
      <c r="F735" s="96" t="s">
        <v>308</v>
      </c>
      <c r="G735" s="96" t="s">
        <v>2040</v>
      </c>
      <c r="H735" s="96" t="s">
        <v>1773</v>
      </c>
      <c r="I735" s="96" t="s">
        <v>320</v>
      </c>
      <c r="J735" s="96" t="s">
        <v>753</v>
      </c>
      <c r="K735" s="96" t="s">
        <v>203</v>
      </c>
      <c r="L735" s="96" t="s">
        <v>203</v>
      </c>
      <c r="M735" s="96" t="s">
        <v>326</v>
      </c>
      <c r="N735" s="96" t="s">
        <v>339</v>
      </c>
      <c r="O735" s="96" t="s">
        <v>440</v>
      </c>
      <c r="P735" s="96" t="s">
        <v>338</v>
      </c>
      <c r="Q735" s="96" t="s">
        <v>409</v>
      </c>
      <c r="R735" s="96" t="s">
        <v>409</v>
      </c>
      <c r="S735" s="96" t="s">
        <v>409</v>
      </c>
      <c r="T735" s="96" t="s">
        <v>1200</v>
      </c>
      <c r="U735" s="97">
        <v>2.96</v>
      </c>
      <c r="V735" s="100">
        <v>46934</v>
      </c>
      <c r="W735" s="98">
        <v>1.5800000000000002E-2</v>
      </c>
      <c r="X735" s="98">
        <v>4.87E-2</v>
      </c>
      <c r="Y735" s="96" t="s">
        <v>411</v>
      </c>
      <c r="Z735" s="96"/>
      <c r="AA735" s="97">
        <v>38769.383240000003</v>
      </c>
      <c r="AB735" s="97">
        <v>1</v>
      </c>
      <c r="AC735" s="97">
        <v>101.7467</v>
      </c>
      <c r="AD735" s="97"/>
      <c r="AE735" s="97">
        <v>39.446567999999999</v>
      </c>
      <c r="AF735" s="96"/>
      <c r="AG735" s="96"/>
      <c r="AH735" s="96"/>
      <c r="AI735" s="98">
        <v>1.03E-4</v>
      </c>
      <c r="AJ735" s="98">
        <v>1.47E-4</v>
      </c>
      <c r="AK735" s="98">
        <v>2.0000000000000002E-5</v>
      </c>
      <c r="AL735" s="106"/>
    </row>
    <row r="736" spans="1:38" ht="15" customHeight="1">
      <c r="A736" s="106"/>
      <c r="B736" s="96">
        <v>286</v>
      </c>
      <c r="C736" s="96">
        <v>286</v>
      </c>
      <c r="D736" s="96" t="s">
        <v>1570</v>
      </c>
      <c r="E736" s="96">
        <v>512719485</v>
      </c>
      <c r="F736" s="96" t="s">
        <v>308</v>
      </c>
      <c r="G736" s="96" t="s">
        <v>1571</v>
      </c>
      <c r="H736" s="96" t="s">
        <v>1572</v>
      </c>
      <c r="I736" s="96" t="s">
        <v>320</v>
      </c>
      <c r="J736" s="96" t="s">
        <v>952</v>
      </c>
      <c r="K736" s="96" t="s">
        <v>203</v>
      </c>
      <c r="L736" s="96" t="s">
        <v>203</v>
      </c>
      <c r="M736" s="96" t="s">
        <v>324</v>
      </c>
      <c r="N736" s="96" t="s">
        <v>339</v>
      </c>
      <c r="O736" s="96" t="s">
        <v>463</v>
      </c>
      <c r="P736" s="96" t="s">
        <v>337</v>
      </c>
      <c r="Q736" s="96" t="s">
        <v>1520</v>
      </c>
      <c r="R736" s="96" t="s">
        <v>414</v>
      </c>
      <c r="S736" s="96" t="s">
        <v>406</v>
      </c>
      <c r="T736" s="96" t="s">
        <v>1200</v>
      </c>
      <c r="U736" s="97">
        <v>5.56</v>
      </c>
      <c r="V736" s="100">
        <v>48395</v>
      </c>
      <c r="W736" s="98">
        <v>5.4800000000000001E-2</v>
      </c>
      <c r="X736" s="98">
        <v>6.3299999999999995E-2</v>
      </c>
      <c r="Y736" s="96" t="s">
        <v>411</v>
      </c>
      <c r="Z736" s="96"/>
      <c r="AA736" s="97">
        <v>433524.958683</v>
      </c>
      <c r="AB736" s="97">
        <v>1</v>
      </c>
      <c r="AC736" s="97">
        <v>95.98</v>
      </c>
      <c r="AD736" s="97"/>
      <c r="AE736" s="97">
        <v>416.09725500000002</v>
      </c>
      <c r="AF736" s="96"/>
      <c r="AG736" s="96"/>
      <c r="AH736" s="96"/>
      <c r="AI736" s="98">
        <v>1.4450000000000001E-3</v>
      </c>
      <c r="AJ736" s="98">
        <v>1.5590000000000001E-3</v>
      </c>
      <c r="AK736" s="98">
        <v>2.1599999999999999E-4</v>
      </c>
      <c r="AL736" s="106"/>
    </row>
    <row r="737" spans="1:38" ht="15" customHeight="1">
      <c r="A737" s="106"/>
      <c r="B737" s="96">
        <v>286</v>
      </c>
      <c r="C737" s="96">
        <v>286</v>
      </c>
      <c r="D737" s="96" t="s">
        <v>1314</v>
      </c>
      <c r="E737" s="96">
        <v>513754069</v>
      </c>
      <c r="F737" s="96" t="s">
        <v>308</v>
      </c>
      <c r="G737" s="96" t="s">
        <v>1494</v>
      </c>
      <c r="H737" s="96" t="s">
        <v>1495</v>
      </c>
      <c r="I737" s="96" t="s">
        <v>320</v>
      </c>
      <c r="J737" s="96" t="s">
        <v>952</v>
      </c>
      <c r="K737" s="96" t="s">
        <v>203</v>
      </c>
      <c r="L737" s="96" t="s">
        <v>203</v>
      </c>
      <c r="M737" s="96" t="s">
        <v>324</v>
      </c>
      <c r="N737" s="96" t="s">
        <v>339</v>
      </c>
      <c r="O737" s="96" t="s">
        <v>444</v>
      </c>
      <c r="P737" s="96" t="s">
        <v>338</v>
      </c>
      <c r="Q737" s="96" t="s">
        <v>1332</v>
      </c>
      <c r="R737" s="96" t="s">
        <v>412</v>
      </c>
      <c r="S737" s="96" t="s">
        <v>406</v>
      </c>
      <c r="T737" s="96" t="s">
        <v>1200</v>
      </c>
      <c r="U737" s="97">
        <v>5.29</v>
      </c>
      <c r="V737" s="100">
        <v>47573</v>
      </c>
      <c r="W737" s="98">
        <v>2.64E-2</v>
      </c>
      <c r="X737" s="98">
        <v>5.8299999999999998E-2</v>
      </c>
      <c r="Y737" s="96" t="s">
        <v>411</v>
      </c>
      <c r="Z737" s="96"/>
      <c r="AA737" s="97">
        <v>615519.43130399997</v>
      </c>
      <c r="AB737" s="97">
        <v>1</v>
      </c>
      <c r="AC737" s="97">
        <v>85.64</v>
      </c>
      <c r="AD737" s="97"/>
      <c r="AE737" s="97">
        <v>527.13084000000003</v>
      </c>
      <c r="AF737" s="96"/>
      <c r="AG737" s="96"/>
      <c r="AH737" s="96"/>
      <c r="AI737" s="98">
        <v>3.7599999999999998E-4</v>
      </c>
      <c r="AJ737" s="98">
        <v>1.9750000000000002E-3</v>
      </c>
      <c r="AK737" s="98">
        <v>2.7399999999999999E-4</v>
      </c>
      <c r="AL737" s="106"/>
    </row>
    <row r="738" spans="1:38" ht="15" customHeight="1">
      <c r="A738" s="106"/>
      <c r="B738" s="96">
        <v>286</v>
      </c>
      <c r="C738" s="96">
        <v>286</v>
      </c>
      <c r="D738" s="96" t="s">
        <v>1417</v>
      </c>
      <c r="E738" s="96">
        <v>513230029</v>
      </c>
      <c r="F738" s="96" t="s">
        <v>308</v>
      </c>
      <c r="G738" s="96" t="s">
        <v>1418</v>
      </c>
      <c r="H738" s="96" t="s">
        <v>1419</v>
      </c>
      <c r="I738" s="96" t="s">
        <v>320</v>
      </c>
      <c r="J738" s="96" t="s">
        <v>952</v>
      </c>
      <c r="K738" s="96" t="s">
        <v>203</v>
      </c>
      <c r="L738" s="96" t="s">
        <v>203</v>
      </c>
      <c r="M738" s="96" t="s">
        <v>324</v>
      </c>
      <c r="N738" s="96" t="s">
        <v>339</v>
      </c>
      <c r="O738" s="96" t="s">
        <v>444</v>
      </c>
      <c r="P738" s="96" t="s">
        <v>338</v>
      </c>
      <c r="Q738" s="96" t="s">
        <v>1357</v>
      </c>
      <c r="R738" s="96" t="s">
        <v>414</v>
      </c>
      <c r="S738" s="96" t="s">
        <v>406</v>
      </c>
      <c r="T738" s="96" t="s">
        <v>1200</v>
      </c>
      <c r="U738" s="97">
        <v>6.23</v>
      </c>
      <c r="V738" s="100">
        <v>48213</v>
      </c>
      <c r="W738" s="98">
        <v>5.3999999999999999E-2</v>
      </c>
      <c r="X738" s="98">
        <v>6.2399999999999997E-2</v>
      </c>
      <c r="Y738" s="96" t="s">
        <v>411</v>
      </c>
      <c r="Z738" s="96"/>
      <c r="AA738" s="97">
        <v>573724.53038799996</v>
      </c>
      <c r="AB738" s="97">
        <v>1</v>
      </c>
      <c r="AC738" s="97">
        <v>95.55</v>
      </c>
      <c r="AD738" s="97"/>
      <c r="AE738" s="97">
        <v>548.19378800000004</v>
      </c>
      <c r="AF738" s="96"/>
      <c r="AG738" s="96"/>
      <c r="AH738" s="96"/>
      <c r="AI738" s="98">
        <v>1.003E-3</v>
      </c>
      <c r="AJ738" s="98">
        <v>2.0539999999999998E-3</v>
      </c>
      <c r="AK738" s="98">
        <v>2.8499999999999999E-4</v>
      </c>
      <c r="AL738" s="106"/>
    </row>
    <row r="739" spans="1:38" ht="15" customHeight="1">
      <c r="A739" s="106"/>
      <c r="B739" s="96">
        <v>286</v>
      </c>
      <c r="C739" s="96">
        <v>286</v>
      </c>
      <c r="D739" s="96" t="s">
        <v>1399</v>
      </c>
      <c r="E739" s="96">
        <v>520032046</v>
      </c>
      <c r="F739" s="96" t="s">
        <v>308</v>
      </c>
      <c r="G739" s="96" t="s">
        <v>1960</v>
      </c>
      <c r="H739" s="96" t="s">
        <v>1961</v>
      </c>
      <c r="I739" s="96" t="s">
        <v>320</v>
      </c>
      <c r="J739" s="96" t="s">
        <v>753</v>
      </c>
      <c r="K739" s="96" t="s">
        <v>203</v>
      </c>
      <c r="L739" s="96" t="s">
        <v>203</v>
      </c>
      <c r="M739" s="96" t="s">
        <v>324</v>
      </c>
      <c r="N739" s="96" t="s">
        <v>339</v>
      </c>
      <c r="O739" s="96" t="s">
        <v>447</v>
      </c>
      <c r="P739" s="96" t="s">
        <v>338</v>
      </c>
      <c r="Q739" s="96" t="s">
        <v>1211</v>
      </c>
      <c r="R739" s="96" t="s">
        <v>414</v>
      </c>
      <c r="S739" s="96" t="s">
        <v>406</v>
      </c>
      <c r="T739" s="96" t="s">
        <v>1200</v>
      </c>
      <c r="U739" s="97">
        <v>3.73</v>
      </c>
      <c r="V739" s="100">
        <v>48190</v>
      </c>
      <c r="W739" s="98">
        <v>1.6400000000000001E-2</v>
      </c>
      <c r="X739" s="98">
        <v>2.53E-2</v>
      </c>
      <c r="Y739" s="96" t="s">
        <v>411</v>
      </c>
      <c r="Z739" s="96"/>
      <c r="AA739" s="97">
        <v>446231.33612699999</v>
      </c>
      <c r="AB739" s="97">
        <v>1</v>
      </c>
      <c r="AC739" s="97">
        <v>102.97</v>
      </c>
      <c r="AD739" s="97"/>
      <c r="AE739" s="97">
        <v>459.48440599999998</v>
      </c>
      <c r="AF739" s="96"/>
      <c r="AG739" s="96"/>
      <c r="AH739" s="96"/>
      <c r="AI739" s="98">
        <v>4.1399999999999998E-4</v>
      </c>
      <c r="AJ739" s="98">
        <v>1.7210000000000001E-3</v>
      </c>
      <c r="AK739" s="98">
        <v>2.3900000000000001E-4</v>
      </c>
      <c r="AL739" s="106"/>
    </row>
    <row r="740" spans="1:38" ht="15" customHeight="1">
      <c r="A740" s="106"/>
      <c r="B740" s="96">
        <v>286</v>
      </c>
      <c r="C740" s="96">
        <v>286</v>
      </c>
      <c r="D740" s="96" t="s">
        <v>1794</v>
      </c>
      <c r="E740" s="96">
        <v>520044520</v>
      </c>
      <c r="F740" s="96" t="s">
        <v>308</v>
      </c>
      <c r="G740" s="96" t="s">
        <v>1924</v>
      </c>
      <c r="H740" s="96" t="s">
        <v>1925</v>
      </c>
      <c r="I740" s="96" t="s">
        <v>320</v>
      </c>
      <c r="J740" s="96" t="s">
        <v>753</v>
      </c>
      <c r="K740" s="96" t="s">
        <v>203</v>
      </c>
      <c r="L740" s="96" t="s">
        <v>203</v>
      </c>
      <c r="M740" s="96" t="s">
        <v>324</v>
      </c>
      <c r="N740" s="96" t="s">
        <v>339</v>
      </c>
      <c r="O740" s="96" t="s">
        <v>463</v>
      </c>
      <c r="P740" s="96" t="s">
        <v>338</v>
      </c>
      <c r="Q740" s="96" t="s">
        <v>1357</v>
      </c>
      <c r="R740" s="96" t="s">
        <v>414</v>
      </c>
      <c r="S740" s="96" t="s">
        <v>406</v>
      </c>
      <c r="T740" s="96" t="s">
        <v>1200</v>
      </c>
      <c r="U740" s="97">
        <v>6.64</v>
      </c>
      <c r="V740" s="100">
        <v>50770</v>
      </c>
      <c r="W740" s="98">
        <v>3.8999999999999998E-3</v>
      </c>
      <c r="X740" s="98">
        <v>3.7100000000000001E-2</v>
      </c>
      <c r="Y740" s="96" t="s">
        <v>411</v>
      </c>
      <c r="Z740" s="96"/>
      <c r="AA740" s="97">
        <v>253065.32964099999</v>
      </c>
      <c r="AB740" s="97">
        <v>1</v>
      </c>
      <c r="AC740" s="97">
        <v>88.48</v>
      </c>
      <c r="AD740" s="97"/>
      <c r="AE740" s="97">
        <v>223.91220300000001</v>
      </c>
      <c r="AF740" s="96"/>
      <c r="AG740" s="96"/>
      <c r="AH740" s="96"/>
      <c r="AI740" s="98">
        <v>1.15E-3</v>
      </c>
      <c r="AJ740" s="98">
        <v>8.3900000000000001E-4</v>
      </c>
      <c r="AK740" s="98">
        <v>1.16E-4</v>
      </c>
      <c r="AL740" s="106"/>
    </row>
    <row r="741" spans="1:38" ht="15" customHeight="1">
      <c r="A741" s="106"/>
      <c r="B741" s="96">
        <v>286</v>
      </c>
      <c r="C741" s="96">
        <v>286</v>
      </c>
      <c r="D741" s="96" t="s">
        <v>1314</v>
      </c>
      <c r="E741" s="96">
        <v>513754069</v>
      </c>
      <c r="F741" s="96" t="s">
        <v>308</v>
      </c>
      <c r="G741" s="96" t="s">
        <v>1682</v>
      </c>
      <c r="H741" s="96" t="s">
        <v>1683</v>
      </c>
      <c r="I741" s="96" t="s">
        <v>320</v>
      </c>
      <c r="J741" s="96" t="s">
        <v>753</v>
      </c>
      <c r="K741" s="96" t="s">
        <v>203</v>
      </c>
      <c r="L741" s="96" t="s">
        <v>203</v>
      </c>
      <c r="M741" s="96" t="s">
        <v>324</v>
      </c>
      <c r="N741" s="96" t="s">
        <v>339</v>
      </c>
      <c r="O741" s="96" t="s">
        <v>444</v>
      </c>
      <c r="P741" s="96" t="s">
        <v>338</v>
      </c>
      <c r="Q741" s="96" t="s">
        <v>1332</v>
      </c>
      <c r="R741" s="96" t="s">
        <v>412</v>
      </c>
      <c r="S741" s="96" t="s">
        <v>406</v>
      </c>
      <c r="T741" s="96" t="s">
        <v>1200</v>
      </c>
      <c r="U741" s="97">
        <v>1.06</v>
      </c>
      <c r="V741" s="100">
        <v>45869</v>
      </c>
      <c r="W741" s="98">
        <v>2.4799999999999999E-2</v>
      </c>
      <c r="X741" s="98">
        <v>2.7799999999999998E-2</v>
      </c>
      <c r="Y741" s="96" t="s">
        <v>411</v>
      </c>
      <c r="Z741" s="96"/>
      <c r="AA741" s="97">
        <v>49658.282980999997</v>
      </c>
      <c r="AB741" s="97">
        <v>1</v>
      </c>
      <c r="AC741" s="97">
        <v>114.58</v>
      </c>
      <c r="AD741" s="97"/>
      <c r="AE741" s="97">
        <v>56.89846</v>
      </c>
      <c r="AF741" s="96"/>
      <c r="AG741" s="96"/>
      <c r="AH741" s="96"/>
      <c r="AI741" s="98">
        <v>1.17E-4</v>
      </c>
      <c r="AJ741" s="98">
        <v>2.13E-4</v>
      </c>
      <c r="AK741" s="98">
        <v>2.9E-5</v>
      </c>
      <c r="AL741" s="106"/>
    </row>
    <row r="742" spans="1:38" ht="15" customHeight="1">
      <c r="A742" s="106"/>
      <c r="B742" s="96">
        <v>286</v>
      </c>
      <c r="C742" s="96">
        <v>286</v>
      </c>
      <c r="D742" s="96" t="s">
        <v>1399</v>
      </c>
      <c r="E742" s="96">
        <v>520032046</v>
      </c>
      <c r="F742" s="96" t="s">
        <v>308</v>
      </c>
      <c r="G742" s="96" t="s">
        <v>1450</v>
      </c>
      <c r="H742" s="96" t="s">
        <v>1451</v>
      </c>
      <c r="I742" s="96" t="s">
        <v>320</v>
      </c>
      <c r="J742" s="96" t="s">
        <v>753</v>
      </c>
      <c r="K742" s="96" t="s">
        <v>203</v>
      </c>
      <c r="L742" s="96" t="s">
        <v>203</v>
      </c>
      <c r="M742" s="96" t="s">
        <v>324</v>
      </c>
      <c r="N742" s="96" t="s">
        <v>339</v>
      </c>
      <c r="O742" s="96" t="s">
        <v>447</v>
      </c>
      <c r="P742" s="96" t="s">
        <v>338</v>
      </c>
      <c r="Q742" s="96" t="s">
        <v>1211</v>
      </c>
      <c r="R742" s="96" t="s">
        <v>414</v>
      </c>
      <c r="S742" s="96" t="s">
        <v>406</v>
      </c>
      <c r="T742" s="96" t="s">
        <v>1200</v>
      </c>
      <c r="U742" s="97">
        <v>3.17</v>
      </c>
      <c r="V742" s="100">
        <v>46658</v>
      </c>
      <c r="W742" s="98">
        <v>1.2200000000000001E-2</v>
      </c>
      <c r="X742" s="98">
        <v>2.41E-2</v>
      </c>
      <c r="Y742" s="96" t="s">
        <v>411</v>
      </c>
      <c r="Z742" s="96"/>
      <c r="AA742" s="97">
        <v>2466470.0802190001</v>
      </c>
      <c r="AB742" s="97">
        <v>1</v>
      </c>
      <c r="AC742" s="97">
        <v>111.52</v>
      </c>
      <c r="AD742" s="97"/>
      <c r="AE742" s="97">
        <v>2750.6074330000001</v>
      </c>
      <c r="AF742" s="96"/>
      <c r="AG742" s="96"/>
      <c r="AH742" s="96"/>
      <c r="AI742" s="98">
        <v>8.1700000000000002E-4</v>
      </c>
      <c r="AJ742" s="98">
        <v>1.0305999999999999E-2</v>
      </c>
      <c r="AK742" s="98">
        <v>1.4319999999999999E-3</v>
      </c>
      <c r="AL742" s="106"/>
    </row>
    <row r="743" spans="1:38" ht="15" customHeight="1">
      <c r="A743" s="106"/>
      <c r="B743" s="96">
        <v>286</v>
      </c>
      <c r="C743" s="96">
        <v>286</v>
      </c>
      <c r="D743" s="96" t="s">
        <v>1302</v>
      </c>
      <c r="E743" s="96">
        <v>513623314</v>
      </c>
      <c r="F743" s="96" t="s">
        <v>308</v>
      </c>
      <c r="G743" s="96" t="s">
        <v>1303</v>
      </c>
      <c r="H743" s="96" t="s">
        <v>1304</v>
      </c>
      <c r="I743" s="96" t="s">
        <v>320</v>
      </c>
      <c r="J743" s="96" t="s">
        <v>753</v>
      </c>
      <c r="K743" s="96" t="s">
        <v>203</v>
      </c>
      <c r="L743" s="96" t="s">
        <v>203</v>
      </c>
      <c r="M743" s="96" t="s">
        <v>324</v>
      </c>
      <c r="N743" s="96" t="s">
        <v>339</v>
      </c>
      <c r="O743" s="96" t="s">
        <v>463</v>
      </c>
      <c r="P743" s="96" t="s">
        <v>337</v>
      </c>
      <c r="Q743" s="96" t="s">
        <v>1305</v>
      </c>
      <c r="R743" s="96" t="s">
        <v>414</v>
      </c>
      <c r="S743" s="96" t="s">
        <v>406</v>
      </c>
      <c r="T743" s="96" t="s">
        <v>1200</v>
      </c>
      <c r="U743" s="97">
        <v>4.45</v>
      </c>
      <c r="V743" s="100">
        <v>47937</v>
      </c>
      <c r="W743" s="98">
        <v>1.3299999999999999E-2</v>
      </c>
      <c r="X743" s="98">
        <v>3.5499999999999997E-2</v>
      </c>
      <c r="Y743" s="96" t="s">
        <v>411</v>
      </c>
      <c r="Z743" s="96"/>
      <c r="AA743" s="97">
        <v>37342.159135000002</v>
      </c>
      <c r="AB743" s="97">
        <v>1</v>
      </c>
      <c r="AC743" s="97">
        <v>103.22</v>
      </c>
      <c r="AD743" s="97"/>
      <c r="AE743" s="97">
        <v>38.544575999999999</v>
      </c>
      <c r="AF743" s="96"/>
      <c r="AG743" s="96"/>
      <c r="AH743" s="96"/>
      <c r="AI743" s="98">
        <v>3.1000000000000001E-5</v>
      </c>
      <c r="AJ743" s="98">
        <v>1.44E-4</v>
      </c>
      <c r="AK743" s="98">
        <v>2.0000000000000002E-5</v>
      </c>
      <c r="AL743" s="106"/>
    </row>
    <row r="744" spans="1:38" ht="15" customHeight="1">
      <c r="A744" s="106"/>
      <c r="B744" s="96">
        <v>286</v>
      </c>
      <c r="C744" s="96">
        <v>286</v>
      </c>
      <c r="D744" s="96" t="s">
        <v>1929</v>
      </c>
      <c r="E744" s="96">
        <v>520044314</v>
      </c>
      <c r="F744" s="96" t="s">
        <v>308</v>
      </c>
      <c r="G744" s="96" t="s">
        <v>1970</v>
      </c>
      <c r="H744" s="96" t="s">
        <v>1971</v>
      </c>
      <c r="I744" s="96" t="s">
        <v>320</v>
      </c>
      <c r="J744" s="96" t="s">
        <v>952</v>
      </c>
      <c r="K744" s="96" t="s">
        <v>203</v>
      </c>
      <c r="L744" s="96" t="s">
        <v>203</v>
      </c>
      <c r="M744" s="96" t="s">
        <v>324</v>
      </c>
      <c r="N744" s="96" t="s">
        <v>339</v>
      </c>
      <c r="O744" s="96" t="s">
        <v>483</v>
      </c>
      <c r="P744" s="96" t="s">
        <v>337</v>
      </c>
      <c r="Q744" s="96" t="s">
        <v>1332</v>
      </c>
      <c r="R744" s="96" t="s">
        <v>412</v>
      </c>
      <c r="S744" s="96" t="s">
        <v>406</v>
      </c>
      <c r="T744" s="96" t="s">
        <v>1200</v>
      </c>
      <c r="U744" s="97">
        <v>2.33</v>
      </c>
      <c r="V744" s="100">
        <v>46563</v>
      </c>
      <c r="W744" s="98">
        <v>0.04</v>
      </c>
      <c r="X744" s="98">
        <v>5.28E-2</v>
      </c>
      <c r="Y744" s="96" t="s">
        <v>411</v>
      </c>
      <c r="Z744" s="96"/>
      <c r="AA744" s="97">
        <v>501190.46422700002</v>
      </c>
      <c r="AB744" s="97">
        <v>1</v>
      </c>
      <c r="AC744" s="97">
        <v>97.24</v>
      </c>
      <c r="AD744" s="97"/>
      <c r="AE744" s="97">
        <v>487.35760699999997</v>
      </c>
      <c r="AF744" s="96"/>
      <c r="AG744" s="96"/>
      <c r="AH744" s="96"/>
      <c r="AI744" s="98">
        <v>8.4099999999999995E-4</v>
      </c>
      <c r="AJ744" s="98">
        <v>1.8259999999999999E-3</v>
      </c>
      <c r="AK744" s="98">
        <v>2.5300000000000002E-4</v>
      </c>
      <c r="AL744" s="106"/>
    </row>
    <row r="745" spans="1:38" ht="15" customHeight="1">
      <c r="A745" s="106"/>
      <c r="B745" s="96">
        <v>286</v>
      </c>
      <c r="C745" s="96">
        <v>286</v>
      </c>
      <c r="D745" s="96" t="s">
        <v>1379</v>
      </c>
      <c r="E745" s="96">
        <v>510454333</v>
      </c>
      <c r="F745" s="96" t="s">
        <v>308</v>
      </c>
      <c r="G745" s="96" t="s">
        <v>1581</v>
      </c>
      <c r="H745" s="96" t="s">
        <v>1582</v>
      </c>
      <c r="I745" s="96" t="s">
        <v>320</v>
      </c>
      <c r="J745" s="96" t="s">
        <v>952</v>
      </c>
      <c r="K745" s="96" t="s">
        <v>203</v>
      </c>
      <c r="L745" s="96" t="s">
        <v>203</v>
      </c>
      <c r="M745" s="96" t="s">
        <v>324</v>
      </c>
      <c r="N745" s="96" t="s">
        <v>339</v>
      </c>
      <c r="O745" s="96" t="s">
        <v>476</v>
      </c>
      <c r="P745" s="96" t="s">
        <v>338</v>
      </c>
      <c r="Q745" s="96" t="s">
        <v>1320</v>
      </c>
      <c r="R745" s="96" t="s">
        <v>412</v>
      </c>
      <c r="S745" s="96" t="s">
        <v>406</v>
      </c>
      <c r="T745" s="96" t="s">
        <v>1200</v>
      </c>
      <c r="U745" s="97">
        <v>1.45</v>
      </c>
      <c r="V745" s="100">
        <v>46386</v>
      </c>
      <c r="W745" s="98">
        <v>2.8000000000000001E-2</v>
      </c>
      <c r="X745" s="98">
        <v>5.3400000000000003E-2</v>
      </c>
      <c r="Y745" s="96" t="s">
        <v>411</v>
      </c>
      <c r="Z745" s="96"/>
      <c r="AA745" s="97">
        <v>135702.74806499999</v>
      </c>
      <c r="AB745" s="97">
        <v>1</v>
      </c>
      <c r="AC745" s="97">
        <v>96.53</v>
      </c>
      <c r="AD745" s="97"/>
      <c r="AE745" s="97">
        <v>130.99386200000001</v>
      </c>
      <c r="AF745" s="96"/>
      <c r="AG745" s="96"/>
      <c r="AH745" s="96"/>
      <c r="AI745" s="98">
        <v>5.1999999999999995E-4</v>
      </c>
      <c r="AJ745" s="98">
        <v>4.8999999999999998E-4</v>
      </c>
      <c r="AK745" s="98">
        <v>6.7999999999999999E-5</v>
      </c>
      <c r="AL745" s="106"/>
    </row>
    <row r="746" spans="1:38" ht="15" customHeight="1">
      <c r="A746" s="106"/>
      <c r="B746" s="96">
        <v>286</v>
      </c>
      <c r="C746" s="96">
        <v>286</v>
      </c>
      <c r="D746" s="96" t="s">
        <v>1197</v>
      </c>
      <c r="E746" s="96">
        <v>520018078</v>
      </c>
      <c r="F746" s="96" t="s">
        <v>308</v>
      </c>
      <c r="G746" s="96" t="s">
        <v>1721</v>
      </c>
      <c r="H746" s="96" t="s">
        <v>1722</v>
      </c>
      <c r="I746" s="96" t="s">
        <v>320</v>
      </c>
      <c r="J746" s="96" t="s">
        <v>753</v>
      </c>
      <c r="K746" s="96" t="s">
        <v>203</v>
      </c>
      <c r="L746" s="96" t="s">
        <v>203</v>
      </c>
      <c r="M746" s="96" t="s">
        <v>324</v>
      </c>
      <c r="N746" s="96" t="s">
        <v>339</v>
      </c>
      <c r="O746" s="96" t="s">
        <v>447</v>
      </c>
      <c r="P746" s="96" t="s">
        <v>338</v>
      </c>
      <c r="Q746" s="96" t="s">
        <v>1199</v>
      </c>
      <c r="R746" s="96" t="s">
        <v>412</v>
      </c>
      <c r="S746" s="96" t="s">
        <v>406</v>
      </c>
      <c r="T746" s="96" t="s">
        <v>1200</v>
      </c>
      <c r="U746" s="97">
        <v>3.4</v>
      </c>
      <c r="V746" s="100">
        <v>46716</v>
      </c>
      <c r="W746" s="98">
        <v>1E-3</v>
      </c>
      <c r="X746" s="98">
        <v>2.3599999999999999E-2</v>
      </c>
      <c r="Y746" s="96" t="s">
        <v>411</v>
      </c>
      <c r="Z746" s="96"/>
      <c r="AA746" s="97">
        <v>2388659.5915219998</v>
      </c>
      <c r="AB746" s="97">
        <v>1</v>
      </c>
      <c r="AC746" s="97">
        <v>102.72</v>
      </c>
      <c r="AD746" s="97"/>
      <c r="AE746" s="97">
        <v>2453.631132</v>
      </c>
      <c r="AF746" s="96"/>
      <c r="AG746" s="96"/>
      <c r="AH746" s="96"/>
      <c r="AI746" s="98">
        <v>7.6099999999999996E-4</v>
      </c>
      <c r="AJ746" s="98">
        <v>9.1929999999999998E-3</v>
      </c>
      <c r="AK746" s="98">
        <v>1.2769999999999999E-3</v>
      </c>
      <c r="AL746" s="106"/>
    </row>
    <row r="747" spans="1:38" ht="15" customHeight="1">
      <c r="A747" s="106"/>
      <c r="B747" s="96">
        <v>286</v>
      </c>
      <c r="C747" s="96">
        <v>286</v>
      </c>
      <c r="D747" s="96" t="s">
        <v>1197</v>
      </c>
      <c r="E747" s="96">
        <v>520018078</v>
      </c>
      <c r="F747" s="96" t="s">
        <v>308</v>
      </c>
      <c r="G747" s="96" t="s">
        <v>1487</v>
      </c>
      <c r="H747" s="96" t="s">
        <v>1488</v>
      </c>
      <c r="I747" s="96" t="s">
        <v>320</v>
      </c>
      <c r="J747" s="96" t="s">
        <v>753</v>
      </c>
      <c r="K747" s="96" t="s">
        <v>203</v>
      </c>
      <c r="L747" s="96" t="s">
        <v>203</v>
      </c>
      <c r="M747" s="96" t="s">
        <v>324</v>
      </c>
      <c r="N747" s="96" t="s">
        <v>339</v>
      </c>
      <c r="O747" s="96" t="s">
        <v>447</v>
      </c>
      <c r="P747" s="96" t="s">
        <v>338</v>
      </c>
      <c r="Q747" s="96" t="s">
        <v>1332</v>
      </c>
      <c r="R747" s="96" t="s">
        <v>412</v>
      </c>
      <c r="S747" s="96" t="s">
        <v>406</v>
      </c>
      <c r="T747" s="96" t="s">
        <v>1200</v>
      </c>
      <c r="U747" s="97">
        <v>3.65</v>
      </c>
      <c r="V747" s="100">
        <v>46839</v>
      </c>
      <c r="W747" s="98">
        <v>1.4999999999999999E-2</v>
      </c>
      <c r="X747" s="98">
        <v>3.2099999999999997E-2</v>
      </c>
      <c r="Y747" s="96" t="s">
        <v>410</v>
      </c>
      <c r="Z747" s="96"/>
      <c r="AA747" s="97">
        <v>74197.738561000006</v>
      </c>
      <c r="AB747" s="97">
        <v>1</v>
      </c>
      <c r="AC747" s="97">
        <v>103.49</v>
      </c>
      <c r="AD747" s="97"/>
      <c r="AE747" s="97">
        <v>76.787239</v>
      </c>
      <c r="AF747" s="96"/>
      <c r="AG747" s="96"/>
      <c r="AH747" s="96"/>
      <c r="AI747" s="98">
        <v>5.1999999999999997E-5</v>
      </c>
      <c r="AJ747" s="98">
        <v>2.8699999999999998E-4</v>
      </c>
      <c r="AK747" s="98">
        <v>3.8999999999999999E-5</v>
      </c>
      <c r="AL747" s="106"/>
    </row>
    <row r="748" spans="1:38" ht="15" customHeight="1">
      <c r="A748" s="106"/>
      <c r="B748" s="96">
        <v>286</v>
      </c>
      <c r="C748" s="96">
        <v>286</v>
      </c>
      <c r="D748" s="96" t="s">
        <v>1452</v>
      </c>
      <c r="E748" s="96">
        <v>514065283</v>
      </c>
      <c r="F748" s="96" t="s">
        <v>308</v>
      </c>
      <c r="G748" s="96" t="s">
        <v>1538</v>
      </c>
      <c r="H748" s="96" t="s">
        <v>1539</v>
      </c>
      <c r="I748" s="96" t="s">
        <v>320</v>
      </c>
      <c r="J748" s="96" t="s">
        <v>952</v>
      </c>
      <c r="K748" s="96" t="s">
        <v>203</v>
      </c>
      <c r="L748" s="96" t="s">
        <v>203</v>
      </c>
      <c r="M748" s="96" t="s">
        <v>324</v>
      </c>
      <c r="N748" s="96" t="s">
        <v>339</v>
      </c>
      <c r="O748" s="96" t="s">
        <v>461</v>
      </c>
      <c r="P748" s="96" t="s">
        <v>337</v>
      </c>
      <c r="Q748" s="96" t="s">
        <v>1332</v>
      </c>
      <c r="R748" s="96" t="s">
        <v>412</v>
      </c>
      <c r="S748" s="96" t="s">
        <v>406</v>
      </c>
      <c r="T748" s="96" t="s">
        <v>1200</v>
      </c>
      <c r="U748" s="97">
        <v>1.81</v>
      </c>
      <c r="V748" s="100">
        <v>46631</v>
      </c>
      <c r="W748" s="98">
        <v>2.3E-2</v>
      </c>
      <c r="X748" s="98">
        <v>5.3199999999999997E-2</v>
      </c>
      <c r="Y748" s="96" t="s">
        <v>411</v>
      </c>
      <c r="Z748" s="96"/>
      <c r="AA748" s="97">
        <v>746465.63798999996</v>
      </c>
      <c r="AB748" s="97">
        <v>1</v>
      </c>
      <c r="AC748" s="97">
        <v>95.57</v>
      </c>
      <c r="AD748" s="97"/>
      <c r="AE748" s="97">
        <v>713.39720999999997</v>
      </c>
      <c r="AF748" s="96"/>
      <c r="AG748" s="96"/>
      <c r="AH748" s="96"/>
      <c r="AI748" s="98">
        <v>8.8900000000000003E-4</v>
      </c>
      <c r="AJ748" s="98">
        <v>2.673E-3</v>
      </c>
      <c r="AK748" s="98">
        <v>3.7100000000000002E-4</v>
      </c>
      <c r="AL748" s="106"/>
    </row>
    <row r="749" spans="1:38" ht="15" customHeight="1">
      <c r="A749" s="106"/>
      <c r="B749" s="96">
        <v>286</v>
      </c>
      <c r="C749" s="96">
        <v>286</v>
      </c>
      <c r="D749" s="96" t="s">
        <v>1491</v>
      </c>
      <c r="E749" s="96">
        <v>520036104</v>
      </c>
      <c r="F749" s="96" t="s">
        <v>308</v>
      </c>
      <c r="G749" s="96" t="s">
        <v>1829</v>
      </c>
      <c r="H749" s="96" t="s">
        <v>1830</v>
      </c>
      <c r="I749" s="96" t="s">
        <v>320</v>
      </c>
      <c r="J749" s="96" t="s">
        <v>753</v>
      </c>
      <c r="K749" s="96" t="s">
        <v>203</v>
      </c>
      <c r="L749" s="96" t="s">
        <v>203</v>
      </c>
      <c r="M749" s="96" t="s">
        <v>324</v>
      </c>
      <c r="N749" s="96" t="s">
        <v>339</v>
      </c>
      <c r="O749" s="96" t="s">
        <v>446</v>
      </c>
      <c r="P749" s="96" t="s">
        <v>337</v>
      </c>
      <c r="Q749" s="96" t="s">
        <v>1328</v>
      </c>
      <c r="R749" s="96" t="s">
        <v>412</v>
      </c>
      <c r="S749" s="96" t="s">
        <v>406</v>
      </c>
      <c r="T749" s="96" t="s">
        <v>1200</v>
      </c>
      <c r="U749" s="97">
        <v>3.04</v>
      </c>
      <c r="V749" s="100">
        <v>47239</v>
      </c>
      <c r="W749" s="98">
        <v>3.9E-2</v>
      </c>
      <c r="X749" s="98">
        <v>4.0399999999999998E-2</v>
      </c>
      <c r="Y749" s="96" t="s">
        <v>411</v>
      </c>
      <c r="Z749" s="96"/>
      <c r="AA749" s="97">
        <v>188899.10132399999</v>
      </c>
      <c r="AB749" s="97">
        <v>1</v>
      </c>
      <c r="AC749" s="97">
        <v>114.47</v>
      </c>
      <c r="AD749" s="97"/>
      <c r="AE749" s="97">
        <v>216.23280099999999</v>
      </c>
      <c r="AF749" s="96"/>
      <c r="AG749" s="96"/>
      <c r="AH749" s="96"/>
      <c r="AI749" s="98">
        <v>1.3200000000000001E-4</v>
      </c>
      <c r="AJ749" s="98">
        <v>8.0999999999999996E-4</v>
      </c>
      <c r="AK749" s="98">
        <v>1.12E-4</v>
      </c>
      <c r="AL749" s="106"/>
    </row>
    <row r="750" spans="1:38" ht="15" customHeight="1">
      <c r="A750" s="106"/>
      <c r="B750" s="96">
        <v>286</v>
      </c>
      <c r="C750" s="96">
        <v>286</v>
      </c>
      <c r="D750" s="96" t="s">
        <v>1869</v>
      </c>
      <c r="E750" s="96">
        <v>513569780</v>
      </c>
      <c r="F750" s="96" t="s">
        <v>308</v>
      </c>
      <c r="G750" s="96" t="s">
        <v>1870</v>
      </c>
      <c r="H750" s="96" t="s">
        <v>1871</v>
      </c>
      <c r="I750" s="96" t="s">
        <v>320</v>
      </c>
      <c r="J750" s="96" t="s">
        <v>753</v>
      </c>
      <c r="K750" s="96" t="s">
        <v>203</v>
      </c>
      <c r="L750" s="96" t="s">
        <v>203</v>
      </c>
      <c r="M750" s="96" t="s">
        <v>324</v>
      </c>
      <c r="N750" s="96" t="s">
        <v>339</v>
      </c>
      <c r="O750" s="96" t="s">
        <v>463</v>
      </c>
      <c r="P750" s="96" t="s">
        <v>338</v>
      </c>
      <c r="Q750" s="96" t="s">
        <v>1211</v>
      </c>
      <c r="R750" s="96" t="s">
        <v>414</v>
      </c>
      <c r="S750" s="96" t="s">
        <v>406</v>
      </c>
      <c r="T750" s="96" t="s">
        <v>1200</v>
      </c>
      <c r="U750" s="97">
        <v>5.24</v>
      </c>
      <c r="V750" s="100">
        <v>48213</v>
      </c>
      <c r="W750" s="98">
        <v>1.6500000000000001E-2</v>
      </c>
      <c r="X750" s="98">
        <v>2.81E-2</v>
      </c>
      <c r="Y750" s="96" t="s">
        <v>411</v>
      </c>
      <c r="Z750" s="96"/>
      <c r="AA750" s="97">
        <v>1526426.601215</v>
      </c>
      <c r="AB750" s="97">
        <v>1</v>
      </c>
      <c r="AC750" s="97">
        <v>107.94</v>
      </c>
      <c r="AD750" s="97"/>
      <c r="AE750" s="97">
        <v>1647.624873</v>
      </c>
      <c r="AF750" s="96"/>
      <c r="AG750" s="96"/>
      <c r="AH750" s="96"/>
      <c r="AI750" s="98">
        <v>7.2099999999999996E-4</v>
      </c>
      <c r="AJ750" s="98">
        <v>6.1729999999999997E-3</v>
      </c>
      <c r="AK750" s="98">
        <v>8.5800000000000004E-4</v>
      </c>
      <c r="AL750" s="106"/>
    </row>
    <row r="751" spans="1:38" ht="15" customHeight="1">
      <c r="A751" s="106"/>
      <c r="B751" s="96">
        <v>286</v>
      </c>
      <c r="C751" s="96">
        <v>286</v>
      </c>
      <c r="D751" s="96" t="s">
        <v>1417</v>
      </c>
      <c r="E751" s="96">
        <v>513230029</v>
      </c>
      <c r="F751" s="96" t="s">
        <v>308</v>
      </c>
      <c r="G751" s="96" t="s">
        <v>1465</v>
      </c>
      <c r="H751" s="96" t="s">
        <v>1466</v>
      </c>
      <c r="I751" s="96" t="s">
        <v>320</v>
      </c>
      <c r="J751" s="96" t="s">
        <v>952</v>
      </c>
      <c r="K751" s="96" t="s">
        <v>203</v>
      </c>
      <c r="L751" s="96" t="s">
        <v>203</v>
      </c>
      <c r="M751" s="96" t="s">
        <v>324</v>
      </c>
      <c r="N751" s="96" t="s">
        <v>339</v>
      </c>
      <c r="O751" s="96" t="s">
        <v>444</v>
      </c>
      <c r="P751" s="96" t="s">
        <v>338</v>
      </c>
      <c r="Q751" s="96" t="s">
        <v>1357</v>
      </c>
      <c r="R751" s="96" t="s">
        <v>414</v>
      </c>
      <c r="S751" s="96" t="s">
        <v>406</v>
      </c>
      <c r="T751" s="96" t="s">
        <v>1200</v>
      </c>
      <c r="U751" s="97">
        <v>5.37</v>
      </c>
      <c r="V751" s="100">
        <v>47573</v>
      </c>
      <c r="W751" s="98">
        <v>2.3800000000000002E-2</v>
      </c>
      <c r="X751" s="98">
        <v>5.96E-2</v>
      </c>
      <c r="Y751" s="96" t="s">
        <v>411</v>
      </c>
      <c r="Z751" s="96"/>
      <c r="AA751" s="97">
        <v>796911.42547799996</v>
      </c>
      <c r="AB751" s="97">
        <v>1</v>
      </c>
      <c r="AC751" s="97">
        <v>83.57</v>
      </c>
      <c r="AD751" s="97"/>
      <c r="AE751" s="97">
        <v>665.97887800000001</v>
      </c>
      <c r="AF751" s="96"/>
      <c r="AG751" s="96"/>
      <c r="AH751" s="96"/>
      <c r="AI751" s="98">
        <v>1.225E-3</v>
      </c>
      <c r="AJ751" s="98">
        <v>2.4949999999999998E-3</v>
      </c>
      <c r="AK751" s="98">
        <v>3.4600000000000001E-4</v>
      </c>
      <c r="AL751" s="106"/>
    </row>
    <row r="752" spans="1:38" ht="15" customHeight="1">
      <c r="A752" s="106"/>
      <c r="B752" s="96">
        <v>286</v>
      </c>
      <c r="C752" s="96">
        <v>286</v>
      </c>
      <c r="D752" s="96" t="s">
        <v>1691</v>
      </c>
      <c r="E752" s="96">
        <v>510706153</v>
      </c>
      <c r="F752" s="96" t="s">
        <v>308</v>
      </c>
      <c r="G752" s="96" t="s">
        <v>1692</v>
      </c>
      <c r="H752" s="96" t="s">
        <v>1693</v>
      </c>
      <c r="I752" s="96" t="s">
        <v>320</v>
      </c>
      <c r="J752" s="96" t="s">
        <v>952</v>
      </c>
      <c r="K752" s="96" t="s">
        <v>203</v>
      </c>
      <c r="L752" s="96" t="s">
        <v>203</v>
      </c>
      <c r="M752" s="96" t="s">
        <v>324</v>
      </c>
      <c r="N752" s="96" t="s">
        <v>339</v>
      </c>
      <c r="O752" s="96" t="s">
        <v>477</v>
      </c>
      <c r="P752" s="96" t="s">
        <v>338</v>
      </c>
      <c r="Q752" s="96" t="s">
        <v>1336</v>
      </c>
      <c r="R752" s="96" t="s">
        <v>414</v>
      </c>
      <c r="S752" s="96" t="s">
        <v>406</v>
      </c>
      <c r="T752" s="96" t="s">
        <v>1200</v>
      </c>
      <c r="U752" s="97">
        <v>2.75</v>
      </c>
      <c r="V752" s="100">
        <v>46843</v>
      </c>
      <c r="W752" s="98">
        <v>4.4499999999999998E-2</v>
      </c>
      <c r="X752" s="98">
        <v>5.1499999999999997E-2</v>
      </c>
      <c r="Y752" s="96" t="s">
        <v>411</v>
      </c>
      <c r="Z752" s="96"/>
      <c r="AA752" s="97">
        <v>584721.93133399996</v>
      </c>
      <c r="AB752" s="97">
        <v>1</v>
      </c>
      <c r="AC752" s="97">
        <v>99.43</v>
      </c>
      <c r="AD752" s="97"/>
      <c r="AE752" s="97">
        <v>581.38901599999997</v>
      </c>
      <c r="AF752" s="96"/>
      <c r="AG752" s="96"/>
      <c r="AH752" s="96"/>
      <c r="AI752" s="98">
        <v>2.0839999999999999E-3</v>
      </c>
      <c r="AJ752" s="98">
        <v>2.1779999999999998E-3</v>
      </c>
      <c r="AK752" s="98">
        <v>3.0200000000000002E-4</v>
      </c>
      <c r="AL752" s="106"/>
    </row>
    <row r="753" spans="1:38" ht="15" customHeight="1">
      <c r="A753" s="106"/>
      <c r="B753" s="96">
        <v>286</v>
      </c>
      <c r="C753" s="96">
        <v>286</v>
      </c>
      <c r="D753" s="96" t="s">
        <v>1611</v>
      </c>
      <c r="E753" s="96">
        <v>520001736</v>
      </c>
      <c r="F753" s="96" t="s">
        <v>308</v>
      </c>
      <c r="G753" s="96" t="s">
        <v>1787</v>
      </c>
      <c r="H753" s="96" t="s">
        <v>1788</v>
      </c>
      <c r="I753" s="96" t="s">
        <v>320</v>
      </c>
      <c r="J753" s="96" t="s">
        <v>753</v>
      </c>
      <c r="K753" s="96" t="s">
        <v>203</v>
      </c>
      <c r="L753" s="96" t="s">
        <v>203</v>
      </c>
      <c r="M753" s="96" t="s">
        <v>324</v>
      </c>
      <c r="N753" s="96" t="s">
        <v>339</v>
      </c>
      <c r="O753" s="96" t="s">
        <v>463</v>
      </c>
      <c r="P753" s="96" t="s">
        <v>338</v>
      </c>
      <c r="Q753" s="96" t="s">
        <v>1313</v>
      </c>
      <c r="R753" s="96" t="s">
        <v>412</v>
      </c>
      <c r="S753" s="96" t="s">
        <v>406</v>
      </c>
      <c r="T753" s="96" t="s">
        <v>1200</v>
      </c>
      <c r="U753" s="97">
        <v>1.21</v>
      </c>
      <c r="V753" s="100">
        <v>46112</v>
      </c>
      <c r="W753" s="98">
        <v>4.7500000000000001E-2</v>
      </c>
      <c r="X753" s="98">
        <v>2.86E-2</v>
      </c>
      <c r="Y753" s="96" t="s">
        <v>411</v>
      </c>
      <c r="Z753" s="96"/>
      <c r="AA753" s="97">
        <v>326674.65652299998</v>
      </c>
      <c r="AB753" s="97">
        <v>1</v>
      </c>
      <c r="AC753" s="97">
        <v>142.59</v>
      </c>
      <c r="AD753" s="97"/>
      <c r="AE753" s="97">
        <v>465.80539199999998</v>
      </c>
      <c r="AF753" s="96"/>
      <c r="AG753" s="96"/>
      <c r="AH753" s="96"/>
      <c r="AI753" s="98">
        <v>3.4099999999999999E-4</v>
      </c>
      <c r="AJ753" s="98">
        <v>1.745E-3</v>
      </c>
      <c r="AK753" s="98">
        <v>2.42E-4</v>
      </c>
      <c r="AL753" s="106"/>
    </row>
    <row r="754" spans="1:38" ht="15" customHeight="1">
      <c r="A754" s="106"/>
      <c r="B754" s="96">
        <v>286</v>
      </c>
      <c r="C754" s="96">
        <v>286</v>
      </c>
      <c r="D754" s="96" t="s">
        <v>1658</v>
      </c>
      <c r="E754" s="96">
        <v>520038506</v>
      </c>
      <c r="F754" s="96" t="s">
        <v>308</v>
      </c>
      <c r="G754" s="96" t="s">
        <v>2049</v>
      </c>
      <c r="H754" s="96" t="s">
        <v>2050</v>
      </c>
      <c r="I754" s="96" t="s">
        <v>320</v>
      </c>
      <c r="J754" s="96" t="s">
        <v>753</v>
      </c>
      <c r="K754" s="96" t="s">
        <v>203</v>
      </c>
      <c r="L754" s="96" t="s">
        <v>203</v>
      </c>
      <c r="M754" s="96" t="s">
        <v>324</v>
      </c>
      <c r="N754" s="96" t="s">
        <v>339</v>
      </c>
      <c r="O754" s="96" t="s">
        <v>463</v>
      </c>
      <c r="P754" s="96" t="s">
        <v>337</v>
      </c>
      <c r="Q754" s="96" t="s">
        <v>1305</v>
      </c>
      <c r="R754" s="96" t="s">
        <v>414</v>
      </c>
      <c r="S754" s="96" t="s">
        <v>406</v>
      </c>
      <c r="T754" s="96" t="s">
        <v>1200</v>
      </c>
      <c r="U754" s="97">
        <v>7.13</v>
      </c>
      <c r="V754" s="100">
        <v>50099</v>
      </c>
      <c r="W754" s="98">
        <v>2.5600000000000001E-2</v>
      </c>
      <c r="X754" s="98">
        <v>4.53E-2</v>
      </c>
      <c r="Y754" s="96" t="s">
        <v>411</v>
      </c>
      <c r="Z754" s="96"/>
      <c r="AA754" s="97">
        <v>510212.228955</v>
      </c>
      <c r="AB754" s="97">
        <v>1</v>
      </c>
      <c r="AC754" s="97">
        <v>93.07</v>
      </c>
      <c r="AD754" s="97"/>
      <c r="AE754" s="97">
        <v>474.85452099999998</v>
      </c>
      <c r="AF754" s="96"/>
      <c r="AG754" s="96"/>
      <c r="AH754" s="96"/>
      <c r="AI754" s="98">
        <v>4.8500000000000003E-4</v>
      </c>
      <c r="AJ754" s="98">
        <v>1.779E-3</v>
      </c>
      <c r="AK754" s="98">
        <v>2.4699999999999999E-4</v>
      </c>
      <c r="AL754" s="106"/>
    </row>
    <row r="755" spans="1:38" ht="15" customHeight="1">
      <c r="A755" s="106"/>
      <c r="B755" s="96">
        <v>286</v>
      </c>
      <c r="C755" s="96">
        <v>286</v>
      </c>
      <c r="D755" s="96" t="s">
        <v>1484</v>
      </c>
      <c r="E755" s="96">
        <v>520036617</v>
      </c>
      <c r="F755" s="96" t="s">
        <v>308</v>
      </c>
      <c r="G755" s="96" t="s">
        <v>1502</v>
      </c>
      <c r="H755" s="96" t="s">
        <v>1486</v>
      </c>
      <c r="I755" s="96" t="s">
        <v>320</v>
      </c>
      <c r="J755" s="96" t="s">
        <v>753</v>
      </c>
      <c r="K755" s="96" t="s">
        <v>203</v>
      </c>
      <c r="L755" s="96" t="s">
        <v>203</v>
      </c>
      <c r="M755" s="96" t="s">
        <v>326</v>
      </c>
      <c r="N755" s="96" t="s">
        <v>339</v>
      </c>
      <c r="O755" s="96" t="s">
        <v>463</v>
      </c>
      <c r="P755" s="96" t="s">
        <v>338</v>
      </c>
      <c r="Q755" s="96" t="s">
        <v>1320</v>
      </c>
      <c r="R755" s="96" t="s">
        <v>412</v>
      </c>
      <c r="S755" s="96" t="s">
        <v>406</v>
      </c>
      <c r="T755" s="96" t="s">
        <v>1200</v>
      </c>
      <c r="U755" s="97">
        <v>4.1399999999999997</v>
      </c>
      <c r="V755" s="100">
        <v>47300</v>
      </c>
      <c r="W755" s="98">
        <v>1.5299999999999999E-2</v>
      </c>
      <c r="X755" s="98">
        <v>3.2800000000000003E-2</v>
      </c>
      <c r="Y755" s="96" t="s">
        <v>411</v>
      </c>
      <c r="Z755" s="96"/>
      <c r="AA755" s="97">
        <v>17146.052159999999</v>
      </c>
      <c r="AB755" s="97">
        <v>1</v>
      </c>
      <c r="AC755" s="97">
        <v>105.87130000000001</v>
      </c>
      <c r="AD755" s="97"/>
      <c r="AE755" s="97">
        <v>18.152752</v>
      </c>
      <c r="AF755" s="96"/>
      <c r="AG755" s="96"/>
      <c r="AH755" s="96"/>
      <c r="AI755" s="98">
        <v>4.5000000000000003E-5</v>
      </c>
      <c r="AJ755" s="98">
        <v>6.7999999999999999E-5</v>
      </c>
      <c r="AK755" s="98">
        <v>9.0000000000000002E-6</v>
      </c>
      <c r="AL755" s="106"/>
    </row>
    <row r="756" spans="1:38" ht="15" customHeight="1">
      <c r="A756" s="106"/>
      <c r="B756" s="96">
        <v>286</v>
      </c>
      <c r="C756" s="96">
        <v>286</v>
      </c>
      <c r="D756" s="96" t="s">
        <v>1203</v>
      </c>
      <c r="E756" s="96">
        <v>520000118</v>
      </c>
      <c r="F756" s="96" t="s">
        <v>308</v>
      </c>
      <c r="G756" s="96" t="s">
        <v>1946</v>
      </c>
      <c r="H756" s="96" t="s">
        <v>1947</v>
      </c>
      <c r="I756" s="96" t="s">
        <v>320</v>
      </c>
      <c r="J756" s="96" t="s">
        <v>753</v>
      </c>
      <c r="K756" s="96" t="s">
        <v>203</v>
      </c>
      <c r="L756" s="96" t="s">
        <v>203</v>
      </c>
      <c r="M756" s="96" t="s">
        <v>324</v>
      </c>
      <c r="N756" s="96" t="s">
        <v>339</v>
      </c>
      <c r="O756" s="96" t="s">
        <v>447</v>
      </c>
      <c r="P756" s="96" t="s">
        <v>338</v>
      </c>
      <c r="Q756" s="96" t="s">
        <v>1211</v>
      </c>
      <c r="R756" s="96" t="s">
        <v>414</v>
      </c>
      <c r="S756" s="96" t="s">
        <v>406</v>
      </c>
      <c r="T756" s="96" t="s">
        <v>1200</v>
      </c>
      <c r="U756" s="97">
        <v>3.26</v>
      </c>
      <c r="V756" s="100">
        <v>47819</v>
      </c>
      <c r="W756" s="98">
        <v>1.7500000000000002E-2</v>
      </c>
      <c r="X756" s="98">
        <v>2.4400000000000002E-2</v>
      </c>
      <c r="Y756" s="96" t="s">
        <v>411</v>
      </c>
      <c r="Z756" s="96"/>
      <c r="AA756" s="97">
        <v>2140266.475044</v>
      </c>
      <c r="AB756" s="97">
        <v>1</v>
      </c>
      <c r="AC756" s="97">
        <v>111.51</v>
      </c>
      <c r="AD756" s="97"/>
      <c r="AE756" s="97">
        <v>2386.6111460000002</v>
      </c>
      <c r="AF756" s="96"/>
      <c r="AG756" s="96"/>
      <c r="AH756" s="96"/>
      <c r="AI756" s="98">
        <v>8.2299999999999995E-4</v>
      </c>
      <c r="AJ756" s="98">
        <v>8.9420000000000003E-3</v>
      </c>
      <c r="AK756" s="98">
        <v>1.242E-3</v>
      </c>
      <c r="AL756" s="106"/>
    </row>
    <row r="757" spans="1:38" ht="15" customHeight="1">
      <c r="A757" s="106"/>
      <c r="B757" s="96">
        <v>286</v>
      </c>
      <c r="C757" s="96">
        <v>286</v>
      </c>
      <c r="D757" s="96" t="s">
        <v>1645</v>
      </c>
      <c r="E757" s="96">
        <v>1630</v>
      </c>
      <c r="F757" s="96" t="s">
        <v>80</v>
      </c>
      <c r="G757" s="96" t="s">
        <v>1702</v>
      </c>
      <c r="H757" s="96" t="s">
        <v>1703</v>
      </c>
      <c r="I757" s="96" t="s">
        <v>320</v>
      </c>
      <c r="J757" s="96" t="s">
        <v>952</v>
      </c>
      <c r="K757" s="96" t="s">
        <v>203</v>
      </c>
      <c r="L757" s="96" t="s">
        <v>203</v>
      </c>
      <c r="M757" s="96" t="s">
        <v>324</v>
      </c>
      <c r="N757" s="96" t="s">
        <v>339</v>
      </c>
      <c r="O757" s="96" t="s">
        <v>464</v>
      </c>
      <c r="P757" s="96" t="s">
        <v>338</v>
      </c>
      <c r="Q757" s="96" t="s">
        <v>1320</v>
      </c>
      <c r="R757" s="96" t="s">
        <v>412</v>
      </c>
      <c r="S757" s="96" t="s">
        <v>406</v>
      </c>
      <c r="T757" s="96" t="s">
        <v>1200</v>
      </c>
      <c r="U757" s="97">
        <v>2.61</v>
      </c>
      <c r="V757" s="100">
        <v>46873</v>
      </c>
      <c r="W757" s="98">
        <v>5.7500000000000002E-2</v>
      </c>
      <c r="X757" s="98">
        <v>7.0800000000000002E-2</v>
      </c>
      <c r="Y757" s="96" t="s">
        <v>411</v>
      </c>
      <c r="Z757" s="96"/>
      <c r="AA757" s="97">
        <v>599570.47308100003</v>
      </c>
      <c r="AB757" s="97">
        <v>1</v>
      </c>
      <c r="AC757" s="97">
        <v>97.94</v>
      </c>
      <c r="AD757" s="97"/>
      <c r="AE757" s="97">
        <v>587.21932100000004</v>
      </c>
      <c r="AF757" s="96"/>
      <c r="AG757" s="96"/>
      <c r="AH757" s="96"/>
      <c r="AI757" s="98">
        <v>6.6600000000000003E-4</v>
      </c>
      <c r="AJ757" s="98">
        <v>2.2000000000000001E-3</v>
      </c>
      <c r="AK757" s="98">
        <v>3.0499999999999999E-4</v>
      </c>
      <c r="AL757" s="106"/>
    </row>
    <row r="758" spans="1:38" ht="15" customHeight="1">
      <c r="A758" s="106"/>
      <c r="B758" s="96">
        <v>286</v>
      </c>
      <c r="C758" s="96">
        <v>286</v>
      </c>
      <c r="D758" s="96" t="s">
        <v>1310</v>
      </c>
      <c r="E758" s="96">
        <v>520017450</v>
      </c>
      <c r="F758" s="96" t="s">
        <v>308</v>
      </c>
      <c r="G758" s="96" t="s">
        <v>1448</v>
      </c>
      <c r="H758" s="96" t="s">
        <v>1449</v>
      </c>
      <c r="I758" s="96" t="s">
        <v>320</v>
      </c>
      <c r="J758" s="96" t="s">
        <v>952</v>
      </c>
      <c r="K758" s="96" t="s">
        <v>203</v>
      </c>
      <c r="L758" s="96" t="s">
        <v>203</v>
      </c>
      <c r="M758" s="96" t="s">
        <v>324</v>
      </c>
      <c r="N758" s="96" t="s">
        <v>339</v>
      </c>
      <c r="O758" s="96" t="s">
        <v>444</v>
      </c>
      <c r="P758" s="96" t="s">
        <v>338</v>
      </c>
      <c r="Q758" s="96" t="s">
        <v>1313</v>
      </c>
      <c r="R758" s="96" t="s">
        <v>412</v>
      </c>
      <c r="S758" s="96" t="s">
        <v>406</v>
      </c>
      <c r="T758" s="96" t="s">
        <v>1200</v>
      </c>
      <c r="U758" s="97">
        <v>4.49</v>
      </c>
      <c r="V758" s="100">
        <v>48579</v>
      </c>
      <c r="W758" s="98">
        <v>1.9400000000000001E-2</v>
      </c>
      <c r="X758" s="98">
        <v>5.5E-2</v>
      </c>
      <c r="Y758" s="96" t="s">
        <v>411</v>
      </c>
      <c r="Z758" s="96"/>
      <c r="AA758" s="97">
        <v>304675.968306</v>
      </c>
      <c r="AB758" s="97">
        <v>1</v>
      </c>
      <c r="AC758" s="97">
        <v>85.41</v>
      </c>
      <c r="AD758" s="97"/>
      <c r="AE758" s="97">
        <v>260.22374400000001</v>
      </c>
      <c r="AF758" s="96"/>
      <c r="AG758" s="96"/>
      <c r="AH758" s="96"/>
      <c r="AI758" s="98">
        <v>4.9600000000000002E-4</v>
      </c>
      <c r="AJ758" s="98">
        <v>9.7499999999999996E-4</v>
      </c>
      <c r="AK758" s="98">
        <v>1.35E-4</v>
      </c>
      <c r="AL758" s="106"/>
    </row>
    <row r="759" spans="1:38" ht="15" customHeight="1">
      <c r="A759" s="106"/>
      <c r="B759" s="96">
        <v>286</v>
      </c>
      <c r="C759" s="96">
        <v>286</v>
      </c>
      <c r="D759" s="96" t="s">
        <v>1337</v>
      </c>
      <c r="E759" s="96">
        <v>520028010</v>
      </c>
      <c r="F759" s="96" t="s">
        <v>308</v>
      </c>
      <c r="G759" s="96" t="s">
        <v>1593</v>
      </c>
      <c r="H759" s="96" t="s">
        <v>1594</v>
      </c>
      <c r="I759" s="96" t="s">
        <v>320</v>
      </c>
      <c r="J759" s="96" t="s">
        <v>952</v>
      </c>
      <c r="K759" s="96" t="s">
        <v>203</v>
      </c>
      <c r="L759" s="96" t="s">
        <v>203</v>
      </c>
      <c r="M759" s="96" t="s">
        <v>324</v>
      </c>
      <c r="N759" s="96" t="s">
        <v>339</v>
      </c>
      <c r="O759" s="96" t="s">
        <v>450</v>
      </c>
      <c r="P759" s="96" t="s">
        <v>338</v>
      </c>
      <c r="Q759" s="96" t="s">
        <v>1320</v>
      </c>
      <c r="R759" s="96" t="s">
        <v>412</v>
      </c>
      <c r="S759" s="96" t="s">
        <v>406</v>
      </c>
      <c r="T759" s="96" t="s">
        <v>1200</v>
      </c>
      <c r="U759" s="97">
        <v>1.25</v>
      </c>
      <c r="V759" s="100">
        <v>46295</v>
      </c>
      <c r="W759" s="98">
        <v>3.5999999999999997E-2</v>
      </c>
      <c r="X759" s="98">
        <v>5.0799999999999998E-2</v>
      </c>
      <c r="Y759" s="96" t="s">
        <v>411</v>
      </c>
      <c r="Z759" s="96"/>
      <c r="AA759" s="97">
        <v>201086.141519</v>
      </c>
      <c r="AB759" s="97">
        <v>1</v>
      </c>
      <c r="AC759" s="97">
        <v>99.16</v>
      </c>
      <c r="AD759" s="97"/>
      <c r="AE759" s="97">
        <v>199.39701700000001</v>
      </c>
      <c r="AF759" s="96"/>
      <c r="AG759" s="96"/>
      <c r="AH759" s="96"/>
      <c r="AI759" s="98">
        <v>6.6E-4</v>
      </c>
      <c r="AJ759" s="98">
        <v>7.4700000000000005E-4</v>
      </c>
      <c r="AK759" s="98">
        <v>1.03E-4</v>
      </c>
      <c r="AL759" s="106"/>
    </row>
    <row r="760" spans="1:38" ht="15" customHeight="1">
      <c r="A760" s="106"/>
      <c r="B760" s="96">
        <v>286</v>
      </c>
      <c r="C760" s="96">
        <v>286</v>
      </c>
      <c r="D760" s="96" t="s">
        <v>1427</v>
      </c>
      <c r="E760" s="96">
        <v>520031931</v>
      </c>
      <c r="F760" s="96" t="s">
        <v>308</v>
      </c>
      <c r="G760" s="96" t="s">
        <v>1457</v>
      </c>
      <c r="H760" s="96" t="s">
        <v>1458</v>
      </c>
      <c r="I760" s="96" t="s">
        <v>320</v>
      </c>
      <c r="J760" s="96" t="s">
        <v>952</v>
      </c>
      <c r="K760" s="96" t="s">
        <v>203</v>
      </c>
      <c r="L760" s="96" t="s">
        <v>203</v>
      </c>
      <c r="M760" s="96" t="s">
        <v>324</v>
      </c>
      <c r="N760" s="96" t="s">
        <v>339</v>
      </c>
      <c r="O760" s="96" t="s">
        <v>483</v>
      </c>
      <c r="P760" s="96" t="s">
        <v>338</v>
      </c>
      <c r="Q760" s="96" t="s">
        <v>1336</v>
      </c>
      <c r="R760" s="96" t="s">
        <v>414</v>
      </c>
      <c r="S760" s="96" t="s">
        <v>406</v>
      </c>
      <c r="T760" s="96" t="s">
        <v>1200</v>
      </c>
      <c r="U760" s="97">
        <v>0.9</v>
      </c>
      <c r="V760" s="100">
        <v>45992</v>
      </c>
      <c r="W760" s="98">
        <v>3.6499999999999998E-2</v>
      </c>
      <c r="X760" s="98">
        <v>4.87E-2</v>
      </c>
      <c r="Y760" s="96" t="s">
        <v>411</v>
      </c>
      <c r="Z760" s="96"/>
      <c r="AA760" s="97">
        <v>291658.188135</v>
      </c>
      <c r="AB760" s="97">
        <v>1</v>
      </c>
      <c r="AC760" s="97">
        <v>99.27</v>
      </c>
      <c r="AD760" s="97"/>
      <c r="AE760" s="97">
        <v>289.52908300000001</v>
      </c>
      <c r="AF760" s="96"/>
      <c r="AG760" s="96"/>
      <c r="AH760" s="96"/>
      <c r="AI760" s="98">
        <v>2.7300000000000002E-4</v>
      </c>
      <c r="AJ760" s="98">
        <v>1.0839999999999999E-3</v>
      </c>
      <c r="AK760" s="98">
        <v>1.4999999999999999E-4</v>
      </c>
      <c r="AL760" s="106"/>
    </row>
    <row r="761" spans="1:38" ht="15" customHeight="1">
      <c r="A761" s="106"/>
      <c r="B761" s="96">
        <v>286</v>
      </c>
      <c r="C761" s="96">
        <v>286</v>
      </c>
      <c r="D761" s="96" t="s">
        <v>1440</v>
      </c>
      <c r="E761" s="96">
        <v>513992529</v>
      </c>
      <c r="F761" s="96" t="s">
        <v>308</v>
      </c>
      <c r="G761" s="96" t="s">
        <v>1885</v>
      </c>
      <c r="H761" s="96" t="s">
        <v>1886</v>
      </c>
      <c r="I761" s="96" t="s">
        <v>320</v>
      </c>
      <c r="J761" s="96" t="s">
        <v>753</v>
      </c>
      <c r="K761" s="96" t="s">
        <v>203</v>
      </c>
      <c r="L761" s="96" t="s">
        <v>203</v>
      </c>
      <c r="M761" s="96" t="s">
        <v>324</v>
      </c>
      <c r="N761" s="96" t="s">
        <v>339</v>
      </c>
      <c r="O761" s="96" t="s">
        <v>463</v>
      </c>
      <c r="P761" s="96" t="s">
        <v>338</v>
      </c>
      <c r="Q761" s="96" t="s">
        <v>1305</v>
      </c>
      <c r="R761" s="96" t="s">
        <v>414</v>
      </c>
      <c r="S761" s="96" t="s">
        <v>406</v>
      </c>
      <c r="T761" s="96" t="s">
        <v>1200</v>
      </c>
      <c r="U761" s="97">
        <v>3.16</v>
      </c>
      <c r="V761" s="100">
        <v>47221</v>
      </c>
      <c r="W761" s="98">
        <v>1.9599999999999999E-2</v>
      </c>
      <c r="X761" s="98">
        <v>2.9899999999999999E-2</v>
      </c>
      <c r="Y761" s="96" t="s">
        <v>411</v>
      </c>
      <c r="Z761" s="96"/>
      <c r="AA761" s="97">
        <v>57257.815659</v>
      </c>
      <c r="AB761" s="97">
        <v>1</v>
      </c>
      <c r="AC761" s="97">
        <v>111.11</v>
      </c>
      <c r="AD761" s="97"/>
      <c r="AE761" s="97">
        <v>63.619157999999999</v>
      </c>
      <c r="AF761" s="96"/>
      <c r="AG761" s="96"/>
      <c r="AH761" s="96"/>
      <c r="AI761" s="98">
        <v>5.0000000000000002E-5</v>
      </c>
      <c r="AJ761" s="98">
        <v>2.3800000000000001E-4</v>
      </c>
      <c r="AK761" s="98">
        <v>3.3000000000000003E-5</v>
      </c>
      <c r="AL761" s="106"/>
    </row>
    <row r="762" spans="1:38" ht="15" customHeight="1">
      <c r="A762" s="106"/>
      <c r="B762" s="96">
        <v>286</v>
      </c>
      <c r="C762" s="96">
        <v>286</v>
      </c>
      <c r="D762" s="96" t="s">
        <v>1704</v>
      </c>
      <c r="E762" s="96">
        <v>513834200</v>
      </c>
      <c r="F762" s="96" t="s">
        <v>308</v>
      </c>
      <c r="G762" s="96" t="s">
        <v>2031</v>
      </c>
      <c r="H762" s="96" t="s">
        <v>2032</v>
      </c>
      <c r="I762" s="96" t="s">
        <v>320</v>
      </c>
      <c r="J762" s="96" t="s">
        <v>952</v>
      </c>
      <c r="K762" s="96" t="s">
        <v>203</v>
      </c>
      <c r="L762" s="96" t="s">
        <v>203</v>
      </c>
      <c r="M762" s="96" t="s">
        <v>324</v>
      </c>
      <c r="N762" s="96" t="s">
        <v>339</v>
      </c>
      <c r="O762" s="96" t="s">
        <v>444</v>
      </c>
      <c r="P762" s="96" t="s">
        <v>338</v>
      </c>
      <c r="Q762" s="96" t="s">
        <v>1305</v>
      </c>
      <c r="R762" s="96" t="s">
        <v>414</v>
      </c>
      <c r="S762" s="96" t="s">
        <v>406</v>
      </c>
      <c r="T762" s="96" t="s">
        <v>1200</v>
      </c>
      <c r="U762" s="97">
        <v>5.89</v>
      </c>
      <c r="V762" s="100">
        <v>47848</v>
      </c>
      <c r="W762" s="98">
        <v>3.0499999999999999E-2</v>
      </c>
      <c r="X762" s="98">
        <v>5.8900000000000001E-2</v>
      </c>
      <c r="Y762" s="96" t="s">
        <v>411</v>
      </c>
      <c r="Z762" s="96"/>
      <c r="AA762" s="97">
        <v>536229.70421899995</v>
      </c>
      <c r="AB762" s="97">
        <v>1</v>
      </c>
      <c r="AC762" s="97">
        <v>85.24</v>
      </c>
      <c r="AD762" s="97"/>
      <c r="AE762" s="97">
        <v>457.082199</v>
      </c>
      <c r="AF762" s="96"/>
      <c r="AG762" s="96"/>
      <c r="AH762" s="96"/>
      <c r="AI762" s="98">
        <v>7.3499999999999998E-4</v>
      </c>
      <c r="AJ762" s="98">
        <v>1.712E-3</v>
      </c>
      <c r="AK762" s="98">
        <v>2.3800000000000001E-4</v>
      </c>
      <c r="AL762" s="106"/>
    </row>
    <row r="763" spans="1:38" ht="15" customHeight="1">
      <c r="A763" s="106"/>
      <c r="B763" s="96">
        <v>286</v>
      </c>
      <c r="C763" s="96">
        <v>286</v>
      </c>
      <c r="D763" s="96" t="s">
        <v>1392</v>
      </c>
      <c r="E763" s="96">
        <v>513708818</v>
      </c>
      <c r="F763" s="96" t="s">
        <v>308</v>
      </c>
      <c r="G763" s="96" t="s">
        <v>2025</v>
      </c>
      <c r="H763" s="96" t="s">
        <v>2026</v>
      </c>
      <c r="I763" s="96" t="s">
        <v>320</v>
      </c>
      <c r="J763" s="96" t="s">
        <v>753</v>
      </c>
      <c r="K763" s="96" t="s">
        <v>203</v>
      </c>
      <c r="L763" s="96" t="s">
        <v>203</v>
      </c>
      <c r="M763" s="96" t="s">
        <v>324</v>
      </c>
      <c r="N763" s="96" t="s">
        <v>339</v>
      </c>
      <c r="O763" s="96" t="s">
        <v>439</v>
      </c>
      <c r="P763" s="96" t="s">
        <v>338</v>
      </c>
      <c r="Q763" s="96" t="s">
        <v>1309</v>
      </c>
      <c r="R763" s="96" t="s">
        <v>414</v>
      </c>
      <c r="S763" s="96" t="s">
        <v>406</v>
      </c>
      <c r="T763" s="96" t="s">
        <v>1200</v>
      </c>
      <c r="U763" s="97">
        <v>3.69</v>
      </c>
      <c r="V763" s="100">
        <v>48121</v>
      </c>
      <c r="W763" s="98">
        <v>1.7999999999999999E-2</v>
      </c>
      <c r="X763" s="98">
        <v>3.5799999999999998E-2</v>
      </c>
      <c r="Y763" s="96" t="s">
        <v>411</v>
      </c>
      <c r="Z763" s="96"/>
      <c r="AA763" s="97">
        <v>124654.235531</v>
      </c>
      <c r="AB763" s="97">
        <v>1</v>
      </c>
      <c r="AC763" s="97">
        <v>106.94</v>
      </c>
      <c r="AD763" s="97"/>
      <c r="AE763" s="97">
        <v>133.305239</v>
      </c>
      <c r="AF763" s="96"/>
      <c r="AG763" s="96"/>
      <c r="AH763" s="96"/>
      <c r="AI763" s="98">
        <v>1.25E-4</v>
      </c>
      <c r="AJ763" s="98">
        <v>4.9899999999999999E-4</v>
      </c>
      <c r="AK763" s="98">
        <v>6.8999999999999997E-5</v>
      </c>
      <c r="AL763" s="106"/>
    </row>
    <row r="764" spans="1:38" ht="15" customHeight="1">
      <c r="A764" s="106"/>
      <c r="B764" s="96">
        <v>286</v>
      </c>
      <c r="C764" s="96">
        <v>286</v>
      </c>
      <c r="D764" s="96" t="s">
        <v>1774</v>
      </c>
      <c r="E764" s="96">
        <v>520039967</v>
      </c>
      <c r="F764" s="96" t="s">
        <v>308</v>
      </c>
      <c r="G764" s="96" t="s">
        <v>1775</v>
      </c>
      <c r="H764" s="96" t="s">
        <v>1776</v>
      </c>
      <c r="I764" s="96" t="s">
        <v>320</v>
      </c>
      <c r="J764" s="96" t="s">
        <v>952</v>
      </c>
      <c r="K764" s="96" t="s">
        <v>203</v>
      </c>
      <c r="L764" s="96" t="s">
        <v>203</v>
      </c>
      <c r="M764" s="96" t="s">
        <v>324</v>
      </c>
      <c r="N764" s="96" t="s">
        <v>339</v>
      </c>
      <c r="O764" s="96" t="s">
        <v>474</v>
      </c>
      <c r="P764" s="96" t="s">
        <v>337</v>
      </c>
      <c r="Q764" s="96" t="s">
        <v>1332</v>
      </c>
      <c r="R764" s="96" t="s">
        <v>412</v>
      </c>
      <c r="S764" s="96" t="s">
        <v>406</v>
      </c>
      <c r="T764" s="96" t="s">
        <v>1200</v>
      </c>
      <c r="U764" s="97">
        <v>3.04</v>
      </c>
      <c r="V764" s="100">
        <v>47483</v>
      </c>
      <c r="W764" s="98">
        <v>2.1000000000000001E-2</v>
      </c>
      <c r="X764" s="98">
        <v>5.79E-2</v>
      </c>
      <c r="Y764" s="96" t="s">
        <v>411</v>
      </c>
      <c r="Z764" s="96"/>
      <c r="AA764" s="97">
        <v>207334.07736900001</v>
      </c>
      <c r="AB764" s="97">
        <v>1</v>
      </c>
      <c r="AC764" s="97">
        <v>89.62</v>
      </c>
      <c r="AD764" s="97"/>
      <c r="AE764" s="97">
        <v>185.81280000000001</v>
      </c>
      <c r="AF764" s="96"/>
      <c r="AG764" s="96"/>
      <c r="AH764" s="96"/>
      <c r="AI764" s="98">
        <v>3.6099999999999999E-4</v>
      </c>
      <c r="AJ764" s="98">
        <v>6.96E-4</v>
      </c>
      <c r="AK764" s="98">
        <v>9.6000000000000002E-5</v>
      </c>
      <c r="AL764" s="106"/>
    </row>
    <row r="765" spans="1:38" ht="15" customHeight="1">
      <c r="A765" s="106"/>
      <c r="B765" s="96">
        <v>286</v>
      </c>
      <c r="C765" s="96">
        <v>286</v>
      </c>
      <c r="D765" s="96" t="s">
        <v>1417</v>
      </c>
      <c r="E765" s="96">
        <v>513230029</v>
      </c>
      <c r="F765" s="96" t="s">
        <v>308</v>
      </c>
      <c r="G765" s="96" t="s">
        <v>1628</v>
      </c>
      <c r="H765" s="96" t="s">
        <v>1629</v>
      </c>
      <c r="I765" s="96" t="s">
        <v>320</v>
      </c>
      <c r="J765" s="96" t="s">
        <v>952</v>
      </c>
      <c r="K765" s="96" t="s">
        <v>203</v>
      </c>
      <c r="L765" s="96" t="s">
        <v>203</v>
      </c>
      <c r="M765" s="96" t="s">
        <v>324</v>
      </c>
      <c r="N765" s="96" t="s">
        <v>339</v>
      </c>
      <c r="O765" s="96" t="s">
        <v>444</v>
      </c>
      <c r="P765" s="96" t="s">
        <v>338</v>
      </c>
      <c r="Q765" s="96" t="s">
        <v>1357</v>
      </c>
      <c r="R765" s="96" t="s">
        <v>414</v>
      </c>
      <c r="S765" s="96" t="s">
        <v>406</v>
      </c>
      <c r="T765" s="96" t="s">
        <v>1200</v>
      </c>
      <c r="U765" s="97">
        <v>4.76</v>
      </c>
      <c r="V765" s="100">
        <v>47452</v>
      </c>
      <c r="W765" s="98">
        <v>5.1700000000000003E-2</v>
      </c>
      <c r="X765" s="98">
        <v>5.8700000000000002E-2</v>
      </c>
      <c r="Y765" s="96" t="s">
        <v>411</v>
      </c>
      <c r="Z765" s="96"/>
      <c r="AA765" s="97">
        <v>539394.65380299999</v>
      </c>
      <c r="AB765" s="97">
        <v>1</v>
      </c>
      <c r="AC765" s="97">
        <v>97.58</v>
      </c>
      <c r="AD765" s="97"/>
      <c r="AE765" s="97">
        <v>526.34130300000004</v>
      </c>
      <c r="AF765" s="96"/>
      <c r="AG765" s="96"/>
      <c r="AH765" s="96"/>
      <c r="AI765" s="98">
        <v>8.83E-4</v>
      </c>
      <c r="AJ765" s="98">
        <v>1.9719999999999998E-3</v>
      </c>
      <c r="AK765" s="98">
        <v>2.7399999999999999E-4</v>
      </c>
      <c r="AL765" s="106"/>
    </row>
    <row r="766" spans="1:38" ht="15" customHeight="1">
      <c r="A766" s="106"/>
      <c r="B766" s="96">
        <v>286</v>
      </c>
      <c r="C766" s="96">
        <v>286</v>
      </c>
      <c r="D766" s="96" t="s">
        <v>1484</v>
      </c>
      <c r="E766" s="96">
        <v>520036617</v>
      </c>
      <c r="F766" s="96" t="s">
        <v>308</v>
      </c>
      <c r="G766" s="96" t="s">
        <v>1485</v>
      </c>
      <c r="H766" s="96" t="s">
        <v>1486</v>
      </c>
      <c r="I766" s="96" t="s">
        <v>320</v>
      </c>
      <c r="J766" s="96" t="s">
        <v>753</v>
      </c>
      <c r="K766" s="96" t="s">
        <v>203</v>
      </c>
      <c r="L766" s="96" t="s">
        <v>203</v>
      </c>
      <c r="M766" s="96" t="s">
        <v>324</v>
      </c>
      <c r="N766" s="96" t="s">
        <v>339</v>
      </c>
      <c r="O766" s="96" t="s">
        <v>463</v>
      </c>
      <c r="P766" s="96" t="s">
        <v>338</v>
      </c>
      <c r="Q766" s="96" t="s">
        <v>1320</v>
      </c>
      <c r="R766" s="96" t="s">
        <v>412</v>
      </c>
      <c r="S766" s="96" t="s">
        <v>406</v>
      </c>
      <c r="T766" s="96" t="s">
        <v>1200</v>
      </c>
      <c r="U766" s="97">
        <v>4.1399999999999997</v>
      </c>
      <c r="V766" s="100">
        <v>47300</v>
      </c>
      <c r="W766" s="98">
        <v>1.5299999999999999E-2</v>
      </c>
      <c r="X766" s="98">
        <v>3.27E-2</v>
      </c>
      <c r="Y766" s="96" t="s">
        <v>411</v>
      </c>
      <c r="Z766" s="96"/>
      <c r="AA766" s="97">
        <v>296136.33343200001</v>
      </c>
      <c r="AB766" s="97">
        <v>1</v>
      </c>
      <c r="AC766" s="97">
        <v>105.9</v>
      </c>
      <c r="AD766" s="97">
        <v>10.057383</v>
      </c>
      <c r="AE766" s="97">
        <v>323.66575999999998</v>
      </c>
      <c r="AF766" s="96"/>
      <c r="AG766" s="96"/>
      <c r="AH766" s="96"/>
      <c r="AI766" s="98">
        <v>7.9199999999999995E-4</v>
      </c>
      <c r="AJ766" s="98">
        <v>1.212E-3</v>
      </c>
      <c r="AK766" s="98">
        <v>1.6799999999999999E-4</v>
      </c>
      <c r="AL766" s="106"/>
    </row>
    <row r="767" spans="1:38" ht="15" customHeight="1">
      <c r="A767" s="106"/>
      <c r="B767" s="96">
        <v>286</v>
      </c>
      <c r="C767" s="96">
        <v>286</v>
      </c>
      <c r="D767" s="96" t="s">
        <v>1565</v>
      </c>
      <c r="E767" s="96">
        <v>520033234</v>
      </c>
      <c r="F767" s="96" t="s">
        <v>308</v>
      </c>
      <c r="G767" s="96" t="s">
        <v>1857</v>
      </c>
      <c r="H767" s="96" t="s">
        <v>1858</v>
      </c>
      <c r="I767" s="96" t="s">
        <v>320</v>
      </c>
      <c r="J767" s="96" t="s">
        <v>753</v>
      </c>
      <c r="K767" s="96" t="s">
        <v>203</v>
      </c>
      <c r="L767" s="96" t="s">
        <v>203</v>
      </c>
      <c r="M767" s="96" t="s">
        <v>324</v>
      </c>
      <c r="N767" s="96" t="s">
        <v>339</v>
      </c>
      <c r="O767" s="96" t="s">
        <v>464</v>
      </c>
      <c r="P767" s="96" t="s">
        <v>337</v>
      </c>
      <c r="Q767" s="96" t="s">
        <v>1309</v>
      </c>
      <c r="R767" s="96" t="s">
        <v>414</v>
      </c>
      <c r="S767" s="96" t="s">
        <v>406</v>
      </c>
      <c r="T767" s="96" t="s">
        <v>1200</v>
      </c>
      <c r="U767" s="97">
        <v>0.25</v>
      </c>
      <c r="V767" s="100">
        <v>45565</v>
      </c>
      <c r="W767" s="98">
        <v>5.3499999999999999E-2</v>
      </c>
      <c r="X767" s="98">
        <v>3.9E-2</v>
      </c>
      <c r="Y767" s="96" t="s">
        <v>411</v>
      </c>
      <c r="Z767" s="96"/>
      <c r="AA767" s="97">
        <v>22187.540032000001</v>
      </c>
      <c r="AB767" s="97">
        <v>1</v>
      </c>
      <c r="AC767" s="97">
        <v>119.58</v>
      </c>
      <c r="AD767" s="97"/>
      <c r="AE767" s="97">
        <v>26.531860000000002</v>
      </c>
      <c r="AF767" s="96"/>
      <c r="AG767" s="96"/>
      <c r="AH767" s="96"/>
      <c r="AI767" s="98">
        <v>6.7000000000000002E-5</v>
      </c>
      <c r="AJ767" s="98">
        <v>9.8999999999999994E-5</v>
      </c>
      <c r="AK767" s="98">
        <v>1.2999999999999999E-5</v>
      </c>
      <c r="AL767" s="106"/>
    </row>
    <row r="768" spans="1:38" ht="15" customHeight="1">
      <c r="A768" s="106"/>
      <c r="B768" s="96">
        <v>286</v>
      </c>
      <c r="C768" s="96">
        <v>286</v>
      </c>
      <c r="D768" s="96" t="s">
        <v>1373</v>
      </c>
      <c r="E768" s="96">
        <v>1476</v>
      </c>
      <c r="F768" s="96" t="s">
        <v>80</v>
      </c>
      <c r="G768" s="96" t="s">
        <v>1374</v>
      </c>
      <c r="H768" s="96" t="s">
        <v>1375</v>
      </c>
      <c r="I768" s="96" t="s">
        <v>320</v>
      </c>
      <c r="J768" s="96" t="s">
        <v>753</v>
      </c>
      <c r="K768" s="96" t="s">
        <v>203</v>
      </c>
      <c r="L768" s="96" t="s">
        <v>298</v>
      </c>
      <c r="M768" s="96" t="s">
        <v>324</v>
      </c>
      <c r="N768" s="96" t="s">
        <v>339</v>
      </c>
      <c r="O768" s="96" t="s">
        <v>446</v>
      </c>
      <c r="P768" s="96" t="s">
        <v>338</v>
      </c>
      <c r="Q768" s="96" t="s">
        <v>409</v>
      </c>
      <c r="R768" s="96" t="s">
        <v>409</v>
      </c>
      <c r="S768" s="96" t="s">
        <v>409</v>
      </c>
      <c r="T768" s="96" t="s">
        <v>1200</v>
      </c>
      <c r="U768" s="97">
        <v>2.31</v>
      </c>
      <c r="V768" s="100">
        <v>45658</v>
      </c>
      <c r="W768" s="98">
        <v>6.9000000000000006E-2</v>
      </c>
      <c r="X768" s="98">
        <v>9.99</v>
      </c>
      <c r="Y768" s="96" t="s">
        <v>411</v>
      </c>
      <c r="Z768" s="96"/>
      <c r="AA768" s="97">
        <v>10448.820530999999</v>
      </c>
      <c r="AB768" s="97">
        <v>1</v>
      </c>
      <c r="AC768" s="97">
        <v>12.89</v>
      </c>
      <c r="AD768" s="97"/>
      <c r="AE768" s="97">
        <v>1.3468530000000001</v>
      </c>
      <c r="AF768" s="96"/>
      <c r="AG768" s="96"/>
      <c r="AH768" s="96"/>
      <c r="AI768" s="98">
        <v>6.0000000000000002E-5</v>
      </c>
      <c r="AJ768" s="98">
        <v>5.0000000000000004E-6</v>
      </c>
      <c r="AK768" s="98">
        <v>0</v>
      </c>
      <c r="AL768" s="106"/>
    </row>
    <row r="769" spans="1:38" ht="15" customHeight="1">
      <c r="A769" s="106"/>
      <c r="B769" s="96">
        <v>286</v>
      </c>
      <c r="C769" s="96">
        <v>286</v>
      </c>
      <c r="D769" s="96" t="s">
        <v>1707</v>
      </c>
      <c r="E769" s="96">
        <v>512096793</v>
      </c>
      <c r="F769" s="96" t="s">
        <v>308</v>
      </c>
      <c r="G769" s="96" t="s">
        <v>1904</v>
      </c>
      <c r="H769" s="96" t="s">
        <v>1905</v>
      </c>
      <c r="I769" s="96" t="s">
        <v>320</v>
      </c>
      <c r="J769" s="96" t="s">
        <v>753</v>
      </c>
      <c r="K769" s="96" t="s">
        <v>203</v>
      </c>
      <c r="L769" s="96" t="s">
        <v>203</v>
      </c>
      <c r="M769" s="96" t="s">
        <v>324</v>
      </c>
      <c r="N769" s="96" t="s">
        <v>339</v>
      </c>
      <c r="O769" s="96" t="s">
        <v>463</v>
      </c>
      <c r="P769" s="96" t="s">
        <v>338</v>
      </c>
      <c r="Q769" s="96" t="s">
        <v>1520</v>
      </c>
      <c r="R769" s="96" t="s">
        <v>414</v>
      </c>
      <c r="S769" s="96" t="s">
        <v>406</v>
      </c>
      <c r="T769" s="96" t="s">
        <v>1200</v>
      </c>
      <c r="U769" s="97">
        <v>3.78</v>
      </c>
      <c r="V769" s="100">
        <v>47483</v>
      </c>
      <c r="W769" s="98">
        <v>2.8899999999999999E-2</v>
      </c>
      <c r="X769" s="98">
        <v>3.5000000000000003E-2</v>
      </c>
      <c r="Y769" s="96" t="s">
        <v>411</v>
      </c>
      <c r="Z769" s="96"/>
      <c r="AA769" s="97">
        <v>125026.83035400001</v>
      </c>
      <c r="AB769" s="97">
        <v>1</v>
      </c>
      <c r="AC769" s="97">
        <v>102.78</v>
      </c>
      <c r="AD769" s="97"/>
      <c r="AE769" s="97">
        <v>128.502576</v>
      </c>
      <c r="AF769" s="96"/>
      <c r="AG769" s="96"/>
      <c r="AH769" s="96"/>
      <c r="AI769" s="98">
        <v>4.2299999999999998E-4</v>
      </c>
      <c r="AJ769" s="98">
        <v>4.8099999999999998E-4</v>
      </c>
      <c r="AK769" s="98">
        <v>6.6000000000000005E-5</v>
      </c>
      <c r="AL769" s="106"/>
    </row>
    <row r="770" spans="1:38" ht="15" customHeight="1">
      <c r="A770" s="106"/>
      <c r="B770" s="96">
        <v>286</v>
      </c>
      <c r="C770" s="96">
        <v>286</v>
      </c>
      <c r="D770" s="96" t="s">
        <v>1340</v>
      </c>
      <c r="E770" s="96">
        <v>520036658</v>
      </c>
      <c r="F770" s="96" t="s">
        <v>308</v>
      </c>
      <c r="G770" s="96" t="s">
        <v>1994</v>
      </c>
      <c r="H770" s="96" t="s">
        <v>1995</v>
      </c>
      <c r="I770" s="96" t="s">
        <v>320</v>
      </c>
      <c r="J770" s="96" t="s">
        <v>952</v>
      </c>
      <c r="K770" s="96" t="s">
        <v>203</v>
      </c>
      <c r="L770" s="96" t="s">
        <v>203</v>
      </c>
      <c r="M770" s="96" t="s">
        <v>324</v>
      </c>
      <c r="N770" s="96" t="s">
        <v>339</v>
      </c>
      <c r="O770" s="96" t="s">
        <v>439</v>
      </c>
      <c r="P770" s="96" t="s">
        <v>338</v>
      </c>
      <c r="Q770" s="96" t="s">
        <v>1320</v>
      </c>
      <c r="R770" s="96" t="s">
        <v>412</v>
      </c>
      <c r="S770" s="96" t="s">
        <v>406</v>
      </c>
      <c r="T770" s="96" t="s">
        <v>1200</v>
      </c>
      <c r="U770" s="97">
        <v>2.44</v>
      </c>
      <c r="V770" s="100">
        <v>48116</v>
      </c>
      <c r="W770" s="98">
        <v>2.7E-2</v>
      </c>
      <c r="X770" s="98">
        <v>6.2100000000000002E-2</v>
      </c>
      <c r="Y770" s="96" t="s">
        <v>411</v>
      </c>
      <c r="Z770" s="96"/>
      <c r="AA770" s="97">
        <v>55837.520371999999</v>
      </c>
      <c r="AB770" s="97">
        <v>1</v>
      </c>
      <c r="AC770" s="97">
        <v>92.63</v>
      </c>
      <c r="AD770" s="97"/>
      <c r="AE770" s="97">
        <v>51.722295000000003</v>
      </c>
      <c r="AF770" s="96"/>
      <c r="AG770" s="96"/>
      <c r="AH770" s="96"/>
      <c r="AI770" s="98">
        <v>7.8999999999999996E-5</v>
      </c>
      <c r="AJ770" s="98">
        <v>1.93E-4</v>
      </c>
      <c r="AK770" s="98">
        <v>2.5999999999999998E-5</v>
      </c>
      <c r="AL770" s="106"/>
    </row>
    <row r="771" spans="1:38" ht="15" customHeight="1">
      <c r="A771" s="106"/>
      <c r="B771" s="96">
        <v>286</v>
      </c>
      <c r="C771" s="96">
        <v>286</v>
      </c>
      <c r="D771" s="96" t="s">
        <v>1797</v>
      </c>
      <c r="E771" s="96">
        <v>512607888</v>
      </c>
      <c r="F771" s="96" t="s">
        <v>308</v>
      </c>
      <c r="G771" s="96" t="s">
        <v>1821</v>
      </c>
      <c r="H771" s="96" t="s">
        <v>1822</v>
      </c>
      <c r="I771" s="96" t="s">
        <v>320</v>
      </c>
      <c r="J771" s="96" t="s">
        <v>952</v>
      </c>
      <c r="K771" s="96" t="s">
        <v>203</v>
      </c>
      <c r="L771" s="96" t="s">
        <v>203</v>
      </c>
      <c r="M771" s="96" t="s">
        <v>324</v>
      </c>
      <c r="N771" s="96" t="s">
        <v>339</v>
      </c>
      <c r="O771" s="96" t="s">
        <v>460</v>
      </c>
      <c r="P771" s="96" t="s">
        <v>338</v>
      </c>
      <c r="Q771" s="96" t="s">
        <v>1520</v>
      </c>
      <c r="R771" s="96" t="s">
        <v>414</v>
      </c>
      <c r="S771" s="96" t="s">
        <v>406</v>
      </c>
      <c r="T771" s="96" t="s">
        <v>1200</v>
      </c>
      <c r="U771" s="97">
        <v>4.5599999999999996</v>
      </c>
      <c r="V771" s="100">
        <v>48457</v>
      </c>
      <c r="W771" s="98">
        <v>6.3299999999999995E-2</v>
      </c>
      <c r="X771" s="98">
        <v>6.6199999999999995E-2</v>
      </c>
      <c r="Y771" s="96" t="s">
        <v>411</v>
      </c>
      <c r="Z771" s="96"/>
      <c r="AA771" s="97">
        <v>372935.57224499999</v>
      </c>
      <c r="AB771" s="97">
        <v>1</v>
      </c>
      <c r="AC771" s="97">
        <v>101.61</v>
      </c>
      <c r="AD771" s="97"/>
      <c r="AE771" s="97">
        <v>378.93983400000002</v>
      </c>
      <c r="AF771" s="96"/>
      <c r="AG771" s="96"/>
      <c r="AH771" s="96"/>
      <c r="AI771" s="98">
        <v>1.7719999999999999E-3</v>
      </c>
      <c r="AJ771" s="98">
        <v>1.4189999999999999E-3</v>
      </c>
      <c r="AK771" s="98">
        <v>1.9699999999999999E-4</v>
      </c>
      <c r="AL771" s="106"/>
    </row>
    <row r="772" spans="1:38" ht="15" customHeight="1">
      <c r="A772" s="106"/>
      <c r="B772" s="96">
        <v>286</v>
      </c>
      <c r="C772" s="96">
        <v>286</v>
      </c>
      <c r="D772" s="96" t="s">
        <v>1645</v>
      </c>
      <c r="E772" s="96">
        <v>1630</v>
      </c>
      <c r="F772" s="96" t="s">
        <v>80</v>
      </c>
      <c r="G772" s="96" t="s">
        <v>1646</v>
      </c>
      <c r="H772" s="96" t="s">
        <v>1647</v>
      </c>
      <c r="I772" s="96" t="s">
        <v>320</v>
      </c>
      <c r="J772" s="96" t="s">
        <v>952</v>
      </c>
      <c r="K772" s="96" t="s">
        <v>203</v>
      </c>
      <c r="L772" s="96" t="s">
        <v>203</v>
      </c>
      <c r="M772" s="96" t="s">
        <v>324</v>
      </c>
      <c r="N772" s="96" t="s">
        <v>339</v>
      </c>
      <c r="O772" s="96" t="s">
        <v>464</v>
      </c>
      <c r="P772" s="96" t="s">
        <v>338</v>
      </c>
      <c r="Q772" s="96" t="s">
        <v>1320</v>
      </c>
      <c r="R772" s="96" t="s">
        <v>412</v>
      </c>
      <c r="S772" s="96" t="s">
        <v>406</v>
      </c>
      <c r="T772" s="96" t="s">
        <v>1200</v>
      </c>
      <c r="U772" s="97">
        <v>1.39</v>
      </c>
      <c r="V772" s="100">
        <v>45991</v>
      </c>
      <c r="W772" s="98">
        <v>3.95E-2</v>
      </c>
      <c r="X772" s="98">
        <v>6.1100000000000002E-2</v>
      </c>
      <c r="Y772" s="96" t="s">
        <v>411</v>
      </c>
      <c r="Z772" s="96"/>
      <c r="AA772" s="97">
        <v>353424.12323500001</v>
      </c>
      <c r="AB772" s="97">
        <v>1</v>
      </c>
      <c r="AC772" s="97">
        <v>97.55</v>
      </c>
      <c r="AD772" s="97"/>
      <c r="AE772" s="97">
        <v>344.76523200000003</v>
      </c>
      <c r="AF772" s="96"/>
      <c r="AG772" s="96"/>
      <c r="AH772" s="96"/>
      <c r="AI772" s="98">
        <v>1.1249999999999999E-3</v>
      </c>
      <c r="AJ772" s="98">
        <v>1.291E-3</v>
      </c>
      <c r="AK772" s="98">
        <v>1.7899999999999999E-4</v>
      </c>
      <c r="AL772" s="106"/>
    </row>
    <row r="773" spans="1:38" ht="15" customHeight="1">
      <c r="A773" s="106"/>
      <c r="B773" s="96">
        <v>286</v>
      </c>
      <c r="C773" s="96">
        <v>286</v>
      </c>
      <c r="D773" s="96" t="s">
        <v>1358</v>
      </c>
      <c r="E773" s="96">
        <v>520022732</v>
      </c>
      <c r="F773" s="96" t="s">
        <v>308</v>
      </c>
      <c r="G773" s="96" t="s">
        <v>1980</v>
      </c>
      <c r="H773" s="96" t="s">
        <v>1981</v>
      </c>
      <c r="I773" s="96" t="s">
        <v>320</v>
      </c>
      <c r="J773" s="96" t="s">
        <v>753</v>
      </c>
      <c r="K773" s="96" t="s">
        <v>203</v>
      </c>
      <c r="L773" s="96" t="s">
        <v>203</v>
      </c>
      <c r="M773" s="96" t="s">
        <v>324</v>
      </c>
      <c r="N773" s="96" t="s">
        <v>339</v>
      </c>
      <c r="O773" s="96" t="s">
        <v>474</v>
      </c>
      <c r="P773" s="96" t="s">
        <v>337</v>
      </c>
      <c r="Q773" s="96" t="s">
        <v>1313</v>
      </c>
      <c r="R773" s="96" t="s">
        <v>412</v>
      </c>
      <c r="S773" s="96" t="s">
        <v>406</v>
      </c>
      <c r="T773" s="96" t="s">
        <v>1200</v>
      </c>
      <c r="U773" s="97">
        <v>2.63</v>
      </c>
      <c r="V773" s="100">
        <v>47399</v>
      </c>
      <c r="W773" s="98">
        <v>2.9899999999999999E-2</v>
      </c>
      <c r="X773" s="98">
        <v>2.3300000000000001E-2</v>
      </c>
      <c r="Y773" s="96" t="s">
        <v>411</v>
      </c>
      <c r="Z773" s="96"/>
      <c r="AA773" s="97">
        <v>56802.073544999999</v>
      </c>
      <c r="AB773" s="97">
        <v>1</v>
      </c>
      <c r="AC773" s="97">
        <v>117.71</v>
      </c>
      <c r="AD773" s="97"/>
      <c r="AE773" s="97">
        <v>66.861720000000005</v>
      </c>
      <c r="AF773" s="96"/>
      <c r="AG773" s="96"/>
      <c r="AH773" s="96"/>
      <c r="AI773" s="98">
        <v>3.2000000000000003E-4</v>
      </c>
      <c r="AJ773" s="98">
        <v>2.5000000000000001E-4</v>
      </c>
      <c r="AK773" s="98">
        <v>3.4E-5</v>
      </c>
      <c r="AL773" s="106"/>
    </row>
    <row r="774" spans="1:38" ht="15" customHeight="1">
      <c r="A774" s="106"/>
      <c r="B774" s="96">
        <v>286</v>
      </c>
      <c r="C774" s="96">
        <v>286</v>
      </c>
      <c r="D774" s="96" t="s">
        <v>1771</v>
      </c>
      <c r="E774" s="96">
        <v>515364891</v>
      </c>
      <c r="F774" s="96" t="s">
        <v>308</v>
      </c>
      <c r="G774" s="96" t="s">
        <v>2048</v>
      </c>
      <c r="H774" s="96" t="s">
        <v>1773</v>
      </c>
      <c r="I774" s="96" t="s">
        <v>320</v>
      </c>
      <c r="J774" s="96" t="s">
        <v>753</v>
      </c>
      <c r="K774" s="96" t="s">
        <v>203</v>
      </c>
      <c r="L774" s="96" t="s">
        <v>203</v>
      </c>
      <c r="M774" s="96" t="s">
        <v>324</v>
      </c>
      <c r="N774" s="96" t="s">
        <v>339</v>
      </c>
      <c r="O774" s="96" t="s">
        <v>440</v>
      </c>
      <c r="P774" s="96" t="s">
        <v>338</v>
      </c>
      <c r="Q774" s="96" t="s">
        <v>409</v>
      </c>
      <c r="R774" s="96" t="s">
        <v>409</v>
      </c>
      <c r="S774" s="96" t="s">
        <v>409</v>
      </c>
      <c r="T774" s="96" t="s">
        <v>1200</v>
      </c>
      <c r="U774" s="97">
        <v>2.96</v>
      </c>
      <c r="V774" s="100">
        <v>46934</v>
      </c>
      <c r="W774" s="98">
        <v>1.5800000000000002E-2</v>
      </c>
      <c r="X774" s="98">
        <v>4.3700000000000003E-2</v>
      </c>
      <c r="Y774" s="96" t="s">
        <v>411</v>
      </c>
      <c r="Z774" s="96"/>
      <c r="AA774" s="97">
        <v>120571.341493</v>
      </c>
      <c r="AB774" s="97">
        <v>1</v>
      </c>
      <c r="AC774" s="97">
        <v>103.21</v>
      </c>
      <c r="AD774" s="97"/>
      <c r="AE774" s="97">
        <v>124.441681</v>
      </c>
      <c r="AF774" s="96"/>
      <c r="AG774" s="96"/>
      <c r="AH774" s="96"/>
      <c r="AI774" s="98">
        <v>3.21E-4</v>
      </c>
      <c r="AJ774" s="98">
        <v>4.66E-4</v>
      </c>
      <c r="AK774" s="98">
        <v>6.3999999999999997E-5</v>
      </c>
      <c r="AL774" s="106"/>
    </row>
    <row r="775" spans="1:38" ht="15" customHeight="1">
      <c r="A775" s="106"/>
      <c r="B775" s="96">
        <v>286</v>
      </c>
      <c r="C775" s="96">
        <v>286</v>
      </c>
      <c r="D775" s="96" t="s">
        <v>1306</v>
      </c>
      <c r="E775" s="96">
        <v>520044322</v>
      </c>
      <c r="F775" s="96" t="s">
        <v>308</v>
      </c>
      <c r="G775" s="96" t="s">
        <v>1307</v>
      </c>
      <c r="H775" s="96" t="s">
        <v>1308</v>
      </c>
      <c r="I775" s="96" t="s">
        <v>320</v>
      </c>
      <c r="J775" s="96" t="s">
        <v>952</v>
      </c>
      <c r="K775" s="96" t="s">
        <v>203</v>
      </c>
      <c r="L775" s="96" t="s">
        <v>203</v>
      </c>
      <c r="M775" s="96" t="s">
        <v>324</v>
      </c>
      <c r="N775" s="96" t="s">
        <v>339</v>
      </c>
      <c r="O775" s="96" t="s">
        <v>453</v>
      </c>
      <c r="P775" s="96" t="s">
        <v>338</v>
      </c>
      <c r="Q775" s="96" t="s">
        <v>1309</v>
      </c>
      <c r="R775" s="96" t="s">
        <v>414</v>
      </c>
      <c r="S775" s="96" t="s">
        <v>406</v>
      </c>
      <c r="T775" s="96" t="s">
        <v>1200</v>
      </c>
      <c r="U775" s="97">
        <v>4.07</v>
      </c>
      <c r="V775" s="100">
        <v>48152</v>
      </c>
      <c r="W775" s="98">
        <v>6.5199999999999994E-2</v>
      </c>
      <c r="X775" s="98">
        <v>6.4600000000000005E-2</v>
      </c>
      <c r="Y775" s="96" t="s">
        <v>411</v>
      </c>
      <c r="Z775" s="96"/>
      <c r="AA775" s="97">
        <v>776043.77842300001</v>
      </c>
      <c r="AB775" s="97">
        <v>1</v>
      </c>
      <c r="AC775" s="97">
        <v>101.71</v>
      </c>
      <c r="AD775" s="97"/>
      <c r="AE775" s="97">
        <v>789.31412699999998</v>
      </c>
      <c r="AF775" s="96"/>
      <c r="AG775" s="96"/>
      <c r="AH775" s="96"/>
      <c r="AI775" s="98">
        <v>5.8200000000000005E-4</v>
      </c>
      <c r="AJ775" s="98">
        <v>2.957E-3</v>
      </c>
      <c r="AK775" s="98">
        <v>4.1100000000000002E-4</v>
      </c>
      <c r="AL775" s="106"/>
    </row>
    <row r="776" spans="1:38" ht="15" customHeight="1">
      <c r="A776" s="106"/>
      <c r="B776" s="96">
        <v>286</v>
      </c>
      <c r="C776" s="96">
        <v>286</v>
      </c>
      <c r="D776" s="96" t="s">
        <v>1648</v>
      </c>
      <c r="E776" s="96">
        <v>515846558</v>
      </c>
      <c r="F776" s="96" t="s">
        <v>308</v>
      </c>
      <c r="G776" s="96" t="s">
        <v>2021</v>
      </c>
      <c r="H776" s="96" t="s">
        <v>2022</v>
      </c>
      <c r="I776" s="96" t="s">
        <v>320</v>
      </c>
      <c r="J776" s="96" t="s">
        <v>753</v>
      </c>
      <c r="K776" s="96" t="s">
        <v>203</v>
      </c>
      <c r="L776" s="96" t="s">
        <v>203</v>
      </c>
      <c r="M776" s="96" t="s">
        <v>324</v>
      </c>
      <c r="N776" s="96" t="s">
        <v>339</v>
      </c>
      <c r="O776" s="96" t="s">
        <v>450</v>
      </c>
      <c r="P776" s="96" t="s">
        <v>337</v>
      </c>
      <c r="Q776" s="96" t="s">
        <v>1320</v>
      </c>
      <c r="R776" s="96" t="s">
        <v>412</v>
      </c>
      <c r="S776" s="96" t="s">
        <v>406</v>
      </c>
      <c r="T776" s="96" t="s">
        <v>1200</v>
      </c>
      <c r="U776" s="97">
        <v>4.0599999999999996</v>
      </c>
      <c r="V776" s="100">
        <v>48029</v>
      </c>
      <c r="W776" s="98">
        <v>7.4999999999999997E-3</v>
      </c>
      <c r="X776" s="98">
        <v>3.7100000000000001E-2</v>
      </c>
      <c r="Y776" s="96" t="s">
        <v>411</v>
      </c>
      <c r="Z776" s="96"/>
      <c r="AA776" s="97">
        <v>386484.12549599999</v>
      </c>
      <c r="AB776" s="97">
        <v>1</v>
      </c>
      <c r="AC776" s="97">
        <v>99.42</v>
      </c>
      <c r="AD776" s="97"/>
      <c r="AE776" s="97">
        <v>384.24251700000002</v>
      </c>
      <c r="AF776" s="96"/>
      <c r="AG776" s="96"/>
      <c r="AH776" s="96"/>
      <c r="AI776" s="98">
        <v>8.5499999999999997E-4</v>
      </c>
      <c r="AJ776" s="98">
        <v>1.439E-3</v>
      </c>
      <c r="AK776" s="98">
        <v>2.0000000000000001E-4</v>
      </c>
      <c r="AL776" s="106"/>
    </row>
    <row r="777" spans="1:38" ht="15" customHeight="1">
      <c r="A777" s="106"/>
      <c r="B777" s="96">
        <v>286</v>
      </c>
      <c r="C777" s="96">
        <v>286</v>
      </c>
      <c r="D777" s="96" t="s">
        <v>1406</v>
      </c>
      <c r="E777" s="96">
        <v>520025586</v>
      </c>
      <c r="F777" s="96" t="s">
        <v>308</v>
      </c>
      <c r="G777" s="96" t="s">
        <v>1407</v>
      </c>
      <c r="H777" s="96" t="s">
        <v>1408</v>
      </c>
      <c r="I777" s="96" t="s">
        <v>320</v>
      </c>
      <c r="J777" s="96" t="s">
        <v>753</v>
      </c>
      <c r="K777" s="96" t="s">
        <v>203</v>
      </c>
      <c r="L777" s="96" t="s">
        <v>203</v>
      </c>
      <c r="M777" s="96" t="s">
        <v>324</v>
      </c>
      <c r="N777" s="96" t="s">
        <v>339</v>
      </c>
      <c r="O777" s="96" t="s">
        <v>450</v>
      </c>
      <c r="P777" s="96" t="s">
        <v>338</v>
      </c>
      <c r="Q777" s="96" t="s">
        <v>409</v>
      </c>
      <c r="R777" s="96" t="s">
        <v>409</v>
      </c>
      <c r="S777" s="96" t="s">
        <v>409</v>
      </c>
      <c r="T777" s="96" t="s">
        <v>1200</v>
      </c>
      <c r="U777" s="97">
        <v>3.02</v>
      </c>
      <c r="V777" s="100">
        <v>46934</v>
      </c>
      <c r="W777" s="98">
        <v>3.6999999999999998E-2</v>
      </c>
      <c r="X777" s="98">
        <v>4.7500000000000001E-2</v>
      </c>
      <c r="Y777" s="96" t="s">
        <v>411</v>
      </c>
      <c r="Z777" s="96"/>
      <c r="AA777" s="97">
        <v>102437.023716</v>
      </c>
      <c r="AB777" s="97">
        <v>1</v>
      </c>
      <c r="AC777" s="97">
        <v>110.24</v>
      </c>
      <c r="AD777" s="97"/>
      <c r="AE777" s="97">
        <v>112.926574</v>
      </c>
      <c r="AF777" s="96"/>
      <c r="AG777" s="96"/>
      <c r="AH777" s="96"/>
      <c r="AI777" s="98">
        <v>1.2899999999999999E-4</v>
      </c>
      <c r="AJ777" s="98">
        <v>4.2299999999999998E-4</v>
      </c>
      <c r="AK777" s="98">
        <v>5.8E-5</v>
      </c>
      <c r="AL777" s="106"/>
    </row>
    <row r="778" spans="1:38" ht="15" customHeight="1">
      <c r="A778" s="106"/>
      <c r="B778" s="96">
        <v>286</v>
      </c>
      <c r="C778" s="96">
        <v>286</v>
      </c>
      <c r="D778" s="96" t="s">
        <v>1367</v>
      </c>
      <c r="E778" s="96">
        <v>513141879</v>
      </c>
      <c r="F778" s="96" t="s">
        <v>308</v>
      </c>
      <c r="G778" s="96" t="s">
        <v>1368</v>
      </c>
      <c r="H778" s="96" t="s">
        <v>1369</v>
      </c>
      <c r="I778" s="96" t="s">
        <v>320</v>
      </c>
      <c r="J778" s="96" t="s">
        <v>753</v>
      </c>
      <c r="K778" s="96" t="s">
        <v>203</v>
      </c>
      <c r="L778" s="96" t="s">
        <v>203</v>
      </c>
      <c r="M778" s="96" t="s">
        <v>324</v>
      </c>
      <c r="N778" s="96" t="s">
        <v>339</v>
      </c>
      <c r="O778" s="96" t="s">
        <v>447</v>
      </c>
      <c r="P778" s="96" t="s">
        <v>338</v>
      </c>
      <c r="Q778" s="96" t="s">
        <v>1305</v>
      </c>
      <c r="R778" s="96" t="s">
        <v>414</v>
      </c>
      <c r="S778" s="96" t="s">
        <v>406</v>
      </c>
      <c r="T778" s="96" t="s">
        <v>1200</v>
      </c>
      <c r="U778" s="97">
        <v>3.68</v>
      </c>
      <c r="V778" s="100">
        <v>46843</v>
      </c>
      <c r="W778" s="98">
        <v>1.09E-2</v>
      </c>
      <c r="X778" s="98">
        <v>3.3799999999999997E-2</v>
      </c>
      <c r="Y778" s="96" t="s">
        <v>410</v>
      </c>
      <c r="Z778" s="96"/>
      <c r="AA778" s="97">
        <v>81284.855007999999</v>
      </c>
      <c r="AB778" s="97">
        <v>1</v>
      </c>
      <c r="AC778" s="97">
        <v>101.16</v>
      </c>
      <c r="AD778" s="97"/>
      <c r="AE778" s="97">
        <v>82.227759000000006</v>
      </c>
      <c r="AF778" s="96"/>
      <c r="AG778" s="96"/>
      <c r="AH778" s="96"/>
      <c r="AI778" s="98">
        <v>8.8999999999999995E-5</v>
      </c>
      <c r="AJ778" s="98">
        <v>3.0800000000000001E-4</v>
      </c>
      <c r="AK778" s="98">
        <v>4.1999999999999998E-5</v>
      </c>
      <c r="AL778" s="106"/>
    </row>
    <row r="779" spans="1:38" ht="15" customHeight="1">
      <c r="A779" s="106"/>
      <c r="B779" s="96">
        <v>286</v>
      </c>
      <c r="C779" s="96">
        <v>286</v>
      </c>
      <c r="D779" s="96" t="s">
        <v>1511</v>
      </c>
      <c r="E779" s="96">
        <v>513765859</v>
      </c>
      <c r="F779" s="96" t="s">
        <v>308</v>
      </c>
      <c r="G779" s="96" t="s">
        <v>1910</v>
      </c>
      <c r="H779" s="96" t="s">
        <v>1911</v>
      </c>
      <c r="I779" s="96" t="s">
        <v>320</v>
      </c>
      <c r="J779" s="96" t="s">
        <v>753</v>
      </c>
      <c r="K779" s="96" t="s">
        <v>203</v>
      </c>
      <c r="L779" s="96" t="s">
        <v>203</v>
      </c>
      <c r="M779" s="96" t="s">
        <v>324</v>
      </c>
      <c r="N779" s="96" t="s">
        <v>339</v>
      </c>
      <c r="O779" s="96" t="s">
        <v>463</v>
      </c>
      <c r="P779" s="96" t="s">
        <v>337</v>
      </c>
      <c r="Q779" s="96" t="s">
        <v>1332</v>
      </c>
      <c r="R779" s="96" t="s">
        <v>412</v>
      </c>
      <c r="S779" s="96" t="s">
        <v>406</v>
      </c>
      <c r="T779" s="96" t="s">
        <v>1200</v>
      </c>
      <c r="U779" s="97">
        <v>1.46</v>
      </c>
      <c r="V779" s="100">
        <v>46356</v>
      </c>
      <c r="W779" s="98">
        <v>2.1499999999999998E-2</v>
      </c>
      <c r="X779" s="98">
        <v>2.69E-2</v>
      </c>
      <c r="Y779" s="96" t="s">
        <v>411</v>
      </c>
      <c r="Z779" s="96"/>
      <c r="AA779" s="97">
        <v>288304.266084</v>
      </c>
      <c r="AB779" s="97">
        <v>1</v>
      </c>
      <c r="AC779" s="97">
        <v>114.49</v>
      </c>
      <c r="AD779" s="97"/>
      <c r="AE779" s="97">
        <v>330.07955399999997</v>
      </c>
      <c r="AF779" s="96"/>
      <c r="AG779" s="96"/>
      <c r="AH779" s="96"/>
      <c r="AI779" s="98">
        <v>1.46E-4</v>
      </c>
      <c r="AJ779" s="98">
        <v>1.2359999999999999E-3</v>
      </c>
      <c r="AK779" s="98">
        <v>1.7100000000000001E-4</v>
      </c>
      <c r="AL779" s="106"/>
    </row>
    <row r="780" spans="1:38" ht="15" customHeight="1">
      <c r="A780" s="106"/>
      <c r="B780" s="96">
        <v>286</v>
      </c>
      <c r="C780" s="96">
        <v>286</v>
      </c>
      <c r="D780" s="96" t="s">
        <v>1298</v>
      </c>
      <c r="E780" s="96">
        <v>510960719</v>
      </c>
      <c r="F780" s="96" t="s">
        <v>308</v>
      </c>
      <c r="G780" s="96" t="s">
        <v>1437</v>
      </c>
      <c r="H780" s="96" t="s">
        <v>1438</v>
      </c>
      <c r="I780" s="96" t="s">
        <v>320</v>
      </c>
      <c r="J780" s="96" t="s">
        <v>753</v>
      </c>
      <c r="K780" s="96" t="s">
        <v>203</v>
      </c>
      <c r="L780" s="96" t="s">
        <v>203</v>
      </c>
      <c r="M780" s="96" t="s">
        <v>324</v>
      </c>
      <c r="N780" s="96" t="s">
        <v>339</v>
      </c>
      <c r="O780" s="96" t="s">
        <v>463</v>
      </c>
      <c r="P780" s="96" t="s">
        <v>338</v>
      </c>
      <c r="Q780" s="96" t="s">
        <v>1439</v>
      </c>
      <c r="R780" s="96" t="s">
        <v>412</v>
      </c>
      <c r="S780" s="96" t="s">
        <v>406</v>
      </c>
      <c r="T780" s="96" t="s">
        <v>1200</v>
      </c>
      <c r="U780" s="97">
        <v>0.75</v>
      </c>
      <c r="V780" s="100">
        <v>45748</v>
      </c>
      <c r="W780" s="98">
        <v>6.4999999999999997E-3</v>
      </c>
      <c r="X780" s="98">
        <v>2.87E-2</v>
      </c>
      <c r="Y780" s="96" t="s">
        <v>411</v>
      </c>
      <c r="Z780" s="96"/>
      <c r="AA780" s="97">
        <v>407126.24250200001</v>
      </c>
      <c r="AB780" s="97">
        <v>1</v>
      </c>
      <c r="AC780" s="97">
        <v>111.86</v>
      </c>
      <c r="AD780" s="97"/>
      <c r="AE780" s="97">
        <v>455.41141399999998</v>
      </c>
      <c r="AF780" s="96"/>
      <c r="AG780" s="96"/>
      <c r="AH780" s="96"/>
      <c r="AI780" s="98">
        <v>7.45E-4</v>
      </c>
      <c r="AJ780" s="98">
        <v>1.7060000000000001E-3</v>
      </c>
      <c r="AK780" s="98">
        <v>2.3699999999999999E-4</v>
      </c>
      <c r="AL780" s="106"/>
    </row>
    <row r="781" spans="1:38" ht="15" customHeight="1">
      <c r="A781" s="106"/>
      <c r="B781" s="96">
        <v>286</v>
      </c>
      <c r="C781" s="96">
        <v>286</v>
      </c>
      <c r="D781" s="96" t="s">
        <v>1862</v>
      </c>
      <c r="E781" s="96">
        <v>520036120</v>
      </c>
      <c r="F781" s="96" t="s">
        <v>308</v>
      </c>
      <c r="G781" s="96" t="s">
        <v>1889</v>
      </c>
      <c r="H781" s="96" t="s">
        <v>1856</v>
      </c>
      <c r="I781" s="96" t="s">
        <v>320</v>
      </c>
      <c r="J781" s="96" t="s">
        <v>952</v>
      </c>
      <c r="K781" s="96" t="s">
        <v>203</v>
      </c>
      <c r="L781" s="96" t="s">
        <v>203</v>
      </c>
      <c r="M781" s="96" t="s">
        <v>324</v>
      </c>
      <c r="N781" s="96" t="s">
        <v>339</v>
      </c>
      <c r="O781" s="96" t="s">
        <v>444</v>
      </c>
      <c r="P781" s="96" t="s">
        <v>338</v>
      </c>
      <c r="Q781" s="96" t="s">
        <v>1332</v>
      </c>
      <c r="R781" s="96" t="s">
        <v>412</v>
      </c>
      <c r="S781" s="96" t="s">
        <v>406</v>
      </c>
      <c r="T781" s="96" t="s">
        <v>1200</v>
      </c>
      <c r="U781" s="97">
        <v>3.4</v>
      </c>
      <c r="V781" s="100">
        <v>46811</v>
      </c>
      <c r="W781" s="98">
        <v>4.7E-2</v>
      </c>
      <c r="X781" s="98">
        <v>5.57E-2</v>
      </c>
      <c r="Y781" s="96" t="s">
        <v>411</v>
      </c>
      <c r="Z781" s="96"/>
      <c r="AA781" s="97">
        <v>243740.774645</v>
      </c>
      <c r="AB781" s="97">
        <v>1</v>
      </c>
      <c r="AC781" s="97">
        <v>98.75</v>
      </c>
      <c r="AD781" s="97"/>
      <c r="AE781" s="97">
        <v>240.69401400000001</v>
      </c>
      <c r="AF781" s="96"/>
      <c r="AG781" s="96"/>
      <c r="AH781" s="96"/>
      <c r="AI781" s="98">
        <v>2.7099999999999997E-4</v>
      </c>
      <c r="AJ781" s="98">
        <v>9.01E-4</v>
      </c>
      <c r="AK781" s="98">
        <v>1.25E-4</v>
      </c>
      <c r="AL781" s="106"/>
    </row>
    <row r="782" spans="1:38" ht="15" customHeight="1">
      <c r="A782" s="106"/>
      <c r="B782" s="96">
        <v>286</v>
      </c>
      <c r="C782" s="96">
        <v>286</v>
      </c>
      <c r="D782" s="96" t="s">
        <v>1760</v>
      </c>
      <c r="E782" s="96">
        <v>520038894</v>
      </c>
      <c r="F782" s="96" t="s">
        <v>308</v>
      </c>
      <c r="G782" s="96" t="s">
        <v>1761</v>
      </c>
      <c r="H782" s="96" t="s">
        <v>1762</v>
      </c>
      <c r="I782" s="96" t="s">
        <v>320</v>
      </c>
      <c r="J782" s="96" t="s">
        <v>753</v>
      </c>
      <c r="K782" s="96" t="s">
        <v>203</v>
      </c>
      <c r="L782" s="96" t="s">
        <v>203</v>
      </c>
      <c r="M782" s="96" t="s">
        <v>324</v>
      </c>
      <c r="N782" s="96" t="s">
        <v>339</v>
      </c>
      <c r="O782" s="96" t="s">
        <v>464</v>
      </c>
      <c r="P782" s="96" t="s">
        <v>338</v>
      </c>
      <c r="Q782" s="96" t="s">
        <v>1313</v>
      </c>
      <c r="R782" s="96" t="s">
        <v>412</v>
      </c>
      <c r="S782" s="96" t="s">
        <v>406</v>
      </c>
      <c r="T782" s="96" t="s">
        <v>1200</v>
      </c>
      <c r="U782" s="97">
        <v>3.16</v>
      </c>
      <c r="V782" s="100">
        <v>46661</v>
      </c>
      <c r="W782" s="98">
        <v>5.0000000000000001E-3</v>
      </c>
      <c r="X782" s="98">
        <v>3.04E-2</v>
      </c>
      <c r="Y782" s="96" t="s">
        <v>411</v>
      </c>
      <c r="Z782" s="96"/>
      <c r="AA782" s="97">
        <v>370891.58648300002</v>
      </c>
      <c r="AB782" s="97">
        <v>1</v>
      </c>
      <c r="AC782" s="97">
        <v>102.49</v>
      </c>
      <c r="AD782" s="97"/>
      <c r="AE782" s="97">
        <v>380.12678599999998</v>
      </c>
      <c r="AF782" s="96"/>
      <c r="AG782" s="96"/>
      <c r="AH782" s="96"/>
      <c r="AI782" s="98">
        <v>5.4100000000000003E-4</v>
      </c>
      <c r="AJ782" s="98">
        <v>1.4239999999999999E-3</v>
      </c>
      <c r="AK782" s="98">
        <v>1.9699999999999999E-4</v>
      </c>
      <c r="AL782" s="106"/>
    </row>
    <row r="783" spans="1:38" ht="15" customHeight="1">
      <c r="A783" s="106"/>
      <c r="B783" s="96">
        <v>286</v>
      </c>
      <c r="C783" s="96">
        <v>286</v>
      </c>
      <c r="D783" s="96" t="s">
        <v>1658</v>
      </c>
      <c r="E783" s="96">
        <v>520038506</v>
      </c>
      <c r="F783" s="96" t="s">
        <v>308</v>
      </c>
      <c r="G783" s="96" t="s">
        <v>1659</v>
      </c>
      <c r="H783" s="96" t="s">
        <v>1660</v>
      </c>
      <c r="I783" s="96" t="s">
        <v>320</v>
      </c>
      <c r="J783" s="96" t="s">
        <v>952</v>
      </c>
      <c r="K783" s="96" t="s">
        <v>203</v>
      </c>
      <c r="L783" s="96" t="s">
        <v>203</v>
      </c>
      <c r="M783" s="96" t="s">
        <v>324</v>
      </c>
      <c r="N783" s="96" t="s">
        <v>339</v>
      </c>
      <c r="O783" s="96" t="s">
        <v>463</v>
      </c>
      <c r="P783" s="96" t="s">
        <v>337</v>
      </c>
      <c r="Q783" s="96" t="s">
        <v>1305</v>
      </c>
      <c r="R783" s="96" t="s">
        <v>414</v>
      </c>
      <c r="S783" s="96" t="s">
        <v>406</v>
      </c>
      <c r="T783" s="96" t="s">
        <v>1200</v>
      </c>
      <c r="U783" s="97">
        <v>1.56</v>
      </c>
      <c r="V783" s="100">
        <v>46446</v>
      </c>
      <c r="W783" s="98">
        <v>6.7400000000000002E-2</v>
      </c>
      <c r="X783" s="98">
        <v>6.4100000000000004E-2</v>
      </c>
      <c r="Y783" s="96" t="s">
        <v>411</v>
      </c>
      <c r="Z783" s="96"/>
      <c r="AA783" s="97">
        <v>76508.681406999996</v>
      </c>
      <c r="AB783" s="97">
        <v>1</v>
      </c>
      <c r="AC783" s="97">
        <v>101.32</v>
      </c>
      <c r="AD783" s="97"/>
      <c r="AE783" s="97">
        <v>77.518595000000005</v>
      </c>
      <c r="AF783" s="96"/>
      <c r="AG783" s="96"/>
      <c r="AH783" s="96"/>
      <c r="AI783" s="98">
        <v>7.2000000000000002E-5</v>
      </c>
      <c r="AJ783" s="98">
        <v>2.9E-4</v>
      </c>
      <c r="AK783" s="98">
        <v>4.0000000000000003E-5</v>
      </c>
      <c r="AL783" s="106"/>
    </row>
    <row r="784" spans="1:38" ht="15" customHeight="1">
      <c r="A784" s="106"/>
      <c r="B784" s="96">
        <v>286</v>
      </c>
      <c r="C784" s="96">
        <v>286</v>
      </c>
      <c r="D784" s="96" t="s">
        <v>1364</v>
      </c>
      <c r="E784" s="96">
        <v>513821488</v>
      </c>
      <c r="F784" s="96" t="s">
        <v>308</v>
      </c>
      <c r="G784" s="96" t="s">
        <v>1388</v>
      </c>
      <c r="H784" s="96" t="s">
        <v>1389</v>
      </c>
      <c r="I784" s="96" t="s">
        <v>320</v>
      </c>
      <c r="J784" s="96" t="s">
        <v>753</v>
      </c>
      <c r="K784" s="96" t="s">
        <v>203</v>
      </c>
      <c r="L784" s="96" t="s">
        <v>203</v>
      </c>
      <c r="M784" s="96" t="s">
        <v>324</v>
      </c>
      <c r="N784" s="96" t="s">
        <v>339</v>
      </c>
      <c r="O784" s="96" t="s">
        <v>463</v>
      </c>
      <c r="P784" s="96" t="s">
        <v>337</v>
      </c>
      <c r="Q784" s="96" t="s">
        <v>1313</v>
      </c>
      <c r="R784" s="96" t="s">
        <v>412</v>
      </c>
      <c r="S784" s="96" t="s">
        <v>406</v>
      </c>
      <c r="T784" s="96" t="s">
        <v>1200</v>
      </c>
      <c r="U784" s="97">
        <v>2.29</v>
      </c>
      <c r="V784" s="100">
        <v>47016</v>
      </c>
      <c r="W784" s="98">
        <v>0.04</v>
      </c>
      <c r="X784" s="98">
        <v>2.8000000000000001E-2</v>
      </c>
      <c r="Y784" s="96" t="s">
        <v>411</v>
      </c>
      <c r="Z784" s="96"/>
      <c r="AA784" s="97">
        <v>1047155.4426130001</v>
      </c>
      <c r="AB784" s="97">
        <v>1</v>
      </c>
      <c r="AC784" s="97">
        <v>118.66</v>
      </c>
      <c r="AD784" s="97"/>
      <c r="AE784" s="97">
        <v>1242.554648</v>
      </c>
      <c r="AF784" s="96"/>
      <c r="AG784" s="96"/>
      <c r="AH784" s="96"/>
      <c r="AI784" s="98">
        <v>1.0560000000000001E-3</v>
      </c>
      <c r="AJ784" s="98">
        <v>4.6550000000000003E-3</v>
      </c>
      <c r="AK784" s="98">
        <v>6.4700000000000001E-4</v>
      </c>
      <c r="AL784" s="106"/>
    </row>
    <row r="785" spans="1:38" ht="15" customHeight="1">
      <c r="A785" s="106"/>
      <c r="B785" s="96">
        <v>286</v>
      </c>
      <c r="C785" s="96">
        <v>286</v>
      </c>
      <c r="D785" s="96" t="s">
        <v>1411</v>
      </c>
      <c r="E785" s="96">
        <v>512025891</v>
      </c>
      <c r="F785" s="96" t="s">
        <v>308</v>
      </c>
      <c r="G785" s="96" t="s">
        <v>1561</v>
      </c>
      <c r="H785" s="96" t="s">
        <v>1562</v>
      </c>
      <c r="I785" s="96" t="s">
        <v>320</v>
      </c>
      <c r="J785" s="96" t="s">
        <v>753</v>
      </c>
      <c r="K785" s="96" t="s">
        <v>203</v>
      </c>
      <c r="L785" s="96" t="s">
        <v>203</v>
      </c>
      <c r="M785" s="96" t="s">
        <v>324</v>
      </c>
      <c r="N785" s="96" t="s">
        <v>339</v>
      </c>
      <c r="O785" s="96" t="s">
        <v>476</v>
      </c>
      <c r="P785" s="96" t="s">
        <v>338</v>
      </c>
      <c r="Q785" s="96" t="s">
        <v>1320</v>
      </c>
      <c r="R785" s="96" t="s">
        <v>412</v>
      </c>
      <c r="S785" s="96" t="s">
        <v>406</v>
      </c>
      <c r="T785" s="96" t="s">
        <v>1200</v>
      </c>
      <c r="U785" s="97">
        <v>1.92</v>
      </c>
      <c r="V785" s="100">
        <v>46888</v>
      </c>
      <c r="W785" s="98">
        <v>3.2000000000000001E-2</v>
      </c>
      <c r="X785" s="98">
        <v>3.3300000000000003E-2</v>
      </c>
      <c r="Y785" s="96" t="s">
        <v>411</v>
      </c>
      <c r="Z785" s="96"/>
      <c r="AA785" s="97">
        <v>862267.837925</v>
      </c>
      <c r="AB785" s="97">
        <v>1</v>
      </c>
      <c r="AC785" s="97">
        <v>105.65</v>
      </c>
      <c r="AD785" s="97"/>
      <c r="AE785" s="97">
        <v>910.98596999999995</v>
      </c>
      <c r="AF785" s="96"/>
      <c r="AG785" s="96"/>
      <c r="AH785" s="96"/>
      <c r="AI785" s="98">
        <v>1.096E-3</v>
      </c>
      <c r="AJ785" s="98">
        <v>3.4129999999999998E-3</v>
      </c>
      <c r="AK785" s="98">
        <v>4.7399999999999997E-4</v>
      </c>
      <c r="AL785" s="106"/>
    </row>
    <row r="786" spans="1:38" ht="15" customHeight="1">
      <c r="A786" s="106"/>
      <c r="B786" s="96">
        <v>286</v>
      </c>
      <c r="C786" s="96">
        <v>286</v>
      </c>
      <c r="D786" s="96" t="s">
        <v>1427</v>
      </c>
      <c r="E786" s="96">
        <v>520031931</v>
      </c>
      <c r="F786" s="96" t="s">
        <v>308</v>
      </c>
      <c r="G786" s="96" t="s">
        <v>1428</v>
      </c>
      <c r="H786" s="96" t="s">
        <v>1429</v>
      </c>
      <c r="I786" s="96" t="s">
        <v>320</v>
      </c>
      <c r="J786" s="96" t="s">
        <v>753</v>
      </c>
      <c r="K786" s="96" t="s">
        <v>203</v>
      </c>
      <c r="L786" s="96" t="s">
        <v>203</v>
      </c>
      <c r="M786" s="96" t="s">
        <v>324</v>
      </c>
      <c r="N786" s="96" t="s">
        <v>339</v>
      </c>
      <c r="O786" s="96" t="s">
        <v>483</v>
      </c>
      <c r="P786" s="96" t="s">
        <v>338</v>
      </c>
      <c r="Q786" s="96" t="s">
        <v>1336</v>
      </c>
      <c r="R786" s="96" t="s">
        <v>414</v>
      </c>
      <c r="S786" s="96" t="s">
        <v>406</v>
      </c>
      <c r="T786" s="96" t="s">
        <v>1200</v>
      </c>
      <c r="U786" s="97">
        <v>3.77</v>
      </c>
      <c r="V786" s="100">
        <v>47635</v>
      </c>
      <c r="W786" s="98">
        <v>1.7000000000000001E-2</v>
      </c>
      <c r="X786" s="98">
        <v>2.5999999999999999E-2</v>
      </c>
      <c r="Y786" s="96" t="s">
        <v>411</v>
      </c>
      <c r="Z786" s="96"/>
      <c r="AA786" s="97">
        <v>308593.80864800001</v>
      </c>
      <c r="AB786" s="97">
        <v>1</v>
      </c>
      <c r="AC786" s="97">
        <v>108.38</v>
      </c>
      <c r="AD786" s="97"/>
      <c r="AE786" s="97">
        <v>334.45396899999997</v>
      </c>
      <c r="AF786" s="96"/>
      <c r="AG786" s="96"/>
      <c r="AH786" s="96"/>
      <c r="AI786" s="98">
        <v>2.43E-4</v>
      </c>
      <c r="AJ786" s="98">
        <v>1.253E-3</v>
      </c>
      <c r="AK786" s="98">
        <v>1.74E-4</v>
      </c>
      <c r="AL786" s="106"/>
    </row>
    <row r="787" spans="1:38" ht="15" customHeight="1">
      <c r="A787" s="106"/>
      <c r="B787" s="96">
        <v>286</v>
      </c>
      <c r="C787" s="96">
        <v>286</v>
      </c>
      <c r="D787" s="96" t="s">
        <v>1333</v>
      </c>
      <c r="E787" s="96">
        <v>520024126</v>
      </c>
      <c r="F787" s="96" t="s">
        <v>308</v>
      </c>
      <c r="G787" s="96" t="s">
        <v>1680</v>
      </c>
      <c r="H787" s="96" t="s">
        <v>1681</v>
      </c>
      <c r="I787" s="96" t="s">
        <v>320</v>
      </c>
      <c r="J787" s="96" t="s">
        <v>753</v>
      </c>
      <c r="K787" s="96" t="s">
        <v>203</v>
      </c>
      <c r="L787" s="96" t="s">
        <v>203</v>
      </c>
      <c r="M787" s="96" t="s">
        <v>324</v>
      </c>
      <c r="N787" s="96" t="s">
        <v>339</v>
      </c>
      <c r="O787" s="96" t="s">
        <v>463</v>
      </c>
      <c r="P787" s="96" t="s">
        <v>337</v>
      </c>
      <c r="Q787" s="96" t="s">
        <v>1336</v>
      </c>
      <c r="R787" s="96" t="s">
        <v>414</v>
      </c>
      <c r="S787" s="96" t="s">
        <v>406</v>
      </c>
      <c r="T787" s="96" t="s">
        <v>1200</v>
      </c>
      <c r="U787" s="97">
        <v>6.06</v>
      </c>
      <c r="V787" s="100">
        <v>48852</v>
      </c>
      <c r="W787" s="98">
        <v>3.5000000000000001E-3</v>
      </c>
      <c r="X787" s="98">
        <v>3.6600000000000001E-2</v>
      </c>
      <c r="Y787" s="96" t="s">
        <v>411</v>
      </c>
      <c r="Z787" s="96"/>
      <c r="AA787" s="97">
        <v>2204279.3232630002</v>
      </c>
      <c r="AB787" s="97">
        <v>1</v>
      </c>
      <c r="AC787" s="97">
        <v>90.9</v>
      </c>
      <c r="AD787" s="97"/>
      <c r="AE787" s="97">
        <v>2003.6899040000001</v>
      </c>
      <c r="AF787" s="96"/>
      <c r="AG787" s="96"/>
      <c r="AH787" s="96"/>
      <c r="AI787" s="98">
        <v>6.3199999999999997E-4</v>
      </c>
      <c r="AJ787" s="98">
        <v>7.5079999999999999E-3</v>
      </c>
      <c r="AK787" s="98">
        <v>1.0430000000000001E-3</v>
      </c>
      <c r="AL787" s="106"/>
    </row>
    <row r="788" spans="1:38" ht="15" customHeight="1">
      <c r="A788" s="106"/>
      <c r="B788" s="96">
        <v>286</v>
      </c>
      <c r="C788" s="96">
        <v>286</v>
      </c>
      <c r="D788" s="96" t="s">
        <v>1524</v>
      </c>
      <c r="E788" s="96">
        <v>513257873</v>
      </c>
      <c r="F788" s="96" t="s">
        <v>308</v>
      </c>
      <c r="G788" s="96" t="s">
        <v>1667</v>
      </c>
      <c r="H788" s="96" t="s">
        <v>1668</v>
      </c>
      <c r="I788" s="96" t="s">
        <v>320</v>
      </c>
      <c r="J788" s="96" t="s">
        <v>753</v>
      </c>
      <c r="K788" s="96" t="s">
        <v>203</v>
      </c>
      <c r="L788" s="96" t="s">
        <v>203</v>
      </c>
      <c r="M788" s="96" t="s">
        <v>324</v>
      </c>
      <c r="N788" s="96" t="s">
        <v>339</v>
      </c>
      <c r="O788" s="96" t="s">
        <v>463</v>
      </c>
      <c r="P788" s="96" t="s">
        <v>338</v>
      </c>
      <c r="Q788" s="96" t="s">
        <v>1332</v>
      </c>
      <c r="R788" s="96" t="s">
        <v>412</v>
      </c>
      <c r="S788" s="96" t="s">
        <v>406</v>
      </c>
      <c r="T788" s="96" t="s">
        <v>1200</v>
      </c>
      <c r="U788" s="97">
        <v>1.96</v>
      </c>
      <c r="V788" s="100">
        <v>46477</v>
      </c>
      <c r="W788" s="98">
        <v>1.4E-2</v>
      </c>
      <c r="X788" s="98">
        <v>2.63E-2</v>
      </c>
      <c r="Y788" s="96" t="s">
        <v>411</v>
      </c>
      <c r="Z788" s="96"/>
      <c r="AA788" s="97">
        <v>305502.78576200001</v>
      </c>
      <c r="AB788" s="97">
        <v>1</v>
      </c>
      <c r="AC788" s="97">
        <v>111.84</v>
      </c>
      <c r="AD788" s="97"/>
      <c r="AE788" s="97">
        <v>341.67431499999998</v>
      </c>
      <c r="AF788" s="96"/>
      <c r="AG788" s="96"/>
      <c r="AH788" s="96"/>
      <c r="AI788" s="98">
        <v>3.7800000000000003E-4</v>
      </c>
      <c r="AJ788" s="98">
        <v>1.2800000000000001E-3</v>
      </c>
      <c r="AK788" s="98">
        <v>1.7699999999999999E-4</v>
      </c>
      <c r="AL788" s="106"/>
    </row>
    <row r="789" spans="1:38" ht="15" customHeight="1">
      <c r="A789" s="106"/>
      <c r="B789" s="96">
        <v>286</v>
      </c>
      <c r="C789" s="96">
        <v>286</v>
      </c>
      <c r="D789" s="96" t="s">
        <v>2003</v>
      </c>
      <c r="E789" s="96">
        <v>511396046</v>
      </c>
      <c r="F789" s="96" t="s">
        <v>308</v>
      </c>
      <c r="G789" s="96" t="s">
        <v>2004</v>
      </c>
      <c r="H789" s="96" t="s">
        <v>2005</v>
      </c>
      <c r="I789" s="96" t="s">
        <v>320</v>
      </c>
      <c r="J789" s="96" t="s">
        <v>754</v>
      </c>
      <c r="K789" s="96" t="s">
        <v>203</v>
      </c>
      <c r="L789" s="96" t="s">
        <v>203</v>
      </c>
      <c r="M789" s="96" t="s">
        <v>324</v>
      </c>
      <c r="N789" s="96" t="s">
        <v>339</v>
      </c>
      <c r="O789" s="96" t="s">
        <v>483</v>
      </c>
      <c r="P789" s="96" t="s">
        <v>338</v>
      </c>
      <c r="Q789" s="96" t="s">
        <v>409</v>
      </c>
      <c r="R789" s="96" t="s">
        <v>409</v>
      </c>
      <c r="S789" s="96" t="s">
        <v>409</v>
      </c>
      <c r="T789" s="96" t="s">
        <v>1200</v>
      </c>
      <c r="U789" s="97">
        <v>0.08</v>
      </c>
      <c r="V789" s="100">
        <v>45533</v>
      </c>
      <c r="W789" s="98">
        <v>6.4500000000000002E-2</v>
      </c>
      <c r="X789" s="98">
        <v>9.99</v>
      </c>
      <c r="Y789" s="96" t="s">
        <v>411</v>
      </c>
      <c r="Z789" s="96"/>
      <c r="AA789" s="97">
        <v>260990.50791499999</v>
      </c>
      <c r="AB789" s="97">
        <v>1</v>
      </c>
      <c r="AC789" s="97">
        <v>81.599999999999994</v>
      </c>
      <c r="AD789" s="97"/>
      <c r="AE789" s="97">
        <v>212.968254</v>
      </c>
      <c r="AF789" s="96"/>
      <c r="AG789" s="96"/>
      <c r="AH789" s="96"/>
      <c r="AI789" s="98">
        <v>3.1599999999999998E-4</v>
      </c>
      <c r="AJ789" s="98">
        <v>7.9799999999999999E-4</v>
      </c>
      <c r="AK789" s="98">
        <v>1.1E-4</v>
      </c>
      <c r="AL789" s="106"/>
    </row>
    <row r="790" spans="1:38" ht="15" customHeight="1">
      <c r="A790" s="106"/>
      <c r="B790" s="96">
        <v>286</v>
      </c>
      <c r="C790" s="96">
        <v>286</v>
      </c>
      <c r="D790" s="96" t="s">
        <v>1314</v>
      </c>
      <c r="E790" s="96">
        <v>513754069</v>
      </c>
      <c r="F790" s="96" t="s">
        <v>308</v>
      </c>
      <c r="G790" s="96" t="s">
        <v>1855</v>
      </c>
      <c r="H790" s="96" t="s">
        <v>1856</v>
      </c>
      <c r="I790" s="96" t="s">
        <v>320</v>
      </c>
      <c r="J790" s="96" t="s">
        <v>952</v>
      </c>
      <c r="K790" s="96" t="s">
        <v>203</v>
      </c>
      <c r="L790" s="96" t="s">
        <v>203</v>
      </c>
      <c r="M790" s="96" t="s">
        <v>326</v>
      </c>
      <c r="N790" s="96" t="s">
        <v>339</v>
      </c>
      <c r="O790" s="96" t="s">
        <v>444</v>
      </c>
      <c r="P790" s="96" t="s">
        <v>338</v>
      </c>
      <c r="Q790" s="96" t="s">
        <v>1332</v>
      </c>
      <c r="R790" s="96" t="s">
        <v>412</v>
      </c>
      <c r="S790" s="96" t="s">
        <v>406</v>
      </c>
      <c r="T790" s="96" t="s">
        <v>1200</v>
      </c>
      <c r="U790" s="97">
        <v>3.4</v>
      </c>
      <c r="V790" s="100">
        <v>46811</v>
      </c>
      <c r="W790" s="98">
        <v>4.7E-2</v>
      </c>
      <c r="X790" s="98">
        <v>5.8799999999999998E-2</v>
      </c>
      <c r="Y790" s="96" t="s">
        <v>411</v>
      </c>
      <c r="Z790" s="96"/>
      <c r="AA790" s="97">
        <v>406803.63318399998</v>
      </c>
      <c r="AB790" s="97">
        <v>1</v>
      </c>
      <c r="AC790" s="97">
        <v>97.749600000000001</v>
      </c>
      <c r="AD790" s="97"/>
      <c r="AE790" s="97">
        <v>397.64911699999999</v>
      </c>
      <c r="AF790" s="96"/>
      <c r="AG790" s="96"/>
      <c r="AH790" s="96"/>
      <c r="AI790" s="98">
        <v>4.5199999999999998E-4</v>
      </c>
      <c r="AJ790" s="98">
        <v>1.49E-3</v>
      </c>
      <c r="AK790" s="98">
        <v>2.0699999999999999E-4</v>
      </c>
      <c r="AL790" s="106"/>
    </row>
    <row r="791" spans="1:38" ht="15" customHeight="1">
      <c r="A791" s="106"/>
      <c r="B791" s="96">
        <v>286</v>
      </c>
      <c r="C791" s="96">
        <v>286</v>
      </c>
      <c r="D791" s="96" t="s">
        <v>1491</v>
      </c>
      <c r="E791" s="96">
        <v>520036104</v>
      </c>
      <c r="F791" s="96" t="s">
        <v>308</v>
      </c>
      <c r="G791" s="96" t="s">
        <v>1492</v>
      </c>
      <c r="H791" s="96" t="s">
        <v>1493</v>
      </c>
      <c r="I791" s="96" t="s">
        <v>320</v>
      </c>
      <c r="J791" s="96" t="s">
        <v>952</v>
      </c>
      <c r="K791" s="96" t="s">
        <v>203</v>
      </c>
      <c r="L791" s="96" t="s">
        <v>203</v>
      </c>
      <c r="M791" s="96" t="s">
        <v>324</v>
      </c>
      <c r="N791" s="96" t="s">
        <v>339</v>
      </c>
      <c r="O791" s="96" t="s">
        <v>446</v>
      </c>
      <c r="P791" s="96" t="s">
        <v>337</v>
      </c>
      <c r="Q791" s="96" t="s">
        <v>1328</v>
      </c>
      <c r="R791" s="96" t="s">
        <v>412</v>
      </c>
      <c r="S791" s="96" t="s">
        <v>406</v>
      </c>
      <c r="T791" s="96" t="s">
        <v>1200</v>
      </c>
      <c r="U791" s="97">
        <v>3.54</v>
      </c>
      <c r="V791" s="100">
        <v>47603</v>
      </c>
      <c r="W791" s="98">
        <v>2.8000000000000001E-2</v>
      </c>
      <c r="X791" s="98">
        <v>6.7000000000000004E-2</v>
      </c>
      <c r="Y791" s="96" t="s">
        <v>411</v>
      </c>
      <c r="Z791" s="96"/>
      <c r="AA791" s="97">
        <v>487481.54929</v>
      </c>
      <c r="AB791" s="97">
        <v>1</v>
      </c>
      <c r="AC791" s="97">
        <v>87.99</v>
      </c>
      <c r="AD791" s="97"/>
      <c r="AE791" s="97">
        <v>428.93501500000002</v>
      </c>
      <c r="AF791" s="96"/>
      <c r="AG791" s="96"/>
      <c r="AH791" s="96"/>
      <c r="AI791" s="98">
        <v>6.2500000000000001E-4</v>
      </c>
      <c r="AJ791" s="98">
        <v>1.6069999999999999E-3</v>
      </c>
      <c r="AK791" s="98">
        <v>2.23E-4</v>
      </c>
      <c r="AL791" s="106"/>
    </row>
    <row r="792" spans="1:38" ht="15" customHeight="1">
      <c r="A792" s="106"/>
      <c r="B792" s="96">
        <v>286</v>
      </c>
      <c r="C792" s="96">
        <v>286</v>
      </c>
      <c r="D792" s="96" t="s">
        <v>1462</v>
      </c>
      <c r="E792" s="96">
        <v>520000472</v>
      </c>
      <c r="F792" s="96" t="s">
        <v>308</v>
      </c>
      <c r="G792" s="96" t="s">
        <v>1527</v>
      </c>
      <c r="H792" s="96" t="s">
        <v>1528</v>
      </c>
      <c r="I792" s="96" t="s">
        <v>320</v>
      </c>
      <c r="J792" s="96" t="s">
        <v>753</v>
      </c>
      <c r="K792" s="96" t="s">
        <v>203</v>
      </c>
      <c r="L792" s="96" t="s">
        <v>203</v>
      </c>
      <c r="M792" s="96" t="s">
        <v>324</v>
      </c>
      <c r="N792" s="96" t="s">
        <v>339</v>
      </c>
      <c r="O792" s="96" t="s">
        <v>439</v>
      </c>
      <c r="P792" s="96" t="s">
        <v>338</v>
      </c>
      <c r="Q792" s="96" t="s">
        <v>1301</v>
      </c>
      <c r="R792" s="96" t="s">
        <v>414</v>
      </c>
      <c r="S792" s="96" t="s">
        <v>406</v>
      </c>
      <c r="T792" s="96" t="s">
        <v>1200</v>
      </c>
      <c r="U792" s="97">
        <v>5.98</v>
      </c>
      <c r="V792" s="100">
        <v>48111</v>
      </c>
      <c r="W792" s="98">
        <v>2.3900000000000001E-2</v>
      </c>
      <c r="X792" s="98">
        <v>3.0200000000000001E-2</v>
      </c>
      <c r="Y792" s="96" t="s">
        <v>411</v>
      </c>
      <c r="Z792" s="96"/>
      <c r="AA792" s="97">
        <v>1951445.4455959999</v>
      </c>
      <c r="AB792" s="97">
        <v>1</v>
      </c>
      <c r="AC792" s="97">
        <v>109.95</v>
      </c>
      <c r="AD792" s="97"/>
      <c r="AE792" s="97">
        <v>2145.6142669999999</v>
      </c>
      <c r="AF792" s="96"/>
      <c r="AG792" s="96"/>
      <c r="AH792" s="96"/>
      <c r="AI792" s="98">
        <v>5.0100000000000003E-4</v>
      </c>
      <c r="AJ792" s="98">
        <v>8.0389999999999993E-3</v>
      </c>
      <c r="AK792" s="98">
        <v>1.1169999999999999E-3</v>
      </c>
      <c r="AL792" s="106"/>
    </row>
    <row r="793" spans="1:38" ht="15" customHeight="1">
      <c r="A793" s="106"/>
      <c r="B793" s="96">
        <v>286</v>
      </c>
      <c r="C793" s="96">
        <v>286</v>
      </c>
      <c r="D793" s="96" t="s">
        <v>1298</v>
      </c>
      <c r="E793" s="96">
        <v>510960719</v>
      </c>
      <c r="F793" s="96" t="s">
        <v>308</v>
      </c>
      <c r="G793" s="96" t="s">
        <v>1833</v>
      </c>
      <c r="H793" s="96" t="s">
        <v>1834</v>
      </c>
      <c r="I793" s="96" t="s">
        <v>320</v>
      </c>
      <c r="J793" s="96" t="s">
        <v>753</v>
      </c>
      <c r="K793" s="96" t="s">
        <v>203</v>
      </c>
      <c r="L793" s="96" t="s">
        <v>203</v>
      </c>
      <c r="M793" s="96" t="s">
        <v>324</v>
      </c>
      <c r="N793" s="96" t="s">
        <v>339</v>
      </c>
      <c r="O793" s="96" t="s">
        <v>463</v>
      </c>
      <c r="P793" s="96" t="s">
        <v>338</v>
      </c>
      <c r="Q793" s="96" t="s">
        <v>1301</v>
      </c>
      <c r="R793" s="96" t="s">
        <v>414</v>
      </c>
      <c r="S793" s="96" t="s">
        <v>406</v>
      </c>
      <c r="T793" s="96" t="s">
        <v>1200</v>
      </c>
      <c r="U793" s="97">
        <v>2.8</v>
      </c>
      <c r="V793" s="100">
        <v>46934</v>
      </c>
      <c r="W793" s="98">
        <v>1.77E-2</v>
      </c>
      <c r="X793" s="98">
        <v>2.6700000000000002E-2</v>
      </c>
      <c r="Y793" s="96" t="s">
        <v>411</v>
      </c>
      <c r="Z793" s="96"/>
      <c r="AA793" s="97">
        <v>2582806.976973</v>
      </c>
      <c r="AB793" s="97">
        <v>1</v>
      </c>
      <c r="AC793" s="97">
        <v>110.8</v>
      </c>
      <c r="AD793" s="97"/>
      <c r="AE793" s="97">
        <v>2861.7501299999999</v>
      </c>
      <c r="AF793" s="96"/>
      <c r="AG793" s="96"/>
      <c r="AH793" s="96"/>
      <c r="AI793" s="98">
        <v>9.9500000000000001E-4</v>
      </c>
      <c r="AJ793" s="98">
        <v>1.0723E-2</v>
      </c>
      <c r="AK793" s="98">
        <v>1.49E-3</v>
      </c>
      <c r="AL793" s="106"/>
    </row>
    <row r="794" spans="1:38" ht="15" customHeight="1">
      <c r="A794" s="106"/>
      <c r="B794" s="96">
        <v>286</v>
      </c>
      <c r="C794" s="96">
        <v>286</v>
      </c>
      <c r="D794" s="96" t="s">
        <v>1414</v>
      </c>
      <c r="E794" s="96">
        <v>520037789</v>
      </c>
      <c r="F794" s="96" t="s">
        <v>308</v>
      </c>
      <c r="G794" s="96" t="s">
        <v>1840</v>
      </c>
      <c r="H794" s="96" t="s">
        <v>1841</v>
      </c>
      <c r="I794" s="96" t="s">
        <v>320</v>
      </c>
      <c r="J794" s="96" t="s">
        <v>753</v>
      </c>
      <c r="K794" s="96" t="s">
        <v>203</v>
      </c>
      <c r="L794" s="96" t="s">
        <v>203</v>
      </c>
      <c r="M794" s="96" t="s">
        <v>324</v>
      </c>
      <c r="N794" s="96" t="s">
        <v>339</v>
      </c>
      <c r="O794" s="96" t="s">
        <v>463</v>
      </c>
      <c r="P794" s="96" t="s">
        <v>337</v>
      </c>
      <c r="Q794" s="96" t="s">
        <v>1313</v>
      </c>
      <c r="R794" s="96" t="s">
        <v>412</v>
      </c>
      <c r="S794" s="96" t="s">
        <v>406</v>
      </c>
      <c r="T794" s="96" t="s">
        <v>1200</v>
      </c>
      <c r="U794" s="97">
        <v>5.55</v>
      </c>
      <c r="V794" s="100">
        <v>47665</v>
      </c>
      <c r="W794" s="98">
        <v>2.5000000000000001E-3</v>
      </c>
      <c r="X794" s="98">
        <v>3.2399999999999998E-2</v>
      </c>
      <c r="Y794" s="96" t="s">
        <v>411</v>
      </c>
      <c r="Z794" s="96"/>
      <c r="AA794" s="97">
        <v>964297.75775600004</v>
      </c>
      <c r="AB794" s="97">
        <v>1</v>
      </c>
      <c r="AC794" s="97">
        <v>94.59</v>
      </c>
      <c r="AD794" s="97">
        <v>25.774992999999998</v>
      </c>
      <c r="AE794" s="97">
        <v>937.90424199999995</v>
      </c>
      <c r="AF794" s="96"/>
      <c r="AG794" s="96"/>
      <c r="AH794" s="96"/>
      <c r="AI794" s="98">
        <v>7.76E-4</v>
      </c>
      <c r="AJ794" s="98">
        <v>3.5130000000000001E-3</v>
      </c>
      <c r="AK794" s="98">
        <v>4.8700000000000002E-4</v>
      </c>
      <c r="AL794" s="106"/>
    </row>
    <row r="795" spans="1:38" ht="15" customHeight="1">
      <c r="A795" s="106"/>
      <c r="B795" s="96">
        <v>286</v>
      </c>
      <c r="C795" s="96">
        <v>286</v>
      </c>
      <c r="D795" s="96" t="s">
        <v>1306</v>
      </c>
      <c r="E795" s="96">
        <v>520044322</v>
      </c>
      <c r="F795" s="96" t="s">
        <v>308</v>
      </c>
      <c r="G795" s="96" t="s">
        <v>1939</v>
      </c>
      <c r="H795" s="96" t="s">
        <v>1940</v>
      </c>
      <c r="I795" s="96" t="s">
        <v>320</v>
      </c>
      <c r="J795" s="96" t="s">
        <v>952</v>
      </c>
      <c r="K795" s="96" t="s">
        <v>203</v>
      </c>
      <c r="L795" s="96" t="s">
        <v>203</v>
      </c>
      <c r="M795" s="96" t="s">
        <v>324</v>
      </c>
      <c r="N795" s="96" t="s">
        <v>339</v>
      </c>
      <c r="O795" s="96" t="s">
        <v>453</v>
      </c>
      <c r="P795" s="96" t="s">
        <v>338</v>
      </c>
      <c r="Q795" s="96" t="s">
        <v>1309</v>
      </c>
      <c r="R795" s="96" t="s">
        <v>414</v>
      </c>
      <c r="S795" s="96" t="s">
        <v>406</v>
      </c>
      <c r="T795" s="96" t="s">
        <v>1200</v>
      </c>
      <c r="U795" s="97">
        <v>2.88</v>
      </c>
      <c r="V795" s="100">
        <v>47149</v>
      </c>
      <c r="W795" s="98">
        <v>6.7500000000000004E-2</v>
      </c>
      <c r="X795" s="98">
        <v>6.2600000000000003E-2</v>
      </c>
      <c r="Y795" s="96" t="s">
        <v>411</v>
      </c>
      <c r="Z795" s="96"/>
      <c r="AA795" s="97">
        <v>578524.90574199997</v>
      </c>
      <c r="AB795" s="97">
        <v>1</v>
      </c>
      <c r="AC795" s="97">
        <v>104.46</v>
      </c>
      <c r="AD795" s="97"/>
      <c r="AE795" s="97">
        <v>604.32711600000005</v>
      </c>
      <c r="AF795" s="96"/>
      <c r="AG795" s="96"/>
      <c r="AH795" s="96"/>
      <c r="AI795" s="98">
        <v>3.3E-4</v>
      </c>
      <c r="AJ795" s="98">
        <v>2.264E-3</v>
      </c>
      <c r="AK795" s="98">
        <v>3.1399999999999999E-4</v>
      </c>
      <c r="AL795" s="106"/>
    </row>
    <row r="796" spans="1:38" ht="15" customHeight="1">
      <c r="A796" s="106"/>
      <c r="B796" s="96">
        <v>286</v>
      </c>
      <c r="C796" s="96">
        <v>286</v>
      </c>
      <c r="D796" s="96" t="s">
        <v>1197</v>
      </c>
      <c r="E796" s="96">
        <v>520018078</v>
      </c>
      <c r="F796" s="96" t="s">
        <v>308</v>
      </c>
      <c r="G796" s="96" t="s">
        <v>1696</v>
      </c>
      <c r="H796" s="96" t="s">
        <v>1697</v>
      </c>
      <c r="I796" s="96" t="s">
        <v>320</v>
      </c>
      <c r="J796" s="96" t="s">
        <v>754</v>
      </c>
      <c r="K796" s="96" t="s">
        <v>203</v>
      </c>
      <c r="L796" s="96" t="s">
        <v>203</v>
      </c>
      <c r="M796" s="96" t="s">
        <v>324</v>
      </c>
      <c r="N796" s="96" t="s">
        <v>339</v>
      </c>
      <c r="O796" s="96" t="s">
        <v>447</v>
      </c>
      <c r="P796" s="96" t="s">
        <v>338</v>
      </c>
      <c r="Q796" s="96" t="s">
        <v>1698</v>
      </c>
      <c r="R796" s="96" t="s">
        <v>432</v>
      </c>
      <c r="S796" s="96" t="s">
        <v>406</v>
      </c>
      <c r="T796" s="96" t="s">
        <v>1201</v>
      </c>
      <c r="U796" s="97">
        <v>3.32</v>
      </c>
      <c r="V796" s="100">
        <v>46861</v>
      </c>
      <c r="W796" s="98">
        <v>7.1290000000000006E-2</v>
      </c>
      <c r="X796" s="98">
        <v>7.8E-2</v>
      </c>
      <c r="Y796" s="96" t="s">
        <v>410</v>
      </c>
      <c r="Z796" s="96"/>
      <c r="AA796" s="97">
        <v>9688.6957920000004</v>
      </c>
      <c r="AB796" s="97">
        <v>3.7589999999999999</v>
      </c>
      <c r="AC796" s="97">
        <v>100.9426</v>
      </c>
      <c r="AD796" s="97"/>
      <c r="AE796" s="97">
        <v>36.763120000000001</v>
      </c>
      <c r="AF796" s="96"/>
      <c r="AG796" s="96"/>
      <c r="AH796" s="96"/>
      <c r="AI796" s="98">
        <v>1.9000000000000001E-5</v>
      </c>
      <c r="AJ796" s="98">
        <v>1.37E-4</v>
      </c>
      <c r="AK796" s="98">
        <v>1.9000000000000001E-5</v>
      </c>
      <c r="AL796" s="106"/>
    </row>
    <row r="797" spans="1:38" ht="15" customHeight="1">
      <c r="A797" s="106"/>
      <c r="B797" s="96">
        <v>286</v>
      </c>
      <c r="C797" s="96">
        <v>286</v>
      </c>
      <c r="D797" s="96" t="s">
        <v>2307</v>
      </c>
      <c r="E797" s="96" t="s">
        <v>2308</v>
      </c>
      <c r="F797" s="96" t="s">
        <v>312</v>
      </c>
      <c r="G797" s="96" t="s">
        <v>2309</v>
      </c>
      <c r="H797" s="96" t="s">
        <v>2310</v>
      </c>
      <c r="I797" s="96" t="s">
        <v>320</v>
      </c>
      <c r="J797" s="96" t="s">
        <v>754</v>
      </c>
      <c r="K797" s="96" t="s">
        <v>204</v>
      </c>
      <c r="L797" s="96" t="s">
        <v>276</v>
      </c>
      <c r="M797" s="96" t="s">
        <v>324</v>
      </c>
      <c r="N797" s="96" t="s">
        <v>363</v>
      </c>
      <c r="O797" s="96" t="s">
        <v>567</v>
      </c>
      <c r="P797" s="96" t="s">
        <v>338</v>
      </c>
      <c r="Q797" s="96" t="s">
        <v>2311</v>
      </c>
      <c r="R797" s="96" t="s">
        <v>430</v>
      </c>
      <c r="S797" s="96" t="s">
        <v>406</v>
      </c>
      <c r="T797" s="96" t="s">
        <v>1202</v>
      </c>
      <c r="U797" s="97">
        <v>1.61</v>
      </c>
      <c r="V797" s="100">
        <v>46183</v>
      </c>
      <c r="W797" s="98">
        <v>3.6249999999999998E-2</v>
      </c>
      <c r="X797" s="98">
        <v>0.26600000000000001</v>
      </c>
      <c r="Y797" s="96" t="s">
        <v>410</v>
      </c>
      <c r="Z797" s="96"/>
      <c r="AA797" s="97">
        <v>164225.38440700001</v>
      </c>
      <c r="AB797" s="97">
        <v>4.0202</v>
      </c>
      <c r="AC797" s="97">
        <v>68.023099999999999</v>
      </c>
      <c r="AD797" s="97"/>
      <c r="AE797" s="97">
        <v>449.10161199999999</v>
      </c>
      <c r="AF797" s="96"/>
      <c r="AG797" s="96"/>
      <c r="AH797" s="96"/>
      <c r="AI797" s="98">
        <v>5.1099999999999995E-4</v>
      </c>
      <c r="AJ797" s="98">
        <v>1.6819999999999999E-3</v>
      </c>
      <c r="AK797" s="98">
        <v>2.33E-4</v>
      </c>
      <c r="AL797" s="106"/>
    </row>
    <row r="798" spans="1:38" ht="15" customHeight="1">
      <c r="A798" s="106"/>
      <c r="B798" s="96">
        <v>286</v>
      </c>
      <c r="C798" s="96">
        <v>286</v>
      </c>
      <c r="D798" s="96" t="s">
        <v>2103</v>
      </c>
      <c r="E798" s="96" t="s">
        <v>2104</v>
      </c>
      <c r="F798" s="96" t="s">
        <v>312</v>
      </c>
      <c r="G798" s="96" t="s">
        <v>2231</v>
      </c>
      <c r="H798" s="96" t="s">
        <v>2232</v>
      </c>
      <c r="I798" s="96" t="s">
        <v>320</v>
      </c>
      <c r="J798" s="96" t="s">
        <v>754</v>
      </c>
      <c r="K798" s="96" t="s">
        <v>204</v>
      </c>
      <c r="L798" s="96" t="s">
        <v>263</v>
      </c>
      <c r="M798" s="96" t="s">
        <v>324</v>
      </c>
      <c r="N798" s="96" t="s">
        <v>313</v>
      </c>
      <c r="O798" s="96" t="s">
        <v>486</v>
      </c>
      <c r="P798" s="96" t="s">
        <v>338</v>
      </c>
      <c r="Q798" s="96" t="s">
        <v>2107</v>
      </c>
      <c r="R798" s="96" t="s">
        <v>430</v>
      </c>
      <c r="S798" s="96" t="s">
        <v>406</v>
      </c>
      <c r="T798" s="96" t="s">
        <v>1201</v>
      </c>
      <c r="U798" s="97">
        <v>5.47</v>
      </c>
      <c r="V798" s="100">
        <v>48525</v>
      </c>
      <c r="W798" s="98">
        <v>0.1</v>
      </c>
      <c r="X798" s="98">
        <v>9.9199999999999997E-2</v>
      </c>
      <c r="Y798" s="96" t="s">
        <v>411</v>
      </c>
      <c r="Z798" s="96"/>
      <c r="AA798" s="97">
        <v>1366.6175880000001</v>
      </c>
      <c r="AB798" s="97">
        <v>3.7589999999999999</v>
      </c>
      <c r="AC798" s="97">
        <v>104.4012</v>
      </c>
      <c r="AD798" s="97"/>
      <c r="AE798" s="97">
        <v>5.3632109999999997</v>
      </c>
      <c r="AF798" s="96"/>
      <c r="AG798" s="96"/>
      <c r="AH798" s="96"/>
      <c r="AI798" s="98">
        <v>0</v>
      </c>
      <c r="AJ798" s="98">
        <v>2.0000000000000002E-5</v>
      </c>
      <c r="AK798" s="98">
        <v>1.9999999999999999E-6</v>
      </c>
      <c r="AL798" s="106"/>
    </row>
    <row r="799" spans="1:38" ht="15" customHeight="1">
      <c r="A799" s="106"/>
      <c r="B799" s="96">
        <v>286</v>
      </c>
      <c r="C799" s="96">
        <v>286</v>
      </c>
      <c r="D799" s="96" t="s">
        <v>2252</v>
      </c>
      <c r="E799" s="96" t="s">
        <v>2253</v>
      </c>
      <c r="F799" s="96" t="s">
        <v>312</v>
      </c>
      <c r="G799" s="96" t="s">
        <v>2312</v>
      </c>
      <c r="H799" s="96" t="s">
        <v>2313</v>
      </c>
      <c r="I799" s="96" t="s">
        <v>320</v>
      </c>
      <c r="J799" s="96" t="s">
        <v>754</v>
      </c>
      <c r="K799" s="96" t="s">
        <v>204</v>
      </c>
      <c r="L799" s="96" t="s">
        <v>231</v>
      </c>
      <c r="M799" s="96" t="s">
        <v>332</v>
      </c>
      <c r="N799" s="96" t="s">
        <v>313</v>
      </c>
      <c r="O799" s="96" t="s">
        <v>524</v>
      </c>
      <c r="P799" s="96" t="s">
        <v>338</v>
      </c>
      <c r="Q799" s="96" t="s">
        <v>2112</v>
      </c>
      <c r="R799" s="96" t="s">
        <v>430</v>
      </c>
      <c r="S799" s="96" t="s">
        <v>406</v>
      </c>
      <c r="T799" s="96" t="s">
        <v>1201</v>
      </c>
      <c r="U799" s="97">
        <v>6.26</v>
      </c>
      <c r="V799" s="100">
        <v>46357</v>
      </c>
      <c r="W799" s="98">
        <v>3.7499999999999999E-2</v>
      </c>
      <c r="X799" s="98">
        <v>5.8599999999999999E-2</v>
      </c>
      <c r="Y799" s="96" t="s">
        <v>411</v>
      </c>
      <c r="Z799" s="96"/>
      <c r="AA799" s="97">
        <v>1366.6175880000001</v>
      </c>
      <c r="AB799" s="97">
        <v>3.7589999999999999</v>
      </c>
      <c r="AC799" s="97">
        <v>87.757000000000005</v>
      </c>
      <c r="AD799" s="97"/>
      <c r="AE799" s="97">
        <v>4.5081819999999997</v>
      </c>
      <c r="AF799" s="96"/>
      <c r="AG799" s="96"/>
      <c r="AH799" s="96"/>
      <c r="AI799" s="98">
        <v>1.9999999999999999E-6</v>
      </c>
      <c r="AJ799" s="98">
        <v>1.5999999999999999E-5</v>
      </c>
      <c r="AK799" s="98">
        <v>1.9999999999999999E-6</v>
      </c>
      <c r="AL799" s="106"/>
    </row>
    <row r="800" spans="1:38" ht="15" customHeight="1">
      <c r="A800" s="106"/>
      <c r="B800" s="96">
        <v>286</v>
      </c>
      <c r="C800" s="96">
        <v>286</v>
      </c>
      <c r="D800" s="96" t="s">
        <v>2118</v>
      </c>
      <c r="E800" s="96" t="s">
        <v>2119</v>
      </c>
      <c r="F800" s="96" t="s">
        <v>312</v>
      </c>
      <c r="G800" s="96" t="s">
        <v>2120</v>
      </c>
      <c r="H800" s="96" t="s">
        <v>2121</v>
      </c>
      <c r="I800" s="96" t="s">
        <v>320</v>
      </c>
      <c r="J800" s="96" t="s">
        <v>754</v>
      </c>
      <c r="K800" s="96" t="s">
        <v>204</v>
      </c>
      <c r="L800" s="96" t="s">
        <v>232</v>
      </c>
      <c r="M800" s="96" t="s">
        <v>324</v>
      </c>
      <c r="N800" s="96" t="s">
        <v>369</v>
      </c>
      <c r="O800" s="96" t="s">
        <v>486</v>
      </c>
      <c r="P800" s="96" t="s">
        <v>338</v>
      </c>
      <c r="Q800" s="96" t="s">
        <v>2102</v>
      </c>
      <c r="R800" s="96" t="s">
        <v>432</v>
      </c>
      <c r="S800" s="96" t="s">
        <v>406</v>
      </c>
      <c r="T800" s="96" t="s">
        <v>1202</v>
      </c>
      <c r="U800" s="97">
        <v>1.85</v>
      </c>
      <c r="V800" s="100">
        <v>46103</v>
      </c>
      <c r="W800" s="98">
        <v>3.2500000000000001E-2</v>
      </c>
      <c r="X800" s="98">
        <v>4.41E-2</v>
      </c>
      <c r="Y800" s="96" t="s">
        <v>410</v>
      </c>
      <c r="Z800" s="96"/>
      <c r="AA800" s="97">
        <v>335346.93141600001</v>
      </c>
      <c r="AB800" s="97">
        <v>4.0202</v>
      </c>
      <c r="AC800" s="97">
        <v>97.916200000000003</v>
      </c>
      <c r="AD800" s="97"/>
      <c r="AE800" s="97">
        <v>1320.0690380000001</v>
      </c>
      <c r="AF800" s="96"/>
      <c r="AG800" s="96"/>
      <c r="AH800" s="96"/>
      <c r="AI800" s="98">
        <v>1.34E-4</v>
      </c>
      <c r="AJ800" s="98">
        <v>4.9449999999999997E-3</v>
      </c>
      <c r="AK800" s="98">
        <v>6.8599999999999998E-4</v>
      </c>
      <c r="AL800" s="106"/>
    </row>
    <row r="801" spans="1:38" ht="15" customHeight="1">
      <c r="A801" s="106"/>
      <c r="B801" s="96">
        <v>286</v>
      </c>
      <c r="C801" s="96">
        <v>286</v>
      </c>
      <c r="D801" s="96" t="s">
        <v>2113</v>
      </c>
      <c r="E801" s="96" t="s">
        <v>2114</v>
      </c>
      <c r="F801" s="96" t="s">
        <v>312</v>
      </c>
      <c r="G801" s="96" t="s">
        <v>2198</v>
      </c>
      <c r="H801" s="96" t="s">
        <v>2199</v>
      </c>
      <c r="I801" s="96" t="s">
        <v>320</v>
      </c>
      <c r="J801" s="96" t="s">
        <v>754</v>
      </c>
      <c r="K801" s="96" t="s">
        <v>204</v>
      </c>
      <c r="L801" s="96" t="s">
        <v>223</v>
      </c>
      <c r="M801" s="96" t="s">
        <v>324</v>
      </c>
      <c r="N801" s="96" t="s">
        <v>313</v>
      </c>
      <c r="O801" s="96" t="s">
        <v>530</v>
      </c>
      <c r="P801" s="96" t="s">
        <v>338</v>
      </c>
      <c r="Q801" s="96" t="s">
        <v>2117</v>
      </c>
      <c r="R801" s="96" t="s">
        <v>430</v>
      </c>
      <c r="S801" s="96" t="s">
        <v>406</v>
      </c>
      <c r="T801" s="96" t="s">
        <v>1201</v>
      </c>
      <c r="U801" s="97">
        <v>4.91</v>
      </c>
      <c r="V801" s="100">
        <v>45703</v>
      </c>
      <c r="W801" s="98">
        <v>3.3750000000000002E-2</v>
      </c>
      <c r="X801" s="98">
        <v>5.79E-2</v>
      </c>
      <c r="Y801" s="96" t="s">
        <v>411</v>
      </c>
      <c r="Z801" s="96"/>
      <c r="AA801" s="97">
        <v>399441.29633300001</v>
      </c>
      <c r="AB801" s="97">
        <v>3.7589999999999999</v>
      </c>
      <c r="AC801" s="97">
        <v>89.777600000000007</v>
      </c>
      <c r="AD801" s="97"/>
      <c r="AE801" s="97">
        <v>1348.010888</v>
      </c>
      <c r="AF801" s="96"/>
      <c r="AG801" s="96"/>
      <c r="AH801" s="96"/>
      <c r="AI801" s="98">
        <v>1.9900000000000001E-4</v>
      </c>
      <c r="AJ801" s="98">
        <v>5.0499999999999998E-3</v>
      </c>
      <c r="AK801" s="98">
        <v>7.0100000000000002E-4</v>
      </c>
      <c r="AL801" s="106"/>
    </row>
    <row r="802" spans="1:38" ht="15" customHeight="1">
      <c r="A802" s="106"/>
      <c r="B802" s="96">
        <v>286</v>
      </c>
      <c r="C802" s="96">
        <v>286</v>
      </c>
      <c r="D802" s="96" t="s">
        <v>2173</v>
      </c>
      <c r="E802" s="96" t="s">
        <v>2174</v>
      </c>
      <c r="F802" s="96" t="s">
        <v>312</v>
      </c>
      <c r="G802" s="96" t="s">
        <v>2175</v>
      </c>
      <c r="H802" s="96" t="s">
        <v>2176</v>
      </c>
      <c r="I802" s="96" t="s">
        <v>320</v>
      </c>
      <c r="J802" s="96" t="s">
        <v>754</v>
      </c>
      <c r="K802" s="96" t="s">
        <v>204</v>
      </c>
      <c r="L802" s="96" t="s">
        <v>274</v>
      </c>
      <c r="M802" s="96" t="s">
        <v>332</v>
      </c>
      <c r="N802" s="96" t="s">
        <v>313</v>
      </c>
      <c r="O802" s="96" t="s">
        <v>567</v>
      </c>
      <c r="P802" s="96" t="s">
        <v>338</v>
      </c>
      <c r="Q802" s="96" t="s">
        <v>2177</v>
      </c>
      <c r="R802" s="96" t="s">
        <v>430</v>
      </c>
      <c r="S802" s="96" t="s">
        <v>406</v>
      </c>
      <c r="T802" s="96" t="s">
        <v>1202</v>
      </c>
      <c r="U802" s="97">
        <v>1.75</v>
      </c>
      <c r="V802" s="100">
        <v>46238</v>
      </c>
      <c r="W802" s="98">
        <v>3.6249999999999998E-2</v>
      </c>
      <c r="X802" s="98">
        <v>0.25559999999999999</v>
      </c>
      <c r="Y802" s="96" t="s">
        <v>410</v>
      </c>
      <c r="Z802" s="96"/>
      <c r="AA802" s="97">
        <v>12047.259667</v>
      </c>
      <c r="AB802" s="97">
        <v>4.0202</v>
      </c>
      <c r="AC802" s="97">
        <v>66.849299999999999</v>
      </c>
      <c r="AD802" s="97"/>
      <c r="AE802" s="97">
        <v>32.376758000000002</v>
      </c>
      <c r="AF802" s="96"/>
      <c r="AG802" s="96"/>
      <c r="AH802" s="96"/>
      <c r="AI802" s="98">
        <v>3.4E-5</v>
      </c>
      <c r="AJ802" s="98">
        <v>1.21E-4</v>
      </c>
      <c r="AK802" s="98">
        <v>1.5999999999999999E-5</v>
      </c>
      <c r="AL802" s="106"/>
    </row>
    <row r="803" spans="1:38" ht="15" customHeight="1">
      <c r="A803" s="106"/>
      <c r="B803" s="96">
        <v>286</v>
      </c>
      <c r="C803" s="96">
        <v>286</v>
      </c>
      <c r="D803" s="96" t="s">
        <v>2158</v>
      </c>
      <c r="E803" s="96" t="s">
        <v>2159</v>
      </c>
      <c r="F803" s="96" t="s">
        <v>312</v>
      </c>
      <c r="G803" s="96" t="s">
        <v>2336</v>
      </c>
      <c r="H803" s="96" t="s">
        <v>2337</v>
      </c>
      <c r="I803" s="96" t="s">
        <v>320</v>
      </c>
      <c r="J803" s="96" t="s">
        <v>955</v>
      </c>
      <c r="K803" s="96" t="s">
        <v>204</v>
      </c>
      <c r="L803" s="96" t="s">
        <v>232</v>
      </c>
      <c r="M803" s="96" t="s">
        <v>324</v>
      </c>
      <c r="N803" s="96" t="s">
        <v>363</v>
      </c>
      <c r="O803" s="96" t="s">
        <v>535</v>
      </c>
      <c r="P803" s="96" t="s">
        <v>338</v>
      </c>
      <c r="Q803" s="96" t="s">
        <v>2149</v>
      </c>
      <c r="R803" s="96" t="s">
        <v>432</v>
      </c>
      <c r="S803" s="96" t="s">
        <v>406</v>
      </c>
      <c r="T803" s="96" t="s">
        <v>1205</v>
      </c>
      <c r="U803" s="97">
        <v>3.17</v>
      </c>
      <c r="V803" s="100">
        <v>46657</v>
      </c>
      <c r="W803" s="98">
        <v>8.5000000000000006E-2</v>
      </c>
      <c r="X803" s="98">
        <v>7.7700000000000005E-2</v>
      </c>
      <c r="Y803" s="96" t="s">
        <v>410</v>
      </c>
      <c r="Z803" s="96"/>
      <c r="AA803" s="97">
        <v>258080.475431</v>
      </c>
      <c r="AB803" s="97">
        <v>4.7504999999999997</v>
      </c>
      <c r="AC803" s="97">
        <v>102.41379999999999</v>
      </c>
      <c r="AD803" s="97"/>
      <c r="AE803" s="97">
        <v>1255.6051669999999</v>
      </c>
      <c r="AF803" s="96"/>
      <c r="AG803" s="96"/>
      <c r="AH803" s="96"/>
      <c r="AI803" s="98">
        <v>3.4400000000000001E-4</v>
      </c>
      <c r="AJ803" s="98">
        <v>4.7039999999999998E-3</v>
      </c>
      <c r="AK803" s="98">
        <v>6.5300000000000004E-4</v>
      </c>
      <c r="AL803" s="106"/>
    </row>
    <row r="804" spans="1:38" ht="15" customHeight="1">
      <c r="A804" s="106"/>
      <c r="B804" s="96">
        <v>286</v>
      </c>
      <c r="C804" s="96">
        <v>286</v>
      </c>
      <c r="D804" s="96" t="s">
        <v>2326</v>
      </c>
      <c r="E804" s="96" t="s">
        <v>2327</v>
      </c>
      <c r="F804" s="96" t="s">
        <v>312</v>
      </c>
      <c r="G804" s="96" t="s">
        <v>2328</v>
      </c>
      <c r="H804" s="96" t="s">
        <v>2329</v>
      </c>
      <c r="I804" s="96" t="s">
        <v>320</v>
      </c>
      <c r="J804" s="96" t="s">
        <v>754</v>
      </c>
      <c r="K804" s="96" t="s">
        <v>204</v>
      </c>
      <c r="L804" s="96" t="s">
        <v>207</v>
      </c>
      <c r="M804" s="96" t="s">
        <v>324</v>
      </c>
      <c r="N804" s="96" t="s">
        <v>313</v>
      </c>
      <c r="O804" s="96" t="s">
        <v>558</v>
      </c>
      <c r="P804" s="96" t="s">
        <v>338</v>
      </c>
      <c r="Q804" s="96" t="s">
        <v>2095</v>
      </c>
      <c r="R804" s="96" t="s">
        <v>430</v>
      </c>
      <c r="S804" s="96" t="s">
        <v>406</v>
      </c>
      <c r="T804" s="96" t="s">
        <v>1201</v>
      </c>
      <c r="U804" s="97">
        <v>5.12</v>
      </c>
      <c r="V804" s="100">
        <v>47658</v>
      </c>
      <c r="W804" s="98">
        <v>5.1249999999999997E-2</v>
      </c>
      <c r="X804" s="98">
        <v>6.5100000000000005E-2</v>
      </c>
      <c r="Y804" s="96" t="s">
        <v>410</v>
      </c>
      <c r="Z804" s="96"/>
      <c r="AA804" s="97">
        <v>210248.859822</v>
      </c>
      <c r="AB804" s="97">
        <v>3.7589999999999999</v>
      </c>
      <c r="AC804" s="97">
        <v>94.329599999999999</v>
      </c>
      <c r="AD804" s="97"/>
      <c r="AE804" s="97">
        <v>745.51137500000004</v>
      </c>
      <c r="AF804" s="96"/>
      <c r="AG804" s="96"/>
      <c r="AH804" s="96"/>
      <c r="AI804" s="98">
        <v>1.6000000000000001E-4</v>
      </c>
      <c r="AJ804" s="98">
        <v>2.7929999999999999E-3</v>
      </c>
      <c r="AK804" s="98">
        <v>3.88E-4</v>
      </c>
      <c r="AL804" s="106"/>
    </row>
    <row r="805" spans="1:38" ht="15" customHeight="1">
      <c r="A805" s="106"/>
      <c r="B805" s="96">
        <v>286</v>
      </c>
      <c r="C805" s="96">
        <v>286</v>
      </c>
      <c r="D805" s="96" t="s">
        <v>2075</v>
      </c>
      <c r="E805" s="96" t="s">
        <v>2076</v>
      </c>
      <c r="F805" s="96" t="s">
        <v>312</v>
      </c>
      <c r="G805" s="96" t="s">
        <v>2077</v>
      </c>
      <c r="H805" s="96" t="s">
        <v>2078</v>
      </c>
      <c r="I805" s="96" t="s">
        <v>320</v>
      </c>
      <c r="J805" s="96" t="s">
        <v>754</v>
      </c>
      <c r="K805" s="96" t="s">
        <v>204</v>
      </c>
      <c r="L805" s="96" t="s">
        <v>206</v>
      </c>
      <c r="M805" s="96" t="s">
        <v>332</v>
      </c>
      <c r="N805" s="96" t="s">
        <v>313</v>
      </c>
      <c r="O805" s="96" t="s">
        <v>491</v>
      </c>
      <c r="P805" s="96" t="s">
        <v>338</v>
      </c>
      <c r="Q805" s="96" t="s">
        <v>1698</v>
      </c>
      <c r="R805" s="96" t="s">
        <v>422</v>
      </c>
      <c r="S805" s="96" t="s">
        <v>406</v>
      </c>
      <c r="T805" s="96" t="s">
        <v>1201</v>
      </c>
      <c r="U805" s="97">
        <v>3.81</v>
      </c>
      <c r="V805" s="100">
        <v>47041</v>
      </c>
      <c r="W805" s="98">
        <v>0.06</v>
      </c>
      <c r="X805" s="98">
        <v>5.9700000000000003E-2</v>
      </c>
      <c r="Y805" s="96" t="s">
        <v>411</v>
      </c>
      <c r="Z805" s="96"/>
      <c r="AA805" s="97">
        <v>41944.647534000003</v>
      </c>
      <c r="AB805" s="97">
        <v>3.7589999999999999</v>
      </c>
      <c r="AC805" s="97">
        <v>102.81789999999999</v>
      </c>
      <c r="AD805" s="97"/>
      <c r="AE805" s="97">
        <v>162.11293900000001</v>
      </c>
      <c r="AF805" s="96"/>
      <c r="AG805" s="96"/>
      <c r="AH805" s="96"/>
      <c r="AI805" s="98">
        <v>2.3E-5</v>
      </c>
      <c r="AJ805" s="98">
        <v>6.0700000000000001E-4</v>
      </c>
      <c r="AK805" s="98">
        <v>8.3999999999999995E-5</v>
      </c>
      <c r="AL805" s="106"/>
    </row>
    <row r="806" spans="1:38" ht="15" customHeight="1">
      <c r="A806" s="106"/>
      <c r="B806" s="96">
        <v>286</v>
      </c>
      <c r="C806" s="96">
        <v>286</v>
      </c>
      <c r="D806" s="96" t="s">
        <v>2252</v>
      </c>
      <c r="E806" s="96" t="s">
        <v>2253</v>
      </c>
      <c r="F806" s="96" t="s">
        <v>312</v>
      </c>
      <c r="G806" s="96" t="s">
        <v>2254</v>
      </c>
      <c r="H806" s="96" t="s">
        <v>2255</v>
      </c>
      <c r="I806" s="96" t="s">
        <v>320</v>
      </c>
      <c r="J806" s="96" t="s">
        <v>754</v>
      </c>
      <c r="K806" s="96" t="s">
        <v>204</v>
      </c>
      <c r="L806" s="96" t="s">
        <v>231</v>
      </c>
      <c r="M806" s="96" t="s">
        <v>324</v>
      </c>
      <c r="N806" s="96" t="s">
        <v>313</v>
      </c>
      <c r="O806" s="96" t="s">
        <v>524</v>
      </c>
      <c r="P806" s="96" t="s">
        <v>338</v>
      </c>
      <c r="Q806" s="96" t="s">
        <v>2112</v>
      </c>
      <c r="R806" s="96" t="s">
        <v>430</v>
      </c>
      <c r="S806" s="96" t="s">
        <v>406</v>
      </c>
      <c r="T806" s="96" t="s">
        <v>1201</v>
      </c>
      <c r="U806" s="97">
        <v>4.58</v>
      </c>
      <c r="V806" s="100">
        <v>45672</v>
      </c>
      <c r="W806" s="98">
        <v>5.5E-2</v>
      </c>
      <c r="X806" s="98">
        <v>5.8400000000000001E-2</v>
      </c>
      <c r="Y806" s="96" t="s">
        <v>411</v>
      </c>
      <c r="Z806" s="96"/>
      <c r="AA806" s="97">
        <v>94611.986919000003</v>
      </c>
      <c r="AB806" s="97">
        <v>3.7589999999999999</v>
      </c>
      <c r="AC806" s="97">
        <v>100.94629999999999</v>
      </c>
      <c r="AD806" s="97"/>
      <c r="AE806" s="97">
        <v>359.01225699999998</v>
      </c>
      <c r="AF806" s="96"/>
      <c r="AG806" s="96"/>
      <c r="AH806" s="96"/>
      <c r="AI806" s="98">
        <v>7.4999999999999993E-5</v>
      </c>
      <c r="AJ806" s="98">
        <v>1.3439999999999999E-3</v>
      </c>
      <c r="AK806" s="98">
        <v>1.8599999999999999E-4</v>
      </c>
      <c r="AL806" s="106"/>
    </row>
    <row r="807" spans="1:38" ht="15" customHeight="1">
      <c r="A807" s="106"/>
      <c r="B807" s="96">
        <v>286</v>
      </c>
      <c r="C807" s="96">
        <v>286</v>
      </c>
      <c r="D807" s="96" t="s">
        <v>2122</v>
      </c>
      <c r="E807" s="96" t="s">
        <v>2123</v>
      </c>
      <c r="F807" s="96" t="s">
        <v>312</v>
      </c>
      <c r="G807" s="96" t="s">
        <v>2341</v>
      </c>
      <c r="H807" s="96" t="s">
        <v>2342</v>
      </c>
      <c r="I807" s="96" t="s">
        <v>320</v>
      </c>
      <c r="J807" s="96" t="s">
        <v>754</v>
      </c>
      <c r="K807" s="96" t="s">
        <v>204</v>
      </c>
      <c r="L807" s="96" t="s">
        <v>223</v>
      </c>
      <c r="M807" s="96" t="s">
        <v>324</v>
      </c>
      <c r="N807" s="96" t="s">
        <v>369</v>
      </c>
      <c r="O807" s="96" t="s">
        <v>499</v>
      </c>
      <c r="P807" s="96" t="s">
        <v>338</v>
      </c>
      <c r="Q807" s="96" t="s">
        <v>2112</v>
      </c>
      <c r="R807" s="96" t="s">
        <v>430</v>
      </c>
      <c r="S807" s="96" t="s">
        <v>406</v>
      </c>
      <c r="T807" s="96" t="s">
        <v>1201</v>
      </c>
      <c r="U807" s="97">
        <v>6.3</v>
      </c>
      <c r="V807" s="100">
        <v>48437</v>
      </c>
      <c r="W807" s="98">
        <v>5.5E-2</v>
      </c>
      <c r="X807" s="98">
        <v>5.8000000000000003E-2</v>
      </c>
      <c r="Y807" s="96" t="s">
        <v>411</v>
      </c>
      <c r="Z807" s="96"/>
      <c r="AA807" s="97">
        <v>52562.214955000003</v>
      </c>
      <c r="AB807" s="97">
        <v>3.7589999999999999</v>
      </c>
      <c r="AC807" s="97">
        <v>100.15860000000001</v>
      </c>
      <c r="AD807" s="97"/>
      <c r="AE807" s="97">
        <v>197.89475200000001</v>
      </c>
      <c r="AF807" s="96"/>
      <c r="AG807" s="96"/>
      <c r="AH807" s="96"/>
      <c r="AI807" s="98">
        <v>6.9999999999999994E-5</v>
      </c>
      <c r="AJ807" s="98">
        <v>7.4100000000000001E-4</v>
      </c>
      <c r="AK807" s="98">
        <v>1.03E-4</v>
      </c>
      <c r="AL807" s="106"/>
    </row>
    <row r="808" spans="1:38" ht="15" customHeight="1">
      <c r="A808" s="106"/>
      <c r="B808" s="96">
        <v>286</v>
      </c>
      <c r="C808" s="96">
        <v>286</v>
      </c>
      <c r="D808" s="96" t="s">
        <v>2154</v>
      </c>
      <c r="E808" s="96" t="s">
        <v>2155</v>
      </c>
      <c r="F808" s="96" t="s">
        <v>312</v>
      </c>
      <c r="G808" s="96" t="s">
        <v>2156</v>
      </c>
      <c r="H808" s="96" t="s">
        <v>2157</v>
      </c>
      <c r="I808" s="96" t="s">
        <v>320</v>
      </c>
      <c r="J808" s="96" t="s">
        <v>754</v>
      </c>
      <c r="K808" s="96" t="s">
        <v>204</v>
      </c>
      <c r="L808" s="96" t="s">
        <v>211</v>
      </c>
      <c r="M808" s="96" t="s">
        <v>324</v>
      </c>
      <c r="N808" s="96" t="s">
        <v>313</v>
      </c>
      <c r="O808" s="96" t="s">
        <v>541</v>
      </c>
      <c r="P808" s="96" t="s">
        <v>338</v>
      </c>
      <c r="Q808" s="96" t="s">
        <v>2112</v>
      </c>
      <c r="R808" s="96" t="s">
        <v>430</v>
      </c>
      <c r="S808" s="96" t="s">
        <v>406</v>
      </c>
      <c r="T808" s="96" t="s">
        <v>1202</v>
      </c>
      <c r="U808" s="97">
        <v>1.28</v>
      </c>
      <c r="V808" s="100">
        <v>45982</v>
      </c>
      <c r="W808" s="98">
        <v>4.5960000000000001E-2</v>
      </c>
      <c r="X808" s="98">
        <v>4.65E-2</v>
      </c>
      <c r="Y808" s="96" t="s">
        <v>410</v>
      </c>
      <c r="Z808" s="96"/>
      <c r="AA808" s="97">
        <v>192377.706737</v>
      </c>
      <c r="AB808" s="97">
        <v>4.0202</v>
      </c>
      <c r="AC808" s="97">
        <v>102.6919</v>
      </c>
      <c r="AD808" s="97"/>
      <c r="AE808" s="97">
        <v>794.21592599999997</v>
      </c>
      <c r="AF808" s="96"/>
      <c r="AG808" s="96"/>
      <c r="AH808" s="96"/>
      <c r="AI808" s="98">
        <v>1.92E-4</v>
      </c>
      <c r="AJ808" s="98">
        <v>2.9750000000000002E-3</v>
      </c>
      <c r="AK808" s="98">
        <v>4.1300000000000001E-4</v>
      </c>
      <c r="AL808" s="106"/>
    </row>
    <row r="809" spans="1:38" ht="15" customHeight="1">
      <c r="A809" s="106"/>
      <c r="B809" s="96">
        <v>286</v>
      </c>
      <c r="C809" s="96">
        <v>286</v>
      </c>
      <c r="D809" s="96" t="s">
        <v>2145</v>
      </c>
      <c r="E809" s="96" t="s">
        <v>2146</v>
      </c>
      <c r="F809" s="96" t="s">
        <v>312</v>
      </c>
      <c r="G809" s="96" t="s">
        <v>2210</v>
      </c>
      <c r="H809" s="96" t="s">
        <v>2211</v>
      </c>
      <c r="I809" s="96" t="s">
        <v>320</v>
      </c>
      <c r="J809" s="96" t="s">
        <v>754</v>
      </c>
      <c r="K809" s="96" t="s">
        <v>204</v>
      </c>
      <c r="L809" s="96" t="s">
        <v>232</v>
      </c>
      <c r="M809" s="96" t="s">
        <v>324</v>
      </c>
      <c r="N809" s="96" t="s">
        <v>343</v>
      </c>
      <c r="O809" s="96" t="s">
        <v>535</v>
      </c>
      <c r="P809" s="96" t="s">
        <v>338</v>
      </c>
      <c r="Q809" s="96" t="s">
        <v>2074</v>
      </c>
      <c r="R809" s="96" t="s">
        <v>432</v>
      </c>
      <c r="S809" s="96" t="s">
        <v>406</v>
      </c>
      <c r="T809" s="96" t="s">
        <v>1201</v>
      </c>
      <c r="U809" s="97">
        <v>2.75</v>
      </c>
      <c r="V809" s="100">
        <v>46974</v>
      </c>
      <c r="W809" s="98">
        <v>5.5010000000000003E-2</v>
      </c>
      <c r="X809" s="98">
        <v>5.5599999999999997E-2</v>
      </c>
      <c r="Y809" s="96" t="s">
        <v>411</v>
      </c>
      <c r="Z809" s="96"/>
      <c r="AA809" s="97">
        <v>65702.768693999999</v>
      </c>
      <c r="AB809" s="97">
        <v>3.7589999999999999</v>
      </c>
      <c r="AC809" s="97">
        <v>101.9575</v>
      </c>
      <c r="AD809" s="97"/>
      <c r="AE809" s="97">
        <v>251.81142</v>
      </c>
      <c r="AF809" s="96"/>
      <c r="AG809" s="96"/>
      <c r="AH809" s="96"/>
      <c r="AI809" s="98">
        <v>3.6999999999999998E-5</v>
      </c>
      <c r="AJ809" s="98">
        <v>9.4300000000000004E-4</v>
      </c>
      <c r="AK809" s="98">
        <v>1.3100000000000001E-4</v>
      </c>
      <c r="AL809" s="106"/>
    </row>
    <row r="810" spans="1:38" ht="15" customHeight="1">
      <c r="A810" s="106"/>
      <c r="B810" s="96">
        <v>286</v>
      </c>
      <c r="C810" s="96">
        <v>286</v>
      </c>
      <c r="D810" s="96" t="s">
        <v>2162</v>
      </c>
      <c r="E810" s="96" t="s">
        <v>2163</v>
      </c>
      <c r="F810" s="96" t="s">
        <v>312</v>
      </c>
      <c r="G810" s="96" t="s">
        <v>2220</v>
      </c>
      <c r="H810" s="96" t="s">
        <v>2221</v>
      </c>
      <c r="I810" s="96" t="s">
        <v>320</v>
      </c>
      <c r="J810" s="96" t="s">
        <v>754</v>
      </c>
      <c r="K810" s="96" t="s">
        <v>204</v>
      </c>
      <c r="L810" s="96" t="s">
        <v>223</v>
      </c>
      <c r="M810" s="96" t="s">
        <v>324</v>
      </c>
      <c r="N810" s="96" t="s">
        <v>343</v>
      </c>
      <c r="O810" s="96" t="s">
        <v>544</v>
      </c>
      <c r="P810" s="96" t="s">
        <v>338</v>
      </c>
      <c r="Q810" s="96" t="s">
        <v>2102</v>
      </c>
      <c r="R810" s="96" t="s">
        <v>422</v>
      </c>
      <c r="S810" s="96" t="s">
        <v>406</v>
      </c>
      <c r="T810" s="96" t="s">
        <v>1201</v>
      </c>
      <c r="U810" s="97">
        <v>6.14</v>
      </c>
      <c r="V810" s="100">
        <v>48274</v>
      </c>
      <c r="W810" s="98">
        <v>5.6000000000000001E-2</v>
      </c>
      <c r="X810" s="98">
        <v>5.45E-2</v>
      </c>
      <c r="Y810" s="96" t="s">
        <v>411</v>
      </c>
      <c r="Z810" s="96"/>
      <c r="AA810" s="97">
        <v>52562.214955000003</v>
      </c>
      <c r="AB810" s="97">
        <v>3.7589999999999999</v>
      </c>
      <c r="AC810" s="97">
        <v>101.3781</v>
      </c>
      <c r="AD810" s="97"/>
      <c r="AE810" s="97">
        <v>200.30425600000001</v>
      </c>
      <c r="AF810" s="96"/>
      <c r="AG810" s="96"/>
      <c r="AH810" s="96"/>
      <c r="AI810" s="98">
        <v>8.7000000000000001E-5</v>
      </c>
      <c r="AJ810" s="98">
        <v>7.5000000000000002E-4</v>
      </c>
      <c r="AK810" s="98">
        <v>1.0399999999999999E-4</v>
      </c>
      <c r="AL810" s="106"/>
    </row>
    <row r="811" spans="1:38" ht="15" customHeight="1">
      <c r="A811" s="106"/>
      <c r="B811" s="96">
        <v>286</v>
      </c>
      <c r="C811" s="96">
        <v>286</v>
      </c>
      <c r="D811" s="96" t="s">
        <v>2139</v>
      </c>
      <c r="E811" s="96" t="s">
        <v>2140</v>
      </c>
      <c r="F811" s="96" t="s">
        <v>312</v>
      </c>
      <c r="G811" s="96" t="s">
        <v>2208</v>
      </c>
      <c r="H811" s="96" t="s">
        <v>2209</v>
      </c>
      <c r="I811" s="96" t="s">
        <v>320</v>
      </c>
      <c r="J811" s="96" t="s">
        <v>754</v>
      </c>
      <c r="K811" s="96" t="s">
        <v>204</v>
      </c>
      <c r="L811" s="96" t="s">
        <v>263</v>
      </c>
      <c r="M811" s="96" t="s">
        <v>332</v>
      </c>
      <c r="N811" s="96" t="s">
        <v>313</v>
      </c>
      <c r="O811" s="96" t="s">
        <v>488</v>
      </c>
      <c r="P811" s="96" t="s">
        <v>338</v>
      </c>
      <c r="Q811" s="96" t="s">
        <v>1698</v>
      </c>
      <c r="R811" s="96" t="s">
        <v>422</v>
      </c>
      <c r="S811" s="96" t="s">
        <v>406</v>
      </c>
      <c r="T811" s="96" t="s">
        <v>1201</v>
      </c>
      <c r="U811" s="97">
        <v>5.13</v>
      </c>
      <c r="V811" s="100">
        <v>45917</v>
      </c>
      <c r="W811" s="98">
        <v>5.1999999999999998E-2</v>
      </c>
      <c r="X811" s="98">
        <v>5.9299999999999999E-2</v>
      </c>
      <c r="Y811" s="96" t="s">
        <v>411</v>
      </c>
      <c r="Z811" s="96"/>
      <c r="AA811" s="97">
        <v>16819.908785</v>
      </c>
      <c r="AB811" s="97">
        <v>3.7589999999999999</v>
      </c>
      <c r="AC811" s="97">
        <v>100.37139999999999</v>
      </c>
      <c r="AD811" s="97"/>
      <c r="AE811" s="97">
        <v>63.460895999999998</v>
      </c>
      <c r="AF811" s="96"/>
      <c r="AG811" s="96"/>
      <c r="AH811" s="96"/>
      <c r="AI811" s="98">
        <v>2.3E-5</v>
      </c>
      <c r="AJ811" s="98">
        <v>2.3699999999999999E-4</v>
      </c>
      <c r="AK811" s="98">
        <v>3.3000000000000003E-5</v>
      </c>
      <c r="AL811" s="106"/>
    </row>
    <row r="812" spans="1:38" ht="15" customHeight="1">
      <c r="A812" s="106"/>
      <c r="B812" s="96">
        <v>286</v>
      </c>
      <c r="C812" s="96">
        <v>286</v>
      </c>
      <c r="D812" s="96" t="s">
        <v>2145</v>
      </c>
      <c r="E812" s="96" t="s">
        <v>2146</v>
      </c>
      <c r="F812" s="96" t="s">
        <v>312</v>
      </c>
      <c r="G812" s="96" t="s">
        <v>2318</v>
      </c>
      <c r="H812" s="96" t="s">
        <v>2319</v>
      </c>
      <c r="I812" s="96" t="s">
        <v>320</v>
      </c>
      <c r="J812" s="96" t="s">
        <v>955</v>
      </c>
      <c r="K812" s="96" t="s">
        <v>204</v>
      </c>
      <c r="L812" s="96" t="s">
        <v>232</v>
      </c>
      <c r="M812" s="96" t="s">
        <v>324</v>
      </c>
      <c r="N812" s="96" t="s">
        <v>369</v>
      </c>
      <c r="O812" s="96" t="s">
        <v>535</v>
      </c>
      <c r="P812" s="96" t="s">
        <v>338</v>
      </c>
      <c r="Q812" s="96" t="s">
        <v>2149</v>
      </c>
      <c r="R812" s="96" t="s">
        <v>432</v>
      </c>
      <c r="S812" s="96" t="s">
        <v>406</v>
      </c>
      <c r="T812" s="96" t="s">
        <v>1205</v>
      </c>
      <c r="U812" s="97">
        <v>0.9</v>
      </c>
      <c r="V812" s="100">
        <v>45823</v>
      </c>
      <c r="W812" s="98">
        <v>7.1249999999999994E-2</v>
      </c>
      <c r="X812" s="98">
        <v>7.9100000000000004E-2</v>
      </c>
      <c r="Y812" s="96" t="s">
        <v>410</v>
      </c>
      <c r="Z812" s="96"/>
      <c r="AA812" s="97">
        <v>283835.96075999999</v>
      </c>
      <c r="AB812" s="97">
        <v>4.7504999999999997</v>
      </c>
      <c r="AC812" s="97">
        <v>99.572000000000003</v>
      </c>
      <c r="AD812" s="97"/>
      <c r="AE812" s="97">
        <v>1342.5918489999999</v>
      </c>
      <c r="AF812" s="96"/>
      <c r="AG812" s="96"/>
      <c r="AH812" s="96"/>
      <c r="AI812" s="98">
        <v>2.8299999999999999E-4</v>
      </c>
      <c r="AJ812" s="98">
        <v>5.0299999999999997E-3</v>
      </c>
      <c r="AK812" s="98">
        <v>6.9899999999999997E-4</v>
      </c>
      <c r="AL812" s="106"/>
    </row>
    <row r="813" spans="1:38" ht="15" customHeight="1">
      <c r="A813" s="106"/>
      <c r="B813" s="96">
        <v>286</v>
      </c>
      <c r="C813" s="96">
        <v>286</v>
      </c>
      <c r="D813" s="96" t="s">
        <v>2168</v>
      </c>
      <c r="E813" s="96" t="s">
        <v>2169</v>
      </c>
      <c r="F813" s="96" t="s">
        <v>312</v>
      </c>
      <c r="G813" s="96" t="s">
        <v>2237</v>
      </c>
      <c r="H813" s="96" t="s">
        <v>2238</v>
      </c>
      <c r="I813" s="96" t="s">
        <v>320</v>
      </c>
      <c r="J813" s="96" t="s">
        <v>754</v>
      </c>
      <c r="K813" s="96" t="s">
        <v>204</v>
      </c>
      <c r="L813" s="96" t="s">
        <v>237</v>
      </c>
      <c r="M813" s="96" t="s">
        <v>324</v>
      </c>
      <c r="N813" s="96" t="s">
        <v>313</v>
      </c>
      <c r="O813" s="96" t="s">
        <v>535</v>
      </c>
      <c r="P813" s="96" t="s">
        <v>338</v>
      </c>
      <c r="Q813" s="96" t="s">
        <v>2172</v>
      </c>
      <c r="R813" s="96" t="s">
        <v>430</v>
      </c>
      <c r="S813" s="96" t="s">
        <v>406</v>
      </c>
      <c r="T813" s="96" t="s">
        <v>1202</v>
      </c>
      <c r="U813" s="97">
        <v>3.09</v>
      </c>
      <c r="V813" s="100">
        <v>46722</v>
      </c>
      <c r="W813" s="98">
        <v>0.1</v>
      </c>
      <c r="X813" s="98">
        <v>7.5700000000000003E-2</v>
      </c>
      <c r="Y813" s="96" t="s">
        <v>410</v>
      </c>
      <c r="Z813" s="96"/>
      <c r="AA813" s="97">
        <v>262811.074777</v>
      </c>
      <c r="AB813" s="97">
        <v>4.0202</v>
      </c>
      <c r="AC813" s="97">
        <v>109.43940000000001</v>
      </c>
      <c r="AD813" s="97"/>
      <c r="AE813" s="97">
        <v>1156.285824</v>
      </c>
      <c r="AF813" s="96"/>
      <c r="AG813" s="96"/>
      <c r="AH813" s="96"/>
      <c r="AI813" s="98">
        <v>2.1000000000000001E-4</v>
      </c>
      <c r="AJ813" s="98">
        <v>4.3319999999999999E-3</v>
      </c>
      <c r="AK813" s="98">
        <v>6.02E-4</v>
      </c>
      <c r="AL813" s="106"/>
    </row>
    <row r="814" spans="1:38" ht="15" customHeight="1">
      <c r="A814" s="106"/>
      <c r="B814" s="96">
        <v>286</v>
      </c>
      <c r="C814" s="96">
        <v>286</v>
      </c>
      <c r="D814" s="96" t="s">
        <v>2320</v>
      </c>
      <c r="E814" s="96" t="s">
        <v>2321</v>
      </c>
      <c r="F814" s="96" t="s">
        <v>312</v>
      </c>
      <c r="G814" s="96" t="s">
        <v>2332</v>
      </c>
      <c r="H814" s="96" t="s">
        <v>2333</v>
      </c>
      <c r="I814" s="96" t="s">
        <v>320</v>
      </c>
      <c r="J814" s="96" t="s">
        <v>754</v>
      </c>
      <c r="K814" s="96" t="s">
        <v>204</v>
      </c>
      <c r="L814" s="96" t="s">
        <v>211</v>
      </c>
      <c r="M814" s="96" t="s">
        <v>324</v>
      </c>
      <c r="N814" s="96" t="s">
        <v>313</v>
      </c>
      <c r="O814" s="96" t="s">
        <v>535</v>
      </c>
      <c r="P814" s="96" t="s">
        <v>338</v>
      </c>
      <c r="Q814" s="96" t="s">
        <v>2311</v>
      </c>
      <c r="R814" s="96" t="s">
        <v>430</v>
      </c>
      <c r="S814" s="96" t="s">
        <v>406</v>
      </c>
      <c r="T814" s="96" t="s">
        <v>1202</v>
      </c>
      <c r="U814" s="97">
        <v>3.07</v>
      </c>
      <c r="V814" s="100">
        <v>46724</v>
      </c>
      <c r="W814" s="98">
        <v>4.4499999999999998E-2</v>
      </c>
      <c r="X814" s="98">
        <v>7.2599999999999998E-2</v>
      </c>
      <c r="Y814" s="96" t="s">
        <v>410</v>
      </c>
      <c r="Z814" s="96"/>
      <c r="AA814" s="97">
        <v>220761.30281299999</v>
      </c>
      <c r="AB814" s="97">
        <v>4.0202</v>
      </c>
      <c r="AC814" s="97">
        <v>91.934700000000007</v>
      </c>
      <c r="AD814" s="97"/>
      <c r="AE814" s="97">
        <v>815.92512499999998</v>
      </c>
      <c r="AF814" s="96"/>
      <c r="AG814" s="96"/>
      <c r="AH814" s="96"/>
      <c r="AI814" s="98">
        <v>2.9399999999999999E-4</v>
      </c>
      <c r="AJ814" s="98">
        <v>3.0569999999999998E-3</v>
      </c>
      <c r="AK814" s="98">
        <v>4.2400000000000001E-4</v>
      </c>
      <c r="AL814" s="106"/>
    </row>
    <row r="815" spans="1:38" ht="15" customHeight="1">
      <c r="A815" s="106"/>
      <c r="B815" s="96">
        <v>286</v>
      </c>
      <c r="C815" s="96">
        <v>286</v>
      </c>
      <c r="D815" s="96" t="s">
        <v>2145</v>
      </c>
      <c r="E815" s="96" t="s">
        <v>2146</v>
      </c>
      <c r="F815" s="96" t="s">
        <v>312</v>
      </c>
      <c r="G815" s="96" t="s">
        <v>2245</v>
      </c>
      <c r="H815" s="96" t="s">
        <v>2246</v>
      </c>
      <c r="I815" s="96" t="s">
        <v>320</v>
      </c>
      <c r="J815" s="96" t="s">
        <v>754</v>
      </c>
      <c r="K815" s="96" t="s">
        <v>204</v>
      </c>
      <c r="L815" s="96" t="s">
        <v>232</v>
      </c>
      <c r="M815" s="96" t="s">
        <v>324</v>
      </c>
      <c r="N815" s="96" t="s">
        <v>379</v>
      </c>
      <c r="O815" s="96" t="s">
        <v>535</v>
      </c>
      <c r="P815" s="96" t="s">
        <v>338</v>
      </c>
      <c r="Q815" s="96" t="s">
        <v>2247</v>
      </c>
      <c r="R815" s="96" t="s">
        <v>412</v>
      </c>
      <c r="S815" s="96" t="s">
        <v>406</v>
      </c>
      <c r="T815" s="96" t="s">
        <v>1202</v>
      </c>
      <c r="U815" s="97">
        <v>5.71</v>
      </c>
      <c r="V815" s="100">
        <v>47999</v>
      </c>
      <c r="W815" s="98">
        <v>4.9730000000000003E-2</v>
      </c>
      <c r="X815" s="98">
        <v>4.8899999999999999E-2</v>
      </c>
      <c r="Y815" s="96" t="s">
        <v>411</v>
      </c>
      <c r="Z815" s="96"/>
      <c r="AA815" s="97">
        <v>189223.97383999999</v>
      </c>
      <c r="AB815" s="97">
        <v>4.0202</v>
      </c>
      <c r="AC815" s="97">
        <v>100.86539999999999</v>
      </c>
      <c r="AD815" s="97"/>
      <c r="AE815" s="97">
        <v>767.30160100000001</v>
      </c>
      <c r="AF815" s="96"/>
      <c r="AG815" s="96"/>
      <c r="AH815" s="96"/>
      <c r="AI815" s="98">
        <v>1.26E-4</v>
      </c>
      <c r="AJ815" s="98">
        <v>2.875E-3</v>
      </c>
      <c r="AK815" s="98">
        <v>3.9899999999999999E-4</v>
      </c>
      <c r="AL815" s="106"/>
    </row>
    <row r="816" spans="1:38" ht="15" customHeight="1">
      <c r="A816" s="106"/>
      <c r="B816" s="96">
        <v>286</v>
      </c>
      <c r="C816" s="96">
        <v>286</v>
      </c>
      <c r="D816" s="96" t="s">
        <v>2158</v>
      </c>
      <c r="E816" s="96" t="s">
        <v>2159</v>
      </c>
      <c r="F816" s="96" t="s">
        <v>312</v>
      </c>
      <c r="G816" s="96" t="s">
        <v>2316</v>
      </c>
      <c r="H816" s="96" t="s">
        <v>2317</v>
      </c>
      <c r="I816" s="96" t="s">
        <v>320</v>
      </c>
      <c r="J816" s="96" t="s">
        <v>754</v>
      </c>
      <c r="K816" s="96" t="s">
        <v>204</v>
      </c>
      <c r="L816" s="96" t="s">
        <v>232</v>
      </c>
      <c r="M816" s="96" t="s">
        <v>324</v>
      </c>
      <c r="N816" s="96" t="s">
        <v>313</v>
      </c>
      <c r="O816" s="96" t="s">
        <v>535</v>
      </c>
      <c r="P816" s="96" t="s">
        <v>338</v>
      </c>
      <c r="Q816" s="96" t="s">
        <v>2074</v>
      </c>
      <c r="R816" s="96" t="s">
        <v>432</v>
      </c>
      <c r="S816" s="96" t="s">
        <v>406</v>
      </c>
      <c r="T816" s="96" t="s">
        <v>1201</v>
      </c>
      <c r="U816" s="97">
        <v>7.06</v>
      </c>
      <c r="V816" s="100">
        <v>48949</v>
      </c>
      <c r="W816" s="98">
        <v>5.679E-2</v>
      </c>
      <c r="X816" s="98">
        <v>5.7099999999999998E-2</v>
      </c>
      <c r="Y816" s="96" t="s">
        <v>411</v>
      </c>
      <c r="Z816" s="96"/>
      <c r="AA816" s="97">
        <v>105124.429911</v>
      </c>
      <c r="AB816" s="97">
        <v>3.7589999999999999</v>
      </c>
      <c r="AC816" s="97">
        <v>102.5321</v>
      </c>
      <c r="AD816" s="97"/>
      <c r="AE816" s="97">
        <v>405.16894300000001</v>
      </c>
      <c r="AF816" s="96"/>
      <c r="AG816" s="96"/>
      <c r="AH816" s="96"/>
      <c r="AI816" s="98">
        <v>5.1999999999999997E-5</v>
      </c>
      <c r="AJ816" s="98">
        <v>1.518E-3</v>
      </c>
      <c r="AK816" s="98">
        <v>2.1000000000000001E-4</v>
      </c>
      <c r="AL816" s="106"/>
    </row>
    <row r="817" spans="1:38" ht="15" customHeight="1">
      <c r="A817" s="106"/>
      <c r="B817" s="96">
        <v>286</v>
      </c>
      <c r="C817" s="96">
        <v>286</v>
      </c>
      <c r="D817" s="96" t="s">
        <v>2103</v>
      </c>
      <c r="E817" s="96" t="s">
        <v>2104</v>
      </c>
      <c r="F817" s="96" t="s">
        <v>312</v>
      </c>
      <c r="G817" s="96" t="s">
        <v>2135</v>
      </c>
      <c r="H817" s="96" t="s">
        <v>2136</v>
      </c>
      <c r="I817" s="96" t="s">
        <v>320</v>
      </c>
      <c r="J817" s="96" t="s">
        <v>754</v>
      </c>
      <c r="K817" s="96" t="s">
        <v>204</v>
      </c>
      <c r="L817" s="96" t="s">
        <v>263</v>
      </c>
      <c r="M817" s="96" t="s">
        <v>324</v>
      </c>
      <c r="N817" s="96" t="s">
        <v>313</v>
      </c>
      <c r="O817" s="96" t="s">
        <v>486</v>
      </c>
      <c r="P817" s="96" t="s">
        <v>338</v>
      </c>
      <c r="Q817" s="96" t="s">
        <v>2107</v>
      </c>
      <c r="R817" s="96" t="s">
        <v>430</v>
      </c>
      <c r="S817" s="96" t="s">
        <v>406</v>
      </c>
      <c r="T817" s="96" t="s">
        <v>1201</v>
      </c>
      <c r="U817" s="97">
        <v>4.8899999999999997</v>
      </c>
      <c r="V817" s="100">
        <v>48168</v>
      </c>
      <c r="W817" s="98">
        <v>6.7000000000000004E-2</v>
      </c>
      <c r="X817" s="98">
        <v>0.1014</v>
      </c>
      <c r="Y817" s="96" t="s">
        <v>411</v>
      </c>
      <c r="Z817" s="96"/>
      <c r="AA817" s="97">
        <v>211194.97969099999</v>
      </c>
      <c r="AB817" s="97">
        <v>3.7589999999999999</v>
      </c>
      <c r="AC817" s="97">
        <v>86.198800000000006</v>
      </c>
      <c r="AD817" s="97"/>
      <c r="AE817" s="97">
        <v>684.31740100000002</v>
      </c>
      <c r="AF817" s="96"/>
      <c r="AG817" s="96"/>
      <c r="AH817" s="96"/>
      <c r="AI817" s="98">
        <v>3.1000000000000001E-5</v>
      </c>
      <c r="AJ817" s="98">
        <v>2.5639999999999999E-3</v>
      </c>
      <c r="AK817" s="98">
        <v>3.5599999999999998E-4</v>
      </c>
      <c r="AL817" s="106"/>
    </row>
    <row r="818" spans="1:38" ht="15" customHeight="1">
      <c r="A818" s="106"/>
      <c r="B818" s="96">
        <v>286</v>
      </c>
      <c r="C818" s="96">
        <v>286</v>
      </c>
      <c r="D818" s="96" t="s">
        <v>2108</v>
      </c>
      <c r="E818" s="96" t="s">
        <v>2109</v>
      </c>
      <c r="F818" s="96" t="s">
        <v>312</v>
      </c>
      <c r="G818" s="96" t="s">
        <v>2110</v>
      </c>
      <c r="H818" s="96" t="s">
        <v>2111</v>
      </c>
      <c r="I818" s="96" t="s">
        <v>320</v>
      </c>
      <c r="J818" s="96" t="s">
        <v>754</v>
      </c>
      <c r="K818" s="96" t="s">
        <v>204</v>
      </c>
      <c r="L818" s="96" t="s">
        <v>223</v>
      </c>
      <c r="M818" s="96" t="s">
        <v>324</v>
      </c>
      <c r="N818" s="96" t="s">
        <v>313</v>
      </c>
      <c r="O818" s="96" t="s">
        <v>499</v>
      </c>
      <c r="P818" s="96" t="s">
        <v>338</v>
      </c>
      <c r="Q818" s="96" t="s">
        <v>2112</v>
      </c>
      <c r="R818" s="96" t="s">
        <v>430</v>
      </c>
      <c r="S818" s="96" t="s">
        <v>406</v>
      </c>
      <c r="T818" s="96" t="s">
        <v>1201</v>
      </c>
      <c r="U818" s="97">
        <v>3.07</v>
      </c>
      <c r="V818" s="100">
        <v>46006</v>
      </c>
      <c r="W818" s="98">
        <v>0.06</v>
      </c>
      <c r="X818" s="98">
        <v>5.91E-2</v>
      </c>
      <c r="Y818" s="96" t="s">
        <v>411</v>
      </c>
      <c r="Z818" s="96"/>
      <c r="AA818" s="97">
        <v>315373.28973299998</v>
      </c>
      <c r="AB818" s="97">
        <v>3.7589999999999999</v>
      </c>
      <c r="AC818" s="97">
        <v>100.5239</v>
      </c>
      <c r="AD818" s="97"/>
      <c r="AE818" s="97">
        <v>1191.7001540000001</v>
      </c>
      <c r="AF818" s="96"/>
      <c r="AG818" s="96"/>
      <c r="AH818" s="96"/>
      <c r="AI818" s="98">
        <v>2.1000000000000001E-4</v>
      </c>
      <c r="AJ818" s="98">
        <v>4.4650000000000002E-3</v>
      </c>
      <c r="AK818" s="98">
        <v>6.2E-4</v>
      </c>
      <c r="AL818" s="106"/>
    </row>
    <row r="819" spans="1:38" ht="15" customHeight="1">
      <c r="A819" s="106"/>
      <c r="B819" s="96">
        <v>286</v>
      </c>
      <c r="C819" s="96">
        <v>286</v>
      </c>
      <c r="D819" s="96" t="s">
        <v>2252</v>
      </c>
      <c r="E819" s="96" t="s">
        <v>2253</v>
      </c>
      <c r="F819" s="96" t="s">
        <v>312</v>
      </c>
      <c r="G819" s="96" t="s">
        <v>2278</v>
      </c>
      <c r="H819" s="96" t="s">
        <v>2279</v>
      </c>
      <c r="I819" s="96" t="s">
        <v>320</v>
      </c>
      <c r="J819" s="96" t="s">
        <v>754</v>
      </c>
      <c r="K819" s="96" t="s">
        <v>204</v>
      </c>
      <c r="L819" s="96" t="s">
        <v>231</v>
      </c>
      <c r="M819" s="96" t="s">
        <v>324</v>
      </c>
      <c r="N819" s="96" t="s">
        <v>313</v>
      </c>
      <c r="O819" s="96" t="s">
        <v>524</v>
      </c>
      <c r="P819" s="96" t="s">
        <v>338</v>
      </c>
      <c r="Q819" s="96" t="s">
        <v>1698</v>
      </c>
      <c r="R819" s="96" t="s">
        <v>422</v>
      </c>
      <c r="S819" s="96" t="s">
        <v>406</v>
      </c>
      <c r="T819" s="96" t="s">
        <v>1201</v>
      </c>
      <c r="U819" s="97">
        <v>6.26</v>
      </c>
      <c r="V819" s="100">
        <v>46402</v>
      </c>
      <c r="W819" s="98">
        <v>3.6249999999999998E-2</v>
      </c>
      <c r="X819" s="98">
        <v>5.9299999999999999E-2</v>
      </c>
      <c r="Y819" s="96" t="s">
        <v>411</v>
      </c>
      <c r="Z819" s="96"/>
      <c r="AA819" s="97">
        <v>261759.83047799999</v>
      </c>
      <c r="AB819" s="97">
        <v>3.7589999999999999</v>
      </c>
      <c r="AC819" s="97">
        <v>87.7774</v>
      </c>
      <c r="AD819" s="97"/>
      <c r="AE819" s="97">
        <v>863.69086800000002</v>
      </c>
      <c r="AF819" s="96"/>
      <c r="AG819" s="96"/>
      <c r="AH819" s="96"/>
      <c r="AI819" s="98">
        <v>2.7999999999999998E-4</v>
      </c>
      <c r="AJ819" s="98">
        <v>3.2360000000000002E-3</v>
      </c>
      <c r="AK819" s="98">
        <v>4.4900000000000002E-4</v>
      </c>
      <c r="AL819" s="106"/>
    </row>
    <row r="820" spans="1:38" ht="15" customHeight="1">
      <c r="A820" s="106"/>
      <c r="B820" s="96">
        <v>286</v>
      </c>
      <c r="C820" s="96">
        <v>286</v>
      </c>
      <c r="D820" s="96" t="s">
        <v>2248</v>
      </c>
      <c r="E820" s="96" t="s">
        <v>2249</v>
      </c>
      <c r="F820" s="96" t="s">
        <v>312</v>
      </c>
      <c r="G820" s="96" t="s">
        <v>2381</v>
      </c>
      <c r="H820" s="96" t="s">
        <v>2382</v>
      </c>
      <c r="I820" s="96" t="s">
        <v>320</v>
      </c>
      <c r="J820" s="96" t="s">
        <v>754</v>
      </c>
      <c r="K820" s="96" t="s">
        <v>204</v>
      </c>
      <c r="L820" s="96" t="s">
        <v>232</v>
      </c>
      <c r="M820" s="96" t="s">
        <v>324</v>
      </c>
      <c r="N820" s="96" t="s">
        <v>369</v>
      </c>
      <c r="O820" s="96" t="s">
        <v>549</v>
      </c>
      <c r="P820" s="96" t="s">
        <v>338</v>
      </c>
      <c r="Q820" s="96" t="s">
        <v>2090</v>
      </c>
      <c r="R820" s="96" t="s">
        <v>422</v>
      </c>
      <c r="S820" s="96" t="s">
        <v>406</v>
      </c>
      <c r="T820" s="96" t="s">
        <v>1201</v>
      </c>
      <c r="U820" s="97">
        <v>7.0000000000000007E-2</v>
      </c>
      <c r="V820" s="100">
        <v>45506</v>
      </c>
      <c r="W820" s="98">
        <v>6.25E-2</v>
      </c>
      <c r="X820" s="98">
        <v>6.5000000000000002E-2</v>
      </c>
      <c r="Y820" s="96" t="s">
        <v>410</v>
      </c>
      <c r="Z820" s="96"/>
      <c r="AA820" s="97">
        <v>157718.182195</v>
      </c>
      <c r="AB820" s="97">
        <v>3.7589999999999999</v>
      </c>
      <c r="AC820" s="97">
        <v>104.5934</v>
      </c>
      <c r="AD820" s="97"/>
      <c r="AE820" s="97">
        <v>620.09529799999996</v>
      </c>
      <c r="AF820" s="96"/>
      <c r="AG820" s="96"/>
      <c r="AH820" s="96"/>
      <c r="AI820" s="98">
        <v>1.6100000000000001E-4</v>
      </c>
      <c r="AJ820" s="98">
        <v>2.323E-3</v>
      </c>
      <c r="AK820" s="98">
        <v>3.2200000000000002E-4</v>
      </c>
      <c r="AL820" s="106"/>
    </row>
    <row r="821" spans="1:38" ht="15" customHeight="1">
      <c r="A821" s="106"/>
      <c r="B821" s="96">
        <v>286</v>
      </c>
      <c r="C821" s="96">
        <v>286</v>
      </c>
      <c r="D821" s="96" t="s">
        <v>2248</v>
      </c>
      <c r="E821" s="96" t="s">
        <v>2249</v>
      </c>
      <c r="F821" s="96" t="s">
        <v>312</v>
      </c>
      <c r="G821" s="96" t="s">
        <v>2369</v>
      </c>
      <c r="H821" s="96" t="s">
        <v>2370</v>
      </c>
      <c r="I821" s="96" t="s">
        <v>320</v>
      </c>
      <c r="J821" s="96" t="s">
        <v>754</v>
      </c>
      <c r="K821" s="96" t="s">
        <v>204</v>
      </c>
      <c r="L821" s="96" t="s">
        <v>232</v>
      </c>
      <c r="M821" s="96" t="s">
        <v>324</v>
      </c>
      <c r="N821" s="96" t="s">
        <v>369</v>
      </c>
      <c r="O821" s="96" t="s">
        <v>549</v>
      </c>
      <c r="P821" s="96" t="s">
        <v>338</v>
      </c>
      <c r="Q821" s="96" t="s">
        <v>2090</v>
      </c>
      <c r="R821" s="96" t="s">
        <v>422</v>
      </c>
      <c r="S821" s="96" t="s">
        <v>406</v>
      </c>
      <c r="T821" s="96" t="s">
        <v>1202</v>
      </c>
      <c r="U821" s="97">
        <v>5.07</v>
      </c>
      <c r="V821" s="100">
        <v>47630</v>
      </c>
      <c r="W821" s="98">
        <v>0.03</v>
      </c>
      <c r="X821" s="98">
        <v>4.87E-2</v>
      </c>
      <c r="Y821" s="96" t="s">
        <v>410</v>
      </c>
      <c r="Z821" s="96"/>
      <c r="AA821" s="97">
        <v>105124.429911</v>
      </c>
      <c r="AB821" s="97">
        <v>4.0202</v>
      </c>
      <c r="AC821" s="97">
        <v>93.113900000000001</v>
      </c>
      <c r="AD821" s="97"/>
      <c r="AE821" s="97">
        <v>393.51953500000002</v>
      </c>
      <c r="AF821" s="96"/>
      <c r="AG821" s="96"/>
      <c r="AH821" s="96"/>
      <c r="AI821" s="98">
        <v>1.05E-4</v>
      </c>
      <c r="AJ821" s="98">
        <v>1.474E-3</v>
      </c>
      <c r="AK821" s="98">
        <v>2.04E-4</v>
      </c>
      <c r="AL821" s="106"/>
    </row>
    <row r="822" spans="1:38" ht="15" customHeight="1">
      <c r="A822" s="106"/>
      <c r="B822" s="96">
        <v>286</v>
      </c>
      <c r="C822" s="96">
        <v>286</v>
      </c>
      <c r="D822" s="96" t="s">
        <v>2194</v>
      </c>
      <c r="E822" s="96" t="s">
        <v>2195</v>
      </c>
      <c r="F822" s="96" t="s">
        <v>312</v>
      </c>
      <c r="G822" s="96" t="s">
        <v>2196</v>
      </c>
      <c r="H822" s="96" t="s">
        <v>2197</v>
      </c>
      <c r="I822" s="96" t="s">
        <v>320</v>
      </c>
      <c r="J822" s="96" t="s">
        <v>754</v>
      </c>
      <c r="K822" s="96" t="s">
        <v>204</v>
      </c>
      <c r="L822" s="96" t="s">
        <v>222</v>
      </c>
      <c r="M822" s="96" t="s">
        <v>324</v>
      </c>
      <c r="N822" s="96" t="s">
        <v>313</v>
      </c>
      <c r="O822" s="96" t="s">
        <v>518</v>
      </c>
      <c r="P822" s="96" t="s">
        <v>338</v>
      </c>
      <c r="Q822" s="96" t="s">
        <v>2090</v>
      </c>
      <c r="R822" s="96" t="s">
        <v>422</v>
      </c>
      <c r="S822" s="96" t="s">
        <v>406</v>
      </c>
      <c r="T822" s="96" t="s">
        <v>1201</v>
      </c>
      <c r="U822" s="97">
        <v>5.63</v>
      </c>
      <c r="V822" s="100">
        <v>47770</v>
      </c>
      <c r="W822" s="98">
        <v>3.125E-2</v>
      </c>
      <c r="X822" s="98">
        <v>5.9799999999999999E-2</v>
      </c>
      <c r="Y822" s="96" t="s">
        <v>411</v>
      </c>
      <c r="Z822" s="96"/>
      <c r="AA822" s="97">
        <v>457764.33004700002</v>
      </c>
      <c r="AB822" s="97">
        <v>3.7589999999999999</v>
      </c>
      <c r="AC822" s="97">
        <v>86.133399999999995</v>
      </c>
      <c r="AD822" s="97"/>
      <c r="AE822" s="97">
        <v>1482.1289730000001</v>
      </c>
      <c r="AF822" s="96"/>
      <c r="AG822" s="96"/>
      <c r="AH822" s="96"/>
      <c r="AI822" s="98">
        <v>6.9800000000000005E-4</v>
      </c>
      <c r="AJ822" s="98">
        <v>5.5529999999999998E-3</v>
      </c>
      <c r="AK822" s="98">
        <v>7.7099999999999998E-4</v>
      </c>
      <c r="AL822" s="106"/>
    </row>
    <row r="823" spans="1:38" ht="15" customHeight="1">
      <c r="A823" s="106"/>
      <c r="B823" s="96">
        <v>286</v>
      </c>
      <c r="C823" s="96">
        <v>286</v>
      </c>
      <c r="D823" s="96" t="s">
        <v>2182</v>
      </c>
      <c r="E823" s="96" t="s">
        <v>2183</v>
      </c>
      <c r="F823" s="96" t="s">
        <v>312</v>
      </c>
      <c r="G823" s="96" t="s">
        <v>2184</v>
      </c>
      <c r="H823" s="96" t="s">
        <v>2185</v>
      </c>
      <c r="I823" s="96" t="s">
        <v>320</v>
      </c>
      <c r="J823" s="96" t="s">
        <v>754</v>
      </c>
      <c r="K823" s="96" t="s">
        <v>204</v>
      </c>
      <c r="L823" s="96" t="s">
        <v>244</v>
      </c>
      <c r="M823" s="96" t="s">
        <v>324</v>
      </c>
      <c r="N823" s="96" t="s">
        <v>363</v>
      </c>
      <c r="O823" s="96" t="s">
        <v>535</v>
      </c>
      <c r="P823" s="96" t="s">
        <v>338</v>
      </c>
      <c r="Q823" s="96" t="s">
        <v>2112</v>
      </c>
      <c r="R823" s="96" t="s">
        <v>430</v>
      </c>
      <c r="S823" s="96" t="s">
        <v>406</v>
      </c>
      <c r="T823" s="96" t="s">
        <v>1202</v>
      </c>
      <c r="U823" s="97">
        <v>1.41</v>
      </c>
      <c r="V823" s="100">
        <v>46020</v>
      </c>
      <c r="W823" s="98">
        <v>4.6249999999999999E-2</v>
      </c>
      <c r="X823" s="98">
        <v>5.8900000000000001E-2</v>
      </c>
      <c r="Y823" s="96" t="s">
        <v>410</v>
      </c>
      <c r="Z823" s="96"/>
      <c r="AA823" s="97">
        <v>330090.709921</v>
      </c>
      <c r="AB823" s="97">
        <v>4.0202</v>
      </c>
      <c r="AC823" s="97">
        <v>98.232799999999997</v>
      </c>
      <c r="AD823" s="97"/>
      <c r="AE823" s="97">
        <v>1303.5800119999999</v>
      </c>
      <c r="AF823" s="96"/>
      <c r="AG823" s="96"/>
      <c r="AH823" s="96"/>
      <c r="AI823" s="98">
        <v>3.3E-4</v>
      </c>
      <c r="AJ823" s="98">
        <v>4.8840000000000003E-3</v>
      </c>
      <c r="AK823" s="98">
        <v>6.78E-4</v>
      </c>
      <c r="AL823" s="106"/>
    </row>
    <row r="824" spans="1:38" ht="15" customHeight="1">
      <c r="A824" s="106"/>
      <c r="B824" s="96">
        <v>286</v>
      </c>
      <c r="C824" s="96">
        <v>286</v>
      </c>
      <c r="D824" s="96" t="s">
        <v>2353</v>
      </c>
      <c r="E824" s="96" t="s">
        <v>2354</v>
      </c>
      <c r="F824" s="96" t="s">
        <v>312</v>
      </c>
      <c r="G824" s="96" t="s">
        <v>2355</v>
      </c>
      <c r="H824" s="96" t="s">
        <v>2356</v>
      </c>
      <c r="I824" s="96" t="s">
        <v>320</v>
      </c>
      <c r="J824" s="96" t="s">
        <v>754</v>
      </c>
      <c r="K824" s="96" t="s">
        <v>204</v>
      </c>
      <c r="L824" s="96" t="s">
        <v>267</v>
      </c>
      <c r="M824" s="96" t="s">
        <v>324</v>
      </c>
      <c r="N824" s="96" t="s">
        <v>379</v>
      </c>
      <c r="O824" s="96" t="s">
        <v>515</v>
      </c>
      <c r="P824" s="96" t="s">
        <v>338</v>
      </c>
      <c r="Q824" s="96" t="s">
        <v>1698</v>
      </c>
      <c r="R824" s="96" t="s">
        <v>422</v>
      </c>
      <c r="S824" s="96" t="s">
        <v>406</v>
      </c>
      <c r="T824" s="96" t="s">
        <v>1201</v>
      </c>
      <c r="U824" s="97">
        <v>1.27</v>
      </c>
      <c r="V824" s="100">
        <v>45928</v>
      </c>
      <c r="W824" s="98">
        <v>2.1250000000000002E-2</v>
      </c>
      <c r="X824" s="98">
        <v>5.6899999999999999E-2</v>
      </c>
      <c r="Y824" s="96" t="s">
        <v>411</v>
      </c>
      <c r="Z824" s="96"/>
      <c r="AA824" s="97">
        <v>94611.986919999996</v>
      </c>
      <c r="AB824" s="97">
        <v>3.7589999999999999</v>
      </c>
      <c r="AC824" s="97">
        <v>95.879900000000006</v>
      </c>
      <c r="AD824" s="97"/>
      <c r="AE824" s="97">
        <v>340.99372499999998</v>
      </c>
      <c r="AF824" s="96"/>
      <c r="AG824" s="96"/>
      <c r="AH824" s="96"/>
      <c r="AI824" s="98">
        <v>1.26E-4</v>
      </c>
      <c r="AJ824" s="98">
        <v>1.2769999999999999E-3</v>
      </c>
      <c r="AK824" s="98">
        <v>1.7699999999999999E-4</v>
      </c>
      <c r="AL824" s="106"/>
    </row>
    <row r="825" spans="1:38" ht="15" customHeight="1">
      <c r="A825" s="106"/>
      <c r="B825" s="96">
        <v>286</v>
      </c>
      <c r="C825" s="96">
        <v>286</v>
      </c>
      <c r="D825" s="96" t="s">
        <v>2347</v>
      </c>
      <c r="E825" s="96" t="s">
        <v>2348</v>
      </c>
      <c r="F825" s="96" t="s">
        <v>312</v>
      </c>
      <c r="G825" s="96" t="s">
        <v>2357</v>
      </c>
      <c r="H825" s="96" t="s">
        <v>2358</v>
      </c>
      <c r="I825" s="96" t="s">
        <v>320</v>
      </c>
      <c r="J825" s="96" t="s">
        <v>754</v>
      </c>
      <c r="K825" s="96" t="s">
        <v>204</v>
      </c>
      <c r="L825" s="96" t="s">
        <v>232</v>
      </c>
      <c r="M825" s="96" t="s">
        <v>324</v>
      </c>
      <c r="N825" s="96" t="s">
        <v>343</v>
      </c>
      <c r="O825" s="96" t="s">
        <v>535</v>
      </c>
      <c r="P825" s="96" t="s">
        <v>338</v>
      </c>
      <c r="Q825" s="96" t="s">
        <v>2263</v>
      </c>
      <c r="R825" s="96" t="s">
        <v>430</v>
      </c>
      <c r="S825" s="96" t="s">
        <v>406</v>
      </c>
      <c r="T825" s="96" t="s">
        <v>1201</v>
      </c>
      <c r="U825" s="97">
        <v>5.29</v>
      </c>
      <c r="V825" s="100">
        <v>47638</v>
      </c>
      <c r="W825" s="98">
        <v>2.8479999999999998E-2</v>
      </c>
      <c r="X825" s="98">
        <v>5.57E-2</v>
      </c>
      <c r="Y825" s="96" t="s">
        <v>411</v>
      </c>
      <c r="Z825" s="96"/>
      <c r="AA825" s="97">
        <v>105124.429911</v>
      </c>
      <c r="AB825" s="97">
        <v>3.7589999999999999</v>
      </c>
      <c r="AC825" s="97">
        <v>86.628600000000006</v>
      </c>
      <c r="AD825" s="97"/>
      <c r="AE825" s="97">
        <v>342.32429300000001</v>
      </c>
      <c r="AF825" s="96"/>
      <c r="AG825" s="96"/>
      <c r="AH825" s="96"/>
      <c r="AI825" s="98">
        <v>6.9999999999999994E-5</v>
      </c>
      <c r="AJ825" s="98">
        <v>1.2819999999999999E-3</v>
      </c>
      <c r="AK825" s="98">
        <v>1.7799999999999999E-4</v>
      </c>
      <c r="AL825" s="106"/>
    </row>
    <row r="826" spans="1:38" ht="15" customHeight="1">
      <c r="A826" s="106"/>
      <c r="B826" s="96">
        <v>286</v>
      </c>
      <c r="C826" s="96">
        <v>286</v>
      </c>
      <c r="D826" s="96" t="s">
        <v>2295</v>
      </c>
      <c r="E826" s="96" t="s">
        <v>2296</v>
      </c>
      <c r="F826" s="96" t="s">
        <v>312</v>
      </c>
      <c r="G826" s="96" t="s">
        <v>2385</v>
      </c>
      <c r="H826" s="96" t="s">
        <v>2386</v>
      </c>
      <c r="I826" s="96" t="s">
        <v>320</v>
      </c>
      <c r="J826" s="96" t="s">
        <v>754</v>
      </c>
      <c r="K826" s="96" t="s">
        <v>204</v>
      </c>
      <c r="L826" s="96" t="s">
        <v>223</v>
      </c>
      <c r="M826" s="96" t="s">
        <v>324</v>
      </c>
      <c r="N826" s="96" t="s">
        <v>313</v>
      </c>
      <c r="O826" s="96" t="s">
        <v>539</v>
      </c>
      <c r="P826" s="96" t="s">
        <v>338</v>
      </c>
      <c r="Q826" s="96" t="s">
        <v>1698</v>
      </c>
      <c r="R826" s="96" t="s">
        <v>422</v>
      </c>
      <c r="S826" s="96" t="s">
        <v>406</v>
      </c>
      <c r="T826" s="96" t="s">
        <v>1201</v>
      </c>
      <c r="U826" s="97">
        <v>6.21</v>
      </c>
      <c r="V826" s="100">
        <v>46327</v>
      </c>
      <c r="W826" s="98">
        <v>3.6249999999999998E-2</v>
      </c>
      <c r="X826" s="98">
        <v>5.7299999999999997E-2</v>
      </c>
      <c r="Y826" s="96" t="s">
        <v>411</v>
      </c>
      <c r="Z826" s="96"/>
      <c r="AA826" s="97">
        <v>105124.429911</v>
      </c>
      <c r="AB826" s="97">
        <v>3.7589999999999999</v>
      </c>
      <c r="AC826" s="97">
        <v>88.096999999999994</v>
      </c>
      <c r="AD826" s="97"/>
      <c r="AE826" s="97">
        <v>348.12689599999999</v>
      </c>
      <c r="AF826" s="96"/>
      <c r="AG826" s="96"/>
      <c r="AH826" s="96"/>
      <c r="AI826" s="98">
        <v>1.75E-4</v>
      </c>
      <c r="AJ826" s="98">
        <v>1.304E-3</v>
      </c>
      <c r="AK826" s="98">
        <v>1.8100000000000001E-4</v>
      </c>
      <c r="AL826" s="106"/>
    </row>
    <row r="827" spans="1:38" ht="15" customHeight="1">
      <c r="A827" s="106"/>
      <c r="B827" s="96">
        <v>286</v>
      </c>
      <c r="C827" s="96">
        <v>286</v>
      </c>
      <c r="D827" s="96" t="s">
        <v>2130</v>
      </c>
      <c r="E827" s="96" t="s">
        <v>2131</v>
      </c>
      <c r="F827" s="96" t="s">
        <v>312</v>
      </c>
      <c r="G827" s="96" t="s">
        <v>2132</v>
      </c>
      <c r="H827" s="96" t="s">
        <v>2133</v>
      </c>
      <c r="I827" s="96" t="s">
        <v>320</v>
      </c>
      <c r="J827" s="96" t="s">
        <v>754</v>
      </c>
      <c r="K827" s="96" t="s">
        <v>204</v>
      </c>
      <c r="L827" s="96" t="s">
        <v>223</v>
      </c>
      <c r="M827" s="96" t="s">
        <v>324</v>
      </c>
      <c r="N827" s="96" t="s">
        <v>313</v>
      </c>
      <c r="O827" s="96" t="s">
        <v>539</v>
      </c>
      <c r="P827" s="96" t="s">
        <v>338</v>
      </c>
      <c r="Q827" s="96" t="s">
        <v>2134</v>
      </c>
      <c r="R827" s="96" t="s">
        <v>432</v>
      </c>
      <c r="S827" s="96" t="s">
        <v>406</v>
      </c>
      <c r="T827" s="96" t="s">
        <v>1201</v>
      </c>
      <c r="U827" s="97">
        <v>2.33</v>
      </c>
      <c r="V827" s="100">
        <v>46430</v>
      </c>
      <c r="W827" s="98">
        <v>4.8750000000000002E-2</v>
      </c>
      <c r="X827" s="98">
        <v>8.2900000000000001E-2</v>
      </c>
      <c r="Y827" s="96" t="s">
        <v>410</v>
      </c>
      <c r="Z827" s="96"/>
      <c r="AA827" s="97">
        <v>124046.827295</v>
      </c>
      <c r="AB827" s="97">
        <v>3.7589999999999999</v>
      </c>
      <c r="AC827" s="97">
        <v>93.973699999999994</v>
      </c>
      <c r="AD827" s="97"/>
      <c r="AE827" s="97">
        <v>438.19209999999998</v>
      </c>
      <c r="AF827" s="96"/>
      <c r="AG827" s="96"/>
      <c r="AH827" s="96"/>
      <c r="AI827" s="98">
        <v>8.2000000000000001E-5</v>
      </c>
      <c r="AJ827" s="98">
        <v>1.6410000000000001E-3</v>
      </c>
      <c r="AK827" s="98">
        <v>2.2800000000000001E-4</v>
      </c>
      <c r="AL827" s="106"/>
    </row>
    <row r="828" spans="1:38" ht="15" customHeight="1">
      <c r="A828" s="106"/>
      <c r="B828" s="96">
        <v>286</v>
      </c>
      <c r="C828" s="96">
        <v>286</v>
      </c>
      <c r="D828" s="96" t="s">
        <v>2075</v>
      </c>
      <c r="E828" s="96" t="s">
        <v>2076</v>
      </c>
      <c r="F828" s="96" t="s">
        <v>312</v>
      </c>
      <c r="G828" s="96" t="s">
        <v>2077</v>
      </c>
      <c r="H828" s="96" t="s">
        <v>2078</v>
      </c>
      <c r="I828" s="96" t="s">
        <v>320</v>
      </c>
      <c r="J828" s="96" t="s">
        <v>754</v>
      </c>
      <c r="K828" s="96" t="s">
        <v>204</v>
      </c>
      <c r="L828" s="96" t="s">
        <v>206</v>
      </c>
      <c r="M828" s="96" t="s">
        <v>324</v>
      </c>
      <c r="N828" s="96" t="s">
        <v>313</v>
      </c>
      <c r="O828" s="96" t="s">
        <v>491</v>
      </c>
      <c r="P828" s="96" t="s">
        <v>338</v>
      </c>
      <c r="Q828" s="96" t="s">
        <v>1698</v>
      </c>
      <c r="R828" s="96" t="s">
        <v>422</v>
      </c>
      <c r="S828" s="96" t="s">
        <v>406</v>
      </c>
      <c r="T828" s="96" t="s">
        <v>1201</v>
      </c>
      <c r="U828" s="97">
        <v>3.81</v>
      </c>
      <c r="V828" s="100">
        <v>47041</v>
      </c>
      <c r="W828" s="98">
        <v>0.06</v>
      </c>
      <c r="X828" s="98">
        <v>5.9700000000000003E-2</v>
      </c>
      <c r="Y828" s="96" t="s">
        <v>411</v>
      </c>
      <c r="Z828" s="96"/>
      <c r="AA828" s="97">
        <v>10617.567421</v>
      </c>
      <c r="AB828" s="97">
        <v>3.7589999999999999</v>
      </c>
      <c r="AC828" s="97">
        <v>102.81789999999999</v>
      </c>
      <c r="AD828" s="97"/>
      <c r="AE828" s="97">
        <v>41.036107000000001</v>
      </c>
      <c r="AF828" s="96"/>
      <c r="AG828" s="96"/>
      <c r="AH828" s="96"/>
      <c r="AI828" s="98">
        <v>6.0000000000000002E-6</v>
      </c>
      <c r="AJ828" s="98">
        <v>1.5300000000000001E-4</v>
      </c>
      <c r="AK828" s="98">
        <v>2.0999999999999999E-5</v>
      </c>
      <c r="AL828" s="106"/>
    </row>
    <row r="829" spans="1:38" ht="15" customHeight="1">
      <c r="A829" s="106"/>
      <c r="B829" s="96">
        <v>286</v>
      </c>
      <c r="C829" s="96">
        <v>286</v>
      </c>
      <c r="D829" s="96" t="s">
        <v>2204</v>
      </c>
      <c r="E829" s="96" t="s">
        <v>2205</v>
      </c>
      <c r="F829" s="96" t="s">
        <v>312</v>
      </c>
      <c r="G829" s="96" t="s">
        <v>2206</v>
      </c>
      <c r="H829" s="96" t="s">
        <v>2207</v>
      </c>
      <c r="I829" s="96" t="s">
        <v>320</v>
      </c>
      <c r="J829" s="96" t="s">
        <v>754</v>
      </c>
      <c r="K829" s="96" t="s">
        <v>204</v>
      </c>
      <c r="L829" s="96" t="s">
        <v>244</v>
      </c>
      <c r="M829" s="96" t="s">
        <v>324</v>
      </c>
      <c r="N829" s="96" t="s">
        <v>313</v>
      </c>
      <c r="O829" s="96" t="s">
        <v>541</v>
      </c>
      <c r="P829" s="96" t="s">
        <v>338</v>
      </c>
      <c r="Q829" s="96" t="s">
        <v>1698</v>
      </c>
      <c r="R829" s="96" t="s">
        <v>422</v>
      </c>
      <c r="S829" s="96" t="s">
        <v>406</v>
      </c>
      <c r="T829" s="96" t="s">
        <v>1201</v>
      </c>
      <c r="U829" s="97">
        <v>0.99</v>
      </c>
      <c r="V829" s="100">
        <v>45884</v>
      </c>
      <c r="W829" s="98">
        <v>5.7500000000000002E-2</v>
      </c>
      <c r="X829" s="98">
        <v>6.5500000000000003E-2</v>
      </c>
      <c r="Y829" s="96" t="s">
        <v>410</v>
      </c>
      <c r="Z829" s="96"/>
      <c r="AA829" s="97">
        <v>325885.732724</v>
      </c>
      <c r="AB829" s="97">
        <v>3.7589999999999999</v>
      </c>
      <c r="AC829" s="97">
        <v>104.1692</v>
      </c>
      <c r="AD829" s="97"/>
      <c r="AE829" s="97">
        <v>1276.0779680000001</v>
      </c>
      <c r="AF829" s="96"/>
      <c r="AG829" s="96"/>
      <c r="AH829" s="96"/>
      <c r="AI829" s="98">
        <v>4.6500000000000003E-4</v>
      </c>
      <c r="AJ829" s="98">
        <v>4.7809999999999997E-3</v>
      </c>
      <c r="AK829" s="98">
        <v>6.6399999999999999E-4</v>
      </c>
      <c r="AL829" s="106"/>
    </row>
    <row r="830" spans="1:38" ht="15" customHeight="1">
      <c r="A830" s="106"/>
      <c r="B830" s="96">
        <v>286</v>
      </c>
      <c r="C830" s="96">
        <v>286</v>
      </c>
      <c r="D830" s="96" t="s">
        <v>2139</v>
      </c>
      <c r="E830" s="96" t="s">
        <v>2140</v>
      </c>
      <c r="F830" s="96" t="s">
        <v>312</v>
      </c>
      <c r="G830" s="96" t="s">
        <v>2334</v>
      </c>
      <c r="H830" s="96" t="s">
        <v>2335</v>
      </c>
      <c r="I830" s="96" t="s">
        <v>320</v>
      </c>
      <c r="J830" s="96" t="s">
        <v>754</v>
      </c>
      <c r="K830" s="96" t="s">
        <v>204</v>
      </c>
      <c r="L830" s="96" t="s">
        <v>263</v>
      </c>
      <c r="M830" s="96" t="s">
        <v>324</v>
      </c>
      <c r="N830" s="96" t="s">
        <v>313</v>
      </c>
      <c r="O830" s="96" t="s">
        <v>488</v>
      </c>
      <c r="P830" s="96" t="s">
        <v>338</v>
      </c>
      <c r="Q830" s="96" t="s">
        <v>2134</v>
      </c>
      <c r="R830" s="96" t="s">
        <v>422</v>
      </c>
      <c r="S830" s="96" t="s">
        <v>406</v>
      </c>
      <c r="T830" s="96" t="s">
        <v>1201</v>
      </c>
      <c r="U830" s="97">
        <v>3.11</v>
      </c>
      <c r="V830" s="100">
        <v>46826</v>
      </c>
      <c r="W830" s="98">
        <v>9.1249999999999998E-2</v>
      </c>
      <c r="X830" s="98">
        <v>7.0000000000000007E-2</v>
      </c>
      <c r="Y830" s="96" t="s">
        <v>410</v>
      </c>
      <c r="Z830" s="96"/>
      <c r="AA830" s="97">
        <v>105124.429911</v>
      </c>
      <c r="AB830" s="97">
        <v>3.7589999999999999</v>
      </c>
      <c r="AC830" s="97">
        <v>107.23650000000001</v>
      </c>
      <c r="AD830" s="97"/>
      <c r="AE830" s="97">
        <v>423.75890199999998</v>
      </c>
      <c r="AF830" s="96"/>
      <c r="AG830" s="96"/>
      <c r="AH830" s="96"/>
      <c r="AI830" s="98">
        <v>1.05E-4</v>
      </c>
      <c r="AJ830" s="98">
        <v>1.5870000000000001E-3</v>
      </c>
      <c r="AK830" s="98">
        <v>2.2000000000000001E-4</v>
      </c>
      <c r="AL830" s="106"/>
    </row>
    <row r="831" spans="1:38" ht="15" customHeight="1">
      <c r="A831" s="106"/>
      <c r="B831" s="96">
        <v>286</v>
      </c>
      <c r="C831" s="96">
        <v>286</v>
      </c>
      <c r="D831" s="96" t="s">
        <v>2091</v>
      </c>
      <c r="E831" s="96" t="s">
        <v>2092</v>
      </c>
      <c r="F831" s="96" t="s">
        <v>312</v>
      </c>
      <c r="G831" s="96" t="s">
        <v>2096</v>
      </c>
      <c r="H831" s="96" t="s">
        <v>2097</v>
      </c>
      <c r="I831" s="96" t="s">
        <v>320</v>
      </c>
      <c r="J831" s="96" t="s">
        <v>754</v>
      </c>
      <c r="K831" s="96" t="s">
        <v>204</v>
      </c>
      <c r="L831" s="96" t="s">
        <v>280</v>
      </c>
      <c r="M831" s="96" t="s">
        <v>332</v>
      </c>
      <c r="N831" s="96" t="s">
        <v>363</v>
      </c>
      <c r="O831" s="96" t="s">
        <v>535</v>
      </c>
      <c r="P831" s="96" t="s">
        <v>338</v>
      </c>
      <c r="Q831" s="96" t="s">
        <v>1698</v>
      </c>
      <c r="R831" s="96" t="s">
        <v>432</v>
      </c>
      <c r="S831" s="96" t="s">
        <v>406</v>
      </c>
      <c r="T831" s="96" t="s">
        <v>1202</v>
      </c>
      <c r="U831" s="97">
        <v>4.74</v>
      </c>
      <c r="V831" s="100">
        <v>47384</v>
      </c>
      <c r="W831" s="98">
        <v>6.5000000000000002E-2</v>
      </c>
      <c r="X831" s="98">
        <v>6.4600000000000005E-2</v>
      </c>
      <c r="Y831" s="96" t="s">
        <v>410</v>
      </c>
      <c r="Z831" s="96"/>
      <c r="AA831" s="97">
        <v>3153.7328969999999</v>
      </c>
      <c r="AB831" s="97">
        <v>4.0202</v>
      </c>
      <c r="AC831" s="97">
        <v>100.31529999999999</v>
      </c>
      <c r="AD831" s="97"/>
      <c r="AE831" s="97">
        <v>12.718622999999999</v>
      </c>
      <c r="AF831" s="96"/>
      <c r="AG831" s="96"/>
      <c r="AH831" s="96"/>
      <c r="AI831" s="98">
        <v>1.9999999999999999E-6</v>
      </c>
      <c r="AJ831" s="98">
        <v>4.6999999999999997E-5</v>
      </c>
      <c r="AK831" s="98">
        <v>6.0000000000000002E-6</v>
      </c>
      <c r="AL831" s="106"/>
    </row>
    <row r="832" spans="1:38" ht="15" customHeight="1">
      <c r="A832" s="106"/>
      <c r="B832" s="96">
        <v>286</v>
      </c>
      <c r="C832" s="96">
        <v>286</v>
      </c>
      <c r="D832" s="96" t="s">
        <v>2150</v>
      </c>
      <c r="E832" s="96" t="s">
        <v>2151</v>
      </c>
      <c r="F832" s="96" t="s">
        <v>312</v>
      </c>
      <c r="G832" s="96" t="s">
        <v>2152</v>
      </c>
      <c r="H832" s="96" t="s">
        <v>2153</v>
      </c>
      <c r="I832" s="96" t="s">
        <v>320</v>
      </c>
      <c r="J832" s="96" t="s">
        <v>754</v>
      </c>
      <c r="K832" s="96" t="s">
        <v>204</v>
      </c>
      <c r="L832" s="96" t="s">
        <v>223</v>
      </c>
      <c r="M832" s="96" t="s">
        <v>324</v>
      </c>
      <c r="N832" s="96" t="s">
        <v>313</v>
      </c>
      <c r="O832" s="96" t="s">
        <v>535</v>
      </c>
      <c r="P832" s="96" t="s">
        <v>338</v>
      </c>
      <c r="Q832" s="96" t="s">
        <v>2074</v>
      </c>
      <c r="R832" s="96" t="s">
        <v>432</v>
      </c>
      <c r="S832" s="96" t="s">
        <v>406</v>
      </c>
      <c r="T832" s="96" t="s">
        <v>1201</v>
      </c>
      <c r="U832" s="97">
        <v>0.73</v>
      </c>
      <c r="V832" s="100">
        <v>45755</v>
      </c>
      <c r="W832" s="98">
        <v>3.1060000000000001E-2</v>
      </c>
      <c r="X832" s="98">
        <v>5.8400000000000001E-2</v>
      </c>
      <c r="Y832" s="96" t="s">
        <v>411</v>
      </c>
      <c r="Z832" s="96"/>
      <c r="AA832" s="97">
        <v>326936.97702300001</v>
      </c>
      <c r="AB832" s="97">
        <v>3.7589999999999999</v>
      </c>
      <c r="AC832" s="97">
        <v>98.678399999999996</v>
      </c>
      <c r="AD832" s="97"/>
      <c r="AE832" s="97">
        <v>1212.7151679999999</v>
      </c>
      <c r="AF832" s="96"/>
      <c r="AG832" s="96"/>
      <c r="AH832" s="96"/>
      <c r="AI832" s="98">
        <v>9.2999999999999997E-5</v>
      </c>
      <c r="AJ832" s="98">
        <v>4.5440000000000003E-3</v>
      </c>
      <c r="AK832" s="98">
        <v>6.3100000000000005E-4</v>
      </c>
      <c r="AL832" s="106"/>
    </row>
    <row r="833" spans="1:38" ht="15" customHeight="1">
      <c r="A833" s="106"/>
      <c r="B833" s="96">
        <v>286</v>
      </c>
      <c r="C833" s="96">
        <v>286</v>
      </c>
      <c r="D833" s="96" t="s">
        <v>2103</v>
      </c>
      <c r="E833" s="96" t="s">
        <v>2104</v>
      </c>
      <c r="F833" s="96" t="s">
        <v>312</v>
      </c>
      <c r="G833" s="96" t="s">
        <v>2231</v>
      </c>
      <c r="H833" s="96" t="s">
        <v>2232</v>
      </c>
      <c r="I833" s="96" t="s">
        <v>320</v>
      </c>
      <c r="J833" s="96" t="s">
        <v>754</v>
      </c>
      <c r="K833" s="96" t="s">
        <v>204</v>
      </c>
      <c r="L833" s="96" t="s">
        <v>263</v>
      </c>
      <c r="M833" s="96" t="s">
        <v>332</v>
      </c>
      <c r="N833" s="96" t="s">
        <v>313</v>
      </c>
      <c r="O833" s="96" t="s">
        <v>486</v>
      </c>
      <c r="P833" s="96" t="s">
        <v>338</v>
      </c>
      <c r="Q833" s="96" t="s">
        <v>2107</v>
      </c>
      <c r="R833" s="96" t="s">
        <v>430</v>
      </c>
      <c r="S833" s="96" t="s">
        <v>406</v>
      </c>
      <c r="T833" s="96" t="s">
        <v>1201</v>
      </c>
      <c r="U833" s="97">
        <v>5.47</v>
      </c>
      <c r="V833" s="100">
        <v>48525</v>
      </c>
      <c r="W833" s="98">
        <v>0.1</v>
      </c>
      <c r="X833" s="98">
        <v>9.9199999999999997E-2</v>
      </c>
      <c r="Y833" s="96" t="s">
        <v>411</v>
      </c>
      <c r="Z833" s="96"/>
      <c r="AA833" s="97">
        <v>135295.14129500001</v>
      </c>
      <c r="AB833" s="97">
        <v>3.7589999999999999</v>
      </c>
      <c r="AC833" s="97">
        <v>104.4012</v>
      </c>
      <c r="AD833" s="97"/>
      <c r="AE833" s="97">
        <v>530.95792700000004</v>
      </c>
      <c r="AF833" s="96"/>
      <c r="AG833" s="96"/>
      <c r="AH833" s="96"/>
      <c r="AI833" s="98">
        <v>6.7999999999999999E-5</v>
      </c>
      <c r="AJ833" s="98">
        <v>1.9889999999999999E-3</v>
      </c>
      <c r="AK833" s="98">
        <v>2.7599999999999999E-4</v>
      </c>
      <c r="AL833" s="106"/>
    </row>
    <row r="834" spans="1:38" ht="15" customHeight="1">
      <c r="A834" s="106"/>
      <c r="B834" s="96">
        <v>286</v>
      </c>
      <c r="C834" s="96">
        <v>286</v>
      </c>
      <c r="D834" s="96" t="s">
        <v>2182</v>
      </c>
      <c r="E834" s="96" t="s">
        <v>2183</v>
      </c>
      <c r="F834" s="96" t="s">
        <v>312</v>
      </c>
      <c r="G834" s="96" t="s">
        <v>2377</v>
      </c>
      <c r="H834" s="96" t="s">
        <v>2378</v>
      </c>
      <c r="I834" s="96" t="s">
        <v>320</v>
      </c>
      <c r="J834" s="96" t="s">
        <v>754</v>
      </c>
      <c r="K834" s="96" t="s">
        <v>204</v>
      </c>
      <c r="L834" s="96" t="s">
        <v>244</v>
      </c>
      <c r="M834" s="96" t="s">
        <v>324</v>
      </c>
      <c r="N834" s="96" t="s">
        <v>363</v>
      </c>
      <c r="O834" s="96" t="s">
        <v>535</v>
      </c>
      <c r="P834" s="96" t="s">
        <v>338</v>
      </c>
      <c r="Q834" s="96" t="s">
        <v>2112</v>
      </c>
      <c r="R834" s="96" t="s">
        <v>430</v>
      </c>
      <c r="S834" s="96" t="s">
        <v>406</v>
      </c>
      <c r="T834" s="96" t="s">
        <v>1202</v>
      </c>
      <c r="U834" s="97">
        <v>3.17</v>
      </c>
      <c r="V834" s="100">
        <v>46567</v>
      </c>
      <c r="W834" s="98">
        <v>4.3749999999999997E-2</v>
      </c>
      <c r="X834" s="98">
        <v>5.9299999999999999E-2</v>
      </c>
      <c r="Y834" s="96" t="s">
        <v>410</v>
      </c>
      <c r="Z834" s="96"/>
      <c r="AA834" s="97">
        <v>52562.214955000003</v>
      </c>
      <c r="AB834" s="97">
        <v>4.0202</v>
      </c>
      <c r="AC834" s="97">
        <v>97.360900000000001</v>
      </c>
      <c r="AD834" s="97"/>
      <c r="AE834" s="97">
        <v>205.733957</v>
      </c>
      <c r="AF834" s="96"/>
      <c r="AG834" s="96"/>
      <c r="AH834" s="96"/>
      <c r="AI834" s="98">
        <v>5.1999999999999997E-5</v>
      </c>
      <c r="AJ834" s="98">
        <v>7.6999999999999996E-4</v>
      </c>
      <c r="AK834" s="98">
        <v>1.07E-4</v>
      </c>
      <c r="AL834" s="106"/>
    </row>
    <row r="835" spans="1:38" ht="15" customHeight="1">
      <c r="A835" s="106"/>
      <c r="B835" s="96">
        <v>286</v>
      </c>
      <c r="C835" s="96">
        <v>286</v>
      </c>
      <c r="D835" s="96" t="s">
        <v>2252</v>
      </c>
      <c r="E835" s="96" t="s">
        <v>2253</v>
      </c>
      <c r="F835" s="96" t="s">
        <v>312</v>
      </c>
      <c r="G835" s="96" t="s">
        <v>2312</v>
      </c>
      <c r="H835" s="96" t="s">
        <v>2313</v>
      </c>
      <c r="I835" s="96" t="s">
        <v>320</v>
      </c>
      <c r="J835" s="96" t="s">
        <v>754</v>
      </c>
      <c r="K835" s="96" t="s">
        <v>204</v>
      </c>
      <c r="L835" s="96" t="s">
        <v>231</v>
      </c>
      <c r="M835" s="96" t="s">
        <v>324</v>
      </c>
      <c r="N835" s="96" t="s">
        <v>313</v>
      </c>
      <c r="O835" s="96" t="s">
        <v>524</v>
      </c>
      <c r="P835" s="96" t="s">
        <v>338</v>
      </c>
      <c r="Q835" s="96" t="s">
        <v>2112</v>
      </c>
      <c r="R835" s="96" t="s">
        <v>430</v>
      </c>
      <c r="S835" s="96" t="s">
        <v>406</v>
      </c>
      <c r="T835" s="96" t="s">
        <v>1201</v>
      </c>
      <c r="U835" s="97">
        <v>6.26</v>
      </c>
      <c r="V835" s="100">
        <v>46357</v>
      </c>
      <c r="W835" s="98">
        <v>3.7499999999999999E-2</v>
      </c>
      <c r="X835" s="98">
        <v>5.8599999999999999E-2</v>
      </c>
      <c r="Y835" s="96" t="s">
        <v>411</v>
      </c>
      <c r="Z835" s="96"/>
      <c r="AA835" s="97">
        <v>154333.175552</v>
      </c>
      <c r="AB835" s="97">
        <v>3.7589999999999999</v>
      </c>
      <c r="AC835" s="97">
        <v>87.757000000000005</v>
      </c>
      <c r="AD835" s="97"/>
      <c r="AE835" s="97">
        <v>509.11254500000001</v>
      </c>
      <c r="AF835" s="96"/>
      <c r="AG835" s="96"/>
      <c r="AH835" s="96"/>
      <c r="AI835" s="98">
        <v>3.1300000000000002E-4</v>
      </c>
      <c r="AJ835" s="98">
        <v>1.9070000000000001E-3</v>
      </c>
      <c r="AK835" s="98">
        <v>2.6499999999999999E-4</v>
      </c>
      <c r="AL835" s="106"/>
    </row>
    <row r="836" spans="1:38" ht="15" customHeight="1">
      <c r="A836" s="106"/>
      <c r="B836" s="96">
        <v>286</v>
      </c>
      <c r="C836" s="96">
        <v>286</v>
      </c>
      <c r="D836" s="96" t="s">
        <v>2274</v>
      </c>
      <c r="E836" s="96" t="s">
        <v>2275</v>
      </c>
      <c r="F836" s="96" t="s">
        <v>312</v>
      </c>
      <c r="G836" s="96" t="s">
        <v>2276</v>
      </c>
      <c r="H836" s="96" t="s">
        <v>2277</v>
      </c>
      <c r="I836" s="96" t="s">
        <v>320</v>
      </c>
      <c r="J836" s="96" t="s">
        <v>754</v>
      </c>
      <c r="K836" s="96" t="s">
        <v>204</v>
      </c>
      <c r="L836" s="96" t="s">
        <v>231</v>
      </c>
      <c r="M836" s="96" t="s">
        <v>324</v>
      </c>
      <c r="N836" s="96" t="s">
        <v>313</v>
      </c>
      <c r="O836" s="96" t="s">
        <v>539</v>
      </c>
      <c r="P836" s="96" t="s">
        <v>338</v>
      </c>
      <c r="Q836" s="96" t="s">
        <v>2090</v>
      </c>
      <c r="R836" s="96" t="s">
        <v>422</v>
      </c>
      <c r="S836" s="96" t="s">
        <v>406</v>
      </c>
      <c r="T836" s="96" t="s">
        <v>1201</v>
      </c>
      <c r="U836" s="97">
        <v>5.97</v>
      </c>
      <c r="V836" s="100">
        <v>48111</v>
      </c>
      <c r="W836" s="98">
        <v>4.1250000000000002E-2</v>
      </c>
      <c r="X836" s="98">
        <v>6.2899999999999998E-2</v>
      </c>
      <c r="Y836" s="96" t="s">
        <v>411</v>
      </c>
      <c r="Z836" s="96"/>
      <c r="AA836" s="97">
        <v>301707.11384499999</v>
      </c>
      <c r="AB836" s="97">
        <v>3.7589999999999999</v>
      </c>
      <c r="AC836" s="97">
        <v>88.734800000000007</v>
      </c>
      <c r="AD836" s="97"/>
      <c r="AE836" s="97">
        <v>1006.356865</v>
      </c>
      <c r="AF836" s="96"/>
      <c r="AG836" s="96"/>
      <c r="AH836" s="96"/>
      <c r="AI836" s="98">
        <v>4.3100000000000001E-4</v>
      </c>
      <c r="AJ836" s="98">
        <v>3.7699999999999999E-3</v>
      </c>
      <c r="AK836" s="98">
        <v>5.2400000000000005E-4</v>
      </c>
      <c r="AL836" s="106"/>
    </row>
    <row r="837" spans="1:38" ht="15" customHeight="1">
      <c r="A837" s="106"/>
      <c r="B837" s="96">
        <v>286</v>
      </c>
      <c r="C837" s="96">
        <v>286</v>
      </c>
      <c r="D837" s="96" t="s">
        <v>2130</v>
      </c>
      <c r="E837" s="96" t="s">
        <v>2131</v>
      </c>
      <c r="F837" s="96" t="s">
        <v>312</v>
      </c>
      <c r="G837" s="96" t="s">
        <v>2132</v>
      </c>
      <c r="H837" s="96" t="s">
        <v>2133</v>
      </c>
      <c r="I837" s="96" t="s">
        <v>320</v>
      </c>
      <c r="J837" s="96" t="s">
        <v>754</v>
      </c>
      <c r="K837" s="96" t="s">
        <v>204</v>
      </c>
      <c r="L837" s="96" t="s">
        <v>223</v>
      </c>
      <c r="M837" s="96" t="s">
        <v>332</v>
      </c>
      <c r="N837" s="96" t="s">
        <v>313</v>
      </c>
      <c r="O837" s="96" t="s">
        <v>539</v>
      </c>
      <c r="P837" s="96" t="s">
        <v>338</v>
      </c>
      <c r="Q837" s="96" t="s">
        <v>2134</v>
      </c>
      <c r="R837" s="96" t="s">
        <v>432</v>
      </c>
      <c r="S837" s="96" t="s">
        <v>406</v>
      </c>
      <c r="T837" s="96" t="s">
        <v>1201</v>
      </c>
      <c r="U837" s="97">
        <v>2.33</v>
      </c>
      <c r="V837" s="100">
        <v>46430</v>
      </c>
      <c r="W837" s="98">
        <v>4.8750000000000002E-2</v>
      </c>
      <c r="X837" s="98">
        <v>8.2900000000000001E-2</v>
      </c>
      <c r="Y837" s="96" t="s">
        <v>410</v>
      </c>
      <c r="Z837" s="96"/>
      <c r="AA837" s="97">
        <v>42049.771964</v>
      </c>
      <c r="AB837" s="97">
        <v>3.7589999999999999</v>
      </c>
      <c r="AC837" s="97">
        <v>93.973699999999994</v>
      </c>
      <c r="AD837" s="97"/>
      <c r="AE837" s="97">
        <v>148.53969499999999</v>
      </c>
      <c r="AF837" s="96"/>
      <c r="AG837" s="96"/>
      <c r="AH837" s="96"/>
      <c r="AI837" s="98">
        <v>2.8E-5</v>
      </c>
      <c r="AJ837" s="98">
        <v>5.5599999999999996E-4</v>
      </c>
      <c r="AK837" s="98">
        <v>7.7000000000000001E-5</v>
      </c>
      <c r="AL837" s="106"/>
    </row>
    <row r="838" spans="1:38" ht="15" customHeight="1">
      <c r="A838" s="106"/>
      <c r="B838" s="96">
        <v>286</v>
      </c>
      <c r="C838" s="96">
        <v>286</v>
      </c>
      <c r="D838" s="96" t="s">
        <v>2091</v>
      </c>
      <c r="E838" s="96" t="s">
        <v>2092</v>
      </c>
      <c r="F838" s="96" t="s">
        <v>312</v>
      </c>
      <c r="G838" s="96" t="s">
        <v>2280</v>
      </c>
      <c r="H838" s="96" t="s">
        <v>2281</v>
      </c>
      <c r="I838" s="96" t="s">
        <v>320</v>
      </c>
      <c r="J838" s="96" t="s">
        <v>754</v>
      </c>
      <c r="K838" s="96" t="s">
        <v>204</v>
      </c>
      <c r="L838" s="96" t="s">
        <v>280</v>
      </c>
      <c r="M838" s="96" t="s">
        <v>324</v>
      </c>
      <c r="N838" s="96" t="s">
        <v>313</v>
      </c>
      <c r="O838" s="96" t="s">
        <v>535</v>
      </c>
      <c r="P838" s="96" t="s">
        <v>338</v>
      </c>
      <c r="Q838" s="96" t="s">
        <v>2263</v>
      </c>
      <c r="R838" s="96" t="s">
        <v>430</v>
      </c>
      <c r="S838" s="96" t="s">
        <v>406</v>
      </c>
      <c r="T838" s="96" t="s">
        <v>1201</v>
      </c>
      <c r="U838" s="97">
        <v>3.86</v>
      </c>
      <c r="V838" s="100">
        <v>47128</v>
      </c>
      <c r="W838" s="98">
        <v>5.3350000000000002E-2</v>
      </c>
      <c r="X838" s="98">
        <v>5.5399999999999998E-2</v>
      </c>
      <c r="Y838" s="96" t="s">
        <v>411</v>
      </c>
      <c r="Z838" s="96"/>
      <c r="AA838" s="97">
        <v>315373.28973299998</v>
      </c>
      <c r="AB838" s="97">
        <v>3.7589999999999999</v>
      </c>
      <c r="AC838" s="97">
        <v>101.72490000000001</v>
      </c>
      <c r="AD838" s="97"/>
      <c r="AE838" s="97">
        <v>1205.9372080000001</v>
      </c>
      <c r="AF838" s="96"/>
      <c r="AG838" s="96"/>
      <c r="AH838" s="96"/>
      <c r="AI838" s="98">
        <v>3.1500000000000001E-4</v>
      </c>
      <c r="AJ838" s="98">
        <v>4.5180000000000003E-3</v>
      </c>
      <c r="AK838" s="98">
        <v>6.2799999999999998E-4</v>
      </c>
      <c r="AL838" s="106"/>
    </row>
    <row r="839" spans="1:38" ht="15" customHeight="1">
      <c r="A839" s="106"/>
      <c r="B839" s="96">
        <v>286</v>
      </c>
      <c r="C839" s="96">
        <v>286</v>
      </c>
      <c r="D839" s="96" t="s">
        <v>2259</v>
      </c>
      <c r="E839" s="96" t="s">
        <v>2260</v>
      </c>
      <c r="F839" s="96" t="s">
        <v>312</v>
      </c>
      <c r="G839" s="96" t="s">
        <v>2261</v>
      </c>
      <c r="H839" s="96" t="s">
        <v>2262</v>
      </c>
      <c r="I839" s="96" t="s">
        <v>320</v>
      </c>
      <c r="J839" s="96" t="s">
        <v>754</v>
      </c>
      <c r="K839" s="96" t="s">
        <v>204</v>
      </c>
      <c r="L839" s="96" t="s">
        <v>280</v>
      </c>
      <c r="M839" s="96" t="s">
        <v>324</v>
      </c>
      <c r="N839" s="96" t="s">
        <v>363</v>
      </c>
      <c r="O839" s="96" t="s">
        <v>486</v>
      </c>
      <c r="P839" s="96" t="s">
        <v>338</v>
      </c>
      <c r="Q839" s="96" t="s">
        <v>2263</v>
      </c>
      <c r="R839" s="96" t="s">
        <v>430</v>
      </c>
      <c r="S839" s="96" t="s">
        <v>406</v>
      </c>
      <c r="T839" s="96" t="s">
        <v>1202</v>
      </c>
      <c r="U839" s="97">
        <v>5.26</v>
      </c>
      <c r="V839" s="100">
        <v>47638</v>
      </c>
      <c r="W839" s="98">
        <v>0.02</v>
      </c>
      <c r="X839" s="98">
        <v>4.6800000000000001E-2</v>
      </c>
      <c r="Y839" s="96" t="s">
        <v>410</v>
      </c>
      <c r="Z839" s="96"/>
      <c r="AA839" s="97">
        <v>353218.084501</v>
      </c>
      <c r="AB839" s="97">
        <v>4.0202</v>
      </c>
      <c r="AC839" s="97">
        <v>88.042400000000001</v>
      </c>
      <c r="AD839" s="97"/>
      <c r="AE839" s="97">
        <v>1250.2091760000001</v>
      </c>
      <c r="AF839" s="96"/>
      <c r="AG839" s="96"/>
      <c r="AH839" s="96"/>
      <c r="AI839" s="98">
        <v>3.5300000000000002E-4</v>
      </c>
      <c r="AJ839" s="98">
        <v>4.6839999999999998E-3</v>
      </c>
      <c r="AK839" s="98">
        <v>6.5099999999999999E-4</v>
      </c>
      <c r="AL839" s="106"/>
    </row>
    <row r="840" spans="1:38" ht="15" customHeight="1">
      <c r="A840" s="106"/>
      <c r="B840" s="96">
        <v>286</v>
      </c>
      <c r="C840" s="96">
        <v>286</v>
      </c>
      <c r="D840" s="96" t="s">
        <v>2154</v>
      </c>
      <c r="E840" s="96" t="s">
        <v>2155</v>
      </c>
      <c r="F840" s="96" t="s">
        <v>312</v>
      </c>
      <c r="G840" s="96" t="s">
        <v>2345</v>
      </c>
      <c r="H840" s="96" t="s">
        <v>2346</v>
      </c>
      <c r="I840" s="96" t="s">
        <v>320</v>
      </c>
      <c r="J840" s="96" t="s">
        <v>754</v>
      </c>
      <c r="K840" s="96" t="s">
        <v>204</v>
      </c>
      <c r="L840" s="96" t="s">
        <v>211</v>
      </c>
      <c r="M840" s="96" t="s">
        <v>324</v>
      </c>
      <c r="N840" s="96" t="s">
        <v>369</v>
      </c>
      <c r="O840" s="96" t="s">
        <v>541</v>
      </c>
      <c r="P840" s="96" t="s">
        <v>338</v>
      </c>
      <c r="Q840" s="96" t="s">
        <v>2112</v>
      </c>
      <c r="R840" s="96" t="s">
        <v>430</v>
      </c>
      <c r="S840" s="96" t="s">
        <v>406</v>
      </c>
      <c r="T840" s="96" t="s">
        <v>1205</v>
      </c>
      <c r="U840" s="97">
        <v>1.78</v>
      </c>
      <c r="V840" s="100">
        <v>46189</v>
      </c>
      <c r="W840" s="98">
        <v>6.2689999999999996E-2</v>
      </c>
      <c r="X840" s="98">
        <v>5.96E-2</v>
      </c>
      <c r="Y840" s="96" t="s">
        <v>410</v>
      </c>
      <c r="Z840" s="96"/>
      <c r="AA840" s="97">
        <v>183442.130194</v>
      </c>
      <c r="AB840" s="97">
        <v>4.7504999999999997</v>
      </c>
      <c r="AC840" s="97">
        <v>100.7717</v>
      </c>
      <c r="AD840" s="97"/>
      <c r="AE840" s="97">
        <v>878.16760799999997</v>
      </c>
      <c r="AF840" s="96"/>
      <c r="AG840" s="96"/>
      <c r="AH840" s="96"/>
      <c r="AI840" s="98">
        <v>5.2400000000000005E-4</v>
      </c>
      <c r="AJ840" s="98">
        <v>3.29E-3</v>
      </c>
      <c r="AK840" s="98">
        <v>4.57E-4</v>
      </c>
      <c r="AL840" s="106"/>
    </row>
    <row r="841" spans="1:38" ht="15" customHeight="1">
      <c r="A841" s="106"/>
      <c r="B841" s="96">
        <v>286</v>
      </c>
      <c r="C841" s="96">
        <v>286</v>
      </c>
      <c r="D841" s="96" t="s">
        <v>2139</v>
      </c>
      <c r="E841" s="96" t="s">
        <v>2140</v>
      </c>
      <c r="F841" s="96" t="s">
        <v>312</v>
      </c>
      <c r="G841" s="96" t="s">
        <v>2235</v>
      </c>
      <c r="H841" s="96" t="s">
        <v>2236</v>
      </c>
      <c r="I841" s="96" t="s">
        <v>320</v>
      </c>
      <c r="J841" s="96" t="s">
        <v>754</v>
      </c>
      <c r="K841" s="96" t="s">
        <v>204</v>
      </c>
      <c r="L841" s="96" t="s">
        <v>263</v>
      </c>
      <c r="M841" s="96" t="s">
        <v>332</v>
      </c>
      <c r="N841" s="96" t="s">
        <v>313</v>
      </c>
      <c r="O841" s="96" t="s">
        <v>488</v>
      </c>
      <c r="P841" s="96" t="s">
        <v>338</v>
      </c>
      <c r="Q841" s="96" t="s">
        <v>2134</v>
      </c>
      <c r="R841" s="96" t="s">
        <v>422</v>
      </c>
      <c r="S841" s="96" t="s">
        <v>406</v>
      </c>
      <c r="T841" s="96" t="s">
        <v>1201</v>
      </c>
      <c r="U841" s="97">
        <v>1.76</v>
      </c>
      <c r="V841" s="100">
        <v>46181</v>
      </c>
      <c r="W841" s="98">
        <v>5.1249999999999997E-2</v>
      </c>
      <c r="X841" s="98">
        <v>7.2400000000000006E-2</v>
      </c>
      <c r="Y841" s="96" t="s">
        <v>410</v>
      </c>
      <c r="Z841" s="96"/>
      <c r="AA841" s="97">
        <v>7358.7100929999997</v>
      </c>
      <c r="AB841" s="97">
        <v>3.7589999999999999</v>
      </c>
      <c r="AC841" s="97">
        <v>100.43980000000001</v>
      </c>
      <c r="AD841" s="97"/>
      <c r="AE841" s="97">
        <v>27.783045999999999</v>
      </c>
      <c r="AF841" s="96"/>
      <c r="AG841" s="96"/>
      <c r="AH841" s="96"/>
      <c r="AI841" s="98">
        <v>6.9999999999999999E-6</v>
      </c>
      <c r="AJ841" s="98">
        <v>1.0399999999999999E-4</v>
      </c>
      <c r="AK841" s="98">
        <v>1.4E-5</v>
      </c>
      <c r="AL841" s="106"/>
    </row>
    <row r="842" spans="1:38" ht="15" customHeight="1">
      <c r="A842" s="106"/>
      <c r="B842" s="96">
        <v>286</v>
      </c>
      <c r="C842" s="96">
        <v>286</v>
      </c>
      <c r="D842" s="96" t="s">
        <v>2186</v>
      </c>
      <c r="E842" s="96" t="s">
        <v>2187</v>
      </c>
      <c r="F842" s="96" t="s">
        <v>312</v>
      </c>
      <c r="G842" s="96" t="s">
        <v>2188</v>
      </c>
      <c r="H842" s="96" t="s">
        <v>2189</v>
      </c>
      <c r="I842" s="96" t="s">
        <v>320</v>
      </c>
      <c r="J842" s="96" t="s">
        <v>955</v>
      </c>
      <c r="K842" s="96" t="s">
        <v>204</v>
      </c>
      <c r="L842" s="96" t="s">
        <v>271</v>
      </c>
      <c r="M842" s="96" t="s">
        <v>324</v>
      </c>
      <c r="N842" s="96" t="s">
        <v>343</v>
      </c>
      <c r="O842" s="96" t="s">
        <v>535</v>
      </c>
      <c r="P842" s="96" t="s">
        <v>338</v>
      </c>
      <c r="Q842" s="96" t="s">
        <v>2117</v>
      </c>
      <c r="R842" s="96" t="s">
        <v>430</v>
      </c>
      <c r="S842" s="96" t="s">
        <v>406</v>
      </c>
      <c r="T842" s="96" t="s">
        <v>1202</v>
      </c>
      <c r="U842" s="97">
        <v>3.48</v>
      </c>
      <c r="V842" s="100">
        <v>46703</v>
      </c>
      <c r="W842" s="98">
        <v>4.1250000000000002E-2</v>
      </c>
      <c r="X842" s="98">
        <v>7.1099999999999997E-2</v>
      </c>
      <c r="Y842" s="96" t="s">
        <v>410</v>
      </c>
      <c r="Z842" s="96"/>
      <c r="AA842" s="97">
        <v>138764.24748200001</v>
      </c>
      <c r="AB842" s="97">
        <v>4.0202</v>
      </c>
      <c r="AC842" s="97">
        <v>90.526899999999998</v>
      </c>
      <c r="AD842" s="97"/>
      <c r="AE842" s="97">
        <v>505.01394699999997</v>
      </c>
      <c r="AF842" s="96"/>
      <c r="AG842" s="96"/>
      <c r="AH842" s="96"/>
      <c r="AI842" s="98">
        <v>1.85E-4</v>
      </c>
      <c r="AJ842" s="98">
        <v>1.892E-3</v>
      </c>
      <c r="AK842" s="98">
        <v>2.6200000000000003E-4</v>
      </c>
      <c r="AL842" s="106"/>
    </row>
    <row r="843" spans="1:38" ht="15" customHeight="1">
      <c r="A843" s="106"/>
      <c r="B843" s="96">
        <v>286</v>
      </c>
      <c r="C843" s="96">
        <v>286</v>
      </c>
      <c r="D843" s="96" t="s">
        <v>2108</v>
      </c>
      <c r="E843" s="96" t="s">
        <v>2109</v>
      </c>
      <c r="F843" s="96" t="s">
        <v>312</v>
      </c>
      <c r="G843" s="96" t="s">
        <v>2363</v>
      </c>
      <c r="H843" s="96" t="s">
        <v>2364</v>
      </c>
      <c r="I843" s="96" t="s">
        <v>320</v>
      </c>
      <c r="J843" s="96" t="s">
        <v>754</v>
      </c>
      <c r="K843" s="96" t="s">
        <v>204</v>
      </c>
      <c r="L843" s="96" t="s">
        <v>223</v>
      </c>
      <c r="M843" s="96" t="s">
        <v>324</v>
      </c>
      <c r="N843" s="96" t="s">
        <v>343</v>
      </c>
      <c r="O843" s="96" t="s">
        <v>499</v>
      </c>
      <c r="P843" s="96" t="s">
        <v>338</v>
      </c>
      <c r="Q843" s="96" t="s">
        <v>2172</v>
      </c>
      <c r="R843" s="96" t="s">
        <v>430</v>
      </c>
      <c r="S843" s="96" t="s">
        <v>406</v>
      </c>
      <c r="T843" s="96" t="s">
        <v>1201</v>
      </c>
      <c r="U843" s="97">
        <v>5.59</v>
      </c>
      <c r="V843" s="100">
        <v>45884</v>
      </c>
      <c r="W843" s="98">
        <v>3.875E-2</v>
      </c>
      <c r="X843" s="98">
        <v>5.8500000000000003E-2</v>
      </c>
      <c r="Y843" s="96" t="s">
        <v>411</v>
      </c>
      <c r="Z843" s="96"/>
      <c r="AA843" s="97">
        <v>324308.86627499998</v>
      </c>
      <c r="AB843" s="97">
        <v>3.7589999999999999</v>
      </c>
      <c r="AC843" s="97">
        <v>90.718100000000007</v>
      </c>
      <c r="AD843" s="97"/>
      <c r="AE843" s="97">
        <v>1105.923822</v>
      </c>
      <c r="AF843" s="96"/>
      <c r="AG843" s="96"/>
      <c r="AH843" s="96"/>
      <c r="AI843" s="98">
        <v>2.9399999999999999E-4</v>
      </c>
      <c r="AJ843" s="98">
        <v>4.143E-3</v>
      </c>
      <c r="AK843" s="98">
        <v>5.7499999999999999E-4</v>
      </c>
      <c r="AL843" s="106"/>
    </row>
    <row r="844" spans="1:38" ht="15" customHeight="1">
      <c r="A844" s="106"/>
      <c r="B844" s="96">
        <v>286</v>
      </c>
      <c r="C844" s="96">
        <v>286</v>
      </c>
      <c r="D844" s="96" t="s">
        <v>1209</v>
      </c>
      <c r="E844" s="96">
        <v>520000522</v>
      </c>
      <c r="F844" s="96" t="s">
        <v>308</v>
      </c>
      <c r="G844" s="96" t="s">
        <v>2299</v>
      </c>
      <c r="H844" s="96" t="s">
        <v>2300</v>
      </c>
      <c r="I844" s="96" t="s">
        <v>320</v>
      </c>
      <c r="J844" s="96" t="s">
        <v>754</v>
      </c>
      <c r="K844" s="96" t="s">
        <v>204</v>
      </c>
      <c r="L844" s="96" t="s">
        <v>203</v>
      </c>
      <c r="M844" s="96" t="s">
        <v>324</v>
      </c>
      <c r="N844" s="96" t="s">
        <v>313</v>
      </c>
      <c r="O844" s="96" t="s">
        <v>535</v>
      </c>
      <c r="P844" s="96" t="s">
        <v>338</v>
      </c>
      <c r="Q844" s="96" t="s">
        <v>1698</v>
      </c>
      <c r="R844" s="96" t="s">
        <v>432</v>
      </c>
      <c r="S844" s="96" t="s">
        <v>406</v>
      </c>
      <c r="T844" s="96" t="s">
        <v>1201</v>
      </c>
      <c r="U844" s="97">
        <v>1.65</v>
      </c>
      <c r="V844" s="100">
        <v>46119</v>
      </c>
      <c r="W844" s="98">
        <v>3.0769999999999999E-2</v>
      </c>
      <c r="X844" s="98">
        <v>8.0799999999999997E-2</v>
      </c>
      <c r="Y844" s="96" t="s">
        <v>410</v>
      </c>
      <c r="Z844" s="96"/>
      <c r="AA844" s="97">
        <v>284043.31173199997</v>
      </c>
      <c r="AB844" s="97">
        <v>3.7589999999999999</v>
      </c>
      <c r="AC844" s="97">
        <v>92.632900000000006</v>
      </c>
      <c r="AD844" s="97"/>
      <c r="AE844" s="97">
        <v>989.05960800000003</v>
      </c>
      <c r="AF844" s="96"/>
      <c r="AG844" s="96"/>
      <c r="AH844" s="96"/>
      <c r="AI844" s="98">
        <v>4.73E-4</v>
      </c>
      <c r="AJ844" s="98">
        <v>3.7060000000000001E-3</v>
      </c>
      <c r="AK844" s="98">
        <v>5.1500000000000005E-4</v>
      </c>
      <c r="AL844" s="106"/>
    </row>
    <row r="845" spans="1:38" ht="15" customHeight="1">
      <c r="A845" s="106"/>
      <c r="B845" s="96">
        <v>286</v>
      </c>
      <c r="C845" s="96">
        <v>286</v>
      </c>
      <c r="D845" s="96" t="s">
        <v>2113</v>
      </c>
      <c r="E845" s="96" t="s">
        <v>2114</v>
      </c>
      <c r="F845" s="96" t="s">
        <v>312</v>
      </c>
      <c r="G845" s="96" t="s">
        <v>2229</v>
      </c>
      <c r="H845" s="96" t="s">
        <v>2230</v>
      </c>
      <c r="I845" s="96" t="s">
        <v>320</v>
      </c>
      <c r="J845" s="96" t="s">
        <v>754</v>
      </c>
      <c r="K845" s="96" t="s">
        <v>204</v>
      </c>
      <c r="L845" s="96" t="s">
        <v>223</v>
      </c>
      <c r="M845" s="96" t="s">
        <v>324</v>
      </c>
      <c r="N845" s="96" t="s">
        <v>313</v>
      </c>
      <c r="O845" s="96" t="s">
        <v>530</v>
      </c>
      <c r="P845" s="96" t="s">
        <v>338</v>
      </c>
      <c r="Q845" s="96" t="s">
        <v>2117</v>
      </c>
      <c r="R845" s="96" t="s">
        <v>430</v>
      </c>
      <c r="S845" s="96" t="s">
        <v>406</v>
      </c>
      <c r="T845" s="96" t="s">
        <v>1201</v>
      </c>
      <c r="U845" s="97">
        <v>4.71</v>
      </c>
      <c r="V845" s="100">
        <v>45641</v>
      </c>
      <c r="W845" s="98">
        <v>4.6249999999999999E-2</v>
      </c>
      <c r="X845" s="98">
        <v>5.8200000000000002E-2</v>
      </c>
      <c r="Y845" s="96" t="s">
        <v>411</v>
      </c>
      <c r="Z845" s="96"/>
      <c r="AA845" s="97">
        <v>134033.648136</v>
      </c>
      <c r="AB845" s="97">
        <v>3.7589999999999999</v>
      </c>
      <c r="AC845" s="97">
        <v>94.651700000000005</v>
      </c>
      <c r="AD845" s="97"/>
      <c r="AE845" s="97">
        <v>476.88605200000001</v>
      </c>
      <c r="AF845" s="96"/>
      <c r="AG845" s="96"/>
      <c r="AH845" s="96"/>
      <c r="AI845" s="98">
        <v>3.8000000000000002E-5</v>
      </c>
      <c r="AJ845" s="98">
        <v>1.786E-3</v>
      </c>
      <c r="AK845" s="98">
        <v>2.4800000000000001E-4</v>
      </c>
      <c r="AL845" s="106"/>
    </row>
    <row r="846" spans="1:38" ht="15" customHeight="1">
      <c r="A846" s="106"/>
      <c r="B846" s="96">
        <v>286</v>
      </c>
      <c r="C846" s="96">
        <v>286</v>
      </c>
      <c r="D846" s="96" t="s">
        <v>2347</v>
      </c>
      <c r="E846" s="96" t="s">
        <v>2348</v>
      </c>
      <c r="F846" s="96" t="s">
        <v>312</v>
      </c>
      <c r="G846" s="96" t="s">
        <v>2349</v>
      </c>
      <c r="H846" s="96" t="s">
        <v>2350</v>
      </c>
      <c r="I846" s="96" t="s">
        <v>320</v>
      </c>
      <c r="J846" s="96" t="s">
        <v>754</v>
      </c>
      <c r="K846" s="96" t="s">
        <v>204</v>
      </c>
      <c r="L846" s="96" t="s">
        <v>232</v>
      </c>
      <c r="M846" s="96" t="s">
        <v>324</v>
      </c>
      <c r="N846" s="96" t="s">
        <v>343</v>
      </c>
      <c r="O846" s="96" t="s">
        <v>535</v>
      </c>
      <c r="P846" s="96" t="s">
        <v>338</v>
      </c>
      <c r="Q846" s="96" t="s">
        <v>2074</v>
      </c>
      <c r="R846" s="96" t="s">
        <v>432</v>
      </c>
      <c r="S846" s="96" t="s">
        <v>406</v>
      </c>
      <c r="T846" s="96" t="s">
        <v>1201</v>
      </c>
      <c r="U846" s="97">
        <v>6.1</v>
      </c>
      <c r="V846" s="100">
        <v>48886</v>
      </c>
      <c r="W846" s="98">
        <v>8.1129999999999994E-2</v>
      </c>
      <c r="X846" s="98">
        <v>6.08E-2</v>
      </c>
      <c r="Y846" s="96" t="s">
        <v>411</v>
      </c>
      <c r="Z846" s="96"/>
      <c r="AA846" s="97">
        <v>105124.429911</v>
      </c>
      <c r="AB846" s="97">
        <v>3.7589999999999999</v>
      </c>
      <c r="AC846" s="97">
        <v>114.40949999999999</v>
      </c>
      <c r="AD846" s="97"/>
      <c r="AE846" s="97">
        <v>452.10393599999998</v>
      </c>
      <c r="AF846" s="96"/>
      <c r="AG846" s="96"/>
      <c r="AH846" s="96"/>
      <c r="AI846" s="98">
        <v>5.1999999999999997E-5</v>
      </c>
      <c r="AJ846" s="98">
        <v>1.694E-3</v>
      </c>
      <c r="AK846" s="98">
        <v>2.3499999999999999E-4</v>
      </c>
      <c r="AL846" s="106"/>
    </row>
    <row r="847" spans="1:38" ht="15" customHeight="1">
      <c r="A847" s="106"/>
      <c r="B847" s="96">
        <v>286</v>
      </c>
      <c r="C847" s="96">
        <v>286</v>
      </c>
      <c r="D847" s="96" t="s">
        <v>2086</v>
      </c>
      <c r="E847" s="96" t="s">
        <v>2087</v>
      </c>
      <c r="F847" s="96" t="s">
        <v>312</v>
      </c>
      <c r="G847" s="96" t="s">
        <v>2088</v>
      </c>
      <c r="H847" s="96" t="s">
        <v>2089</v>
      </c>
      <c r="I847" s="96" t="s">
        <v>320</v>
      </c>
      <c r="J847" s="96" t="s">
        <v>955</v>
      </c>
      <c r="K847" s="96" t="s">
        <v>204</v>
      </c>
      <c r="L847" s="96" t="s">
        <v>232</v>
      </c>
      <c r="M847" s="96" t="s">
        <v>324</v>
      </c>
      <c r="N847" s="96" t="s">
        <v>369</v>
      </c>
      <c r="O847" s="96" t="s">
        <v>536</v>
      </c>
      <c r="P847" s="96" t="s">
        <v>338</v>
      </c>
      <c r="Q847" s="96" t="s">
        <v>2090</v>
      </c>
      <c r="R847" s="96" t="s">
        <v>432</v>
      </c>
      <c r="S847" s="96" t="s">
        <v>406</v>
      </c>
      <c r="T847" s="96" t="s">
        <v>1205</v>
      </c>
      <c r="U847" s="97">
        <v>3.05</v>
      </c>
      <c r="V847" s="100">
        <v>46558</v>
      </c>
      <c r="W847" s="98">
        <v>5.7500000000000002E-2</v>
      </c>
      <c r="X847" s="98">
        <v>7.7200000000000005E-2</v>
      </c>
      <c r="Y847" s="96" t="s">
        <v>410</v>
      </c>
      <c r="Z847" s="96"/>
      <c r="AA847" s="97">
        <v>52562.214955000003</v>
      </c>
      <c r="AB847" s="97">
        <v>4.7504999999999997</v>
      </c>
      <c r="AC847" s="97">
        <v>94.259100000000004</v>
      </c>
      <c r="AD847" s="97"/>
      <c r="AE847" s="97">
        <v>235.36196799999999</v>
      </c>
      <c r="AF847" s="96"/>
      <c r="AG847" s="96"/>
      <c r="AH847" s="96"/>
      <c r="AI847" s="98">
        <v>6.9999999999999994E-5</v>
      </c>
      <c r="AJ847" s="98">
        <v>8.8099999999999995E-4</v>
      </c>
      <c r="AK847" s="98">
        <v>1.22E-4</v>
      </c>
      <c r="AL847" s="106"/>
    </row>
    <row r="848" spans="1:38" ht="15" customHeight="1">
      <c r="A848" s="106"/>
      <c r="B848" s="96">
        <v>286</v>
      </c>
      <c r="C848" s="96">
        <v>286</v>
      </c>
      <c r="D848" s="96" t="s">
        <v>2145</v>
      </c>
      <c r="E848" s="96" t="s">
        <v>2146</v>
      </c>
      <c r="F848" s="96" t="s">
        <v>312</v>
      </c>
      <c r="G848" s="96" t="s">
        <v>2359</v>
      </c>
      <c r="H848" s="96" t="s">
        <v>2360</v>
      </c>
      <c r="I848" s="96" t="s">
        <v>320</v>
      </c>
      <c r="J848" s="96" t="s">
        <v>754</v>
      </c>
      <c r="K848" s="96" t="s">
        <v>204</v>
      </c>
      <c r="L848" s="96" t="s">
        <v>232</v>
      </c>
      <c r="M848" s="96" t="s">
        <v>324</v>
      </c>
      <c r="N848" s="96" t="s">
        <v>343</v>
      </c>
      <c r="O848" s="96" t="s">
        <v>535</v>
      </c>
      <c r="P848" s="96" t="s">
        <v>338</v>
      </c>
      <c r="Q848" s="96" t="s">
        <v>1698</v>
      </c>
      <c r="R848" s="96" t="s">
        <v>432</v>
      </c>
      <c r="S848" s="96" t="s">
        <v>406</v>
      </c>
      <c r="T848" s="96" t="s">
        <v>1201</v>
      </c>
      <c r="U848" s="97">
        <v>6.65</v>
      </c>
      <c r="V848" s="100">
        <v>48757</v>
      </c>
      <c r="W848" s="98">
        <v>7.1190000000000003E-2</v>
      </c>
      <c r="X848" s="98">
        <v>6.2100000000000002E-2</v>
      </c>
      <c r="Y848" s="96" t="s">
        <v>411</v>
      </c>
      <c r="Z848" s="96"/>
      <c r="AA848" s="97">
        <v>105124.429911</v>
      </c>
      <c r="AB848" s="97">
        <v>3.7589999999999999</v>
      </c>
      <c r="AC848" s="97">
        <v>106.2323</v>
      </c>
      <c r="AD848" s="97"/>
      <c r="AE848" s="97">
        <v>419.79055699999998</v>
      </c>
      <c r="AF848" s="96"/>
      <c r="AG848" s="96"/>
      <c r="AH848" s="96"/>
      <c r="AI848" s="98">
        <v>6.9999999999999994E-5</v>
      </c>
      <c r="AJ848" s="98">
        <v>1.572E-3</v>
      </c>
      <c r="AK848" s="98">
        <v>2.1800000000000001E-4</v>
      </c>
      <c r="AL848" s="106"/>
    </row>
    <row r="849" spans="1:38" ht="15" customHeight="1">
      <c r="A849" s="106"/>
      <c r="B849" s="96">
        <v>286</v>
      </c>
      <c r="C849" s="96">
        <v>286</v>
      </c>
      <c r="D849" s="96" t="s">
        <v>2091</v>
      </c>
      <c r="E849" s="96" t="s">
        <v>2092</v>
      </c>
      <c r="F849" s="96" t="s">
        <v>312</v>
      </c>
      <c r="G849" s="96" t="s">
        <v>2096</v>
      </c>
      <c r="H849" s="96" t="s">
        <v>2097</v>
      </c>
      <c r="I849" s="96" t="s">
        <v>320</v>
      </c>
      <c r="J849" s="96" t="s">
        <v>754</v>
      </c>
      <c r="K849" s="96" t="s">
        <v>204</v>
      </c>
      <c r="L849" s="96" t="s">
        <v>280</v>
      </c>
      <c r="M849" s="96" t="s">
        <v>324</v>
      </c>
      <c r="N849" s="96" t="s">
        <v>363</v>
      </c>
      <c r="O849" s="96" t="s">
        <v>535</v>
      </c>
      <c r="P849" s="96" t="s">
        <v>338</v>
      </c>
      <c r="Q849" s="96" t="s">
        <v>1698</v>
      </c>
      <c r="R849" s="96" t="s">
        <v>432</v>
      </c>
      <c r="S849" s="96" t="s">
        <v>406</v>
      </c>
      <c r="T849" s="96" t="s">
        <v>1202</v>
      </c>
      <c r="U849" s="97">
        <v>4.74</v>
      </c>
      <c r="V849" s="100">
        <v>47384</v>
      </c>
      <c r="W849" s="98">
        <v>6.5000000000000002E-2</v>
      </c>
      <c r="X849" s="98">
        <v>6.4600000000000005E-2</v>
      </c>
      <c r="Y849" s="96" t="s">
        <v>410</v>
      </c>
      <c r="Z849" s="96"/>
      <c r="AA849" s="97">
        <v>76740.833834999998</v>
      </c>
      <c r="AB849" s="97">
        <v>4.0202</v>
      </c>
      <c r="AC849" s="97">
        <v>100.31529999999999</v>
      </c>
      <c r="AD849" s="97"/>
      <c r="AE849" s="97">
        <v>309.48651699999999</v>
      </c>
      <c r="AF849" s="96"/>
      <c r="AG849" s="96"/>
      <c r="AH849" s="96"/>
      <c r="AI849" s="98">
        <v>6.0999999999999999E-5</v>
      </c>
      <c r="AJ849" s="98">
        <v>1.1590000000000001E-3</v>
      </c>
      <c r="AK849" s="98">
        <v>1.6100000000000001E-4</v>
      </c>
      <c r="AL849" s="106"/>
    </row>
    <row r="850" spans="1:38" ht="15" customHeight="1">
      <c r="A850" s="106"/>
      <c r="B850" s="96">
        <v>286</v>
      </c>
      <c r="C850" s="96">
        <v>286</v>
      </c>
      <c r="D850" s="96" t="s">
        <v>2139</v>
      </c>
      <c r="E850" s="96" t="s">
        <v>2140</v>
      </c>
      <c r="F850" s="96" t="s">
        <v>312</v>
      </c>
      <c r="G850" s="96" t="s">
        <v>2208</v>
      </c>
      <c r="H850" s="96" t="s">
        <v>2209</v>
      </c>
      <c r="I850" s="96" t="s">
        <v>320</v>
      </c>
      <c r="J850" s="96" t="s">
        <v>754</v>
      </c>
      <c r="K850" s="96" t="s">
        <v>204</v>
      </c>
      <c r="L850" s="96" t="s">
        <v>263</v>
      </c>
      <c r="M850" s="96" t="s">
        <v>324</v>
      </c>
      <c r="N850" s="96" t="s">
        <v>313</v>
      </c>
      <c r="O850" s="96" t="s">
        <v>488</v>
      </c>
      <c r="P850" s="96" t="s">
        <v>338</v>
      </c>
      <c r="Q850" s="96" t="s">
        <v>1698</v>
      </c>
      <c r="R850" s="96" t="s">
        <v>422</v>
      </c>
      <c r="S850" s="96" t="s">
        <v>406</v>
      </c>
      <c r="T850" s="96" t="s">
        <v>1201</v>
      </c>
      <c r="U850" s="97">
        <v>5.13</v>
      </c>
      <c r="V850" s="100">
        <v>45917</v>
      </c>
      <c r="W850" s="98">
        <v>5.1999999999999998E-2</v>
      </c>
      <c r="X850" s="98">
        <v>5.9299999999999999E-2</v>
      </c>
      <c r="Y850" s="96" t="s">
        <v>411</v>
      </c>
      <c r="Z850" s="96"/>
      <c r="AA850" s="97">
        <v>56767.192152000003</v>
      </c>
      <c r="AB850" s="97">
        <v>3.7589999999999999</v>
      </c>
      <c r="AC850" s="97">
        <v>100.37139999999999</v>
      </c>
      <c r="AD850" s="97"/>
      <c r="AE850" s="97">
        <v>214.18052499999999</v>
      </c>
      <c r="AF850" s="96"/>
      <c r="AG850" s="96"/>
      <c r="AH850" s="96"/>
      <c r="AI850" s="98">
        <v>7.8999999999999996E-5</v>
      </c>
      <c r="AJ850" s="98">
        <v>8.0199999999999998E-4</v>
      </c>
      <c r="AK850" s="98">
        <v>1.11E-4</v>
      </c>
      <c r="AL850" s="106"/>
    </row>
    <row r="851" spans="1:38" ht="15" customHeight="1">
      <c r="A851" s="106"/>
      <c r="B851" s="96">
        <v>286</v>
      </c>
      <c r="C851" s="96">
        <v>286</v>
      </c>
      <c r="D851" s="96" t="s">
        <v>2204</v>
      </c>
      <c r="E851" s="96" t="s">
        <v>2205</v>
      </c>
      <c r="F851" s="96" t="s">
        <v>312</v>
      </c>
      <c r="G851" s="96" t="s">
        <v>2212</v>
      </c>
      <c r="H851" s="96" t="s">
        <v>2213</v>
      </c>
      <c r="I851" s="96" t="s">
        <v>320</v>
      </c>
      <c r="J851" s="96" t="s">
        <v>754</v>
      </c>
      <c r="K851" s="96" t="s">
        <v>204</v>
      </c>
      <c r="L851" s="96" t="s">
        <v>244</v>
      </c>
      <c r="M851" s="96" t="s">
        <v>332</v>
      </c>
      <c r="N851" s="96" t="s">
        <v>313</v>
      </c>
      <c r="O851" s="96" t="s">
        <v>541</v>
      </c>
      <c r="P851" s="96" t="s">
        <v>338</v>
      </c>
      <c r="Q851" s="96" t="s">
        <v>1698</v>
      </c>
      <c r="R851" s="96" t="s">
        <v>422</v>
      </c>
      <c r="S851" s="96" t="s">
        <v>406</v>
      </c>
      <c r="T851" s="96" t="s">
        <v>1201</v>
      </c>
      <c r="U851" s="97">
        <v>2.64</v>
      </c>
      <c r="V851" s="100">
        <v>46614</v>
      </c>
      <c r="W851" s="98">
        <v>5.6250000000000001E-2</v>
      </c>
      <c r="X851" s="98">
        <v>6.1400000000000003E-2</v>
      </c>
      <c r="Y851" s="96" t="s">
        <v>410</v>
      </c>
      <c r="Z851" s="96"/>
      <c r="AA851" s="97">
        <v>2102.4885979999999</v>
      </c>
      <c r="AB851" s="97">
        <v>3.7589999999999999</v>
      </c>
      <c r="AC851" s="97">
        <v>103.4738</v>
      </c>
      <c r="AD851" s="97"/>
      <c r="AE851" s="97">
        <v>8.1778030000000008</v>
      </c>
      <c r="AF851" s="96"/>
      <c r="AG851" s="96"/>
      <c r="AH851" s="96"/>
      <c r="AI851" s="98">
        <v>1.9999999999999999E-6</v>
      </c>
      <c r="AJ851" s="98">
        <v>3.0000000000000001E-5</v>
      </c>
      <c r="AK851" s="98">
        <v>3.9999999999999998E-6</v>
      </c>
      <c r="AL851" s="106"/>
    </row>
    <row r="852" spans="1:38" ht="15" customHeight="1">
      <c r="A852" s="106"/>
      <c r="B852" s="96">
        <v>286</v>
      </c>
      <c r="C852" s="96">
        <v>286</v>
      </c>
      <c r="D852" s="96" t="s">
        <v>2347</v>
      </c>
      <c r="E852" s="96" t="s">
        <v>2348</v>
      </c>
      <c r="F852" s="96" t="s">
        <v>312</v>
      </c>
      <c r="G852" s="96" t="s">
        <v>2351</v>
      </c>
      <c r="H852" s="96" t="s">
        <v>2352</v>
      </c>
      <c r="I852" s="96" t="s">
        <v>320</v>
      </c>
      <c r="J852" s="96" t="s">
        <v>754</v>
      </c>
      <c r="K852" s="96" t="s">
        <v>204</v>
      </c>
      <c r="L852" s="96" t="s">
        <v>232</v>
      </c>
      <c r="M852" s="96" t="s">
        <v>324</v>
      </c>
      <c r="N852" s="96" t="s">
        <v>343</v>
      </c>
      <c r="O852" s="96" t="s">
        <v>535</v>
      </c>
      <c r="P852" s="96" t="s">
        <v>338</v>
      </c>
      <c r="Q852" s="96" t="s">
        <v>2263</v>
      </c>
      <c r="R852" s="96" t="s">
        <v>430</v>
      </c>
      <c r="S852" s="96" t="s">
        <v>406</v>
      </c>
      <c r="T852" s="96" t="s">
        <v>1201</v>
      </c>
      <c r="U852" s="97">
        <v>4.33</v>
      </c>
      <c r="V852" s="100">
        <v>47625</v>
      </c>
      <c r="W852" s="98">
        <v>3.9730000000000001E-2</v>
      </c>
      <c r="X852" s="98">
        <v>5.5100000000000003E-2</v>
      </c>
      <c r="Y852" s="96" t="s">
        <v>411</v>
      </c>
      <c r="Z852" s="96"/>
      <c r="AA852" s="97">
        <v>147174.201875</v>
      </c>
      <c r="AB852" s="97">
        <v>3.7589999999999999</v>
      </c>
      <c r="AC852" s="97">
        <v>93.898399999999995</v>
      </c>
      <c r="AD852" s="97"/>
      <c r="AE852" s="97">
        <v>519.47261300000002</v>
      </c>
      <c r="AF852" s="96"/>
      <c r="AG852" s="96"/>
      <c r="AH852" s="96"/>
      <c r="AI852" s="98">
        <v>4.8999999999999998E-5</v>
      </c>
      <c r="AJ852" s="98">
        <v>1.946E-3</v>
      </c>
      <c r="AK852" s="98">
        <v>2.7E-4</v>
      </c>
      <c r="AL852" s="106"/>
    </row>
    <row r="853" spans="1:38" ht="15" customHeight="1">
      <c r="A853" s="106"/>
      <c r="B853" s="96">
        <v>286</v>
      </c>
      <c r="C853" s="96">
        <v>286</v>
      </c>
      <c r="D853" s="96" t="s">
        <v>2178</v>
      </c>
      <c r="E853" s="96" t="s">
        <v>2179</v>
      </c>
      <c r="F853" s="96" t="s">
        <v>312</v>
      </c>
      <c r="G853" s="96" t="s">
        <v>2180</v>
      </c>
      <c r="H853" s="96" t="s">
        <v>2181</v>
      </c>
      <c r="I853" s="96" t="s">
        <v>320</v>
      </c>
      <c r="J853" s="96" t="s">
        <v>754</v>
      </c>
      <c r="K853" s="96" t="s">
        <v>204</v>
      </c>
      <c r="L853" s="96" t="s">
        <v>211</v>
      </c>
      <c r="M853" s="96" t="s">
        <v>324</v>
      </c>
      <c r="N853" s="96" t="s">
        <v>313</v>
      </c>
      <c r="O853" s="96" t="s">
        <v>535</v>
      </c>
      <c r="P853" s="96" t="s">
        <v>338</v>
      </c>
      <c r="Q853" s="96" t="s">
        <v>2149</v>
      </c>
      <c r="R853" s="96" t="s">
        <v>422</v>
      </c>
      <c r="S853" s="96" t="s">
        <v>406</v>
      </c>
      <c r="T853" s="96" t="s">
        <v>1202</v>
      </c>
      <c r="U853" s="97">
        <v>5.61</v>
      </c>
      <c r="V853" s="100">
        <v>48092</v>
      </c>
      <c r="W853" s="98">
        <v>5.8749999999999997E-2</v>
      </c>
      <c r="X853" s="98">
        <v>6.6500000000000004E-2</v>
      </c>
      <c r="Y853" s="96" t="s">
        <v>410</v>
      </c>
      <c r="Z853" s="96"/>
      <c r="AA853" s="97">
        <v>60236.298339000001</v>
      </c>
      <c r="AB853" s="97">
        <v>4.0202</v>
      </c>
      <c r="AC853" s="97">
        <v>100.5625</v>
      </c>
      <c r="AD853" s="97"/>
      <c r="AE853" s="97">
        <v>243.52427399999999</v>
      </c>
      <c r="AF853" s="96"/>
      <c r="AG853" s="96"/>
      <c r="AH853" s="96"/>
      <c r="AI853" s="98">
        <v>8.0000000000000007E-5</v>
      </c>
      <c r="AJ853" s="98">
        <v>9.1200000000000005E-4</v>
      </c>
      <c r="AK853" s="98">
        <v>1.26E-4</v>
      </c>
      <c r="AL853" s="106"/>
    </row>
    <row r="854" spans="1:38" ht="15" customHeight="1">
      <c r="A854" s="106"/>
      <c r="B854" s="96">
        <v>286</v>
      </c>
      <c r="C854" s="96">
        <v>286</v>
      </c>
      <c r="D854" s="96" t="s">
        <v>2150</v>
      </c>
      <c r="E854" s="96" t="s">
        <v>2151</v>
      </c>
      <c r="F854" s="96" t="s">
        <v>312</v>
      </c>
      <c r="G854" s="96" t="s">
        <v>2379</v>
      </c>
      <c r="H854" s="96" t="s">
        <v>2380</v>
      </c>
      <c r="I854" s="96" t="s">
        <v>320</v>
      </c>
      <c r="J854" s="96" t="s">
        <v>754</v>
      </c>
      <c r="K854" s="96" t="s">
        <v>204</v>
      </c>
      <c r="L854" s="96" t="s">
        <v>223</v>
      </c>
      <c r="M854" s="96" t="s">
        <v>324</v>
      </c>
      <c r="N854" s="96" t="s">
        <v>313</v>
      </c>
      <c r="O854" s="96" t="s">
        <v>535</v>
      </c>
      <c r="P854" s="96" t="s">
        <v>338</v>
      </c>
      <c r="Q854" s="96" t="s">
        <v>2074</v>
      </c>
      <c r="R854" s="96" t="s">
        <v>432</v>
      </c>
      <c r="S854" s="96" t="s">
        <v>406</v>
      </c>
      <c r="T854" s="96" t="s">
        <v>1201</v>
      </c>
      <c r="U854" s="97">
        <v>4.92</v>
      </c>
      <c r="V854" s="100">
        <v>47938</v>
      </c>
      <c r="W854" s="98">
        <v>4.4119999999999999E-2</v>
      </c>
      <c r="X854" s="98">
        <v>5.3900000000000003E-2</v>
      </c>
      <c r="Y854" s="96" t="s">
        <v>411</v>
      </c>
      <c r="Z854" s="96"/>
      <c r="AA854" s="97">
        <v>52562.214955000003</v>
      </c>
      <c r="AB854" s="97">
        <v>3.7589999999999999</v>
      </c>
      <c r="AC854" s="97">
        <v>96.286000000000001</v>
      </c>
      <c r="AD854" s="97"/>
      <c r="AE854" s="97">
        <v>190.24319399999999</v>
      </c>
      <c r="AF854" s="96"/>
      <c r="AG854" s="96"/>
      <c r="AH854" s="96"/>
      <c r="AI854" s="98">
        <v>1.2999999999999999E-5</v>
      </c>
      <c r="AJ854" s="98">
        <v>7.1199999999999996E-4</v>
      </c>
      <c r="AK854" s="98">
        <v>9.8999999999999994E-5</v>
      </c>
      <c r="AL854" s="106"/>
    </row>
    <row r="855" spans="1:38" ht="15" customHeight="1">
      <c r="A855" s="106"/>
      <c r="B855" s="96">
        <v>286</v>
      </c>
      <c r="C855" s="96">
        <v>286</v>
      </c>
      <c r="D855" s="96" t="s">
        <v>2113</v>
      </c>
      <c r="E855" s="96" t="s">
        <v>2114</v>
      </c>
      <c r="F855" s="96" t="s">
        <v>312</v>
      </c>
      <c r="G855" s="96" t="s">
        <v>2115</v>
      </c>
      <c r="H855" s="96" t="s">
        <v>2116</v>
      </c>
      <c r="I855" s="96" t="s">
        <v>320</v>
      </c>
      <c r="J855" s="96" t="s">
        <v>754</v>
      </c>
      <c r="K855" s="96" t="s">
        <v>204</v>
      </c>
      <c r="L855" s="96" t="s">
        <v>223</v>
      </c>
      <c r="M855" s="96" t="s">
        <v>324</v>
      </c>
      <c r="N855" s="96" t="s">
        <v>343</v>
      </c>
      <c r="O855" s="96" t="s">
        <v>530</v>
      </c>
      <c r="P855" s="96" t="s">
        <v>338</v>
      </c>
      <c r="Q855" s="96" t="s">
        <v>2117</v>
      </c>
      <c r="R855" s="96" t="s">
        <v>430</v>
      </c>
      <c r="S855" s="96" t="s">
        <v>406</v>
      </c>
      <c r="T855" s="96" t="s">
        <v>1201</v>
      </c>
      <c r="U855" s="97">
        <v>6.16</v>
      </c>
      <c r="V855" s="100">
        <v>47969</v>
      </c>
      <c r="W855" s="98">
        <v>2.6249999999999999E-2</v>
      </c>
      <c r="X855" s="98">
        <v>5.8200000000000002E-2</v>
      </c>
      <c r="Y855" s="96" t="s">
        <v>411</v>
      </c>
      <c r="Z855" s="96"/>
      <c r="AA855" s="97">
        <v>52562.214955000003</v>
      </c>
      <c r="AB855" s="97">
        <v>3.7589999999999999</v>
      </c>
      <c r="AC855" s="97">
        <v>82.716399999999993</v>
      </c>
      <c r="AD855" s="97"/>
      <c r="AE855" s="97">
        <v>163.43230800000001</v>
      </c>
      <c r="AF855" s="96"/>
      <c r="AG855" s="96"/>
      <c r="AH855" s="96"/>
      <c r="AI855" s="98">
        <v>4.0000000000000003E-5</v>
      </c>
      <c r="AJ855" s="98">
        <v>6.1200000000000002E-4</v>
      </c>
      <c r="AK855" s="98">
        <v>8.5000000000000006E-5</v>
      </c>
      <c r="AL855" s="106"/>
    </row>
    <row r="856" spans="1:38" ht="15" customHeight="1">
      <c r="A856" s="106"/>
      <c r="B856" s="96">
        <v>286</v>
      </c>
      <c r="C856" s="96">
        <v>286</v>
      </c>
      <c r="D856" s="96" t="s">
        <v>2371</v>
      </c>
      <c r="E856" s="96" t="s">
        <v>2372</v>
      </c>
      <c r="F856" s="96" t="s">
        <v>312</v>
      </c>
      <c r="G856" s="96" t="s">
        <v>2373</v>
      </c>
      <c r="H856" s="96" t="s">
        <v>2374</v>
      </c>
      <c r="I856" s="96" t="s">
        <v>320</v>
      </c>
      <c r="J856" s="96" t="s">
        <v>754</v>
      </c>
      <c r="K856" s="96" t="s">
        <v>204</v>
      </c>
      <c r="L856" s="96" t="s">
        <v>280</v>
      </c>
      <c r="M856" s="96" t="s">
        <v>324</v>
      </c>
      <c r="N856" s="96" t="s">
        <v>367</v>
      </c>
      <c r="O856" s="96" t="s">
        <v>541</v>
      </c>
      <c r="P856" s="96" t="s">
        <v>338</v>
      </c>
      <c r="Q856" s="96" t="s">
        <v>2258</v>
      </c>
      <c r="R856" s="96" t="s">
        <v>432</v>
      </c>
      <c r="S856" s="96" t="s">
        <v>406</v>
      </c>
      <c r="T856" s="96" t="s">
        <v>1202</v>
      </c>
      <c r="U856" s="97">
        <v>6.66</v>
      </c>
      <c r="V856" s="100">
        <v>48467</v>
      </c>
      <c r="W856" s="98">
        <v>4.2500000000000003E-2</v>
      </c>
      <c r="X856" s="98">
        <v>4.6399999999999997E-2</v>
      </c>
      <c r="Y856" s="96" t="s">
        <v>410</v>
      </c>
      <c r="Z856" s="96"/>
      <c r="AA856" s="97">
        <v>178711.53084799999</v>
      </c>
      <c r="AB856" s="97">
        <v>4.0202</v>
      </c>
      <c r="AC856" s="97">
        <v>98.706199999999995</v>
      </c>
      <c r="AD856" s="97"/>
      <c r="AE856" s="97">
        <v>709.16087100000004</v>
      </c>
      <c r="AF856" s="96"/>
      <c r="AG856" s="96"/>
      <c r="AH856" s="96"/>
      <c r="AI856" s="98">
        <v>1.4200000000000001E-4</v>
      </c>
      <c r="AJ856" s="98">
        <v>2.6570000000000001E-3</v>
      </c>
      <c r="AK856" s="98">
        <v>3.6900000000000002E-4</v>
      </c>
      <c r="AL856" s="106"/>
    </row>
    <row r="857" spans="1:38" ht="15" customHeight="1">
      <c r="A857" s="106"/>
      <c r="B857" s="96">
        <v>286</v>
      </c>
      <c r="C857" s="96">
        <v>286</v>
      </c>
      <c r="D857" s="96" t="s">
        <v>2222</v>
      </c>
      <c r="E857" s="96" t="s">
        <v>2223</v>
      </c>
      <c r="F857" s="96" t="s">
        <v>312</v>
      </c>
      <c r="G857" s="96" t="s">
        <v>2367</v>
      </c>
      <c r="H857" s="96" t="s">
        <v>2368</v>
      </c>
      <c r="I857" s="96" t="s">
        <v>320</v>
      </c>
      <c r="J857" s="96" t="s">
        <v>754</v>
      </c>
      <c r="K857" s="96" t="s">
        <v>204</v>
      </c>
      <c r="L857" s="96" t="s">
        <v>280</v>
      </c>
      <c r="M857" s="96" t="s">
        <v>324</v>
      </c>
      <c r="N857" s="96" t="s">
        <v>313</v>
      </c>
      <c r="O857" s="96" t="s">
        <v>535</v>
      </c>
      <c r="P857" s="96" t="s">
        <v>338</v>
      </c>
      <c r="Q857" s="96" t="s">
        <v>2085</v>
      </c>
      <c r="R857" s="96" t="s">
        <v>430</v>
      </c>
      <c r="S857" s="96" t="s">
        <v>406</v>
      </c>
      <c r="T857" s="96" t="s">
        <v>1201</v>
      </c>
      <c r="U857" s="97">
        <v>3.26</v>
      </c>
      <c r="V857" s="100">
        <v>46813</v>
      </c>
      <c r="W857" s="98">
        <v>4.3749999999999997E-2</v>
      </c>
      <c r="X857" s="98">
        <v>6.0600000000000001E-2</v>
      </c>
      <c r="Y857" s="96" t="s">
        <v>411</v>
      </c>
      <c r="Z857" s="96"/>
      <c r="AA857" s="97">
        <v>52562.214955000003</v>
      </c>
      <c r="AB857" s="97">
        <v>3.7589999999999999</v>
      </c>
      <c r="AC857" s="97">
        <v>95.979399999999998</v>
      </c>
      <c r="AD857" s="97"/>
      <c r="AE857" s="97">
        <v>189.63757899999999</v>
      </c>
      <c r="AF857" s="96"/>
      <c r="AG857" s="96"/>
      <c r="AH857" s="96"/>
      <c r="AI857" s="98">
        <v>4.1999999999999998E-5</v>
      </c>
      <c r="AJ857" s="98">
        <v>7.1000000000000002E-4</v>
      </c>
      <c r="AK857" s="98">
        <v>9.7999999999999997E-5</v>
      </c>
      <c r="AL857" s="106"/>
    </row>
    <row r="858" spans="1:38" ht="15" customHeight="1">
      <c r="A858" s="106"/>
      <c r="B858" s="96">
        <v>286</v>
      </c>
      <c r="C858" s="96">
        <v>286</v>
      </c>
      <c r="D858" s="96" t="s">
        <v>2248</v>
      </c>
      <c r="E858" s="96" t="s">
        <v>2249</v>
      </c>
      <c r="F858" s="96" t="s">
        <v>312</v>
      </c>
      <c r="G858" s="96" t="s">
        <v>2250</v>
      </c>
      <c r="H858" s="96" t="s">
        <v>2251</v>
      </c>
      <c r="I858" s="96" t="s">
        <v>320</v>
      </c>
      <c r="J858" s="96" t="s">
        <v>754</v>
      </c>
      <c r="K858" s="96" t="s">
        <v>204</v>
      </c>
      <c r="L858" s="96" t="s">
        <v>232</v>
      </c>
      <c r="M858" s="96" t="s">
        <v>324</v>
      </c>
      <c r="N858" s="96" t="s">
        <v>379</v>
      </c>
      <c r="O858" s="96" t="s">
        <v>549</v>
      </c>
      <c r="P858" s="96" t="s">
        <v>338</v>
      </c>
      <c r="Q858" s="96" t="s">
        <v>2090</v>
      </c>
      <c r="R858" s="96" t="s">
        <v>422</v>
      </c>
      <c r="S858" s="96" t="s">
        <v>406</v>
      </c>
      <c r="T858" s="96" t="s">
        <v>1202</v>
      </c>
      <c r="U858" s="97">
        <v>3.97</v>
      </c>
      <c r="V858" s="100">
        <v>47268</v>
      </c>
      <c r="W858" s="98">
        <v>6.5000000000000002E-2</v>
      </c>
      <c r="X858" s="98">
        <v>4.7300000000000002E-2</v>
      </c>
      <c r="Y858" s="96" t="s">
        <v>410</v>
      </c>
      <c r="Z858" s="96"/>
      <c r="AA858" s="97">
        <v>105124.429911</v>
      </c>
      <c r="AB858" s="97">
        <v>4.0202</v>
      </c>
      <c r="AC858" s="97">
        <v>113.0939</v>
      </c>
      <c r="AD858" s="97"/>
      <c r="AE858" s="97">
        <v>477.959022</v>
      </c>
      <c r="AF858" s="96"/>
      <c r="AG858" s="96"/>
      <c r="AH858" s="96"/>
      <c r="AI858" s="98">
        <v>1.3999999999999999E-4</v>
      </c>
      <c r="AJ858" s="98">
        <v>1.7899999999999999E-3</v>
      </c>
      <c r="AK858" s="98">
        <v>2.4800000000000001E-4</v>
      </c>
      <c r="AL858" s="106"/>
    </row>
    <row r="859" spans="1:38" ht="15" customHeight="1">
      <c r="A859" s="106"/>
      <c r="B859" s="96">
        <v>286</v>
      </c>
      <c r="C859" s="96">
        <v>286</v>
      </c>
      <c r="D859" s="96" t="s">
        <v>2145</v>
      </c>
      <c r="E859" s="96" t="s">
        <v>2146</v>
      </c>
      <c r="F859" s="96" t="s">
        <v>312</v>
      </c>
      <c r="G859" s="96" t="s">
        <v>2210</v>
      </c>
      <c r="H859" s="96" t="s">
        <v>2211</v>
      </c>
      <c r="I859" s="96" t="s">
        <v>320</v>
      </c>
      <c r="J859" s="96" t="s">
        <v>754</v>
      </c>
      <c r="K859" s="96" t="s">
        <v>204</v>
      </c>
      <c r="L859" s="96" t="s">
        <v>232</v>
      </c>
      <c r="M859" s="96" t="s">
        <v>332</v>
      </c>
      <c r="N859" s="96" t="s">
        <v>343</v>
      </c>
      <c r="O859" s="96" t="s">
        <v>535</v>
      </c>
      <c r="P859" s="96" t="s">
        <v>338</v>
      </c>
      <c r="Q859" s="96" t="s">
        <v>2074</v>
      </c>
      <c r="R859" s="96" t="s">
        <v>432</v>
      </c>
      <c r="S859" s="96" t="s">
        <v>406</v>
      </c>
      <c r="T859" s="96" t="s">
        <v>1201</v>
      </c>
      <c r="U859" s="97">
        <v>2.75</v>
      </c>
      <c r="V859" s="100">
        <v>46974</v>
      </c>
      <c r="W859" s="98">
        <v>5.5010000000000003E-2</v>
      </c>
      <c r="X859" s="98">
        <v>5.5599999999999997E-2</v>
      </c>
      <c r="Y859" s="96" t="s">
        <v>411</v>
      </c>
      <c r="Z859" s="96"/>
      <c r="AA859" s="97">
        <v>7884.3322429999998</v>
      </c>
      <c r="AB859" s="97">
        <v>3.7589999999999999</v>
      </c>
      <c r="AC859" s="97">
        <v>101.9575</v>
      </c>
      <c r="AD859" s="97"/>
      <c r="AE859" s="97">
        <v>30.217369999999999</v>
      </c>
      <c r="AF859" s="96"/>
      <c r="AG859" s="96"/>
      <c r="AH859" s="96"/>
      <c r="AI859" s="98">
        <v>3.9999999999999998E-6</v>
      </c>
      <c r="AJ859" s="98">
        <v>1.13E-4</v>
      </c>
      <c r="AK859" s="98">
        <v>1.5E-5</v>
      </c>
      <c r="AL859" s="106"/>
    </row>
    <row r="860" spans="1:38" ht="15" customHeight="1">
      <c r="A860" s="106"/>
      <c r="B860" s="96">
        <v>286</v>
      </c>
      <c r="C860" s="96">
        <v>286</v>
      </c>
      <c r="D860" s="96" t="s">
        <v>2194</v>
      </c>
      <c r="E860" s="96" t="s">
        <v>2195</v>
      </c>
      <c r="F860" s="96" t="s">
        <v>312</v>
      </c>
      <c r="G860" s="96" t="s">
        <v>2239</v>
      </c>
      <c r="H860" s="96" t="s">
        <v>2240</v>
      </c>
      <c r="I860" s="96" t="s">
        <v>320</v>
      </c>
      <c r="J860" s="96" t="s">
        <v>754</v>
      </c>
      <c r="K860" s="96" t="s">
        <v>204</v>
      </c>
      <c r="L860" s="96" t="s">
        <v>223</v>
      </c>
      <c r="M860" s="96" t="s">
        <v>324</v>
      </c>
      <c r="N860" s="96" t="s">
        <v>313</v>
      </c>
      <c r="O860" s="96" t="s">
        <v>518</v>
      </c>
      <c r="P860" s="96" t="s">
        <v>338</v>
      </c>
      <c r="Q860" s="96" t="s">
        <v>2090</v>
      </c>
      <c r="R860" s="96" t="s">
        <v>422</v>
      </c>
      <c r="S860" s="96" t="s">
        <v>406</v>
      </c>
      <c r="T860" s="96" t="s">
        <v>1201</v>
      </c>
      <c r="U860" s="97">
        <v>1.45</v>
      </c>
      <c r="V860" s="100">
        <v>46005</v>
      </c>
      <c r="W860" s="98">
        <v>2.375E-2</v>
      </c>
      <c r="X860" s="98">
        <v>0.06</v>
      </c>
      <c r="Y860" s="96" t="s">
        <v>411</v>
      </c>
      <c r="Z860" s="96"/>
      <c r="AA860" s="97">
        <v>21024.885982</v>
      </c>
      <c r="AB860" s="97">
        <v>3.7589999999999999</v>
      </c>
      <c r="AC860" s="97">
        <v>95.8673</v>
      </c>
      <c r="AD860" s="97"/>
      <c r="AE860" s="97">
        <v>75.766394000000005</v>
      </c>
      <c r="AF860" s="96"/>
      <c r="AG860" s="96"/>
      <c r="AH860" s="96"/>
      <c r="AI860" s="98">
        <v>5.1999999999999997E-5</v>
      </c>
      <c r="AJ860" s="98">
        <v>2.8299999999999999E-4</v>
      </c>
      <c r="AK860" s="98">
        <v>3.8999999999999999E-5</v>
      </c>
      <c r="AL860" s="106"/>
    </row>
    <row r="861" spans="1:38" ht="15" customHeight="1">
      <c r="A861" s="106"/>
      <c r="B861" s="96">
        <v>286</v>
      </c>
      <c r="C861" s="96">
        <v>286</v>
      </c>
      <c r="D861" s="96" t="s">
        <v>2075</v>
      </c>
      <c r="E861" s="96" t="s">
        <v>2076</v>
      </c>
      <c r="F861" s="96" t="s">
        <v>312</v>
      </c>
      <c r="G861" s="96" t="s">
        <v>2166</v>
      </c>
      <c r="H861" s="96" t="s">
        <v>2167</v>
      </c>
      <c r="I861" s="96" t="s">
        <v>320</v>
      </c>
      <c r="J861" s="96" t="s">
        <v>754</v>
      </c>
      <c r="K861" s="96" t="s">
        <v>204</v>
      </c>
      <c r="L861" s="96" t="s">
        <v>231</v>
      </c>
      <c r="M861" s="96" t="s">
        <v>332</v>
      </c>
      <c r="N861" s="96" t="s">
        <v>343</v>
      </c>
      <c r="O861" s="96" t="s">
        <v>491</v>
      </c>
      <c r="P861" s="96" t="s">
        <v>338</v>
      </c>
      <c r="Q861" s="96" t="s">
        <v>1698</v>
      </c>
      <c r="R861" s="96" t="s">
        <v>422</v>
      </c>
      <c r="S861" s="96" t="s">
        <v>406</v>
      </c>
      <c r="T861" s="96" t="s">
        <v>1201</v>
      </c>
      <c r="U861" s="97">
        <v>4.62</v>
      </c>
      <c r="V861" s="100">
        <v>47406</v>
      </c>
      <c r="W861" s="98">
        <v>0.05</v>
      </c>
      <c r="X861" s="98">
        <v>6.0600000000000001E-2</v>
      </c>
      <c r="Y861" s="96" t="s">
        <v>411</v>
      </c>
      <c r="Z861" s="96"/>
      <c r="AA861" s="97">
        <v>21024.885982</v>
      </c>
      <c r="AB861" s="97">
        <v>3.7589999999999999</v>
      </c>
      <c r="AC861" s="97">
        <v>97.357600000000005</v>
      </c>
      <c r="AD861" s="97"/>
      <c r="AE861" s="97">
        <v>76.944243</v>
      </c>
      <c r="AF861" s="96"/>
      <c r="AG861" s="96"/>
      <c r="AH861" s="96"/>
      <c r="AI861" s="98">
        <v>2.0999999999999999E-5</v>
      </c>
      <c r="AJ861" s="98">
        <v>2.8800000000000001E-4</v>
      </c>
      <c r="AK861" s="98">
        <v>4.0000000000000003E-5</v>
      </c>
      <c r="AL861" s="106"/>
    </row>
    <row r="862" spans="1:38" ht="15" customHeight="1">
      <c r="A862" s="106"/>
      <c r="B862" s="96">
        <v>286</v>
      </c>
      <c r="C862" s="96">
        <v>286</v>
      </c>
      <c r="D862" s="96" t="s">
        <v>2307</v>
      </c>
      <c r="E862" s="96" t="s">
        <v>2308</v>
      </c>
      <c r="F862" s="96" t="s">
        <v>312</v>
      </c>
      <c r="G862" s="96" t="s">
        <v>2309</v>
      </c>
      <c r="H862" s="96" t="s">
        <v>2310</v>
      </c>
      <c r="I862" s="96" t="s">
        <v>320</v>
      </c>
      <c r="J862" s="96" t="s">
        <v>754</v>
      </c>
      <c r="K862" s="96" t="s">
        <v>204</v>
      </c>
      <c r="L862" s="96" t="s">
        <v>276</v>
      </c>
      <c r="M862" s="96" t="s">
        <v>332</v>
      </c>
      <c r="N862" s="96" t="s">
        <v>363</v>
      </c>
      <c r="O862" s="96" t="s">
        <v>567</v>
      </c>
      <c r="P862" s="96" t="s">
        <v>338</v>
      </c>
      <c r="Q862" s="96" t="s">
        <v>2311</v>
      </c>
      <c r="R862" s="96" t="s">
        <v>430</v>
      </c>
      <c r="S862" s="96" t="s">
        <v>406</v>
      </c>
      <c r="T862" s="96" t="s">
        <v>1202</v>
      </c>
      <c r="U862" s="97">
        <v>1.61</v>
      </c>
      <c r="V862" s="100">
        <v>46183</v>
      </c>
      <c r="W862" s="98">
        <v>3.6249999999999998E-2</v>
      </c>
      <c r="X862" s="98">
        <v>0.26600000000000001</v>
      </c>
      <c r="Y862" s="96" t="s">
        <v>410</v>
      </c>
      <c r="Z862" s="96"/>
      <c r="AA862" s="97">
        <v>98554.153040999998</v>
      </c>
      <c r="AB862" s="97">
        <v>4.0202</v>
      </c>
      <c r="AC862" s="97">
        <v>68.023099999999999</v>
      </c>
      <c r="AD862" s="97"/>
      <c r="AE862" s="97">
        <v>269.51271400000002</v>
      </c>
      <c r="AF862" s="96"/>
      <c r="AG862" s="96"/>
      <c r="AH862" s="96"/>
      <c r="AI862" s="98">
        <v>3.0699999999999998E-4</v>
      </c>
      <c r="AJ862" s="98">
        <v>1.0089999999999999E-3</v>
      </c>
      <c r="AK862" s="98">
        <v>1.3999999999999999E-4</v>
      </c>
      <c r="AL862" s="106"/>
    </row>
    <row r="863" spans="1:38" ht="15" customHeight="1">
      <c r="A863" s="106"/>
      <c r="B863" s="96">
        <v>286</v>
      </c>
      <c r="C863" s="96">
        <v>286</v>
      </c>
      <c r="D863" s="96" t="s">
        <v>2200</v>
      </c>
      <c r="E863" s="96" t="s">
        <v>2201</v>
      </c>
      <c r="F863" s="96" t="s">
        <v>312</v>
      </c>
      <c r="G863" s="96" t="s">
        <v>2202</v>
      </c>
      <c r="H863" s="96" t="s">
        <v>2203</v>
      </c>
      <c r="I863" s="96" t="s">
        <v>320</v>
      </c>
      <c r="J863" s="96" t="s">
        <v>754</v>
      </c>
      <c r="K863" s="96" t="s">
        <v>204</v>
      </c>
      <c r="L863" s="96" t="s">
        <v>223</v>
      </c>
      <c r="M863" s="96" t="s">
        <v>324</v>
      </c>
      <c r="N863" s="96" t="s">
        <v>313</v>
      </c>
      <c r="O863" s="96" t="s">
        <v>533</v>
      </c>
      <c r="P863" s="96" t="s">
        <v>338</v>
      </c>
      <c r="Q863" s="96" t="s">
        <v>1698</v>
      </c>
      <c r="R863" s="96" t="s">
        <v>422</v>
      </c>
      <c r="S863" s="96" t="s">
        <v>406</v>
      </c>
      <c r="T863" s="96" t="s">
        <v>1201</v>
      </c>
      <c r="U863" s="97">
        <v>5.55</v>
      </c>
      <c r="V863" s="100">
        <v>47636</v>
      </c>
      <c r="W863" s="98">
        <v>2.1999999999999999E-2</v>
      </c>
      <c r="X863" s="98">
        <v>5.4100000000000002E-2</v>
      </c>
      <c r="Y863" s="96" t="s">
        <v>411</v>
      </c>
      <c r="Z863" s="96"/>
      <c r="AA863" s="97">
        <v>315373.28973299998</v>
      </c>
      <c r="AB863" s="97">
        <v>3.7589999999999999</v>
      </c>
      <c r="AC863" s="97">
        <v>84.069100000000006</v>
      </c>
      <c r="AD863" s="97"/>
      <c r="AE863" s="97">
        <v>996.62938799999995</v>
      </c>
      <c r="AF863" s="96"/>
      <c r="AG863" s="96"/>
      <c r="AH863" s="96"/>
      <c r="AI863" s="98">
        <v>3.1599999999999998E-4</v>
      </c>
      <c r="AJ863" s="98">
        <v>3.7339999999999999E-3</v>
      </c>
      <c r="AK863" s="98">
        <v>5.1900000000000004E-4</v>
      </c>
      <c r="AL863" s="106"/>
    </row>
    <row r="864" spans="1:38" ht="15" customHeight="1">
      <c r="A864" s="106"/>
      <c r="B864" s="96">
        <v>286</v>
      </c>
      <c r="C864" s="96">
        <v>286</v>
      </c>
      <c r="D864" s="96" t="s">
        <v>2204</v>
      </c>
      <c r="E864" s="96" t="s">
        <v>2205</v>
      </c>
      <c r="F864" s="96" t="s">
        <v>312</v>
      </c>
      <c r="G864" s="96" t="s">
        <v>2212</v>
      </c>
      <c r="H864" s="96" t="s">
        <v>2213</v>
      </c>
      <c r="I864" s="96" t="s">
        <v>320</v>
      </c>
      <c r="J864" s="96" t="s">
        <v>754</v>
      </c>
      <c r="K864" s="96" t="s">
        <v>204</v>
      </c>
      <c r="L864" s="96" t="s">
        <v>244</v>
      </c>
      <c r="M864" s="96" t="s">
        <v>324</v>
      </c>
      <c r="N864" s="96" t="s">
        <v>313</v>
      </c>
      <c r="O864" s="96" t="s">
        <v>541</v>
      </c>
      <c r="P864" s="96" t="s">
        <v>338</v>
      </c>
      <c r="Q864" s="96" t="s">
        <v>1698</v>
      </c>
      <c r="R864" s="96" t="s">
        <v>422</v>
      </c>
      <c r="S864" s="96" t="s">
        <v>406</v>
      </c>
      <c r="T864" s="96" t="s">
        <v>1201</v>
      </c>
      <c r="U864" s="97">
        <v>2.64</v>
      </c>
      <c r="V864" s="100">
        <v>46614</v>
      </c>
      <c r="W864" s="98">
        <v>5.6250000000000001E-2</v>
      </c>
      <c r="X864" s="98">
        <v>6.1400000000000003E-2</v>
      </c>
      <c r="Y864" s="96" t="s">
        <v>410</v>
      </c>
      <c r="Z864" s="96"/>
      <c r="AA864" s="97">
        <v>208146.371224</v>
      </c>
      <c r="AB864" s="97">
        <v>3.7589999999999999</v>
      </c>
      <c r="AC864" s="97">
        <v>103.4738</v>
      </c>
      <c r="AD864" s="97"/>
      <c r="AE864" s="97">
        <v>809.60257799999999</v>
      </c>
      <c r="AF864" s="96"/>
      <c r="AG864" s="96"/>
      <c r="AH864" s="96"/>
      <c r="AI864" s="98">
        <v>2.5999999999999998E-4</v>
      </c>
      <c r="AJ864" s="98">
        <v>3.0330000000000001E-3</v>
      </c>
      <c r="AK864" s="98">
        <v>4.2099999999999999E-4</v>
      </c>
      <c r="AL864" s="106"/>
    </row>
    <row r="865" spans="1:38" ht="15" customHeight="1">
      <c r="A865" s="106"/>
      <c r="B865" s="96">
        <v>286</v>
      </c>
      <c r="C865" s="96">
        <v>286</v>
      </c>
      <c r="D865" s="96" t="s">
        <v>2274</v>
      </c>
      <c r="E865" s="96" t="s">
        <v>2275</v>
      </c>
      <c r="F865" s="96" t="s">
        <v>312</v>
      </c>
      <c r="G865" s="96" t="s">
        <v>2276</v>
      </c>
      <c r="H865" s="96" t="s">
        <v>2277</v>
      </c>
      <c r="I865" s="96" t="s">
        <v>320</v>
      </c>
      <c r="J865" s="96" t="s">
        <v>754</v>
      </c>
      <c r="K865" s="96" t="s">
        <v>204</v>
      </c>
      <c r="L865" s="96" t="s">
        <v>231</v>
      </c>
      <c r="M865" s="96" t="s">
        <v>332</v>
      </c>
      <c r="N865" s="96" t="s">
        <v>313</v>
      </c>
      <c r="O865" s="96" t="s">
        <v>539</v>
      </c>
      <c r="P865" s="96" t="s">
        <v>338</v>
      </c>
      <c r="Q865" s="96" t="s">
        <v>2090</v>
      </c>
      <c r="R865" s="96" t="s">
        <v>422</v>
      </c>
      <c r="S865" s="96" t="s">
        <v>406</v>
      </c>
      <c r="T865" s="96" t="s">
        <v>1201</v>
      </c>
      <c r="U865" s="97">
        <v>5.97</v>
      </c>
      <c r="V865" s="100">
        <v>48111</v>
      </c>
      <c r="W865" s="98">
        <v>4.1250000000000002E-2</v>
      </c>
      <c r="X865" s="98">
        <v>6.2899999999999998E-2</v>
      </c>
      <c r="Y865" s="96" t="s">
        <v>411</v>
      </c>
      <c r="Z865" s="96"/>
      <c r="AA865" s="97">
        <v>13666.175888</v>
      </c>
      <c r="AB865" s="97">
        <v>3.7589999999999999</v>
      </c>
      <c r="AC865" s="97">
        <v>88.734800000000007</v>
      </c>
      <c r="AD865" s="97"/>
      <c r="AE865" s="97">
        <v>45.584108000000001</v>
      </c>
      <c r="AF865" s="96"/>
      <c r="AG865" s="96"/>
      <c r="AH865" s="96"/>
      <c r="AI865" s="98">
        <v>1.9000000000000001E-5</v>
      </c>
      <c r="AJ865" s="98">
        <v>1.7000000000000001E-4</v>
      </c>
      <c r="AK865" s="98">
        <v>2.3E-5</v>
      </c>
      <c r="AL865" s="106"/>
    </row>
    <row r="866" spans="1:38" ht="15" customHeight="1">
      <c r="A866" s="106"/>
      <c r="B866" s="96">
        <v>286</v>
      </c>
      <c r="C866" s="96">
        <v>286</v>
      </c>
      <c r="D866" s="96" t="s">
        <v>2108</v>
      </c>
      <c r="E866" s="96" t="s">
        <v>2109</v>
      </c>
      <c r="F866" s="96" t="s">
        <v>312</v>
      </c>
      <c r="G866" s="96" t="s">
        <v>2293</v>
      </c>
      <c r="H866" s="96" t="s">
        <v>2294</v>
      </c>
      <c r="I866" s="96" t="s">
        <v>320</v>
      </c>
      <c r="J866" s="96" t="s">
        <v>754</v>
      </c>
      <c r="K866" s="96" t="s">
        <v>204</v>
      </c>
      <c r="L866" s="96" t="s">
        <v>223</v>
      </c>
      <c r="M866" s="96" t="s">
        <v>324</v>
      </c>
      <c r="N866" s="96" t="s">
        <v>343</v>
      </c>
      <c r="O866" s="96" t="s">
        <v>499</v>
      </c>
      <c r="P866" s="96" t="s">
        <v>338</v>
      </c>
      <c r="Q866" s="96" t="s">
        <v>2117</v>
      </c>
      <c r="R866" s="96" t="s">
        <v>430</v>
      </c>
      <c r="S866" s="96" t="s">
        <v>406</v>
      </c>
      <c r="T866" s="96" t="s">
        <v>1201</v>
      </c>
      <c r="U866" s="97">
        <v>3.08</v>
      </c>
      <c r="V866" s="100">
        <v>45503</v>
      </c>
      <c r="W866" s="98">
        <v>3.875E-2</v>
      </c>
      <c r="X866" s="98">
        <v>5.6899999999999999E-2</v>
      </c>
      <c r="Y866" s="96" t="s">
        <v>411</v>
      </c>
      <c r="Z866" s="96"/>
      <c r="AA866" s="97">
        <v>52562.214955000003</v>
      </c>
      <c r="AB866" s="97">
        <v>3.7589999999999999</v>
      </c>
      <c r="AC866" s="97">
        <v>94.988100000000003</v>
      </c>
      <c r="AD866" s="97"/>
      <c r="AE866" s="97">
        <v>187.67886200000001</v>
      </c>
      <c r="AF866" s="96"/>
      <c r="AG866" s="96"/>
      <c r="AH866" s="96"/>
      <c r="AI866" s="98">
        <v>6.9999999999999994E-5</v>
      </c>
      <c r="AJ866" s="98">
        <v>7.0299999999999996E-4</v>
      </c>
      <c r="AK866" s="98">
        <v>9.7E-5</v>
      </c>
      <c r="AL866" s="106"/>
    </row>
    <row r="867" spans="1:38" ht="15" customHeight="1">
      <c r="A867" s="106"/>
      <c r="B867" s="96">
        <v>286</v>
      </c>
      <c r="C867" s="96">
        <v>286</v>
      </c>
      <c r="D867" s="96" t="s">
        <v>2338</v>
      </c>
      <c r="E867" s="96">
        <v>520027830</v>
      </c>
      <c r="F867" s="96" t="s">
        <v>308</v>
      </c>
      <c r="G867" s="96" t="s">
        <v>2339</v>
      </c>
      <c r="H867" s="96" t="s">
        <v>2340</v>
      </c>
      <c r="I867" s="96" t="s">
        <v>320</v>
      </c>
      <c r="J867" s="96" t="s">
        <v>754</v>
      </c>
      <c r="K867" s="96" t="s">
        <v>204</v>
      </c>
      <c r="L867" s="96" t="s">
        <v>203</v>
      </c>
      <c r="M867" s="96" t="s">
        <v>324</v>
      </c>
      <c r="N867" s="96" t="s">
        <v>313</v>
      </c>
      <c r="O867" s="96" t="s">
        <v>487</v>
      </c>
      <c r="P867" s="96" t="s">
        <v>338</v>
      </c>
      <c r="Q867" s="96" t="s">
        <v>1698</v>
      </c>
      <c r="R867" s="96" t="s">
        <v>422</v>
      </c>
      <c r="S867" s="96" t="s">
        <v>406</v>
      </c>
      <c r="T867" s="96" t="s">
        <v>1201</v>
      </c>
      <c r="U867" s="97">
        <v>8.81</v>
      </c>
      <c r="V867" s="100">
        <v>50374</v>
      </c>
      <c r="W867" s="98">
        <v>6.3750000000000001E-2</v>
      </c>
      <c r="X867" s="98">
        <v>7.3599999999999999E-2</v>
      </c>
      <c r="Y867" s="96" t="s">
        <v>411</v>
      </c>
      <c r="Z867" s="96"/>
      <c r="AA867" s="97">
        <v>153159.52462099999</v>
      </c>
      <c r="AB867" s="97">
        <v>3.7589999999999999</v>
      </c>
      <c r="AC867" s="97">
        <v>91.982200000000006</v>
      </c>
      <c r="AD867" s="97"/>
      <c r="AE867" s="97">
        <v>529.566329</v>
      </c>
      <c r="AF867" s="96"/>
      <c r="AG867" s="96"/>
      <c r="AH867" s="96"/>
      <c r="AI867" s="98">
        <v>2.2000000000000001E-4</v>
      </c>
      <c r="AJ867" s="98">
        <v>1.9840000000000001E-3</v>
      </c>
      <c r="AK867" s="98">
        <v>2.7500000000000002E-4</v>
      </c>
      <c r="AL867" s="106"/>
    </row>
    <row r="868" spans="1:38" ht="15" customHeight="1">
      <c r="A868" s="106"/>
      <c r="B868" s="96">
        <v>286</v>
      </c>
      <c r="C868" s="96">
        <v>286</v>
      </c>
      <c r="D868" s="96" t="s">
        <v>2190</v>
      </c>
      <c r="E868" s="96" t="s">
        <v>2191</v>
      </c>
      <c r="F868" s="96" t="s">
        <v>312</v>
      </c>
      <c r="G868" s="96" t="s">
        <v>2192</v>
      </c>
      <c r="H868" s="96" t="s">
        <v>2193</v>
      </c>
      <c r="I868" s="96" t="s">
        <v>320</v>
      </c>
      <c r="J868" s="96" t="s">
        <v>754</v>
      </c>
      <c r="K868" s="96" t="s">
        <v>204</v>
      </c>
      <c r="L868" s="96" t="s">
        <v>223</v>
      </c>
      <c r="M868" s="96" t="s">
        <v>324</v>
      </c>
      <c r="N868" s="96" t="s">
        <v>343</v>
      </c>
      <c r="O868" s="96" t="s">
        <v>548</v>
      </c>
      <c r="P868" s="96" t="s">
        <v>338</v>
      </c>
      <c r="Q868" s="96" t="s">
        <v>2102</v>
      </c>
      <c r="R868" s="96" t="s">
        <v>432</v>
      </c>
      <c r="S868" s="96" t="s">
        <v>406</v>
      </c>
      <c r="T868" s="96" t="s">
        <v>1201</v>
      </c>
      <c r="U868" s="97">
        <v>7.27</v>
      </c>
      <c r="V868" s="100">
        <v>48898</v>
      </c>
      <c r="W868" s="98">
        <v>5.3999999999999999E-2</v>
      </c>
      <c r="X868" s="98">
        <v>5.3999999999999999E-2</v>
      </c>
      <c r="Y868" s="96" t="s">
        <v>411</v>
      </c>
      <c r="Z868" s="96"/>
      <c r="AA868" s="97">
        <v>73587.100936999996</v>
      </c>
      <c r="AB868" s="97">
        <v>3.7589999999999999</v>
      </c>
      <c r="AC868" s="97">
        <v>102.012</v>
      </c>
      <c r="AD868" s="97"/>
      <c r="AE868" s="97">
        <v>282.17938400000003</v>
      </c>
      <c r="AF868" s="96"/>
      <c r="AG868" s="96"/>
      <c r="AH868" s="96"/>
      <c r="AI868" s="98">
        <v>2.5999999999999998E-5</v>
      </c>
      <c r="AJ868" s="98">
        <v>1.057E-3</v>
      </c>
      <c r="AK868" s="98">
        <v>1.46E-4</v>
      </c>
      <c r="AL868" s="106"/>
    </row>
    <row r="869" spans="1:38" ht="15" customHeight="1">
      <c r="A869" s="106"/>
      <c r="B869" s="96">
        <v>286</v>
      </c>
      <c r="C869" s="96">
        <v>286</v>
      </c>
      <c r="D869" s="96" t="s">
        <v>2108</v>
      </c>
      <c r="E869" s="96" t="s">
        <v>2109</v>
      </c>
      <c r="F869" s="96" t="s">
        <v>312</v>
      </c>
      <c r="G869" s="96" t="s">
        <v>2305</v>
      </c>
      <c r="H869" s="96" t="s">
        <v>2306</v>
      </c>
      <c r="I869" s="96" t="s">
        <v>320</v>
      </c>
      <c r="J869" s="96" t="s">
        <v>754</v>
      </c>
      <c r="K869" s="96" t="s">
        <v>204</v>
      </c>
      <c r="L869" s="96" t="s">
        <v>223</v>
      </c>
      <c r="M869" s="96" t="s">
        <v>324</v>
      </c>
      <c r="N869" s="96" t="s">
        <v>343</v>
      </c>
      <c r="O869" s="96" t="s">
        <v>499</v>
      </c>
      <c r="P869" s="96" t="s">
        <v>338</v>
      </c>
      <c r="Q869" s="96" t="s">
        <v>2172</v>
      </c>
      <c r="R869" s="96" t="s">
        <v>430</v>
      </c>
      <c r="S869" s="96" t="s">
        <v>406</v>
      </c>
      <c r="T869" s="96" t="s">
        <v>1201</v>
      </c>
      <c r="U869" s="97">
        <v>6.24</v>
      </c>
      <c r="V869" s="100">
        <v>46218</v>
      </c>
      <c r="W869" s="98">
        <v>3.7499999999999999E-2</v>
      </c>
      <c r="X869" s="98">
        <v>5.8999999999999997E-2</v>
      </c>
      <c r="Y869" s="96" t="s">
        <v>411</v>
      </c>
      <c r="Z869" s="96"/>
      <c r="AA869" s="97">
        <v>175557.79795099999</v>
      </c>
      <c r="AB869" s="97">
        <v>3.7589999999999999</v>
      </c>
      <c r="AC869" s="97">
        <v>88.7607</v>
      </c>
      <c r="AD869" s="97"/>
      <c r="AE869" s="97">
        <v>585.75150499999995</v>
      </c>
      <c r="AF869" s="96"/>
      <c r="AG869" s="96"/>
      <c r="AH869" s="96"/>
      <c r="AI869" s="98">
        <v>2.34E-4</v>
      </c>
      <c r="AJ869" s="98">
        <v>2.1940000000000002E-3</v>
      </c>
      <c r="AK869" s="98">
        <v>3.0499999999999999E-4</v>
      </c>
      <c r="AL869" s="106"/>
    </row>
    <row r="870" spans="1:38" ht="15" customHeight="1">
      <c r="A870" s="106"/>
      <c r="B870" s="96">
        <v>286</v>
      </c>
      <c r="C870" s="96">
        <v>286</v>
      </c>
      <c r="D870" s="96" t="s">
        <v>2098</v>
      </c>
      <c r="E870" s="96" t="s">
        <v>2099</v>
      </c>
      <c r="F870" s="96" t="s">
        <v>312</v>
      </c>
      <c r="G870" s="96" t="s">
        <v>2100</v>
      </c>
      <c r="H870" s="96" t="s">
        <v>2101</v>
      </c>
      <c r="I870" s="96" t="s">
        <v>320</v>
      </c>
      <c r="J870" s="96" t="s">
        <v>754</v>
      </c>
      <c r="K870" s="96" t="s">
        <v>204</v>
      </c>
      <c r="L870" s="96" t="s">
        <v>280</v>
      </c>
      <c r="M870" s="96" t="s">
        <v>324</v>
      </c>
      <c r="N870" s="96" t="s">
        <v>313</v>
      </c>
      <c r="O870" s="96" t="s">
        <v>553</v>
      </c>
      <c r="P870" s="96" t="s">
        <v>338</v>
      </c>
      <c r="Q870" s="96" t="s">
        <v>2102</v>
      </c>
      <c r="R870" s="96" t="s">
        <v>432</v>
      </c>
      <c r="S870" s="96" t="s">
        <v>406</v>
      </c>
      <c r="T870" s="96" t="s">
        <v>1201</v>
      </c>
      <c r="U870" s="97">
        <v>3.36</v>
      </c>
      <c r="V870" s="100">
        <v>46866</v>
      </c>
      <c r="W870" s="98">
        <v>5.7000000000000002E-2</v>
      </c>
      <c r="X870" s="98">
        <v>5.4199999999999998E-2</v>
      </c>
      <c r="Y870" s="96" t="s">
        <v>411</v>
      </c>
      <c r="Z870" s="96"/>
      <c r="AA870" s="97">
        <v>46727.809094999997</v>
      </c>
      <c r="AB870" s="97">
        <v>3.7589999999999999</v>
      </c>
      <c r="AC870" s="97">
        <v>101.5476</v>
      </c>
      <c r="AD870" s="97"/>
      <c r="AE870" s="97">
        <v>178.36830800000001</v>
      </c>
      <c r="AF870" s="96"/>
      <c r="AG870" s="96"/>
      <c r="AH870" s="96"/>
      <c r="AI870" s="98">
        <v>4.6E-5</v>
      </c>
      <c r="AJ870" s="98">
        <v>6.6799999999999997E-4</v>
      </c>
      <c r="AK870" s="98">
        <v>9.2E-5</v>
      </c>
      <c r="AL870" s="106"/>
    </row>
    <row r="871" spans="1:38" ht="15" customHeight="1">
      <c r="A871" s="106"/>
      <c r="B871" s="96">
        <v>286</v>
      </c>
      <c r="C871" s="96">
        <v>286</v>
      </c>
      <c r="D871" s="96" t="s">
        <v>2320</v>
      </c>
      <c r="E871" s="96" t="s">
        <v>2321</v>
      </c>
      <c r="F871" s="96" t="s">
        <v>312</v>
      </c>
      <c r="G871" s="96" t="s">
        <v>2324</v>
      </c>
      <c r="H871" s="96" t="s">
        <v>2325</v>
      </c>
      <c r="I871" s="96" t="s">
        <v>320</v>
      </c>
      <c r="J871" s="96" t="s">
        <v>754</v>
      </c>
      <c r="K871" s="96" t="s">
        <v>204</v>
      </c>
      <c r="L871" s="96" t="s">
        <v>211</v>
      </c>
      <c r="M871" s="96" t="s">
        <v>324</v>
      </c>
      <c r="N871" s="96" t="s">
        <v>313</v>
      </c>
      <c r="O871" s="96" t="s">
        <v>535</v>
      </c>
      <c r="P871" s="96" t="s">
        <v>338</v>
      </c>
      <c r="Q871" s="96" t="s">
        <v>2149</v>
      </c>
      <c r="R871" s="96" t="s">
        <v>422</v>
      </c>
      <c r="S871" s="96" t="s">
        <v>406</v>
      </c>
      <c r="T871" s="96" t="s">
        <v>1202</v>
      </c>
      <c r="U871" s="97">
        <v>1.76</v>
      </c>
      <c r="V871" s="100">
        <v>46176</v>
      </c>
      <c r="W871" s="98">
        <v>7.4999999999999997E-2</v>
      </c>
      <c r="X871" s="98">
        <v>6.1100000000000002E-2</v>
      </c>
      <c r="Y871" s="96" t="s">
        <v>410</v>
      </c>
      <c r="Z871" s="96"/>
      <c r="AA871" s="97">
        <v>283835.96075999999</v>
      </c>
      <c r="AB871" s="97">
        <v>4.0202</v>
      </c>
      <c r="AC871" s="97">
        <v>103.0284</v>
      </c>
      <c r="AD871" s="97"/>
      <c r="AE871" s="97">
        <v>1175.6348559999999</v>
      </c>
      <c r="AF871" s="96"/>
      <c r="AG871" s="96"/>
      <c r="AH871" s="96"/>
      <c r="AI871" s="98">
        <v>2.8299999999999999E-4</v>
      </c>
      <c r="AJ871" s="98">
        <v>4.4050000000000001E-3</v>
      </c>
      <c r="AK871" s="98">
        <v>6.1200000000000002E-4</v>
      </c>
      <c r="AL871" s="106"/>
    </row>
    <row r="872" spans="1:38" ht="15" customHeight="1">
      <c r="A872" s="106"/>
      <c r="B872" s="96">
        <v>286</v>
      </c>
      <c r="C872" s="96">
        <v>286</v>
      </c>
      <c r="D872" s="96" t="s">
        <v>2173</v>
      </c>
      <c r="E872" s="96" t="s">
        <v>2174</v>
      </c>
      <c r="F872" s="96" t="s">
        <v>312</v>
      </c>
      <c r="G872" s="96" t="s">
        <v>2375</v>
      </c>
      <c r="H872" s="96" t="s">
        <v>2376</v>
      </c>
      <c r="I872" s="96" t="s">
        <v>320</v>
      </c>
      <c r="J872" s="96" t="s">
        <v>754</v>
      </c>
      <c r="K872" s="96" t="s">
        <v>204</v>
      </c>
      <c r="L872" s="96" t="s">
        <v>238</v>
      </c>
      <c r="M872" s="96" t="s">
        <v>324</v>
      </c>
      <c r="N872" s="96" t="s">
        <v>313</v>
      </c>
      <c r="O872" s="96" t="s">
        <v>567</v>
      </c>
      <c r="P872" s="96" t="s">
        <v>338</v>
      </c>
      <c r="Q872" s="96" t="s">
        <v>2290</v>
      </c>
      <c r="R872" s="96" t="s">
        <v>430</v>
      </c>
      <c r="S872" s="96" t="s">
        <v>406</v>
      </c>
      <c r="T872" s="96" t="s">
        <v>1202</v>
      </c>
      <c r="U872" s="97">
        <v>1.07</v>
      </c>
      <c r="V872" s="100">
        <v>45819</v>
      </c>
      <c r="W872" s="98">
        <v>4.2500000000000003E-2</v>
      </c>
      <c r="X872" s="98">
        <v>7.4200000000000002E-2</v>
      </c>
      <c r="Y872" s="96" t="s">
        <v>411</v>
      </c>
      <c r="Z872" s="96"/>
      <c r="AA872" s="97">
        <v>52562.214955000003</v>
      </c>
      <c r="AB872" s="97">
        <v>4.0202</v>
      </c>
      <c r="AC872" s="97">
        <v>99.938999999999993</v>
      </c>
      <c r="AD872" s="97"/>
      <c r="AE872" s="97">
        <v>211.18177499999999</v>
      </c>
      <c r="AF872" s="96"/>
      <c r="AG872" s="96"/>
      <c r="AH872" s="96"/>
      <c r="AI872" s="98">
        <v>1.7899999999999999E-4</v>
      </c>
      <c r="AJ872" s="98">
        <v>7.9100000000000004E-4</v>
      </c>
      <c r="AK872" s="98">
        <v>1.0900000000000001E-4</v>
      </c>
      <c r="AL872" s="106"/>
    </row>
    <row r="873" spans="1:38" ht="15" customHeight="1">
      <c r="A873" s="106"/>
      <c r="B873" s="96">
        <v>286</v>
      </c>
      <c r="C873" s="96">
        <v>286</v>
      </c>
      <c r="D873" s="96" t="s">
        <v>2241</v>
      </c>
      <c r="E873" s="96" t="s">
        <v>2242</v>
      </c>
      <c r="F873" s="96" t="s">
        <v>312</v>
      </c>
      <c r="G873" s="96" t="s">
        <v>2243</v>
      </c>
      <c r="H873" s="96" t="s">
        <v>2244</v>
      </c>
      <c r="I873" s="96" t="s">
        <v>320</v>
      </c>
      <c r="J873" s="96" t="s">
        <v>754</v>
      </c>
      <c r="K873" s="96" t="s">
        <v>204</v>
      </c>
      <c r="L873" s="96" t="s">
        <v>223</v>
      </c>
      <c r="M873" s="96" t="s">
        <v>324</v>
      </c>
      <c r="N873" s="96" t="s">
        <v>313</v>
      </c>
      <c r="O873" s="96" t="s">
        <v>492</v>
      </c>
      <c r="P873" s="96" t="s">
        <v>338</v>
      </c>
      <c r="Q873" s="96" t="s">
        <v>2172</v>
      </c>
      <c r="R873" s="96" t="s">
        <v>430</v>
      </c>
      <c r="S873" s="96" t="s">
        <v>406</v>
      </c>
      <c r="T873" s="96" t="s">
        <v>1202</v>
      </c>
      <c r="U873" s="97">
        <v>4.34</v>
      </c>
      <c r="V873" s="100">
        <v>45506</v>
      </c>
      <c r="W873" s="98">
        <v>2.2499999999999999E-2</v>
      </c>
      <c r="X873" s="98">
        <v>4.4699999999999997E-2</v>
      </c>
      <c r="Y873" s="96" t="s">
        <v>411</v>
      </c>
      <c r="Z873" s="96"/>
      <c r="AA873" s="97">
        <v>231273.74580400001</v>
      </c>
      <c r="AB873" s="97">
        <v>4.0202</v>
      </c>
      <c r="AC873" s="97">
        <v>92.447599999999994</v>
      </c>
      <c r="AD873" s="97"/>
      <c r="AE873" s="97">
        <v>859.54731600000002</v>
      </c>
      <c r="AF873" s="96"/>
      <c r="AG873" s="96"/>
      <c r="AH873" s="96"/>
      <c r="AI873" s="98">
        <v>2.5599999999999999E-4</v>
      </c>
      <c r="AJ873" s="98">
        <v>3.2200000000000002E-3</v>
      </c>
      <c r="AK873" s="98">
        <v>4.4700000000000002E-4</v>
      </c>
      <c r="AL873" s="106"/>
    </row>
    <row r="874" spans="1:38" ht="15" customHeight="1">
      <c r="A874" s="106"/>
      <c r="B874" s="96">
        <v>286</v>
      </c>
      <c r="C874" s="96">
        <v>286</v>
      </c>
      <c r="D874" s="96" t="s">
        <v>2118</v>
      </c>
      <c r="E874" s="96" t="s">
        <v>2119</v>
      </c>
      <c r="F874" s="96" t="s">
        <v>312</v>
      </c>
      <c r="G874" s="96" t="s">
        <v>2120</v>
      </c>
      <c r="H874" s="96" t="s">
        <v>2121</v>
      </c>
      <c r="I874" s="96" t="s">
        <v>320</v>
      </c>
      <c r="J874" s="96" t="s">
        <v>754</v>
      </c>
      <c r="K874" s="96" t="s">
        <v>204</v>
      </c>
      <c r="L874" s="96" t="s">
        <v>232</v>
      </c>
      <c r="M874" s="96" t="s">
        <v>332</v>
      </c>
      <c r="N874" s="96" t="s">
        <v>369</v>
      </c>
      <c r="O874" s="96" t="s">
        <v>486</v>
      </c>
      <c r="P874" s="96" t="s">
        <v>338</v>
      </c>
      <c r="Q874" s="96" t="s">
        <v>2102</v>
      </c>
      <c r="R874" s="96" t="s">
        <v>432</v>
      </c>
      <c r="S874" s="96" t="s">
        <v>406</v>
      </c>
      <c r="T874" s="96" t="s">
        <v>1202</v>
      </c>
      <c r="U874" s="97">
        <v>1.85</v>
      </c>
      <c r="V874" s="100">
        <v>46103</v>
      </c>
      <c r="W874" s="98">
        <v>3.2500000000000001E-2</v>
      </c>
      <c r="X874" s="98">
        <v>4.41E-2</v>
      </c>
      <c r="Y874" s="96" t="s">
        <v>410</v>
      </c>
      <c r="Z874" s="96"/>
      <c r="AA874" s="97">
        <v>1051.244299</v>
      </c>
      <c r="AB874" s="97">
        <v>4.0202</v>
      </c>
      <c r="AC874" s="97">
        <v>97.916200000000003</v>
      </c>
      <c r="AD874" s="97"/>
      <c r="AE874" s="97">
        <v>4.138147</v>
      </c>
      <c r="AF874" s="96"/>
      <c r="AG874" s="96"/>
      <c r="AH874" s="96"/>
      <c r="AI874" s="98">
        <v>0</v>
      </c>
      <c r="AJ874" s="98">
        <v>1.5E-5</v>
      </c>
      <c r="AK874" s="98">
        <v>1.9999999999999999E-6</v>
      </c>
      <c r="AL874" s="106"/>
    </row>
    <row r="875" spans="1:38" ht="15" customHeight="1">
      <c r="A875" s="106"/>
      <c r="B875" s="96">
        <v>286</v>
      </c>
      <c r="C875" s="96">
        <v>286</v>
      </c>
      <c r="D875" s="96" t="s">
        <v>2070</v>
      </c>
      <c r="E875" s="96" t="s">
        <v>2071</v>
      </c>
      <c r="F875" s="96" t="s">
        <v>312</v>
      </c>
      <c r="G875" s="96" t="s">
        <v>2256</v>
      </c>
      <c r="H875" s="96" t="s">
        <v>2257</v>
      </c>
      <c r="I875" s="96" t="s">
        <v>320</v>
      </c>
      <c r="J875" s="96" t="s">
        <v>754</v>
      </c>
      <c r="K875" s="96" t="s">
        <v>204</v>
      </c>
      <c r="L875" s="96" t="s">
        <v>223</v>
      </c>
      <c r="M875" s="96" t="s">
        <v>324</v>
      </c>
      <c r="N875" s="96" t="s">
        <v>313</v>
      </c>
      <c r="O875" s="96" t="s">
        <v>535</v>
      </c>
      <c r="P875" s="96" t="s">
        <v>338</v>
      </c>
      <c r="Q875" s="96" t="s">
        <v>2258</v>
      </c>
      <c r="R875" s="96" t="s">
        <v>432</v>
      </c>
      <c r="S875" s="96" t="s">
        <v>406</v>
      </c>
      <c r="T875" s="96" t="s">
        <v>1201</v>
      </c>
      <c r="U875" s="97">
        <v>6.48</v>
      </c>
      <c r="V875" s="100">
        <v>48238</v>
      </c>
      <c r="W875" s="98">
        <v>2.963E-2</v>
      </c>
      <c r="X875" s="98">
        <v>5.3699999999999998E-2</v>
      </c>
      <c r="Y875" s="96" t="s">
        <v>411</v>
      </c>
      <c r="Z875" s="96"/>
      <c r="AA875" s="97">
        <v>178711.53084799999</v>
      </c>
      <c r="AB875" s="97">
        <v>3.7589999999999999</v>
      </c>
      <c r="AC875" s="97">
        <v>86.452100000000002</v>
      </c>
      <c r="AD875" s="97"/>
      <c r="AE875" s="97">
        <v>580.765669</v>
      </c>
      <c r="AF875" s="96"/>
      <c r="AG875" s="96"/>
      <c r="AH875" s="96"/>
      <c r="AI875" s="98">
        <v>5.1E-5</v>
      </c>
      <c r="AJ875" s="98">
        <v>2.176E-3</v>
      </c>
      <c r="AK875" s="98">
        <v>3.0200000000000002E-4</v>
      </c>
      <c r="AL875" s="106"/>
    </row>
    <row r="876" spans="1:38" ht="15" customHeight="1">
      <c r="A876" s="106"/>
      <c r="B876" s="96">
        <v>286</v>
      </c>
      <c r="C876" s="96">
        <v>286</v>
      </c>
      <c r="D876" s="96" t="s">
        <v>2268</v>
      </c>
      <c r="E876" s="96" t="s">
        <v>2269</v>
      </c>
      <c r="F876" s="96" t="s">
        <v>312</v>
      </c>
      <c r="G876" s="96" t="s">
        <v>2270</v>
      </c>
      <c r="H876" s="96" t="s">
        <v>2271</v>
      </c>
      <c r="I876" s="96" t="s">
        <v>320</v>
      </c>
      <c r="J876" s="96" t="s">
        <v>754</v>
      </c>
      <c r="K876" s="96" t="s">
        <v>204</v>
      </c>
      <c r="L876" s="96" t="s">
        <v>211</v>
      </c>
      <c r="M876" s="96" t="s">
        <v>324</v>
      </c>
      <c r="N876" s="96" t="s">
        <v>313</v>
      </c>
      <c r="O876" s="96" t="s">
        <v>486</v>
      </c>
      <c r="P876" s="96" t="s">
        <v>338</v>
      </c>
      <c r="Q876" s="96" t="s">
        <v>2112</v>
      </c>
      <c r="R876" s="96" t="s">
        <v>430</v>
      </c>
      <c r="S876" s="96" t="s">
        <v>406</v>
      </c>
      <c r="T876" s="96" t="s">
        <v>1202</v>
      </c>
      <c r="U876" s="97">
        <v>4.3499999999999996</v>
      </c>
      <c r="V876" s="100">
        <v>47312</v>
      </c>
      <c r="W876" s="98">
        <v>3.3750000000000002E-2</v>
      </c>
      <c r="X876" s="98">
        <v>5.0299999999999997E-2</v>
      </c>
      <c r="Y876" s="96" t="s">
        <v>410</v>
      </c>
      <c r="Z876" s="96"/>
      <c r="AA876" s="97">
        <v>105124.429911</v>
      </c>
      <c r="AB876" s="97">
        <v>4.0202</v>
      </c>
      <c r="AC876" s="97">
        <v>95.140799999999999</v>
      </c>
      <c r="AD876" s="97"/>
      <c r="AE876" s="97">
        <v>402.08551399999999</v>
      </c>
      <c r="AF876" s="96"/>
      <c r="AG876" s="96"/>
      <c r="AH876" s="96"/>
      <c r="AI876" s="98">
        <v>6.9999999999999994E-5</v>
      </c>
      <c r="AJ876" s="98">
        <v>1.506E-3</v>
      </c>
      <c r="AK876" s="98">
        <v>2.0900000000000001E-4</v>
      </c>
      <c r="AL876" s="106"/>
    </row>
    <row r="877" spans="1:38" ht="15" customHeight="1">
      <c r="A877" s="106"/>
      <c r="B877" s="96">
        <v>286</v>
      </c>
      <c r="C877" s="96">
        <v>286</v>
      </c>
      <c r="D877" s="96" t="s">
        <v>2162</v>
      </c>
      <c r="E877" s="96" t="s">
        <v>2163</v>
      </c>
      <c r="F877" s="96" t="s">
        <v>312</v>
      </c>
      <c r="G877" s="96" t="s">
        <v>2164</v>
      </c>
      <c r="H877" s="96" t="s">
        <v>2165</v>
      </c>
      <c r="I877" s="96" t="s">
        <v>320</v>
      </c>
      <c r="J877" s="96" t="s">
        <v>754</v>
      </c>
      <c r="K877" s="96" t="s">
        <v>204</v>
      </c>
      <c r="L877" s="96" t="s">
        <v>223</v>
      </c>
      <c r="M877" s="96" t="s">
        <v>324</v>
      </c>
      <c r="N877" s="96" t="s">
        <v>343</v>
      </c>
      <c r="O877" s="96" t="s">
        <v>544</v>
      </c>
      <c r="P877" s="96" t="s">
        <v>338</v>
      </c>
      <c r="Q877" s="96" t="s">
        <v>2102</v>
      </c>
      <c r="R877" s="96" t="s">
        <v>422</v>
      </c>
      <c r="S877" s="96" t="s">
        <v>406</v>
      </c>
      <c r="T877" s="96" t="s">
        <v>1201</v>
      </c>
      <c r="U877" s="97">
        <v>5.74</v>
      </c>
      <c r="V877" s="100">
        <v>47710</v>
      </c>
      <c r="W877" s="98">
        <v>2.3E-2</v>
      </c>
      <c r="X877" s="98">
        <v>5.2900000000000003E-2</v>
      </c>
      <c r="Y877" s="96" t="s">
        <v>411</v>
      </c>
      <c r="Z877" s="96"/>
      <c r="AA877" s="97">
        <v>445885.26946699998</v>
      </c>
      <c r="AB877" s="97">
        <v>3.7589999999999999</v>
      </c>
      <c r="AC877" s="97">
        <v>84.257499999999993</v>
      </c>
      <c r="AD877" s="97"/>
      <c r="AE877" s="97">
        <v>1412.225404</v>
      </c>
      <c r="AF877" s="96"/>
      <c r="AG877" s="96"/>
      <c r="AH877" s="96"/>
      <c r="AI877" s="98">
        <v>4.95E-4</v>
      </c>
      <c r="AJ877" s="98">
        <v>5.2900000000000004E-3</v>
      </c>
      <c r="AK877" s="98">
        <v>7.3399999999999995E-4</v>
      </c>
      <c r="AL877" s="106"/>
    </row>
    <row r="878" spans="1:38" ht="15" customHeight="1">
      <c r="A878" s="106"/>
      <c r="B878" s="96">
        <v>286</v>
      </c>
      <c r="C878" s="96">
        <v>286</v>
      </c>
      <c r="D878" s="96" t="s">
        <v>2395</v>
      </c>
      <c r="E878" s="96" t="s">
        <v>2396</v>
      </c>
      <c r="F878" s="96" t="s">
        <v>312</v>
      </c>
      <c r="G878" s="96" t="s">
        <v>2397</v>
      </c>
      <c r="H878" s="96" t="s">
        <v>2398</v>
      </c>
      <c r="I878" s="96" t="s">
        <v>320</v>
      </c>
      <c r="J878" s="96" t="s">
        <v>754</v>
      </c>
      <c r="K878" s="96" t="s">
        <v>204</v>
      </c>
      <c r="L878" s="96" t="s">
        <v>271</v>
      </c>
      <c r="M878" s="96" t="s">
        <v>324</v>
      </c>
      <c r="N878" s="96" t="s">
        <v>313</v>
      </c>
      <c r="O878" s="96" t="s">
        <v>486</v>
      </c>
      <c r="P878" s="96" t="s">
        <v>338</v>
      </c>
      <c r="Q878" s="96" t="s">
        <v>1698</v>
      </c>
      <c r="R878" s="96" t="s">
        <v>422</v>
      </c>
      <c r="S878" s="96" t="s">
        <v>406</v>
      </c>
      <c r="T878" s="96" t="s">
        <v>1202</v>
      </c>
      <c r="U878" s="97">
        <v>0.7</v>
      </c>
      <c r="V878" s="100">
        <v>45741</v>
      </c>
      <c r="W878" s="98">
        <v>4.4999999999999998E-2</v>
      </c>
      <c r="X878" s="98">
        <v>4.6800000000000001E-2</v>
      </c>
      <c r="Y878" s="96" t="s">
        <v>410</v>
      </c>
      <c r="Z878" s="96"/>
      <c r="AA878" s="97">
        <v>199736.41683100001</v>
      </c>
      <c r="AB878" s="97">
        <v>4.0202</v>
      </c>
      <c r="AC878" s="97">
        <v>101.01439999999999</v>
      </c>
      <c r="AD878" s="97"/>
      <c r="AE878" s="97">
        <v>811.12657799999999</v>
      </c>
      <c r="AF878" s="96"/>
      <c r="AG878" s="96"/>
      <c r="AH878" s="96"/>
      <c r="AI878" s="98">
        <v>2.7500000000000002E-4</v>
      </c>
      <c r="AJ878" s="98">
        <v>3.039E-3</v>
      </c>
      <c r="AK878" s="98">
        <v>4.2200000000000001E-4</v>
      </c>
      <c r="AL878" s="106"/>
    </row>
    <row r="879" spans="1:38" ht="15" customHeight="1">
      <c r="A879" s="106"/>
      <c r="B879" s="96">
        <v>286</v>
      </c>
      <c r="C879" s="96">
        <v>286</v>
      </c>
      <c r="D879" s="96" t="s">
        <v>2222</v>
      </c>
      <c r="E879" s="96" t="s">
        <v>2223</v>
      </c>
      <c r="F879" s="96" t="s">
        <v>312</v>
      </c>
      <c r="G879" s="96" t="s">
        <v>2224</v>
      </c>
      <c r="H879" s="96" t="s">
        <v>2225</v>
      </c>
      <c r="I879" s="96" t="s">
        <v>320</v>
      </c>
      <c r="J879" s="96" t="s">
        <v>754</v>
      </c>
      <c r="K879" s="96" t="s">
        <v>204</v>
      </c>
      <c r="L879" s="96" t="s">
        <v>280</v>
      </c>
      <c r="M879" s="96" t="s">
        <v>324</v>
      </c>
      <c r="N879" s="96" t="s">
        <v>363</v>
      </c>
      <c r="O879" s="96" t="s">
        <v>535</v>
      </c>
      <c r="P879" s="96" t="s">
        <v>338</v>
      </c>
      <c r="Q879" s="96" t="s">
        <v>2117</v>
      </c>
      <c r="R879" s="96" t="s">
        <v>430</v>
      </c>
      <c r="S879" s="96" t="s">
        <v>406</v>
      </c>
      <c r="T879" s="96" t="s">
        <v>1202</v>
      </c>
      <c r="U879" s="97">
        <v>4.76</v>
      </c>
      <c r="V879" s="100">
        <v>47645</v>
      </c>
      <c r="W879" s="98">
        <v>7.3749999999999996E-2</v>
      </c>
      <c r="X879" s="98">
        <v>6.5199999999999994E-2</v>
      </c>
      <c r="Y879" s="96" t="s">
        <v>410</v>
      </c>
      <c r="Z879" s="96"/>
      <c r="AA879" s="97">
        <v>105124.429911</v>
      </c>
      <c r="AB879" s="97">
        <v>4.0202</v>
      </c>
      <c r="AC879" s="97">
        <v>104.5312</v>
      </c>
      <c r="AD879" s="97"/>
      <c r="AE879" s="97">
        <v>441.77119900000002</v>
      </c>
      <c r="AF879" s="96"/>
      <c r="AG879" s="96"/>
      <c r="AH879" s="96"/>
      <c r="AI879" s="98">
        <v>8.3999999999999995E-5</v>
      </c>
      <c r="AJ879" s="98">
        <v>1.655E-3</v>
      </c>
      <c r="AK879" s="98">
        <v>2.3000000000000001E-4</v>
      </c>
      <c r="AL879" s="106"/>
    </row>
    <row r="880" spans="1:38" ht="15" customHeight="1">
      <c r="A880" s="106"/>
      <c r="B880" s="96">
        <v>286</v>
      </c>
      <c r="C880" s="96">
        <v>286</v>
      </c>
      <c r="D880" s="96" t="s">
        <v>2118</v>
      </c>
      <c r="E880" s="96" t="s">
        <v>2119</v>
      </c>
      <c r="F880" s="96" t="s">
        <v>312</v>
      </c>
      <c r="G880" s="96" t="s">
        <v>2389</v>
      </c>
      <c r="H880" s="96" t="s">
        <v>2390</v>
      </c>
      <c r="I880" s="96" t="s">
        <v>320</v>
      </c>
      <c r="J880" s="96" t="s">
        <v>754</v>
      </c>
      <c r="K880" s="96" t="s">
        <v>204</v>
      </c>
      <c r="L880" s="96" t="s">
        <v>232</v>
      </c>
      <c r="M880" s="96" t="s">
        <v>324</v>
      </c>
      <c r="N880" s="96" t="s">
        <v>369</v>
      </c>
      <c r="O880" s="96" t="s">
        <v>486</v>
      </c>
      <c r="P880" s="96" t="s">
        <v>338</v>
      </c>
      <c r="Q880" s="96" t="s">
        <v>2102</v>
      </c>
      <c r="R880" s="96" t="s">
        <v>432</v>
      </c>
      <c r="S880" s="96" t="s">
        <v>406</v>
      </c>
      <c r="T880" s="96" t="s">
        <v>1202</v>
      </c>
      <c r="U880" s="97">
        <v>4.21</v>
      </c>
      <c r="V880" s="100">
        <v>47199</v>
      </c>
      <c r="W880" s="98">
        <v>3.6249999999999998E-2</v>
      </c>
      <c r="X880" s="98">
        <v>4.5999999999999999E-2</v>
      </c>
      <c r="Y880" s="96" t="s">
        <v>410</v>
      </c>
      <c r="Z880" s="96"/>
      <c r="AA880" s="97">
        <v>210248.859822</v>
      </c>
      <c r="AB880" s="97">
        <v>4.0202</v>
      </c>
      <c r="AC880" s="97">
        <v>96.008499999999998</v>
      </c>
      <c r="AD880" s="97"/>
      <c r="AE880" s="97">
        <v>811.50508200000002</v>
      </c>
      <c r="AF880" s="96"/>
      <c r="AG880" s="96"/>
      <c r="AH880" s="96"/>
      <c r="AI880" s="98">
        <v>9.2999999999999997E-5</v>
      </c>
      <c r="AJ880" s="98">
        <v>3.0400000000000002E-3</v>
      </c>
      <c r="AK880" s="98">
        <v>4.2200000000000001E-4</v>
      </c>
      <c r="AL880" s="106"/>
    </row>
    <row r="881" spans="1:38" ht="15" customHeight="1">
      <c r="A881" s="106"/>
      <c r="B881" s="96">
        <v>286</v>
      </c>
      <c r="C881" s="96">
        <v>286</v>
      </c>
      <c r="D881" s="96" t="s">
        <v>2295</v>
      </c>
      <c r="E881" s="96" t="s">
        <v>2296</v>
      </c>
      <c r="F881" s="96" t="s">
        <v>312</v>
      </c>
      <c r="G881" s="96" t="s">
        <v>2297</v>
      </c>
      <c r="H881" s="96" t="s">
        <v>2298</v>
      </c>
      <c r="I881" s="96" t="s">
        <v>320</v>
      </c>
      <c r="J881" s="96" t="s">
        <v>754</v>
      </c>
      <c r="K881" s="96" t="s">
        <v>204</v>
      </c>
      <c r="L881" s="96" t="s">
        <v>223</v>
      </c>
      <c r="M881" s="96" t="s">
        <v>324</v>
      </c>
      <c r="N881" s="96" t="s">
        <v>313</v>
      </c>
      <c r="O881" s="96" t="s">
        <v>539</v>
      </c>
      <c r="P881" s="96" t="s">
        <v>338</v>
      </c>
      <c r="Q881" s="96" t="s">
        <v>1698</v>
      </c>
      <c r="R881" s="96" t="s">
        <v>422</v>
      </c>
      <c r="S881" s="96" t="s">
        <v>406</v>
      </c>
      <c r="T881" s="96" t="s">
        <v>1201</v>
      </c>
      <c r="U881" s="97">
        <v>5.31</v>
      </c>
      <c r="V881" s="100">
        <v>45717</v>
      </c>
      <c r="W881" s="98">
        <v>3.6249999999999998E-2</v>
      </c>
      <c r="X881" s="98">
        <v>5.6000000000000001E-2</v>
      </c>
      <c r="Y881" s="96" t="s">
        <v>411</v>
      </c>
      <c r="Z881" s="96"/>
      <c r="AA881" s="97">
        <v>105124.429911</v>
      </c>
      <c r="AB881" s="97">
        <v>3.7589999999999999</v>
      </c>
      <c r="AC881" s="97">
        <v>90.974199999999996</v>
      </c>
      <c r="AD881" s="97"/>
      <c r="AE881" s="97">
        <v>359.49638599999997</v>
      </c>
      <c r="AF881" s="96"/>
      <c r="AG881" s="96"/>
      <c r="AH881" s="96"/>
      <c r="AI881" s="98">
        <v>1.16E-4</v>
      </c>
      <c r="AJ881" s="98">
        <v>1.3470000000000001E-3</v>
      </c>
      <c r="AK881" s="98">
        <v>1.8699999999999999E-4</v>
      </c>
      <c r="AL881" s="106"/>
    </row>
    <row r="882" spans="1:38" ht="15" customHeight="1">
      <c r="A882" s="106"/>
      <c r="B882" s="96">
        <v>286</v>
      </c>
      <c r="C882" s="96">
        <v>286</v>
      </c>
      <c r="D882" s="96" t="s">
        <v>2391</v>
      </c>
      <c r="E882" s="96" t="s">
        <v>2392</v>
      </c>
      <c r="F882" s="96" t="s">
        <v>312</v>
      </c>
      <c r="G882" s="96" t="s">
        <v>2393</v>
      </c>
      <c r="H882" s="96" t="s">
        <v>2394</v>
      </c>
      <c r="I882" s="96" t="s">
        <v>320</v>
      </c>
      <c r="J882" s="96" t="s">
        <v>754</v>
      </c>
      <c r="K882" s="96" t="s">
        <v>204</v>
      </c>
      <c r="L882" s="96" t="s">
        <v>203</v>
      </c>
      <c r="M882" s="96" t="s">
        <v>324</v>
      </c>
      <c r="N882" s="96" t="s">
        <v>363</v>
      </c>
      <c r="O882" s="96" t="s">
        <v>533</v>
      </c>
      <c r="P882" s="96" t="s">
        <v>338</v>
      </c>
      <c r="Q882" s="96" t="s">
        <v>2149</v>
      </c>
      <c r="R882" s="96" t="s">
        <v>422</v>
      </c>
      <c r="S882" s="96" t="s">
        <v>406</v>
      </c>
      <c r="T882" s="96" t="s">
        <v>1202</v>
      </c>
      <c r="U882" s="97">
        <v>5.05</v>
      </c>
      <c r="V882" s="100">
        <v>47523</v>
      </c>
      <c r="W882" s="98">
        <v>4.3749999999999997E-2</v>
      </c>
      <c r="X882" s="98">
        <v>4.99E-2</v>
      </c>
      <c r="Y882" s="96" t="s">
        <v>411</v>
      </c>
      <c r="Z882" s="96"/>
      <c r="AA882" s="97">
        <v>735871.00937800005</v>
      </c>
      <c r="AB882" s="97">
        <v>4.0202</v>
      </c>
      <c r="AC882" s="97">
        <v>97.526700000000005</v>
      </c>
      <c r="AD882" s="97"/>
      <c r="AE882" s="97">
        <v>2885.182507</v>
      </c>
      <c r="AF882" s="96"/>
      <c r="AG882" s="96"/>
      <c r="AH882" s="96"/>
      <c r="AI882" s="98">
        <v>4.8999999999999998E-4</v>
      </c>
      <c r="AJ882" s="98">
        <v>1.0810999999999999E-2</v>
      </c>
      <c r="AK882" s="98">
        <v>1.5020000000000001E-3</v>
      </c>
      <c r="AL882" s="106"/>
    </row>
    <row r="883" spans="1:38" ht="15" customHeight="1">
      <c r="A883" s="106"/>
      <c r="B883" s="96">
        <v>286</v>
      </c>
      <c r="C883" s="96">
        <v>286</v>
      </c>
      <c r="D883" s="96" t="s">
        <v>2139</v>
      </c>
      <c r="E883" s="96" t="s">
        <v>2140</v>
      </c>
      <c r="F883" s="96" t="s">
        <v>312</v>
      </c>
      <c r="G883" s="96" t="s">
        <v>2235</v>
      </c>
      <c r="H883" s="96" t="s">
        <v>2236</v>
      </c>
      <c r="I883" s="96" t="s">
        <v>320</v>
      </c>
      <c r="J883" s="96" t="s">
        <v>754</v>
      </c>
      <c r="K883" s="96" t="s">
        <v>204</v>
      </c>
      <c r="L883" s="96" t="s">
        <v>263</v>
      </c>
      <c r="M883" s="96" t="s">
        <v>324</v>
      </c>
      <c r="N883" s="96" t="s">
        <v>313</v>
      </c>
      <c r="O883" s="96" t="s">
        <v>488</v>
      </c>
      <c r="P883" s="96" t="s">
        <v>338</v>
      </c>
      <c r="Q883" s="96" t="s">
        <v>2134</v>
      </c>
      <c r="R883" s="96" t="s">
        <v>422</v>
      </c>
      <c r="S883" s="96" t="s">
        <v>406</v>
      </c>
      <c r="T883" s="96" t="s">
        <v>1201</v>
      </c>
      <c r="U883" s="97">
        <v>1.76</v>
      </c>
      <c r="V883" s="100">
        <v>46181</v>
      </c>
      <c r="W883" s="98">
        <v>5.1249999999999997E-2</v>
      </c>
      <c r="X883" s="98">
        <v>7.2400000000000006E-2</v>
      </c>
      <c r="Y883" s="96" t="s">
        <v>410</v>
      </c>
      <c r="Z883" s="96"/>
      <c r="AA883" s="97">
        <v>108278.16280799999</v>
      </c>
      <c r="AB883" s="97">
        <v>3.7589999999999999</v>
      </c>
      <c r="AC883" s="97">
        <v>100.43980000000001</v>
      </c>
      <c r="AD883" s="97"/>
      <c r="AE883" s="97">
        <v>408.80768499999999</v>
      </c>
      <c r="AF883" s="96"/>
      <c r="AG883" s="96"/>
      <c r="AH883" s="96"/>
      <c r="AI883" s="98">
        <v>1.08E-4</v>
      </c>
      <c r="AJ883" s="98">
        <v>1.531E-3</v>
      </c>
      <c r="AK883" s="98">
        <v>2.12E-4</v>
      </c>
      <c r="AL883" s="106"/>
    </row>
    <row r="884" spans="1:38" ht="15" customHeight="1">
      <c r="A884" s="106"/>
      <c r="B884" s="96">
        <v>286</v>
      </c>
      <c r="C884" s="96">
        <v>286</v>
      </c>
      <c r="D884" s="96" t="s">
        <v>2122</v>
      </c>
      <c r="E884" s="96" t="s">
        <v>2123</v>
      </c>
      <c r="F884" s="96" t="s">
        <v>312</v>
      </c>
      <c r="G884" s="96" t="s">
        <v>2137</v>
      </c>
      <c r="H884" s="96" t="s">
        <v>2138</v>
      </c>
      <c r="I884" s="96" t="s">
        <v>320</v>
      </c>
      <c r="J884" s="96" t="s">
        <v>754</v>
      </c>
      <c r="K884" s="96" t="s">
        <v>204</v>
      </c>
      <c r="L884" s="96" t="s">
        <v>223</v>
      </c>
      <c r="M884" s="96" t="s">
        <v>324</v>
      </c>
      <c r="N884" s="96" t="s">
        <v>369</v>
      </c>
      <c r="O884" s="96" t="s">
        <v>499</v>
      </c>
      <c r="P884" s="96" t="s">
        <v>338</v>
      </c>
      <c r="Q884" s="96" t="s">
        <v>2112</v>
      </c>
      <c r="R884" s="96" t="s">
        <v>430</v>
      </c>
      <c r="S884" s="96" t="s">
        <v>406</v>
      </c>
      <c r="T884" s="96" t="s">
        <v>1201</v>
      </c>
      <c r="U884" s="97">
        <v>2.81</v>
      </c>
      <c r="V884" s="100">
        <v>45512</v>
      </c>
      <c r="W884" s="98">
        <v>4.3749999999999997E-2</v>
      </c>
      <c r="X884" s="98">
        <v>5.7000000000000002E-2</v>
      </c>
      <c r="Y884" s="96" t="s">
        <v>411</v>
      </c>
      <c r="Z884" s="96"/>
      <c r="AA884" s="97">
        <v>105124.429911</v>
      </c>
      <c r="AB884" s="97">
        <v>3.7589999999999999</v>
      </c>
      <c r="AC884" s="97">
        <v>97.896600000000007</v>
      </c>
      <c r="AD884" s="97"/>
      <c r="AE884" s="97">
        <v>386.850977</v>
      </c>
      <c r="AF884" s="96"/>
      <c r="AG884" s="96"/>
      <c r="AH884" s="96"/>
      <c r="AI884" s="98">
        <v>1.75E-4</v>
      </c>
      <c r="AJ884" s="98">
        <v>1.449E-3</v>
      </c>
      <c r="AK884" s="98">
        <v>2.0100000000000001E-4</v>
      </c>
      <c r="AL884" s="106"/>
    </row>
    <row r="885" spans="1:38" ht="15" customHeight="1">
      <c r="A885" s="106"/>
      <c r="B885" s="96">
        <v>286</v>
      </c>
      <c r="C885" s="96">
        <v>286</v>
      </c>
      <c r="D885" s="96" t="s">
        <v>2264</v>
      </c>
      <c r="E885" s="96" t="s">
        <v>2265</v>
      </c>
      <c r="F885" s="96" t="s">
        <v>312</v>
      </c>
      <c r="G885" s="96" t="s">
        <v>2266</v>
      </c>
      <c r="H885" s="96" t="s">
        <v>2267</v>
      </c>
      <c r="I885" s="96" t="s">
        <v>320</v>
      </c>
      <c r="J885" s="96" t="s">
        <v>754</v>
      </c>
      <c r="K885" s="96" t="s">
        <v>204</v>
      </c>
      <c r="L885" s="96" t="s">
        <v>237</v>
      </c>
      <c r="M885" s="96" t="s">
        <v>324</v>
      </c>
      <c r="N885" s="96" t="s">
        <v>313</v>
      </c>
      <c r="O885" s="96" t="s">
        <v>557</v>
      </c>
      <c r="P885" s="96" t="s">
        <v>338</v>
      </c>
      <c r="Q885" s="96" t="s">
        <v>2117</v>
      </c>
      <c r="R885" s="96" t="s">
        <v>430</v>
      </c>
      <c r="S885" s="96" t="s">
        <v>406</v>
      </c>
      <c r="T885" s="96" t="s">
        <v>1201</v>
      </c>
      <c r="U885" s="97">
        <v>1.58</v>
      </c>
      <c r="V885" s="100">
        <v>46111</v>
      </c>
      <c r="W885" s="98">
        <v>6.6250000000000003E-2</v>
      </c>
      <c r="X885" s="98">
        <v>6.1699999999999998E-2</v>
      </c>
      <c r="Y885" s="96" t="s">
        <v>410</v>
      </c>
      <c r="Z885" s="96"/>
      <c r="AA885" s="97">
        <v>336902.772979</v>
      </c>
      <c r="AB885" s="97">
        <v>3.7589999999999999</v>
      </c>
      <c r="AC885" s="97">
        <v>102.3462</v>
      </c>
      <c r="AD885" s="97"/>
      <c r="AE885" s="97">
        <v>1296.130844</v>
      </c>
      <c r="AF885" s="96"/>
      <c r="AG885" s="96"/>
      <c r="AH885" s="96"/>
      <c r="AI885" s="98">
        <v>1.0610000000000001E-3</v>
      </c>
      <c r="AJ885" s="98">
        <v>4.8560000000000001E-3</v>
      </c>
      <c r="AK885" s="98">
        <v>6.7400000000000001E-4</v>
      </c>
      <c r="AL885" s="106"/>
    </row>
    <row r="886" spans="1:38" ht="15" customHeight="1">
      <c r="A886" s="106"/>
      <c r="B886" s="96">
        <v>286</v>
      </c>
      <c r="C886" s="96">
        <v>286</v>
      </c>
      <c r="D886" s="96" t="s">
        <v>2126</v>
      </c>
      <c r="E886" s="96" t="s">
        <v>2127</v>
      </c>
      <c r="F886" s="96" t="s">
        <v>312</v>
      </c>
      <c r="G886" s="96" t="s">
        <v>2128</v>
      </c>
      <c r="H886" s="96" t="s">
        <v>2129</v>
      </c>
      <c r="I886" s="96" t="s">
        <v>320</v>
      </c>
      <c r="J886" s="96" t="s">
        <v>754</v>
      </c>
      <c r="K886" s="96" t="s">
        <v>204</v>
      </c>
      <c r="L886" s="96" t="s">
        <v>223</v>
      </c>
      <c r="M886" s="96" t="s">
        <v>324</v>
      </c>
      <c r="N886" s="96" t="s">
        <v>343</v>
      </c>
      <c r="O886" s="96" t="s">
        <v>530</v>
      </c>
      <c r="P886" s="96" t="s">
        <v>338</v>
      </c>
      <c r="Q886" s="96" t="s">
        <v>2112</v>
      </c>
      <c r="R886" s="96" t="s">
        <v>430</v>
      </c>
      <c r="S886" s="96" t="s">
        <v>406</v>
      </c>
      <c r="T886" s="96" t="s">
        <v>1201</v>
      </c>
      <c r="U886" s="97">
        <v>0.55000000000000004</v>
      </c>
      <c r="V886" s="100">
        <v>45689</v>
      </c>
      <c r="W886" s="98">
        <v>5.3749999999999999E-2</v>
      </c>
      <c r="X886" s="98">
        <v>5.9299999999999999E-2</v>
      </c>
      <c r="Y886" s="96" t="s">
        <v>411</v>
      </c>
      <c r="Z886" s="96"/>
      <c r="AA886" s="97">
        <v>52562.214955000003</v>
      </c>
      <c r="AB886" s="97">
        <v>3.7589999999999999</v>
      </c>
      <c r="AC886" s="97">
        <v>101.9036</v>
      </c>
      <c r="AD886" s="97"/>
      <c r="AE886" s="97">
        <v>201.34262899999999</v>
      </c>
      <c r="AF886" s="96"/>
      <c r="AG886" s="96"/>
      <c r="AH886" s="96"/>
      <c r="AI886" s="98">
        <v>2.0000000000000002E-5</v>
      </c>
      <c r="AJ886" s="98">
        <v>7.54E-4</v>
      </c>
      <c r="AK886" s="98">
        <v>1.0399999999999999E-4</v>
      </c>
      <c r="AL886" s="106"/>
    </row>
    <row r="887" spans="1:38" ht="15" customHeight="1">
      <c r="A887" s="106"/>
      <c r="B887" s="96">
        <v>286</v>
      </c>
      <c r="C887" s="96">
        <v>286</v>
      </c>
      <c r="D887" s="96" t="s">
        <v>1197</v>
      </c>
      <c r="E887" s="96">
        <v>520018078</v>
      </c>
      <c r="F887" s="96" t="s">
        <v>308</v>
      </c>
      <c r="G887" s="96" t="s">
        <v>2079</v>
      </c>
      <c r="H887" s="96" t="s">
        <v>2080</v>
      </c>
      <c r="I887" s="96" t="s">
        <v>320</v>
      </c>
      <c r="J887" s="96" t="s">
        <v>754</v>
      </c>
      <c r="K887" s="96" t="s">
        <v>204</v>
      </c>
      <c r="L887" s="96" t="s">
        <v>203</v>
      </c>
      <c r="M887" s="96" t="s">
        <v>324</v>
      </c>
      <c r="N887" s="96" t="s">
        <v>313</v>
      </c>
      <c r="O887" s="96" t="s">
        <v>535</v>
      </c>
      <c r="P887" s="96" t="s">
        <v>338</v>
      </c>
      <c r="Q887" s="96" t="s">
        <v>1698</v>
      </c>
      <c r="R887" s="96" t="s">
        <v>432</v>
      </c>
      <c r="S887" s="96" t="s">
        <v>406</v>
      </c>
      <c r="T887" s="96" t="s">
        <v>1201</v>
      </c>
      <c r="U887" s="97">
        <v>1.46</v>
      </c>
      <c r="V887" s="100">
        <v>46051</v>
      </c>
      <c r="W887" s="98">
        <v>3.2750000000000001E-2</v>
      </c>
      <c r="X887" s="98">
        <v>8.1900000000000001E-2</v>
      </c>
      <c r="Y887" s="96" t="s">
        <v>410</v>
      </c>
      <c r="Z887" s="96"/>
      <c r="AA887" s="97">
        <v>388071.87435100001</v>
      </c>
      <c r="AB887" s="97">
        <v>3.7589999999999999</v>
      </c>
      <c r="AC887" s="97">
        <v>94.245599999999996</v>
      </c>
      <c r="AD887" s="97"/>
      <c r="AE887" s="97">
        <v>1374.82034</v>
      </c>
      <c r="AF887" s="96"/>
      <c r="AG887" s="96"/>
      <c r="AH887" s="96"/>
      <c r="AI887" s="98">
        <v>5.1699999999999999E-4</v>
      </c>
      <c r="AJ887" s="98">
        <v>5.1510000000000002E-3</v>
      </c>
      <c r="AK887" s="98">
        <v>7.1500000000000003E-4</v>
      </c>
      <c r="AL887" s="106"/>
    </row>
    <row r="888" spans="1:38" ht="15" customHeight="1">
      <c r="A888" s="106"/>
      <c r="B888" s="96">
        <v>286</v>
      </c>
      <c r="C888" s="96">
        <v>286</v>
      </c>
      <c r="D888" s="96" t="s">
        <v>2098</v>
      </c>
      <c r="E888" s="96" t="s">
        <v>2099</v>
      </c>
      <c r="F888" s="96" t="s">
        <v>312</v>
      </c>
      <c r="G888" s="96" t="s">
        <v>2330</v>
      </c>
      <c r="H888" s="96" t="s">
        <v>2331</v>
      </c>
      <c r="I888" s="96" t="s">
        <v>320</v>
      </c>
      <c r="J888" s="96" t="s">
        <v>754</v>
      </c>
      <c r="K888" s="96" t="s">
        <v>204</v>
      </c>
      <c r="L888" s="96" t="s">
        <v>280</v>
      </c>
      <c r="M888" s="96" t="s">
        <v>324</v>
      </c>
      <c r="N888" s="96" t="s">
        <v>363</v>
      </c>
      <c r="O888" s="96" t="s">
        <v>553</v>
      </c>
      <c r="P888" s="96" t="s">
        <v>338</v>
      </c>
      <c r="Q888" s="96" t="s">
        <v>2228</v>
      </c>
      <c r="R888" s="96" t="s">
        <v>432</v>
      </c>
      <c r="S888" s="96" t="s">
        <v>406</v>
      </c>
      <c r="T888" s="96" t="s">
        <v>1205</v>
      </c>
      <c r="U888" s="97">
        <v>3.79</v>
      </c>
      <c r="V888" s="100">
        <v>47140</v>
      </c>
      <c r="W888" s="98">
        <v>5.8749999999999997E-2</v>
      </c>
      <c r="X888" s="98">
        <v>7.2300000000000003E-2</v>
      </c>
      <c r="Y888" s="96" t="s">
        <v>410</v>
      </c>
      <c r="Z888" s="96"/>
      <c r="AA888" s="97">
        <v>136661.75888400001</v>
      </c>
      <c r="AB888" s="97">
        <v>4.7504999999999997</v>
      </c>
      <c r="AC888" s="97">
        <v>97.342200000000005</v>
      </c>
      <c r="AD888" s="97"/>
      <c r="AE888" s="97">
        <v>631.956951</v>
      </c>
      <c r="AF888" s="96"/>
      <c r="AG888" s="96"/>
      <c r="AH888" s="96"/>
      <c r="AI888" s="98">
        <v>1.8200000000000001E-4</v>
      </c>
      <c r="AJ888" s="98">
        <v>2.3670000000000002E-3</v>
      </c>
      <c r="AK888" s="98">
        <v>3.2899999999999997E-4</v>
      </c>
      <c r="AL888" s="106"/>
    </row>
    <row r="889" spans="1:38" ht="15" customHeight="1">
      <c r="A889" s="106"/>
      <c r="B889" s="96">
        <v>286</v>
      </c>
      <c r="C889" s="96">
        <v>286</v>
      </c>
      <c r="D889" s="96" t="s">
        <v>2098</v>
      </c>
      <c r="E889" s="96" t="s">
        <v>2099</v>
      </c>
      <c r="F889" s="96" t="s">
        <v>312</v>
      </c>
      <c r="G889" s="96" t="s">
        <v>2226</v>
      </c>
      <c r="H889" s="96" t="s">
        <v>2227</v>
      </c>
      <c r="I889" s="96" t="s">
        <v>320</v>
      </c>
      <c r="J889" s="96" t="s">
        <v>754</v>
      </c>
      <c r="K889" s="96" t="s">
        <v>204</v>
      </c>
      <c r="L889" s="96" t="s">
        <v>280</v>
      </c>
      <c r="M889" s="96" t="s">
        <v>324</v>
      </c>
      <c r="N889" s="96" t="s">
        <v>369</v>
      </c>
      <c r="O889" s="96" t="s">
        <v>553</v>
      </c>
      <c r="P889" s="96" t="s">
        <v>338</v>
      </c>
      <c r="Q889" s="96" t="s">
        <v>2228</v>
      </c>
      <c r="R889" s="96" t="s">
        <v>432</v>
      </c>
      <c r="S889" s="96" t="s">
        <v>406</v>
      </c>
      <c r="T889" s="96" t="s">
        <v>1205</v>
      </c>
      <c r="U889" s="97">
        <v>1.42</v>
      </c>
      <c r="V889" s="100">
        <v>46051</v>
      </c>
      <c r="W889" s="98">
        <v>0.06</v>
      </c>
      <c r="X889" s="98">
        <v>7.6999999999999999E-2</v>
      </c>
      <c r="Y889" s="96" t="s">
        <v>410</v>
      </c>
      <c r="Z889" s="96"/>
      <c r="AA889" s="97">
        <v>174506.553652</v>
      </c>
      <c r="AB889" s="97">
        <v>4.7504999999999997</v>
      </c>
      <c r="AC889" s="97">
        <v>100.03660000000001</v>
      </c>
      <c r="AD889" s="97"/>
      <c r="AE889" s="97">
        <v>829.29734699999995</v>
      </c>
      <c r="AF889" s="96"/>
      <c r="AG889" s="96"/>
      <c r="AH889" s="96"/>
      <c r="AI889" s="98">
        <v>1.3899999999999999E-4</v>
      </c>
      <c r="AJ889" s="98">
        <v>3.107E-3</v>
      </c>
      <c r="AK889" s="98">
        <v>4.3100000000000001E-4</v>
      </c>
      <c r="AL889" s="106"/>
    </row>
    <row r="890" spans="1:38" ht="15" customHeight="1">
      <c r="A890" s="106"/>
      <c r="B890" s="96">
        <v>286</v>
      </c>
      <c r="C890" s="96">
        <v>286</v>
      </c>
      <c r="D890" s="96" t="s">
        <v>2241</v>
      </c>
      <c r="E890" s="96" t="s">
        <v>2242</v>
      </c>
      <c r="F890" s="96" t="s">
        <v>312</v>
      </c>
      <c r="G890" s="96" t="s">
        <v>2365</v>
      </c>
      <c r="H890" s="96" t="s">
        <v>2366</v>
      </c>
      <c r="I890" s="96" t="s">
        <v>320</v>
      </c>
      <c r="J890" s="96" t="s">
        <v>754</v>
      </c>
      <c r="K890" s="96" t="s">
        <v>204</v>
      </c>
      <c r="L890" s="96" t="s">
        <v>223</v>
      </c>
      <c r="M890" s="96" t="s">
        <v>324</v>
      </c>
      <c r="N890" s="96" t="s">
        <v>363</v>
      </c>
      <c r="O890" s="96" t="s">
        <v>492</v>
      </c>
      <c r="P890" s="96" t="s">
        <v>338</v>
      </c>
      <c r="Q890" s="96" t="s">
        <v>2172</v>
      </c>
      <c r="R890" s="96" t="s">
        <v>430</v>
      </c>
      <c r="S890" s="96" t="s">
        <v>406</v>
      </c>
      <c r="T890" s="96" t="s">
        <v>1202</v>
      </c>
      <c r="U890" s="97">
        <v>3.3</v>
      </c>
      <c r="V890" s="100">
        <v>46949</v>
      </c>
      <c r="W890" s="98">
        <v>2.2499999999999999E-2</v>
      </c>
      <c r="X890" s="98">
        <v>4.3299999999999998E-2</v>
      </c>
      <c r="Y890" s="96" t="s">
        <v>411</v>
      </c>
      <c r="Z890" s="96"/>
      <c r="AA890" s="97">
        <v>167673.465708</v>
      </c>
      <c r="AB890" s="97">
        <v>4.0202</v>
      </c>
      <c r="AC890" s="97">
        <v>94.270200000000003</v>
      </c>
      <c r="AD890" s="97"/>
      <c r="AE890" s="97">
        <v>635.457718</v>
      </c>
      <c r="AF890" s="96"/>
      <c r="AG890" s="96"/>
      <c r="AH890" s="96"/>
      <c r="AI890" s="98">
        <v>2.32E-4</v>
      </c>
      <c r="AJ890" s="98">
        <v>2.3809999999999999E-3</v>
      </c>
      <c r="AK890" s="98">
        <v>3.3E-4</v>
      </c>
      <c r="AL890" s="106"/>
    </row>
    <row r="891" spans="1:38" ht="15" customHeight="1">
      <c r="A891" s="106"/>
      <c r="B891" s="96">
        <v>286</v>
      </c>
      <c r="C891" s="96">
        <v>286</v>
      </c>
      <c r="D891" s="96" t="s">
        <v>2139</v>
      </c>
      <c r="E891" s="96" t="s">
        <v>2140</v>
      </c>
      <c r="F891" s="96" t="s">
        <v>312</v>
      </c>
      <c r="G891" s="96" t="s">
        <v>2141</v>
      </c>
      <c r="H891" s="96" t="s">
        <v>2142</v>
      </c>
      <c r="I891" s="96" t="s">
        <v>320</v>
      </c>
      <c r="J891" s="96" t="s">
        <v>754</v>
      </c>
      <c r="K891" s="96" t="s">
        <v>204</v>
      </c>
      <c r="L891" s="96" t="s">
        <v>263</v>
      </c>
      <c r="M891" s="96" t="s">
        <v>324</v>
      </c>
      <c r="N891" s="96" t="s">
        <v>313</v>
      </c>
      <c r="O891" s="96" t="s">
        <v>488</v>
      </c>
      <c r="P891" s="96" t="s">
        <v>338</v>
      </c>
      <c r="Q891" s="96" t="s">
        <v>1698</v>
      </c>
      <c r="R891" s="96" t="s">
        <v>422</v>
      </c>
      <c r="S891" s="96" t="s">
        <v>406</v>
      </c>
      <c r="T891" s="96" t="s">
        <v>1201</v>
      </c>
      <c r="U891" s="97">
        <v>4.5599999999999996</v>
      </c>
      <c r="V891" s="100">
        <v>45615</v>
      </c>
      <c r="W891" s="98">
        <v>5.45E-2</v>
      </c>
      <c r="X891" s="98">
        <v>5.8400000000000001E-2</v>
      </c>
      <c r="Y891" s="96" t="s">
        <v>411</v>
      </c>
      <c r="Z891" s="96"/>
      <c r="AA891" s="97">
        <v>252298.63178600001</v>
      </c>
      <c r="AB891" s="97">
        <v>3.7589999999999999</v>
      </c>
      <c r="AC891" s="97">
        <v>98.808599999999998</v>
      </c>
      <c r="AD891" s="97"/>
      <c r="AE891" s="97">
        <v>937.09232699999995</v>
      </c>
      <c r="AF891" s="96"/>
      <c r="AG891" s="96"/>
      <c r="AH891" s="96"/>
      <c r="AI891" s="98">
        <v>3.3500000000000001E-4</v>
      </c>
      <c r="AJ891" s="98">
        <v>3.5109999999999998E-3</v>
      </c>
      <c r="AK891" s="98">
        <v>4.8700000000000002E-4</v>
      </c>
      <c r="AL891" s="106"/>
    </row>
    <row r="892" spans="1:38" ht="15" customHeight="1">
      <c r="A892" s="106"/>
      <c r="B892" s="96">
        <v>286</v>
      </c>
      <c r="C892" s="96">
        <v>286</v>
      </c>
      <c r="D892" s="96" t="s">
        <v>2186</v>
      </c>
      <c r="E892" s="96" t="s">
        <v>2187</v>
      </c>
      <c r="F892" s="96" t="s">
        <v>312</v>
      </c>
      <c r="G892" s="96" t="s">
        <v>2361</v>
      </c>
      <c r="H892" s="96" t="s">
        <v>2362</v>
      </c>
      <c r="I892" s="96" t="s">
        <v>320</v>
      </c>
      <c r="J892" s="96" t="s">
        <v>955</v>
      </c>
      <c r="K892" s="96" t="s">
        <v>204</v>
      </c>
      <c r="L892" s="96" t="s">
        <v>271</v>
      </c>
      <c r="M892" s="96" t="s">
        <v>324</v>
      </c>
      <c r="N892" s="96" t="s">
        <v>363</v>
      </c>
      <c r="O892" s="96" t="s">
        <v>535</v>
      </c>
      <c r="P892" s="96" t="s">
        <v>338</v>
      </c>
      <c r="Q892" s="96" t="s">
        <v>2117</v>
      </c>
      <c r="R892" s="96" t="s">
        <v>430</v>
      </c>
      <c r="S892" s="96" t="s">
        <v>406</v>
      </c>
      <c r="T892" s="96" t="s">
        <v>1202</v>
      </c>
      <c r="U892" s="97">
        <v>1.44</v>
      </c>
      <c r="V892" s="100">
        <v>46036</v>
      </c>
      <c r="W892" s="98">
        <v>4.3749999999999997E-2</v>
      </c>
      <c r="X892" s="98">
        <v>7.1599999999999997E-2</v>
      </c>
      <c r="Y892" s="96" t="s">
        <v>410</v>
      </c>
      <c r="Z892" s="96"/>
      <c r="AA892" s="97">
        <v>203941.394027</v>
      </c>
      <c r="AB892" s="97">
        <v>4.0202</v>
      </c>
      <c r="AC892" s="97">
        <v>96.916600000000003</v>
      </c>
      <c r="AD892" s="97"/>
      <c r="AE892" s="97">
        <v>794.60494300000005</v>
      </c>
      <c r="AF892" s="96"/>
      <c r="AG892" s="96"/>
      <c r="AH892" s="96"/>
      <c r="AI892" s="98">
        <v>1.35E-4</v>
      </c>
      <c r="AJ892" s="98">
        <v>2.977E-3</v>
      </c>
      <c r="AK892" s="98">
        <v>4.1300000000000001E-4</v>
      </c>
      <c r="AL892" s="106"/>
    </row>
    <row r="893" spans="1:38" ht="15" customHeight="1">
      <c r="A893" s="106"/>
      <c r="B893" s="96">
        <v>286</v>
      </c>
      <c r="C893" s="96">
        <v>286</v>
      </c>
      <c r="D893" s="96" t="s">
        <v>2075</v>
      </c>
      <c r="E893" s="96" t="s">
        <v>2076</v>
      </c>
      <c r="F893" s="96" t="s">
        <v>312</v>
      </c>
      <c r="G893" s="96" t="s">
        <v>2166</v>
      </c>
      <c r="H893" s="96" t="s">
        <v>2167</v>
      </c>
      <c r="I893" s="96" t="s">
        <v>320</v>
      </c>
      <c r="J893" s="96" t="s">
        <v>754</v>
      </c>
      <c r="K893" s="96" t="s">
        <v>204</v>
      </c>
      <c r="L893" s="96" t="s">
        <v>231</v>
      </c>
      <c r="M893" s="96" t="s">
        <v>324</v>
      </c>
      <c r="N893" s="96" t="s">
        <v>343</v>
      </c>
      <c r="O893" s="96" t="s">
        <v>491</v>
      </c>
      <c r="P893" s="96" t="s">
        <v>338</v>
      </c>
      <c r="Q893" s="96" t="s">
        <v>1698</v>
      </c>
      <c r="R893" s="96" t="s">
        <v>422</v>
      </c>
      <c r="S893" s="96" t="s">
        <v>406</v>
      </c>
      <c r="T893" s="96" t="s">
        <v>1201</v>
      </c>
      <c r="U893" s="97">
        <v>4.62</v>
      </c>
      <c r="V893" s="100">
        <v>47406</v>
      </c>
      <c r="W893" s="98">
        <v>0.05</v>
      </c>
      <c r="X893" s="98">
        <v>6.0600000000000001E-2</v>
      </c>
      <c r="Y893" s="96" t="s">
        <v>411</v>
      </c>
      <c r="Z893" s="96"/>
      <c r="AA893" s="97">
        <v>157686.64486599999</v>
      </c>
      <c r="AB893" s="97">
        <v>3.7589999999999999</v>
      </c>
      <c r="AC893" s="97">
        <v>97.357600000000005</v>
      </c>
      <c r="AD893" s="97"/>
      <c r="AE893" s="97">
        <v>577.08182299999999</v>
      </c>
      <c r="AF893" s="96"/>
      <c r="AG893" s="96"/>
      <c r="AH893" s="96"/>
      <c r="AI893" s="98">
        <v>1.5699999999999999E-4</v>
      </c>
      <c r="AJ893" s="98">
        <v>2.1619999999999999E-3</v>
      </c>
      <c r="AK893" s="98">
        <v>2.9999999999999997E-4</v>
      </c>
      <c r="AL893" s="106"/>
    </row>
    <row r="894" spans="1:38" ht="15" customHeight="1">
      <c r="A894" s="106"/>
      <c r="B894" s="96">
        <v>286</v>
      </c>
      <c r="C894" s="96">
        <v>286</v>
      </c>
      <c r="D894" s="96" t="s">
        <v>2091</v>
      </c>
      <c r="E894" s="96" t="s">
        <v>2092</v>
      </c>
      <c r="F894" s="96" t="s">
        <v>312</v>
      </c>
      <c r="G894" s="96" t="s">
        <v>2143</v>
      </c>
      <c r="H894" s="96" t="s">
        <v>2144</v>
      </c>
      <c r="I894" s="96" t="s">
        <v>320</v>
      </c>
      <c r="J894" s="96" t="s">
        <v>754</v>
      </c>
      <c r="K894" s="96" t="s">
        <v>204</v>
      </c>
      <c r="L894" s="96" t="s">
        <v>280</v>
      </c>
      <c r="M894" s="96" t="s">
        <v>324</v>
      </c>
      <c r="N894" s="96" t="s">
        <v>363</v>
      </c>
      <c r="O894" s="96" t="s">
        <v>535</v>
      </c>
      <c r="P894" s="96" t="s">
        <v>338</v>
      </c>
      <c r="Q894" s="96" t="s">
        <v>1698</v>
      </c>
      <c r="R894" s="96" t="s">
        <v>432</v>
      </c>
      <c r="S894" s="96" t="s">
        <v>406</v>
      </c>
      <c r="T894" s="96" t="s">
        <v>1202</v>
      </c>
      <c r="U894" s="97">
        <v>3.98</v>
      </c>
      <c r="V894" s="100">
        <v>47019</v>
      </c>
      <c r="W894" s="98">
        <v>7.2499999999999995E-2</v>
      </c>
      <c r="X894" s="98">
        <v>6.4199999999999993E-2</v>
      </c>
      <c r="Y894" s="96" t="s">
        <v>410</v>
      </c>
      <c r="Z894" s="96"/>
      <c r="AA894" s="97">
        <v>107226.918509</v>
      </c>
      <c r="AB894" s="97">
        <v>4.0202</v>
      </c>
      <c r="AC894" s="97">
        <v>103.4659</v>
      </c>
      <c r="AD894" s="97"/>
      <c r="AE894" s="97">
        <v>446.01455099999998</v>
      </c>
      <c r="AF894" s="96"/>
      <c r="AG894" s="96"/>
      <c r="AH894" s="96"/>
      <c r="AI894" s="98">
        <v>8.5000000000000006E-5</v>
      </c>
      <c r="AJ894" s="98">
        <v>1.671E-3</v>
      </c>
      <c r="AK894" s="98">
        <v>2.32E-4</v>
      </c>
      <c r="AL894" s="106"/>
    </row>
    <row r="895" spans="1:38" ht="15" customHeight="1">
      <c r="A895" s="106"/>
      <c r="B895" s="96">
        <v>286</v>
      </c>
      <c r="C895" s="96">
        <v>286</v>
      </c>
      <c r="D895" s="96" t="s">
        <v>2081</v>
      </c>
      <c r="E895" s="96" t="s">
        <v>2082</v>
      </c>
      <c r="F895" s="96" t="s">
        <v>312</v>
      </c>
      <c r="G895" s="96" t="s">
        <v>2083</v>
      </c>
      <c r="H895" s="96" t="s">
        <v>2084</v>
      </c>
      <c r="I895" s="96" t="s">
        <v>320</v>
      </c>
      <c r="J895" s="96" t="s">
        <v>754</v>
      </c>
      <c r="K895" s="96" t="s">
        <v>204</v>
      </c>
      <c r="L895" s="96" t="s">
        <v>232</v>
      </c>
      <c r="M895" s="96" t="s">
        <v>324</v>
      </c>
      <c r="N895" s="96" t="s">
        <v>369</v>
      </c>
      <c r="O895" s="96" t="s">
        <v>541</v>
      </c>
      <c r="P895" s="96" t="s">
        <v>338</v>
      </c>
      <c r="Q895" s="96" t="s">
        <v>2085</v>
      </c>
      <c r="R895" s="96" t="s">
        <v>430</v>
      </c>
      <c r="S895" s="96" t="s">
        <v>406</v>
      </c>
      <c r="T895" s="96" t="s">
        <v>1205</v>
      </c>
      <c r="U895" s="97">
        <v>5.95</v>
      </c>
      <c r="V895" s="100">
        <v>48197</v>
      </c>
      <c r="W895" s="98">
        <v>6.8750000000000006E-2</v>
      </c>
      <c r="X895" s="98">
        <v>7.7100000000000002E-2</v>
      </c>
      <c r="Y895" s="96" t="s">
        <v>410</v>
      </c>
      <c r="Z895" s="96"/>
      <c r="AA895" s="97">
        <v>183967.75234400001</v>
      </c>
      <c r="AB895" s="97">
        <v>4.7504999999999997</v>
      </c>
      <c r="AC895" s="97">
        <v>95.347700000000003</v>
      </c>
      <c r="AD895" s="97"/>
      <c r="AE895" s="97">
        <v>833.28109600000005</v>
      </c>
      <c r="AF895" s="96"/>
      <c r="AG895" s="96"/>
      <c r="AH895" s="96"/>
      <c r="AI895" s="98">
        <v>3.6699999999999998E-4</v>
      </c>
      <c r="AJ895" s="98">
        <v>3.1220000000000002E-3</v>
      </c>
      <c r="AK895" s="98">
        <v>4.3300000000000001E-4</v>
      </c>
      <c r="AL895" s="106"/>
    </row>
    <row r="896" spans="1:38" ht="15" customHeight="1">
      <c r="A896" s="106"/>
      <c r="B896" s="96">
        <v>286</v>
      </c>
      <c r="C896" s="96">
        <v>286</v>
      </c>
      <c r="D896" s="96" t="s">
        <v>2222</v>
      </c>
      <c r="E896" s="96" t="s">
        <v>2223</v>
      </c>
      <c r="F896" s="96" t="s">
        <v>312</v>
      </c>
      <c r="G896" s="96" t="s">
        <v>2303</v>
      </c>
      <c r="H896" s="96" t="s">
        <v>2304</v>
      </c>
      <c r="I896" s="96" t="s">
        <v>320</v>
      </c>
      <c r="J896" s="96" t="s">
        <v>754</v>
      </c>
      <c r="K896" s="96" t="s">
        <v>204</v>
      </c>
      <c r="L896" s="96" t="s">
        <v>280</v>
      </c>
      <c r="M896" s="96" t="s">
        <v>324</v>
      </c>
      <c r="N896" s="96" t="s">
        <v>363</v>
      </c>
      <c r="O896" s="96" t="s">
        <v>535</v>
      </c>
      <c r="P896" s="96" t="s">
        <v>338</v>
      </c>
      <c r="Q896" s="96" t="s">
        <v>2117</v>
      </c>
      <c r="R896" s="96" t="s">
        <v>430</v>
      </c>
      <c r="S896" s="96" t="s">
        <v>406</v>
      </c>
      <c r="T896" s="96" t="s">
        <v>1201</v>
      </c>
      <c r="U896" s="97">
        <v>4.6399999999999997</v>
      </c>
      <c r="V896" s="100">
        <v>47539</v>
      </c>
      <c r="W896" s="98">
        <v>4.4999999999999998E-2</v>
      </c>
      <c r="X896" s="98">
        <v>9.2399999999999996E-2</v>
      </c>
      <c r="Y896" s="96" t="s">
        <v>410</v>
      </c>
      <c r="Z896" s="96"/>
      <c r="AA896" s="97">
        <v>157686.64486599999</v>
      </c>
      <c r="AB896" s="97">
        <v>3.7589999999999999</v>
      </c>
      <c r="AC896" s="97">
        <v>81.063900000000004</v>
      </c>
      <c r="AD896" s="97"/>
      <c r="AE896" s="97">
        <v>480.50207499999999</v>
      </c>
      <c r="AF896" s="96"/>
      <c r="AG896" s="96"/>
      <c r="AH896" s="96"/>
      <c r="AI896" s="98">
        <v>9.0000000000000006E-5</v>
      </c>
      <c r="AJ896" s="98">
        <v>1.8E-3</v>
      </c>
      <c r="AK896" s="98">
        <v>2.5000000000000001E-4</v>
      </c>
      <c r="AL896" s="106"/>
    </row>
    <row r="897" spans="1:38" ht="15" customHeight="1">
      <c r="A897" s="106"/>
      <c r="B897" s="96">
        <v>286</v>
      </c>
      <c r="C897" s="96">
        <v>286</v>
      </c>
      <c r="D897" s="96" t="s">
        <v>2222</v>
      </c>
      <c r="E897" s="96" t="s">
        <v>2223</v>
      </c>
      <c r="F897" s="96" t="s">
        <v>312</v>
      </c>
      <c r="G897" s="96" t="s">
        <v>2291</v>
      </c>
      <c r="H897" s="96" t="s">
        <v>2292</v>
      </c>
      <c r="I897" s="96" t="s">
        <v>320</v>
      </c>
      <c r="J897" s="96" t="s">
        <v>754</v>
      </c>
      <c r="K897" s="96" t="s">
        <v>204</v>
      </c>
      <c r="L897" s="96" t="s">
        <v>280</v>
      </c>
      <c r="M897" s="96" t="s">
        <v>324</v>
      </c>
      <c r="N897" s="96" t="s">
        <v>363</v>
      </c>
      <c r="O897" s="96" t="s">
        <v>535</v>
      </c>
      <c r="P897" s="96" t="s">
        <v>338</v>
      </c>
      <c r="Q897" s="96" t="s">
        <v>2117</v>
      </c>
      <c r="R897" s="96" t="s">
        <v>430</v>
      </c>
      <c r="S897" s="96" t="s">
        <v>406</v>
      </c>
      <c r="T897" s="96" t="s">
        <v>1201</v>
      </c>
      <c r="U897" s="97">
        <v>1.03</v>
      </c>
      <c r="V897" s="100">
        <v>45888</v>
      </c>
      <c r="W897" s="98">
        <v>7.3749999999999996E-2</v>
      </c>
      <c r="X897" s="98">
        <v>7.4200000000000002E-2</v>
      </c>
      <c r="Y897" s="96" t="s">
        <v>410</v>
      </c>
      <c r="Z897" s="96"/>
      <c r="AA897" s="97">
        <v>329459.96334100002</v>
      </c>
      <c r="AB897" s="97">
        <v>3.7589999999999999</v>
      </c>
      <c r="AC897" s="97">
        <v>102.6156</v>
      </c>
      <c r="AD897" s="97"/>
      <c r="AE897" s="97">
        <v>1270.8336360000001</v>
      </c>
      <c r="AF897" s="96"/>
      <c r="AG897" s="96"/>
      <c r="AH897" s="96"/>
      <c r="AI897" s="98">
        <v>2.1900000000000001E-4</v>
      </c>
      <c r="AJ897" s="98">
        <v>4.7609999999999996E-3</v>
      </c>
      <c r="AK897" s="98">
        <v>6.6100000000000002E-4</v>
      </c>
      <c r="AL897" s="106"/>
    </row>
    <row r="898" spans="1:38" ht="15" customHeight="1">
      <c r="A898" s="106"/>
      <c r="B898" s="96">
        <v>286</v>
      </c>
      <c r="C898" s="96">
        <v>286</v>
      </c>
      <c r="D898" s="96" t="s">
        <v>2150</v>
      </c>
      <c r="E898" s="96" t="s">
        <v>2151</v>
      </c>
      <c r="F898" s="96" t="s">
        <v>312</v>
      </c>
      <c r="G898" s="96" t="s">
        <v>2233</v>
      </c>
      <c r="H898" s="96" t="s">
        <v>2234</v>
      </c>
      <c r="I898" s="96" t="s">
        <v>320</v>
      </c>
      <c r="J898" s="96" t="s">
        <v>754</v>
      </c>
      <c r="K898" s="96" t="s">
        <v>204</v>
      </c>
      <c r="L898" s="96" t="s">
        <v>223</v>
      </c>
      <c r="M898" s="96" t="s">
        <v>324</v>
      </c>
      <c r="N898" s="96" t="s">
        <v>313</v>
      </c>
      <c r="O898" s="96" t="s">
        <v>535</v>
      </c>
      <c r="P898" s="96" t="s">
        <v>338</v>
      </c>
      <c r="Q898" s="96" t="s">
        <v>2085</v>
      </c>
      <c r="R898" s="96" t="s">
        <v>430</v>
      </c>
      <c r="S898" s="96" t="s">
        <v>406</v>
      </c>
      <c r="T898" s="96" t="s">
        <v>1201</v>
      </c>
      <c r="U898" s="97">
        <v>6.75</v>
      </c>
      <c r="V898" s="100">
        <v>48724</v>
      </c>
      <c r="W898" s="98">
        <v>6.1740000000000003E-2</v>
      </c>
      <c r="X898" s="98">
        <v>5.9499999999999997E-2</v>
      </c>
      <c r="Y898" s="96" t="s">
        <v>411</v>
      </c>
      <c r="Z898" s="96"/>
      <c r="AA898" s="97">
        <v>177975.659839</v>
      </c>
      <c r="AB898" s="97">
        <v>3.7589999999999999</v>
      </c>
      <c r="AC898" s="97">
        <v>102.1062</v>
      </c>
      <c r="AD898" s="97"/>
      <c r="AE898" s="97">
        <v>683.101539</v>
      </c>
      <c r="AF898" s="96"/>
      <c r="AG898" s="96"/>
      <c r="AH898" s="96"/>
      <c r="AI898" s="98">
        <v>5.5000000000000002E-5</v>
      </c>
      <c r="AJ898" s="98">
        <v>2.5590000000000001E-3</v>
      </c>
      <c r="AK898" s="98">
        <v>3.5500000000000001E-4</v>
      </c>
      <c r="AL898" s="106"/>
    </row>
    <row r="899" spans="1:38" ht="15" customHeight="1">
      <c r="A899" s="106"/>
      <c r="B899" s="96">
        <v>286</v>
      </c>
      <c r="C899" s="96">
        <v>286</v>
      </c>
      <c r="D899" s="96" t="s">
        <v>2122</v>
      </c>
      <c r="E899" s="96" t="s">
        <v>2123</v>
      </c>
      <c r="F899" s="96" t="s">
        <v>312</v>
      </c>
      <c r="G899" s="96" t="s">
        <v>2387</v>
      </c>
      <c r="H899" s="96" t="s">
        <v>2388</v>
      </c>
      <c r="I899" s="96" t="s">
        <v>320</v>
      </c>
      <c r="J899" s="96" t="s">
        <v>754</v>
      </c>
      <c r="K899" s="96" t="s">
        <v>204</v>
      </c>
      <c r="L899" s="96" t="s">
        <v>223</v>
      </c>
      <c r="M899" s="96" t="s">
        <v>324</v>
      </c>
      <c r="N899" s="96" t="s">
        <v>369</v>
      </c>
      <c r="O899" s="96" t="s">
        <v>499</v>
      </c>
      <c r="P899" s="96" t="s">
        <v>338</v>
      </c>
      <c r="Q899" s="96" t="s">
        <v>2112</v>
      </c>
      <c r="R899" s="96" t="s">
        <v>430</v>
      </c>
      <c r="S899" s="96" t="s">
        <v>406</v>
      </c>
      <c r="T899" s="96" t="s">
        <v>1201</v>
      </c>
      <c r="U899" s="97">
        <v>4.63</v>
      </c>
      <c r="V899" s="100">
        <v>45597</v>
      </c>
      <c r="W899" s="98">
        <v>4.2500000000000003E-2</v>
      </c>
      <c r="X899" s="98">
        <v>5.67E-2</v>
      </c>
      <c r="Y899" s="96" t="s">
        <v>411</v>
      </c>
      <c r="Z899" s="96"/>
      <c r="AA899" s="97">
        <v>186595.86309200001</v>
      </c>
      <c r="AB899" s="97">
        <v>3.7589999999999999</v>
      </c>
      <c r="AC899" s="97">
        <v>94.225499999999997</v>
      </c>
      <c r="AD899" s="97"/>
      <c r="AE899" s="97">
        <v>660.91090099999997</v>
      </c>
      <c r="AF899" s="96"/>
      <c r="AG899" s="96"/>
      <c r="AH899" s="96"/>
      <c r="AI899" s="98">
        <v>3.1E-4</v>
      </c>
      <c r="AJ899" s="98">
        <v>2.4759999999999999E-3</v>
      </c>
      <c r="AK899" s="98">
        <v>3.4400000000000001E-4</v>
      </c>
      <c r="AL899" s="106"/>
    </row>
    <row r="900" spans="1:38" ht="15" customHeight="1">
      <c r="A900" s="106"/>
      <c r="B900" s="96">
        <v>286</v>
      </c>
      <c r="C900" s="96">
        <v>286</v>
      </c>
      <c r="D900" s="96" t="s">
        <v>2178</v>
      </c>
      <c r="E900" s="96" t="s">
        <v>2179</v>
      </c>
      <c r="F900" s="96" t="s">
        <v>312</v>
      </c>
      <c r="G900" s="96" t="s">
        <v>2383</v>
      </c>
      <c r="H900" s="96" t="s">
        <v>2384</v>
      </c>
      <c r="I900" s="96" t="s">
        <v>320</v>
      </c>
      <c r="J900" s="96" t="s">
        <v>754</v>
      </c>
      <c r="K900" s="96" t="s">
        <v>204</v>
      </c>
      <c r="L900" s="96" t="s">
        <v>211</v>
      </c>
      <c r="M900" s="96" t="s">
        <v>324</v>
      </c>
      <c r="N900" s="96" t="s">
        <v>313</v>
      </c>
      <c r="O900" s="96" t="s">
        <v>535</v>
      </c>
      <c r="P900" s="96" t="s">
        <v>338</v>
      </c>
      <c r="Q900" s="96" t="s">
        <v>2149</v>
      </c>
      <c r="R900" s="96" t="s">
        <v>422</v>
      </c>
      <c r="S900" s="96" t="s">
        <v>406</v>
      </c>
      <c r="T900" s="96" t="s">
        <v>1202</v>
      </c>
      <c r="U900" s="97">
        <v>3.18</v>
      </c>
      <c r="V900" s="100">
        <v>46813</v>
      </c>
      <c r="W900" s="98">
        <v>5.5E-2</v>
      </c>
      <c r="X900" s="98">
        <v>6.83E-2</v>
      </c>
      <c r="Y900" s="96" t="s">
        <v>410</v>
      </c>
      <c r="Z900" s="96"/>
      <c r="AA900" s="97">
        <v>199736.41683100001</v>
      </c>
      <c r="AB900" s="97">
        <v>4.0202</v>
      </c>
      <c r="AC900" s="97">
        <v>100.35599999999999</v>
      </c>
      <c r="AD900" s="97"/>
      <c r="AE900" s="97">
        <v>805.83937100000003</v>
      </c>
      <c r="AF900" s="96"/>
      <c r="AG900" s="96"/>
      <c r="AH900" s="96"/>
      <c r="AI900" s="98">
        <v>2.6600000000000001E-4</v>
      </c>
      <c r="AJ900" s="98">
        <v>3.019E-3</v>
      </c>
      <c r="AK900" s="98">
        <v>4.1899999999999999E-4</v>
      </c>
      <c r="AL900" s="106"/>
    </row>
    <row r="901" spans="1:38" ht="15" customHeight="1">
      <c r="A901" s="106"/>
      <c r="B901" s="96">
        <v>286</v>
      </c>
      <c r="C901" s="96">
        <v>286</v>
      </c>
      <c r="D901" s="96" t="s">
        <v>2190</v>
      </c>
      <c r="E901" s="96" t="s">
        <v>2191</v>
      </c>
      <c r="F901" s="96" t="s">
        <v>312</v>
      </c>
      <c r="G901" s="96" t="s">
        <v>2343</v>
      </c>
      <c r="H901" s="96" t="s">
        <v>2344</v>
      </c>
      <c r="I901" s="96" t="s">
        <v>320</v>
      </c>
      <c r="J901" s="96" t="s">
        <v>754</v>
      </c>
      <c r="K901" s="96" t="s">
        <v>204</v>
      </c>
      <c r="L901" s="96" t="s">
        <v>223</v>
      </c>
      <c r="M901" s="96" t="s">
        <v>324</v>
      </c>
      <c r="N901" s="96" t="s">
        <v>343</v>
      </c>
      <c r="O901" s="96" t="s">
        <v>548</v>
      </c>
      <c r="P901" s="96" t="s">
        <v>338</v>
      </c>
      <c r="Q901" s="96" t="s">
        <v>2085</v>
      </c>
      <c r="R901" s="96" t="s">
        <v>430</v>
      </c>
      <c r="S901" s="96" t="s">
        <v>406</v>
      </c>
      <c r="T901" s="96" t="s">
        <v>1201</v>
      </c>
      <c r="U901" s="97">
        <v>6.67</v>
      </c>
      <c r="V901" s="100">
        <v>48153</v>
      </c>
      <c r="W901" s="98">
        <v>2.2499999999999999E-2</v>
      </c>
      <c r="X901" s="98">
        <v>5.3100000000000001E-2</v>
      </c>
      <c r="Y901" s="96" t="s">
        <v>411</v>
      </c>
      <c r="Z901" s="96"/>
      <c r="AA901" s="97">
        <v>73587.100936999996</v>
      </c>
      <c r="AB901" s="97">
        <v>3.7589999999999999</v>
      </c>
      <c r="AC901" s="97">
        <v>82.025199999999998</v>
      </c>
      <c r="AD901" s="97"/>
      <c r="AE901" s="97">
        <v>226.89325299999999</v>
      </c>
      <c r="AF901" s="96"/>
      <c r="AG901" s="96"/>
      <c r="AH901" s="96"/>
      <c r="AI901" s="98">
        <v>2.9E-5</v>
      </c>
      <c r="AJ901" s="98">
        <v>8.4999999999999995E-4</v>
      </c>
      <c r="AK901" s="98">
        <v>1.18E-4</v>
      </c>
      <c r="AL901" s="106"/>
    </row>
    <row r="902" spans="1:38" ht="15" customHeight="1">
      <c r="A902" s="106"/>
      <c r="B902" s="96">
        <v>286</v>
      </c>
      <c r="C902" s="96">
        <v>286</v>
      </c>
      <c r="D902" s="96" t="s">
        <v>2086</v>
      </c>
      <c r="E902" s="96" t="s">
        <v>2087</v>
      </c>
      <c r="F902" s="96" t="s">
        <v>312</v>
      </c>
      <c r="G902" s="96" t="s">
        <v>2272</v>
      </c>
      <c r="H902" s="96" t="s">
        <v>2273</v>
      </c>
      <c r="I902" s="96" t="s">
        <v>320</v>
      </c>
      <c r="J902" s="96" t="s">
        <v>955</v>
      </c>
      <c r="K902" s="96" t="s">
        <v>204</v>
      </c>
      <c r="L902" s="96" t="s">
        <v>232</v>
      </c>
      <c r="M902" s="96" t="s">
        <v>324</v>
      </c>
      <c r="N902" s="96" t="s">
        <v>369</v>
      </c>
      <c r="O902" s="96" t="s">
        <v>536</v>
      </c>
      <c r="P902" s="96" t="s">
        <v>338</v>
      </c>
      <c r="Q902" s="96" t="s">
        <v>2090</v>
      </c>
      <c r="R902" s="96" t="s">
        <v>432</v>
      </c>
      <c r="S902" s="96" t="s">
        <v>406</v>
      </c>
      <c r="T902" s="96" t="s">
        <v>1205</v>
      </c>
      <c r="U902" s="97">
        <v>0.92</v>
      </c>
      <c r="V902" s="100">
        <v>45646</v>
      </c>
      <c r="W902" s="98">
        <v>5.8749999999999997E-2</v>
      </c>
      <c r="X902" s="98">
        <v>6.4500000000000002E-2</v>
      </c>
      <c r="Y902" s="96" t="s">
        <v>410</v>
      </c>
      <c r="Z902" s="96"/>
      <c r="AA902" s="97">
        <v>354794.95095000003</v>
      </c>
      <c r="AB902" s="97">
        <v>4.7504999999999997</v>
      </c>
      <c r="AC902" s="97">
        <v>99.619500000000002</v>
      </c>
      <c r="AD902" s="97"/>
      <c r="AE902" s="97">
        <v>1679.0405860000001</v>
      </c>
      <c r="AF902" s="96"/>
      <c r="AG902" s="96"/>
      <c r="AH902" s="96"/>
      <c r="AI902" s="98">
        <v>5.9100000000000005E-4</v>
      </c>
      <c r="AJ902" s="98">
        <v>6.2909999999999997E-3</v>
      </c>
      <c r="AK902" s="98">
        <v>8.7399999999999999E-4</v>
      </c>
      <c r="AL902" s="106"/>
    </row>
    <row r="903" spans="1:38" ht="15" customHeight="1">
      <c r="A903" s="106"/>
      <c r="B903" s="96">
        <v>286</v>
      </c>
      <c r="C903" s="96">
        <v>286</v>
      </c>
      <c r="D903" s="96" t="s">
        <v>2126</v>
      </c>
      <c r="E903" s="96" t="s">
        <v>2127</v>
      </c>
      <c r="F903" s="96" t="s">
        <v>312</v>
      </c>
      <c r="G903" s="96" t="s">
        <v>2314</v>
      </c>
      <c r="H903" s="96" t="s">
        <v>2315</v>
      </c>
      <c r="I903" s="96" t="s">
        <v>320</v>
      </c>
      <c r="J903" s="96" t="s">
        <v>754</v>
      </c>
      <c r="K903" s="96" t="s">
        <v>204</v>
      </c>
      <c r="L903" s="96" t="s">
        <v>223</v>
      </c>
      <c r="M903" s="96" t="s">
        <v>324</v>
      </c>
      <c r="N903" s="96" t="s">
        <v>343</v>
      </c>
      <c r="O903" s="96" t="s">
        <v>530</v>
      </c>
      <c r="P903" s="96" t="s">
        <v>338</v>
      </c>
      <c r="Q903" s="96" t="s">
        <v>2112</v>
      </c>
      <c r="R903" s="96" t="s">
        <v>430</v>
      </c>
      <c r="S903" s="96" t="s">
        <v>406</v>
      </c>
      <c r="T903" s="96" t="s">
        <v>1201</v>
      </c>
      <c r="U903" s="97">
        <v>5.34</v>
      </c>
      <c r="V903" s="100">
        <v>47543</v>
      </c>
      <c r="W903" s="98">
        <v>3.5000000000000003E-2</v>
      </c>
      <c r="X903" s="98">
        <v>5.4199999999999998E-2</v>
      </c>
      <c r="Y903" s="96" t="s">
        <v>411</v>
      </c>
      <c r="Z903" s="96"/>
      <c r="AA903" s="97">
        <v>34691.061869999998</v>
      </c>
      <c r="AB903" s="97">
        <v>3.7589999999999999</v>
      </c>
      <c r="AC903" s="97">
        <v>91.188900000000004</v>
      </c>
      <c r="AD903" s="97"/>
      <c r="AE903" s="97">
        <v>118.913758</v>
      </c>
      <c r="AF903" s="96"/>
      <c r="AG903" s="96"/>
      <c r="AH903" s="96"/>
      <c r="AI903" s="98">
        <v>1.2E-5</v>
      </c>
      <c r="AJ903" s="98">
        <v>4.4499999999999997E-4</v>
      </c>
      <c r="AK903" s="98">
        <v>6.0999999999999999E-5</v>
      </c>
      <c r="AL903" s="106"/>
    </row>
    <row r="904" spans="1:38" ht="15" customHeight="1">
      <c r="A904" s="106"/>
      <c r="B904" s="96">
        <v>286</v>
      </c>
      <c r="C904" s="96">
        <v>286</v>
      </c>
      <c r="D904" s="96" t="s">
        <v>2158</v>
      </c>
      <c r="E904" s="96" t="s">
        <v>2159</v>
      </c>
      <c r="F904" s="96" t="s">
        <v>312</v>
      </c>
      <c r="G904" s="96" t="s">
        <v>2160</v>
      </c>
      <c r="H904" s="96" t="s">
        <v>2161</v>
      </c>
      <c r="I904" s="96" t="s">
        <v>320</v>
      </c>
      <c r="J904" s="96" t="s">
        <v>955</v>
      </c>
      <c r="K904" s="96" t="s">
        <v>204</v>
      </c>
      <c r="L904" s="96" t="s">
        <v>232</v>
      </c>
      <c r="M904" s="96" t="s">
        <v>324</v>
      </c>
      <c r="N904" s="96" t="s">
        <v>363</v>
      </c>
      <c r="O904" s="96" t="s">
        <v>535</v>
      </c>
      <c r="P904" s="96" t="s">
        <v>338</v>
      </c>
      <c r="Q904" s="96" t="s">
        <v>2149</v>
      </c>
      <c r="R904" s="96" t="s">
        <v>432</v>
      </c>
      <c r="S904" s="96" t="s">
        <v>406</v>
      </c>
      <c r="T904" s="96" t="s">
        <v>1205</v>
      </c>
      <c r="U904" s="97">
        <v>0.47</v>
      </c>
      <c r="V904" s="100">
        <v>45653</v>
      </c>
      <c r="W904" s="98">
        <v>5.1249999999999997E-2</v>
      </c>
      <c r="X904" s="98">
        <v>7.6899999999999996E-2</v>
      </c>
      <c r="Y904" s="96" t="s">
        <v>410</v>
      </c>
      <c r="Z904" s="96"/>
      <c r="AA904" s="97">
        <v>259131.71973000001</v>
      </c>
      <c r="AB904" s="97">
        <v>4.7504999999999997</v>
      </c>
      <c r="AC904" s="97">
        <v>98.816699999999997</v>
      </c>
      <c r="AD904" s="97"/>
      <c r="AE904" s="97">
        <v>1216.4388510000001</v>
      </c>
      <c r="AF904" s="96"/>
      <c r="AG904" s="96"/>
      <c r="AH904" s="96"/>
      <c r="AI904" s="98">
        <v>5.1800000000000001E-4</v>
      </c>
      <c r="AJ904" s="98">
        <v>4.5570000000000003E-3</v>
      </c>
      <c r="AK904" s="98">
        <v>6.3199999999999997E-4</v>
      </c>
      <c r="AL904" s="106"/>
    </row>
    <row r="905" spans="1:38" ht="15" customHeight="1">
      <c r="A905" s="106"/>
      <c r="B905" s="96">
        <v>286</v>
      </c>
      <c r="C905" s="96">
        <v>286</v>
      </c>
      <c r="D905" s="96" t="s">
        <v>2173</v>
      </c>
      <c r="E905" s="96" t="s">
        <v>2174</v>
      </c>
      <c r="F905" s="96" t="s">
        <v>312</v>
      </c>
      <c r="G905" s="96" t="s">
        <v>2175</v>
      </c>
      <c r="H905" s="96" t="s">
        <v>2176</v>
      </c>
      <c r="I905" s="96" t="s">
        <v>320</v>
      </c>
      <c r="J905" s="96" t="s">
        <v>754</v>
      </c>
      <c r="K905" s="96" t="s">
        <v>204</v>
      </c>
      <c r="L905" s="96" t="s">
        <v>274</v>
      </c>
      <c r="M905" s="96" t="s">
        <v>324</v>
      </c>
      <c r="N905" s="96" t="s">
        <v>313</v>
      </c>
      <c r="O905" s="96" t="s">
        <v>567</v>
      </c>
      <c r="P905" s="96" t="s">
        <v>338</v>
      </c>
      <c r="Q905" s="96" t="s">
        <v>2177</v>
      </c>
      <c r="R905" s="96" t="s">
        <v>430</v>
      </c>
      <c r="S905" s="96" t="s">
        <v>406</v>
      </c>
      <c r="T905" s="96" t="s">
        <v>1202</v>
      </c>
      <c r="U905" s="97">
        <v>1.75</v>
      </c>
      <c r="V905" s="100">
        <v>46238</v>
      </c>
      <c r="W905" s="98">
        <v>3.6249999999999998E-2</v>
      </c>
      <c r="X905" s="98">
        <v>0.25559999999999999</v>
      </c>
      <c r="Y905" s="96" t="s">
        <v>410</v>
      </c>
      <c r="Z905" s="96"/>
      <c r="AA905" s="97">
        <v>250763.81511</v>
      </c>
      <c r="AB905" s="97">
        <v>4.0202</v>
      </c>
      <c r="AC905" s="97">
        <v>66.849299999999999</v>
      </c>
      <c r="AD905" s="97"/>
      <c r="AE905" s="97">
        <v>673.92251999999996</v>
      </c>
      <c r="AF905" s="96"/>
      <c r="AG905" s="96"/>
      <c r="AH905" s="96"/>
      <c r="AI905" s="98">
        <v>7.1599999999999995E-4</v>
      </c>
      <c r="AJ905" s="98">
        <v>2.5249999999999999E-3</v>
      </c>
      <c r="AK905" s="98">
        <v>3.5E-4</v>
      </c>
      <c r="AL905" s="106"/>
    </row>
    <row r="906" spans="1:38" ht="15" customHeight="1">
      <c r="A906" s="106"/>
      <c r="B906" s="96">
        <v>286</v>
      </c>
      <c r="C906" s="96">
        <v>286</v>
      </c>
      <c r="D906" s="96" t="s">
        <v>2282</v>
      </c>
      <c r="E906" s="96" t="s">
        <v>2283</v>
      </c>
      <c r="F906" s="96" t="s">
        <v>312</v>
      </c>
      <c r="G906" s="96" t="s">
        <v>2284</v>
      </c>
      <c r="H906" s="96" t="s">
        <v>2285</v>
      </c>
      <c r="I906" s="96" t="s">
        <v>320</v>
      </c>
      <c r="J906" s="96" t="s">
        <v>754</v>
      </c>
      <c r="K906" s="96" t="s">
        <v>204</v>
      </c>
      <c r="L906" s="96" t="s">
        <v>231</v>
      </c>
      <c r="M906" s="96" t="s">
        <v>324</v>
      </c>
      <c r="N906" s="96" t="s">
        <v>313</v>
      </c>
      <c r="O906" s="96" t="s">
        <v>491</v>
      </c>
      <c r="P906" s="96" t="s">
        <v>338</v>
      </c>
      <c r="Q906" s="96" t="s">
        <v>1698</v>
      </c>
      <c r="R906" s="96" t="s">
        <v>422</v>
      </c>
      <c r="S906" s="96" t="s">
        <v>406</v>
      </c>
      <c r="T906" s="96" t="s">
        <v>1201</v>
      </c>
      <c r="U906" s="97">
        <v>2.2799999999999998</v>
      </c>
      <c r="V906" s="100">
        <v>46404</v>
      </c>
      <c r="W906" s="98">
        <v>5.5E-2</v>
      </c>
      <c r="X906" s="98">
        <v>5.6800000000000003E-2</v>
      </c>
      <c r="Y906" s="96" t="s">
        <v>411</v>
      </c>
      <c r="Z906" s="96"/>
      <c r="AA906" s="97">
        <v>59941.949934999997</v>
      </c>
      <c r="AB906" s="97">
        <v>3.7589999999999999</v>
      </c>
      <c r="AC906" s="97">
        <v>102.07980000000001</v>
      </c>
      <c r="AD906" s="97"/>
      <c r="AE906" s="97">
        <v>230.008107</v>
      </c>
      <c r="AF906" s="96"/>
      <c r="AG906" s="96"/>
      <c r="AH906" s="96"/>
      <c r="AI906" s="98">
        <v>8.5000000000000006E-5</v>
      </c>
      <c r="AJ906" s="98">
        <v>8.61E-4</v>
      </c>
      <c r="AK906" s="98">
        <v>1.1900000000000001E-4</v>
      </c>
      <c r="AL906" s="106"/>
    </row>
    <row r="907" spans="1:38" ht="15" customHeight="1">
      <c r="A907" s="106"/>
      <c r="B907" s="96">
        <v>286</v>
      </c>
      <c r="C907" s="96">
        <v>286</v>
      </c>
      <c r="D907" s="96" t="s">
        <v>2145</v>
      </c>
      <c r="E907" s="96" t="s">
        <v>2146</v>
      </c>
      <c r="F907" s="96" t="s">
        <v>312</v>
      </c>
      <c r="G907" s="96" t="s">
        <v>2301</v>
      </c>
      <c r="H907" s="96" t="s">
        <v>2302</v>
      </c>
      <c r="I907" s="96" t="s">
        <v>320</v>
      </c>
      <c r="J907" s="96" t="s">
        <v>955</v>
      </c>
      <c r="K907" s="96" t="s">
        <v>204</v>
      </c>
      <c r="L907" s="96" t="s">
        <v>232</v>
      </c>
      <c r="M907" s="96" t="s">
        <v>324</v>
      </c>
      <c r="N907" s="96" t="s">
        <v>369</v>
      </c>
      <c r="O907" s="96" t="s">
        <v>535</v>
      </c>
      <c r="P907" s="96" t="s">
        <v>338</v>
      </c>
      <c r="Q907" s="96" t="s">
        <v>2149</v>
      </c>
      <c r="R907" s="96" t="s">
        <v>432</v>
      </c>
      <c r="S907" s="96" t="s">
        <v>406</v>
      </c>
      <c r="T907" s="96" t="s">
        <v>1205</v>
      </c>
      <c r="U907" s="97">
        <v>1.36</v>
      </c>
      <c r="V907" s="100">
        <v>46006</v>
      </c>
      <c r="W907" s="98">
        <v>6.3750000000000001E-2</v>
      </c>
      <c r="X907" s="98">
        <v>8.2100000000000006E-2</v>
      </c>
      <c r="Y907" s="96" t="s">
        <v>410</v>
      </c>
      <c r="Z907" s="96"/>
      <c r="AA907" s="97">
        <v>39947.283366000003</v>
      </c>
      <c r="AB907" s="97">
        <v>4.7504999999999997</v>
      </c>
      <c r="AC907" s="97">
        <v>97.773600000000002</v>
      </c>
      <c r="AD907" s="97"/>
      <c r="AE907" s="97">
        <v>185.54458700000001</v>
      </c>
      <c r="AF907" s="96"/>
      <c r="AG907" s="96"/>
      <c r="AH907" s="96"/>
      <c r="AI907" s="98">
        <v>3.8999999999999999E-5</v>
      </c>
      <c r="AJ907" s="98">
        <v>6.9499999999999998E-4</v>
      </c>
      <c r="AK907" s="98">
        <v>9.6000000000000002E-5</v>
      </c>
      <c r="AL907" s="106"/>
    </row>
    <row r="908" spans="1:38" ht="15" customHeight="1">
      <c r="A908" s="106"/>
      <c r="B908" s="96">
        <v>286</v>
      </c>
      <c r="C908" s="96">
        <v>286</v>
      </c>
      <c r="D908" s="96" t="s">
        <v>2091</v>
      </c>
      <c r="E908" s="96" t="s">
        <v>2092</v>
      </c>
      <c r="F908" s="96" t="s">
        <v>312</v>
      </c>
      <c r="G908" s="96" t="s">
        <v>2093</v>
      </c>
      <c r="H908" s="96" t="s">
        <v>2094</v>
      </c>
      <c r="I908" s="96" t="s">
        <v>320</v>
      </c>
      <c r="J908" s="96" t="s">
        <v>754</v>
      </c>
      <c r="K908" s="96" t="s">
        <v>204</v>
      </c>
      <c r="L908" s="96" t="s">
        <v>280</v>
      </c>
      <c r="M908" s="96" t="s">
        <v>324</v>
      </c>
      <c r="N908" s="96" t="s">
        <v>363</v>
      </c>
      <c r="O908" s="96" t="s">
        <v>535</v>
      </c>
      <c r="P908" s="96" t="s">
        <v>338</v>
      </c>
      <c r="Q908" s="96" t="s">
        <v>2095</v>
      </c>
      <c r="R908" s="96" t="s">
        <v>430</v>
      </c>
      <c r="S908" s="96" t="s">
        <v>406</v>
      </c>
      <c r="T908" s="96" t="s">
        <v>1202</v>
      </c>
      <c r="U908" s="97">
        <v>3.51</v>
      </c>
      <c r="V908" s="100">
        <v>46993</v>
      </c>
      <c r="W908" s="98">
        <v>5.5E-2</v>
      </c>
      <c r="X908" s="98">
        <v>4.3700000000000003E-2</v>
      </c>
      <c r="Y908" s="96" t="s">
        <v>411</v>
      </c>
      <c r="Z908" s="96"/>
      <c r="AA908" s="97">
        <v>199736.41683100001</v>
      </c>
      <c r="AB908" s="97">
        <v>4.0202</v>
      </c>
      <c r="AC908" s="97">
        <v>108.8822</v>
      </c>
      <c r="AD908" s="97"/>
      <c r="AE908" s="97">
        <v>874.30328699999995</v>
      </c>
      <c r="AF908" s="96"/>
      <c r="AG908" s="96"/>
      <c r="AH908" s="96"/>
      <c r="AI908" s="98">
        <v>1.9900000000000001E-4</v>
      </c>
      <c r="AJ908" s="98">
        <v>3.2759999999999998E-3</v>
      </c>
      <c r="AK908" s="98">
        <v>4.55E-4</v>
      </c>
      <c r="AL908" s="106"/>
    </row>
    <row r="909" spans="1:38" ht="15" customHeight="1">
      <c r="A909" s="106"/>
      <c r="B909" s="96">
        <v>286</v>
      </c>
      <c r="C909" s="96">
        <v>286</v>
      </c>
      <c r="D909" s="96" t="s">
        <v>2122</v>
      </c>
      <c r="E909" s="96" t="s">
        <v>2123</v>
      </c>
      <c r="F909" s="96" t="s">
        <v>312</v>
      </c>
      <c r="G909" s="96" t="s">
        <v>2124</v>
      </c>
      <c r="H909" s="96" t="s">
        <v>2125</v>
      </c>
      <c r="I909" s="96" t="s">
        <v>320</v>
      </c>
      <c r="J909" s="96" t="s">
        <v>754</v>
      </c>
      <c r="K909" s="96" t="s">
        <v>204</v>
      </c>
      <c r="L909" s="96" t="s">
        <v>223</v>
      </c>
      <c r="M909" s="96" t="s">
        <v>324</v>
      </c>
      <c r="N909" s="96" t="s">
        <v>369</v>
      </c>
      <c r="O909" s="96" t="s">
        <v>499</v>
      </c>
      <c r="P909" s="96" t="s">
        <v>338</v>
      </c>
      <c r="Q909" s="96" t="s">
        <v>2112</v>
      </c>
      <c r="R909" s="96" t="s">
        <v>430</v>
      </c>
      <c r="S909" s="96" t="s">
        <v>406</v>
      </c>
      <c r="T909" s="96" t="s">
        <v>1201</v>
      </c>
      <c r="U909" s="97">
        <v>3.46</v>
      </c>
      <c r="V909" s="100">
        <v>45503</v>
      </c>
      <c r="W909" s="98">
        <v>0.04</v>
      </c>
      <c r="X909" s="98">
        <v>5.62E-2</v>
      </c>
      <c r="Y909" s="96" t="s">
        <v>411</v>
      </c>
      <c r="Z909" s="96"/>
      <c r="AA909" s="97">
        <v>31537.328973</v>
      </c>
      <c r="AB909" s="97">
        <v>3.7589999999999999</v>
      </c>
      <c r="AC909" s="97">
        <v>95.128500000000003</v>
      </c>
      <c r="AD909" s="97"/>
      <c r="AE909" s="97">
        <v>112.773779</v>
      </c>
      <c r="AF909" s="96"/>
      <c r="AG909" s="96"/>
      <c r="AH909" s="96"/>
      <c r="AI909" s="98">
        <v>5.1999999999999997E-5</v>
      </c>
      <c r="AJ909" s="98">
        <v>4.2200000000000001E-4</v>
      </c>
      <c r="AK909" s="98">
        <v>5.8E-5</v>
      </c>
      <c r="AL909" s="106"/>
    </row>
    <row r="910" spans="1:38" ht="15" customHeight="1">
      <c r="A910" s="106"/>
      <c r="B910" s="96">
        <v>286</v>
      </c>
      <c r="C910" s="96">
        <v>286</v>
      </c>
      <c r="D910" s="96" t="s">
        <v>2103</v>
      </c>
      <c r="E910" s="96" t="s">
        <v>2104</v>
      </c>
      <c r="F910" s="96" t="s">
        <v>312</v>
      </c>
      <c r="G910" s="96" t="s">
        <v>2105</v>
      </c>
      <c r="H910" s="96" t="s">
        <v>2106</v>
      </c>
      <c r="I910" s="96" t="s">
        <v>320</v>
      </c>
      <c r="J910" s="96" t="s">
        <v>754</v>
      </c>
      <c r="K910" s="96" t="s">
        <v>204</v>
      </c>
      <c r="L910" s="96" t="s">
        <v>263</v>
      </c>
      <c r="M910" s="96" t="s">
        <v>324</v>
      </c>
      <c r="N910" s="96" t="s">
        <v>313</v>
      </c>
      <c r="O910" s="96" t="s">
        <v>486</v>
      </c>
      <c r="P910" s="96" t="s">
        <v>338</v>
      </c>
      <c r="Q910" s="96" t="s">
        <v>2107</v>
      </c>
      <c r="R910" s="96" t="s">
        <v>430</v>
      </c>
      <c r="S910" s="96" t="s">
        <v>406</v>
      </c>
      <c r="T910" s="96" t="s">
        <v>1201</v>
      </c>
      <c r="U910" s="97">
        <v>4.9800000000000004</v>
      </c>
      <c r="V910" s="100">
        <v>47784</v>
      </c>
      <c r="W910" s="98">
        <v>5.9499999999999997E-2</v>
      </c>
      <c r="X910" s="98">
        <v>0.10009999999999999</v>
      </c>
      <c r="Y910" s="96" t="s">
        <v>411</v>
      </c>
      <c r="Z910" s="96"/>
      <c r="AA910" s="97">
        <v>232850.612253</v>
      </c>
      <c r="AB910" s="97">
        <v>3.7589999999999999</v>
      </c>
      <c r="AC910" s="97">
        <v>83.268199999999993</v>
      </c>
      <c r="AD910" s="97"/>
      <c r="AE910" s="97">
        <v>728.83463400000005</v>
      </c>
      <c r="AF910" s="96"/>
      <c r="AG910" s="96"/>
      <c r="AH910" s="96"/>
      <c r="AI910" s="98">
        <v>6.0999999999999999E-5</v>
      </c>
      <c r="AJ910" s="98">
        <v>2.7309999999999999E-3</v>
      </c>
      <c r="AK910" s="98">
        <v>3.79E-4</v>
      </c>
      <c r="AL910" s="106"/>
    </row>
    <row r="911" spans="1:38" ht="15" customHeight="1">
      <c r="A911" s="106"/>
      <c r="B911" s="96">
        <v>286</v>
      </c>
      <c r="C911" s="96">
        <v>286</v>
      </c>
      <c r="D911" s="96" t="s">
        <v>2286</v>
      </c>
      <c r="E911" s="96" t="s">
        <v>2287</v>
      </c>
      <c r="F911" s="96" t="s">
        <v>312</v>
      </c>
      <c r="G911" s="96" t="s">
        <v>2288</v>
      </c>
      <c r="H911" s="96" t="s">
        <v>2289</v>
      </c>
      <c r="I911" s="96" t="s">
        <v>320</v>
      </c>
      <c r="J911" s="96" t="s">
        <v>754</v>
      </c>
      <c r="K911" s="96" t="s">
        <v>204</v>
      </c>
      <c r="L911" s="96" t="s">
        <v>274</v>
      </c>
      <c r="M911" s="96" t="s">
        <v>324</v>
      </c>
      <c r="N911" s="96" t="s">
        <v>313</v>
      </c>
      <c r="O911" s="96" t="s">
        <v>567</v>
      </c>
      <c r="P911" s="96" t="s">
        <v>338</v>
      </c>
      <c r="Q911" s="96" t="s">
        <v>2290</v>
      </c>
      <c r="R911" s="96" t="s">
        <v>430</v>
      </c>
      <c r="S911" s="96" t="s">
        <v>406</v>
      </c>
      <c r="T911" s="96" t="s">
        <v>1202</v>
      </c>
      <c r="U911" s="97">
        <v>2.77</v>
      </c>
      <c r="V911" s="100">
        <v>46543</v>
      </c>
      <c r="W911" s="98">
        <v>2.6249999999999999E-2</v>
      </c>
      <c r="X911" s="98">
        <v>8.2500000000000004E-2</v>
      </c>
      <c r="Y911" s="96" t="s">
        <v>411</v>
      </c>
      <c r="Z911" s="96"/>
      <c r="AA911" s="97">
        <v>141917.98037999999</v>
      </c>
      <c r="AB911" s="97">
        <v>4.0202</v>
      </c>
      <c r="AC911" s="97">
        <v>86.942999999999998</v>
      </c>
      <c r="AD911" s="97"/>
      <c r="AE911" s="97">
        <v>496.04366800000003</v>
      </c>
      <c r="AF911" s="96"/>
      <c r="AG911" s="96"/>
      <c r="AH911" s="96"/>
      <c r="AI911" s="98">
        <v>5.9299999999999999E-4</v>
      </c>
      <c r="AJ911" s="98">
        <v>1.8580000000000001E-3</v>
      </c>
      <c r="AK911" s="98">
        <v>2.5799999999999998E-4</v>
      </c>
      <c r="AL911" s="106"/>
    </row>
    <row r="912" spans="1:38" ht="15" customHeight="1">
      <c r="A912" s="106"/>
      <c r="B912" s="96">
        <v>286</v>
      </c>
      <c r="C912" s="96">
        <v>286</v>
      </c>
      <c r="D912" s="96" t="s">
        <v>2214</v>
      </c>
      <c r="E912" s="96" t="s">
        <v>2215</v>
      </c>
      <c r="F912" s="96" t="s">
        <v>312</v>
      </c>
      <c r="G912" s="96" t="s">
        <v>2216</v>
      </c>
      <c r="H912" s="96" t="s">
        <v>2217</v>
      </c>
      <c r="I912" s="96" t="s">
        <v>320</v>
      </c>
      <c r="J912" s="96" t="s">
        <v>754</v>
      </c>
      <c r="K912" s="96" t="s">
        <v>204</v>
      </c>
      <c r="L912" s="96" t="s">
        <v>211</v>
      </c>
      <c r="M912" s="96" t="s">
        <v>324</v>
      </c>
      <c r="N912" s="96" t="s">
        <v>313</v>
      </c>
      <c r="O912" s="96" t="s">
        <v>523</v>
      </c>
      <c r="P912" s="96" t="s">
        <v>338</v>
      </c>
      <c r="Q912" s="96" t="s">
        <v>409</v>
      </c>
      <c r="R912" s="96" t="s">
        <v>409</v>
      </c>
      <c r="S912" s="96" t="s">
        <v>409</v>
      </c>
      <c r="T912" s="96" t="s">
        <v>1202</v>
      </c>
      <c r="U912" s="97">
        <v>3.06</v>
      </c>
      <c r="V912" s="100">
        <v>46574</v>
      </c>
      <c r="W912" s="98">
        <v>1.2500000000000001E-2</v>
      </c>
      <c r="X912" s="98">
        <v>3.9300000000000002E-2</v>
      </c>
      <c r="Y912" s="96" t="s">
        <v>411</v>
      </c>
      <c r="Z912" s="96"/>
      <c r="AA912" s="97">
        <v>313270.80113500002</v>
      </c>
      <c r="AB912" s="97">
        <v>4.0202</v>
      </c>
      <c r="AC912" s="97">
        <v>92.8446</v>
      </c>
      <c r="AD912" s="97"/>
      <c r="AE912" s="97">
        <v>1169.2961989999999</v>
      </c>
      <c r="AF912" s="96"/>
      <c r="AG912" s="96"/>
      <c r="AH912" s="96"/>
      <c r="AI912" s="98">
        <v>5.6899999999999995E-4</v>
      </c>
      <c r="AJ912" s="98">
        <v>4.3810000000000003E-3</v>
      </c>
      <c r="AK912" s="98">
        <v>6.0800000000000003E-4</v>
      </c>
      <c r="AL912" s="106"/>
    </row>
    <row r="913" spans="1:38" ht="15" customHeight="1">
      <c r="A913" s="106"/>
      <c r="B913" s="96">
        <v>286</v>
      </c>
      <c r="C913" s="96">
        <v>286</v>
      </c>
      <c r="D913" s="96" t="s">
        <v>2145</v>
      </c>
      <c r="E913" s="96" t="s">
        <v>2146</v>
      </c>
      <c r="F913" s="96" t="s">
        <v>312</v>
      </c>
      <c r="G913" s="96" t="s">
        <v>2147</v>
      </c>
      <c r="H913" s="96" t="s">
        <v>2148</v>
      </c>
      <c r="I913" s="96" t="s">
        <v>320</v>
      </c>
      <c r="J913" s="96" t="s">
        <v>955</v>
      </c>
      <c r="K913" s="96" t="s">
        <v>204</v>
      </c>
      <c r="L913" s="96" t="s">
        <v>232</v>
      </c>
      <c r="M913" s="96" t="s">
        <v>324</v>
      </c>
      <c r="N913" s="96" t="s">
        <v>369</v>
      </c>
      <c r="O913" s="96" t="s">
        <v>535</v>
      </c>
      <c r="P913" s="96" t="s">
        <v>338</v>
      </c>
      <c r="Q913" s="96" t="s">
        <v>2149</v>
      </c>
      <c r="R913" s="96" t="s">
        <v>432</v>
      </c>
      <c r="S913" s="96" t="s">
        <v>406</v>
      </c>
      <c r="T913" s="96" t="s">
        <v>1205</v>
      </c>
      <c r="U913" s="97">
        <v>3.12</v>
      </c>
      <c r="V913" s="100">
        <v>46645</v>
      </c>
      <c r="W913" s="98">
        <v>8.8749999999999996E-2</v>
      </c>
      <c r="X913" s="98">
        <v>8.0699999999999994E-2</v>
      </c>
      <c r="Y913" s="96" t="s">
        <v>410</v>
      </c>
      <c r="Z913" s="96"/>
      <c r="AA913" s="97">
        <v>70086.457420999999</v>
      </c>
      <c r="AB913" s="97">
        <v>4.7504999999999997</v>
      </c>
      <c r="AC913" s="97">
        <v>102.8937</v>
      </c>
      <c r="AD913" s="97"/>
      <c r="AE913" s="97">
        <v>342.580264</v>
      </c>
      <c r="AF913" s="96"/>
      <c r="AG913" s="96"/>
      <c r="AH913" s="96"/>
      <c r="AI913" s="98">
        <v>5.5999999999999999E-5</v>
      </c>
      <c r="AJ913" s="98">
        <v>1.2830000000000001E-3</v>
      </c>
      <c r="AK913" s="98">
        <v>1.7799999999999999E-4</v>
      </c>
      <c r="AL913" s="106"/>
    </row>
    <row r="914" spans="1:38" ht="15" customHeight="1">
      <c r="A914" s="106"/>
      <c r="B914" s="96">
        <v>286</v>
      </c>
      <c r="C914" s="96">
        <v>286</v>
      </c>
      <c r="D914" s="96" t="s">
        <v>2320</v>
      </c>
      <c r="E914" s="96" t="s">
        <v>2321</v>
      </c>
      <c r="F914" s="96" t="s">
        <v>312</v>
      </c>
      <c r="G914" s="96" t="s">
        <v>2322</v>
      </c>
      <c r="H914" s="96" t="s">
        <v>2323</v>
      </c>
      <c r="I914" s="96" t="s">
        <v>320</v>
      </c>
      <c r="J914" s="96" t="s">
        <v>754</v>
      </c>
      <c r="K914" s="96" t="s">
        <v>204</v>
      </c>
      <c r="L914" s="96" t="s">
        <v>211</v>
      </c>
      <c r="M914" s="96" t="s">
        <v>324</v>
      </c>
      <c r="N914" s="96" t="s">
        <v>313</v>
      </c>
      <c r="O914" s="96" t="s">
        <v>535</v>
      </c>
      <c r="P914" s="96" t="s">
        <v>338</v>
      </c>
      <c r="Q914" s="96" t="s">
        <v>1698</v>
      </c>
      <c r="R914" s="96" t="s">
        <v>422</v>
      </c>
      <c r="S914" s="96" t="s">
        <v>406</v>
      </c>
      <c r="T914" s="96" t="s">
        <v>1202</v>
      </c>
      <c r="U914" s="97">
        <v>1.91</v>
      </c>
      <c r="V914" s="100">
        <v>46225</v>
      </c>
      <c r="W914" s="98">
        <v>2.1999999999999999E-2</v>
      </c>
      <c r="X914" s="98">
        <v>3.8800000000000001E-2</v>
      </c>
      <c r="Y914" s="96" t="s">
        <v>411</v>
      </c>
      <c r="Z914" s="96"/>
      <c r="AA914" s="97">
        <v>231273.74580400001</v>
      </c>
      <c r="AB914" s="97">
        <v>4.0202</v>
      </c>
      <c r="AC914" s="97">
        <v>98.810500000000005</v>
      </c>
      <c r="AD914" s="97"/>
      <c r="AE914" s="97">
        <v>918.70765400000005</v>
      </c>
      <c r="AF914" s="96"/>
      <c r="AG914" s="96"/>
      <c r="AH914" s="96"/>
      <c r="AI914" s="98">
        <v>1.85E-4</v>
      </c>
      <c r="AJ914" s="98">
        <v>3.4420000000000002E-3</v>
      </c>
      <c r="AK914" s="98">
        <v>4.7800000000000002E-4</v>
      </c>
      <c r="AL914" s="106"/>
    </row>
    <row r="915" spans="1:38" ht="15" customHeight="1">
      <c r="A915" s="106"/>
      <c r="B915" s="96">
        <v>286</v>
      </c>
      <c r="C915" s="96">
        <v>286</v>
      </c>
      <c r="D915" s="96" t="s">
        <v>2168</v>
      </c>
      <c r="E915" s="96" t="s">
        <v>2169</v>
      </c>
      <c r="F915" s="96" t="s">
        <v>312</v>
      </c>
      <c r="G915" s="96" t="s">
        <v>2170</v>
      </c>
      <c r="H915" s="96" t="s">
        <v>2171</v>
      </c>
      <c r="I915" s="96" t="s">
        <v>320</v>
      </c>
      <c r="J915" s="96" t="s">
        <v>754</v>
      </c>
      <c r="K915" s="96" t="s">
        <v>204</v>
      </c>
      <c r="L915" s="96" t="s">
        <v>237</v>
      </c>
      <c r="M915" s="96" t="s">
        <v>324</v>
      </c>
      <c r="N915" s="96" t="s">
        <v>313</v>
      </c>
      <c r="O915" s="96" t="s">
        <v>539</v>
      </c>
      <c r="P915" s="96" t="s">
        <v>338</v>
      </c>
      <c r="Q915" s="96" t="s">
        <v>2172</v>
      </c>
      <c r="R915" s="96" t="s">
        <v>430</v>
      </c>
      <c r="S915" s="96" t="s">
        <v>406</v>
      </c>
      <c r="T915" s="96" t="s">
        <v>1201</v>
      </c>
      <c r="U915" s="97">
        <v>0.77</v>
      </c>
      <c r="V915" s="100">
        <v>45777</v>
      </c>
      <c r="W915" s="98">
        <v>7.4999999999999997E-2</v>
      </c>
      <c r="X915" s="98">
        <v>8.8400000000000006E-2</v>
      </c>
      <c r="Y915" s="96" t="s">
        <v>410</v>
      </c>
      <c r="Z915" s="96"/>
      <c r="AA915" s="97">
        <v>52562.214955000003</v>
      </c>
      <c r="AB915" s="97">
        <v>3.7589999999999999</v>
      </c>
      <c r="AC915" s="97">
        <v>100.1279</v>
      </c>
      <c r="AD915" s="97"/>
      <c r="AE915" s="97">
        <v>197.83427</v>
      </c>
      <c r="AF915" s="96"/>
      <c r="AG915" s="96"/>
      <c r="AH915" s="96"/>
      <c r="AI915" s="98">
        <v>3.4999999999999997E-5</v>
      </c>
      <c r="AJ915" s="98">
        <v>7.4100000000000001E-4</v>
      </c>
      <c r="AK915" s="98">
        <v>1.03E-4</v>
      </c>
      <c r="AL915" s="106"/>
    </row>
    <row r="916" spans="1:38" ht="15" customHeight="1">
      <c r="A916" s="106"/>
      <c r="B916" s="96">
        <v>286</v>
      </c>
      <c r="C916" s="96">
        <v>286</v>
      </c>
      <c r="D916" s="96" t="s">
        <v>2168</v>
      </c>
      <c r="E916" s="96" t="s">
        <v>2169</v>
      </c>
      <c r="F916" s="96" t="s">
        <v>312</v>
      </c>
      <c r="G916" s="96" t="s">
        <v>2218</v>
      </c>
      <c r="H916" s="96" t="s">
        <v>2219</v>
      </c>
      <c r="I916" s="96" t="s">
        <v>320</v>
      </c>
      <c r="J916" s="96" t="s">
        <v>754</v>
      </c>
      <c r="K916" s="96" t="s">
        <v>204</v>
      </c>
      <c r="L916" s="96" t="s">
        <v>237</v>
      </c>
      <c r="M916" s="96" t="s">
        <v>324</v>
      </c>
      <c r="N916" s="96" t="s">
        <v>313</v>
      </c>
      <c r="O916" s="96" t="s">
        <v>539</v>
      </c>
      <c r="P916" s="96" t="s">
        <v>338</v>
      </c>
      <c r="Q916" s="96" t="s">
        <v>2172</v>
      </c>
      <c r="R916" s="96" t="s">
        <v>430</v>
      </c>
      <c r="S916" s="96" t="s">
        <v>406</v>
      </c>
      <c r="T916" s="96" t="s">
        <v>1202</v>
      </c>
      <c r="U916" s="97">
        <v>2.11</v>
      </c>
      <c r="V916" s="100">
        <v>46356</v>
      </c>
      <c r="W916" s="98">
        <v>4.4999999999999998E-2</v>
      </c>
      <c r="X916" s="98">
        <v>9.6100000000000005E-2</v>
      </c>
      <c r="Y916" s="96" t="s">
        <v>410</v>
      </c>
      <c r="Z916" s="96"/>
      <c r="AA916" s="97">
        <v>63074.657945999999</v>
      </c>
      <c r="AB916" s="97">
        <v>4.0202</v>
      </c>
      <c r="AC916" s="97">
        <v>90.209000000000003</v>
      </c>
      <c r="AD916" s="97"/>
      <c r="AE916" s="97">
        <v>228.74543199999999</v>
      </c>
      <c r="AF916" s="96"/>
      <c r="AG916" s="96"/>
      <c r="AH916" s="96"/>
      <c r="AI916" s="98">
        <v>5.0000000000000002E-5</v>
      </c>
      <c r="AJ916" s="98">
        <v>8.5700000000000001E-4</v>
      </c>
      <c r="AK916" s="98">
        <v>1.1900000000000001E-4</v>
      </c>
      <c r="AL916" s="106"/>
    </row>
    <row r="917" spans="1:38" ht="15" customHeight="1">
      <c r="A917" s="106"/>
      <c r="B917" s="96">
        <v>286</v>
      </c>
      <c r="C917" s="96">
        <v>286</v>
      </c>
      <c r="D917" s="96" t="s">
        <v>2103</v>
      </c>
      <c r="E917" s="96" t="s">
        <v>2104</v>
      </c>
      <c r="F917" s="96" t="s">
        <v>312</v>
      </c>
      <c r="G917" s="96" t="s">
        <v>2135</v>
      </c>
      <c r="H917" s="96" t="s">
        <v>2136</v>
      </c>
      <c r="I917" s="96" t="s">
        <v>320</v>
      </c>
      <c r="J917" s="96" t="s">
        <v>754</v>
      </c>
      <c r="K917" s="96" t="s">
        <v>204</v>
      </c>
      <c r="L917" s="96" t="s">
        <v>263</v>
      </c>
      <c r="M917" s="96" t="s">
        <v>332</v>
      </c>
      <c r="N917" s="96" t="s">
        <v>313</v>
      </c>
      <c r="O917" s="96" t="s">
        <v>486</v>
      </c>
      <c r="P917" s="96" t="s">
        <v>338</v>
      </c>
      <c r="Q917" s="96" t="s">
        <v>2107</v>
      </c>
      <c r="R917" s="96" t="s">
        <v>430</v>
      </c>
      <c r="S917" s="96" t="s">
        <v>406</v>
      </c>
      <c r="T917" s="96" t="s">
        <v>1201</v>
      </c>
      <c r="U917" s="97">
        <v>4.8899999999999997</v>
      </c>
      <c r="V917" s="100">
        <v>48168</v>
      </c>
      <c r="W917" s="98">
        <v>6.7000000000000004E-2</v>
      </c>
      <c r="X917" s="98">
        <v>0.1014</v>
      </c>
      <c r="Y917" s="96" t="s">
        <v>411</v>
      </c>
      <c r="Z917" s="96"/>
      <c r="AA917" s="97">
        <v>12141.871654</v>
      </c>
      <c r="AB917" s="97">
        <v>3.7589999999999999</v>
      </c>
      <c r="AC917" s="97">
        <v>86.198800000000006</v>
      </c>
      <c r="AD917" s="97"/>
      <c r="AE917" s="97">
        <v>39.342289000000001</v>
      </c>
      <c r="AF917" s="96"/>
      <c r="AG917" s="96"/>
      <c r="AH917" s="96"/>
      <c r="AI917" s="98">
        <v>9.9999999999999995E-7</v>
      </c>
      <c r="AJ917" s="98">
        <v>1.47E-4</v>
      </c>
      <c r="AK917" s="98">
        <v>2.0000000000000002E-5</v>
      </c>
      <c r="AL917" s="106"/>
    </row>
    <row r="918" spans="1:38" ht="15" customHeight="1">
      <c r="A918" s="106"/>
      <c r="B918" s="96">
        <v>286</v>
      </c>
      <c r="C918" s="96">
        <v>286</v>
      </c>
      <c r="D918" s="96" t="s">
        <v>2070</v>
      </c>
      <c r="E918" s="96" t="s">
        <v>2071</v>
      </c>
      <c r="F918" s="96" t="s">
        <v>312</v>
      </c>
      <c r="G918" s="96" t="s">
        <v>2072</v>
      </c>
      <c r="H918" s="96" t="s">
        <v>2073</v>
      </c>
      <c r="I918" s="96" t="s">
        <v>320</v>
      </c>
      <c r="J918" s="96" t="s">
        <v>754</v>
      </c>
      <c r="K918" s="96" t="s">
        <v>204</v>
      </c>
      <c r="L918" s="96" t="s">
        <v>223</v>
      </c>
      <c r="M918" s="96" t="s">
        <v>324</v>
      </c>
      <c r="N918" s="96" t="s">
        <v>313</v>
      </c>
      <c r="O918" s="96" t="s">
        <v>535</v>
      </c>
      <c r="P918" s="96" t="s">
        <v>338</v>
      </c>
      <c r="Q918" s="96" t="s">
        <v>2074</v>
      </c>
      <c r="R918" s="96" t="s">
        <v>432</v>
      </c>
      <c r="S918" s="96" t="s">
        <v>406</v>
      </c>
      <c r="T918" s="96" t="s">
        <v>1201</v>
      </c>
      <c r="U918" s="97">
        <v>5.22</v>
      </c>
      <c r="V918" s="100">
        <v>47616</v>
      </c>
      <c r="W918" s="98">
        <v>2.9559999999999999E-2</v>
      </c>
      <c r="X918" s="98">
        <v>5.4600000000000003E-2</v>
      </c>
      <c r="Y918" s="96" t="s">
        <v>411</v>
      </c>
      <c r="Z918" s="96"/>
      <c r="AA918" s="97">
        <v>129828.67094</v>
      </c>
      <c r="AB918" s="97">
        <v>3.7589999999999999</v>
      </c>
      <c r="AC918" s="97">
        <v>87.935900000000004</v>
      </c>
      <c r="AD918" s="97"/>
      <c r="AE918" s="97">
        <v>429.15014100000002</v>
      </c>
      <c r="AF918" s="96"/>
      <c r="AG918" s="96"/>
      <c r="AH918" s="96"/>
      <c r="AI918" s="98">
        <v>4.3000000000000002E-5</v>
      </c>
      <c r="AJ918" s="98">
        <v>1.6080000000000001E-3</v>
      </c>
      <c r="AK918" s="98">
        <v>2.23E-4</v>
      </c>
      <c r="AL918" s="106"/>
    </row>
    <row r="919" spans="1:38" ht="15" customHeight="1">
      <c r="A919" s="106"/>
      <c r="B919" s="96">
        <v>286</v>
      </c>
      <c r="C919" s="96">
        <v>9803</v>
      </c>
      <c r="D919" s="96" t="s">
        <v>1354</v>
      </c>
      <c r="E919" s="96">
        <v>513893123</v>
      </c>
      <c r="F919" s="96" t="s">
        <v>308</v>
      </c>
      <c r="G919" s="96" t="s">
        <v>1395</v>
      </c>
      <c r="H919" s="96" t="s">
        <v>1396</v>
      </c>
      <c r="I919" s="96" t="s">
        <v>320</v>
      </c>
      <c r="J919" s="96" t="s">
        <v>753</v>
      </c>
      <c r="K919" s="96" t="s">
        <v>203</v>
      </c>
      <c r="L919" s="96" t="s">
        <v>203</v>
      </c>
      <c r="M919" s="96" t="s">
        <v>326</v>
      </c>
      <c r="N919" s="96" t="s">
        <v>339</v>
      </c>
      <c r="O919" s="96" t="s">
        <v>442</v>
      </c>
      <c r="P919" s="96" t="s">
        <v>338</v>
      </c>
      <c r="Q919" s="96" t="s">
        <v>1357</v>
      </c>
      <c r="R919" s="96" t="s">
        <v>414</v>
      </c>
      <c r="S919" s="96" t="s">
        <v>406</v>
      </c>
      <c r="T919" s="96" t="s">
        <v>1200</v>
      </c>
      <c r="U919" s="97">
        <v>3.22</v>
      </c>
      <c r="V919" s="100">
        <v>48060</v>
      </c>
      <c r="W919" s="98">
        <v>0.01</v>
      </c>
      <c r="X919" s="98">
        <v>3.8600000000000002E-2</v>
      </c>
      <c r="Y919" s="96" t="s">
        <v>411</v>
      </c>
      <c r="Z919" s="96"/>
      <c r="AA919" s="97">
        <v>1107.145651</v>
      </c>
      <c r="AB919" s="97">
        <v>1</v>
      </c>
      <c r="AC919" s="97">
        <v>101.62090000000001</v>
      </c>
      <c r="AD919" s="97"/>
      <c r="AE919" s="97">
        <v>1.1250899999999999</v>
      </c>
      <c r="AF919" s="96"/>
      <c r="AG919" s="96"/>
      <c r="AH919" s="96"/>
      <c r="AI919" s="98">
        <v>0</v>
      </c>
      <c r="AJ919" s="98">
        <v>1.74E-4</v>
      </c>
      <c r="AK919" s="98">
        <v>6.7000000000000002E-5</v>
      </c>
      <c r="AL919" s="106"/>
    </row>
    <row r="920" spans="1:38" ht="15" customHeight="1">
      <c r="A920" s="106"/>
      <c r="B920" s="96">
        <v>286</v>
      </c>
      <c r="C920" s="96">
        <v>9803</v>
      </c>
      <c r="D920" s="96" t="s">
        <v>1760</v>
      </c>
      <c r="E920" s="96">
        <v>520038894</v>
      </c>
      <c r="F920" s="96" t="s">
        <v>308</v>
      </c>
      <c r="G920" s="96" t="s">
        <v>1823</v>
      </c>
      <c r="H920" s="96" t="s">
        <v>1824</v>
      </c>
      <c r="I920" s="96" t="s">
        <v>320</v>
      </c>
      <c r="J920" s="96" t="s">
        <v>753</v>
      </c>
      <c r="K920" s="96" t="s">
        <v>203</v>
      </c>
      <c r="L920" s="96" t="s">
        <v>203</v>
      </c>
      <c r="M920" s="96" t="s">
        <v>324</v>
      </c>
      <c r="N920" s="96" t="s">
        <v>339</v>
      </c>
      <c r="O920" s="96" t="s">
        <v>464</v>
      </c>
      <c r="P920" s="96" t="s">
        <v>338</v>
      </c>
      <c r="Q920" s="96" t="s">
        <v>1332</v>
      </c>
      <c r="R920" s="96" t="s">
        <v>412</v>
      </c>
      <c r="S920" s="96" t="s">
        <v>406</v>
      </c>
      <c r="T920" s="96" t="s">
        <v>1200</v>
      </c>
      <c r="U920" s="97">
        <v>4.82</v>
      </c>
      <c r="V920" s="100">
        <v>48395</v>
      </c>
      <c r="W920" s="98">
        <v>3.4700000000000002E-2</v>
      </c>
      <c r="X920" s="98">
        <v>3.6400000000000002E-2</v>
      </c>
      <c r="Y920" s="96" t="s">
        <v>411</v>
      </c>
      <c r="Z920" s="96"/>
      <c r="AA920" s="97">
        <v>6724.6950729999999</v>
      </c>
      <c r="AB920" s="97">
        <v>1</v>
      </c>
      <c r="AC920" s="97">
        <v>99.81</v>
      </c>
      <c r="AD920" s="97"/>
      <c r="AE920" s="97">
        <v>6.7119179999999998</v>
      </c>
      <c r="AF920" s="96"/>
      <c r="AG920" s="96"/>
      <c r="AH920" s="96"/>
      <c r="AI920" s="98">
        <v>3.8999999999999999E-5</v>
      </c>
      <c r="AJ920" s="98">
        <v>1.0430000000000001E-3</v>
      </c>
      <c r="AK920" s="98">
        <v>4.0200000000000001E-4</v>
      </c>
      <c r="AL920" s="106"/>
    </row>
    <row r="921" spans="1:38" ht="15" customHeight="1">
      <c r="A921" s="106"/>
      <c r="B921" s="96">
        <v>286</v>
      </c>
      <c r="C921" s="96">
        <v>9803</v>
      </c>
      <c r="D921" s="96" t="s">
        <v>1197</v>
      </c>
      <c r="E921" s="96">
        <v>520018078</v>
      </c>
      <c r="F921" s="96" t="s">
        <v>308</v>
      </c>
      <c r="G921" s="96" t="s">
        <v>1721</v>
      </c>
      <c r="H921" s="96" t="s">
        <v>1722</v>
      </c>
      <c r="I921" s="96" t="s">
        <v>320</v>
      </c>
      <c r="J921" s="96" t="s">
        <v>753</v>
      </c>
      <c r="K921" s="96" t="s">
        <v>203</v>
      </c>
      <c r="L921" s="96" t="s">
        <v>203</v>
      </c>
      <c r="M921" s="96" t="s">
        <v>324</v>
      </c>
      <c r="N921" s="96" t="s">
        <v>339</v>
      </c>
      <c r="O921" s="96" t="s">
        <v>447</v>
      </c>
      <c r="P921" s="96" t="s">
        <v>338</v>
      </c>
      <c r="Q921" s="96" t="s">
        <v>1199</v>
      </c>
      <c r="R921" s="96" t="s">
        <v>412</v>
      </c>
      <c r="S921" s="96" t="s">
        <v>406</v>
      </c>
      <c r="T921" s="96" t="s">
        <v>1200</v>
      </c>
      <c r="U921" s="97">
        <v>3.4</v>
      </c>
      <c r="V921" s="100">
        <v>46716</v>
      </c>
      <c r="W921" s="98">
        <v>1E-3</v>
      </c>
      <c r="X921" s="98">
        <v>2.3599999999999999E-2</v>
      </c>
      <c r="Y921" s="96" t="s">
        <v>411</v>
      </c>
      <c r="Z921" s="96"/>
      <c r="AA921" s="97">
        <v>77958.256015999999</v>
      </c>
      <c r="AB921" s="97">
        <v>1</v>
      </c>
      <c r="AC921" s="97">
        <v>102.72</v>
      </c>
      <c r="AD921" s="97"/>
      <c r="AE921" s="97">
        <v>80.078720000000004</v>
      </c>
      <c r="AF921" s="96"/>
      <c r="AG921" s="96"/>
      <c r="AH921" s="96"/>
      <c r="AI921" s="98">
        <v>2.4000000000000001E-5</v>
      </c>
      <c r="AJ921" s="98">
        <v>1.2455000000000001E-2</v>
      </c>
      <c r="AK921" s="98">
        <v>4.8019999999999998E-3</v>
      </c>
      <c r="AL921" s="106"/>
    </row>
    <row r="922" spans="1:38" ht="15" customHeight="1">
      <c r="A922" s="106"/>
      <c r="B922" s="96">
        <v>286</v>
      </c>
      <c r="C922" s="96">
        <v>9803</v>
      </c>
      <c r="D922" s="96" t="s">
        <v>1608</v>
      </c>
      <c r="E922" s="96">
        <v>510609761</v>
      </c>
      <c r="F922" s="96" t="s">
        <v>308</v>
      </c>
      <c r="G922" s="96" t="s">
        <v>2023</v>
      </c>
      <c r="H922" s="96" t="s">
        <v>2024</v>
      </c>
      <c r="I922" s="96" t="s">
        <v>320</v>
      </c>
      <c r="J922" s="96" t="s">
        <v>952</v>
      </c>
      <c r="K922" s="96" t="s">
        <v>203</v>
      </c>
      <c r="L922" s="96" t="s">
        <v>203</v>
      </c>
      <c r="M922" s="96" t="s">
        <v>324</v>
      </c>
      <c r="N922" s="96" t="s">
        <v>339</v>
      </c>
      <c r="O922" s="96" t="s">
        <v>446</v>
      </c>
      <c r="P922" s="96" t="s">
        <v>338</v>
      </c>
      <c r="Q922" s="96" t="s">
        <v>1328</v>
      </c>
      <c r="R922" s="96" t="s">
        <v>412</v>
      </c>
      <c r="S922" s="96" t="s">
        <v>406</v>
      </c>
      <c r="T922" s="96" t="s">
        <v>1200</v>
      </c>
      <c r="U922" s="97">
        <v>0.01</v>
      </c>
      <c r="V922" s="100">
        <v>45474</v>
      </c>
      <c r="W922" s="98">
        <v>4.2000000000000003E-2</v>
      </c>
      <c r="X922" s="98">
        <v>0.1133</v>
      </c>
      <c r="Y922" s="96" t="s">
        <v>411</v>
      </c>
      <c r="Z922" s="96"/>
      <c r="AA922" s="97">
        <v>867.19967699999995</v>
      </c>
      <c r="AB922" s="97">
        <v>1</v>
      </c>
      <c r="AC922" s="97">
        <v>102.01</v>
      </c>
      <c r="AD922" s="97"/>
      <c r="AE922" s="97">
        <v>0.88463000000000003</v>
      </c>
      <c r="AF922" s="96"/>
      <c r="AG922" s="96"/>
      <c r="AH922" s="96"/>
      <c r="AI922" s="98">
        <v>1.9000000000000001E-5</v>
      </c>
      <c r="AJ922" s="98">
        <v>1.37E-4</v>
      </c>
      <c r="AK922" s="98">
        <v>5.3000000000000001E-5</v>
      </c>
      <c r="AL922" s="106"/>
    </row>
    <row r="923" spans="1:38" ht="15" customHeight="1">
      <c r="A923" s="106"/>
      <c r="B923" s="96">
        <v>286</v>
      </c>
      <c r="C923" s="96">
        <v>9803</v>
      </c>
      <c r="D923" s="96" t="s">
        <v>1600</v>
      </c>
      <c r="E923" s="96">
        <v>520043795</v>
      </c>
      <c r="F923" s="96" t="s">
        <v>308</v>
      </c>
      <c r="G923" s="96" t="s">
        <v>1601</v>
      </c>
      <c r="H923" s="96" t="s">
        <v>1602</v>
      </c>
      <c r="I923" s="96" t="s">
        <v>320</v>
      </c>
      <c r="J923" s="96" t="s">
        <v>952</v>
      </c>
      <c r="K923" s="96" t="s">
        <v>203</v>
      </c>
      <c r="L923" s="96" t="s">
        <v>203</v>
      </c>
      <c r="M923" s="96" t="s">
        <v>324</v>
      </c>
      <c r="N923" s="96" t="s">
        <v>339</v>
      </c>
      <c r="O923" s="96" t="s">
        <v>477</v>
      </c>
      <c r="P923" s="96" t="s">
        <v>338</v>
      </c>
      <c r="Q923" s="96" t="s">
        <v>1357</v>
      </c>
      <c r="R923" s="96" t="s">
        <v>414</v>
      </c>
      <c r="S923" s="96" t="s">
        <v>406</v>
      </c>
      <c r="T923" s="96" t="s">
        <v>1200</v>
      </c>
      <c r="U923" s="97">
        <v>3.36</v>
      </c>
      <c r="V923" s="100">
        <v>47462</v>
      </c>
      <c r="W923" s="98">
        <v>2.1100000000000001E-2</v>
      </c>
      <c r="X923" s="98">
        <v>5.5E-2</v>
      </c>
      <c r="Y923" s="96" t="s">
        <v>411</v>
      </c>
      <c r="Z923" s="96"/>
      <c r="AA923" s="97">
        <v>9452.2548420000003</v>
      </c>
      <c r="AB923" s="97">
        <v>1</v>
      </c>
      <c r="AC923" s="97">
        <v>89.64</v>
      </c>
      <c r="AD923" s="97"/>
      <c r="AE923" s="97">
        <v>8.473001</v>
      </c>
      <c r="AF923" s="96"/>
      <c r="AG923" s="96"/>
      <c r="AH923" s="96"/>
      <c r="AI923" s="98">
        <v>1.5999999999999999E-5</v>
      </c>
      <c r="AJ923" s="98">
        <v>1.317E-3</v>
      </c>
      <c r="AK923" s="98">
        <v>5.0799999999999999E-4</v>
      </c>
      <c r="AL923" s="106"/>
    </row>
    <row r="924" spans="1:38" ht="15" customHeight="1">
      <c r="A924" s="106"/>
      <c r="B924" s="96">
        <v>286</v>
      </c>
      <c r="C924" s="96">
        <v>9803</v>
      </c>
      <c r="D924" s="96" t="s">
        <v>1298</v>
      </c>
      <c r="E924" s="96">
        <v>510960719</v>
      </c>
      <c r="F924" s="96" t="s">
        <v>308</v>
      </c>
      <c r="G924" s="96" t="s">
        <v>1990</v>
      </c>
      <c r="H924" s="96" t="s">
        <v>1991</v>
      </c>
      <c r="I924" s="96" t="s">
        <v>320</v>
      </c>
      <c r="J924" s="96" t="s">
        <v>753</v>
      </c>
      <c r="K924" s="96" t="s">
        <v>203</v>
      </c>
      <c r="L924" s="96" t="s">
        <v>203</v>
      </c>
      <c r="M924" s="96" t="s">
        <v>324</v>
      </c>
      <c r="N924" s="96" t="s">
        <v>339</v>
      </c>
      <c r="O924" s="96" t="s">
        <v>463</v>
      </c>
      <c r="P924" s="96" t="s">
        <v>338</v>
      </c>
      <c r="Q924" s="96" t="s">
        <v>1439</v>
      </c>
      <c r="R924" s="96" t="s">
        <v>412</v>
      </c>
      <c r="S924" s="96" t="s">
        <v>406</v>
      </c>
      <c r="T924" s="96" t="s">
        <v>1200</v>
      </c>
      <c r="U924" s="97">
        <v>7.16</v>
      </c>
      <c r="V924" s="100">
        <v>49858</v>
      </c>
      <c r="W924" s="98">
        <v>8.9999999999999993E-3</v>
      </c>
      <c r="X924" s="98">
        <v>3.5299999999999998E-2</v>
      </c>
      <c r="Y924" s="96" t="s">
        <v>411</v>
      </c>
      <c r="Z924" s="96"/>
      <c r="AA924" s="97">
        <v>63437.047288000002</v>
      </c>
      <c r="AB924" s="97">
        <v>1</v>
      </c>
      <c r="AC924" s="97">
        <v>92.82</v>
      </c>
      <c r="AD924" s="97">
        <v>1.448086</v>
      </c>
      <c r="AE924" s="97">
        <v>60.330353000000002</v>
      </c>
      <c r="AF924" s="96"/>
      <c r="AG924" s="96"/>
      <c r="AH924" s="96"/>
      <c r="AI924" s="98">
        <v>2.5000000000000001E-5</v>
      </c>
      <c r="AJ924" s="98">
        <v>9.3830000000000007E-3</v>
      </c>
      <c r="AK924" s="98">
        <v>3.617E-3</v>
      </c>
      <c r="AL924" s="106"/>
    </row>
    <row r="925" spans="1:38" ht="15" customHeight="1">
      <c r="A925" s="106"/>
      <c r="B925" s="96">
        <v>286</v>
      </c>
      <c r="C925" s="96">
        <v>9803</v>
      </c>
      <c r="D925" s="96" t="s">
        <v>1314</v>
      </c>
      <c r="E925" s="96">
        <v>513754069</v>
      </c>
      <c r="F925" s="96" t="s">
        <v>308</v>
      </c>
      <c r="G925" s="96" t="s">
        <v>1855</v>
      </c>
      <c r="H925" s="96" t="s">
        <v>1856</v>
      </c>
      <c r="I925" s="96" t="s">
        <v>320</v>
      </c>
      <c r="J925" s="96" t="s">
        <v>952</v>
      </c>
      <c r="K925" s="96" t="s">
        <v>203</v>
      </c>
      <c r="L925" s="96" t="s">
        <v>203</v>
      </c>
      <c r="M925" s="96" t="s">
        <v>326</v>
      </c>
      <c r="N925" s="96" t="s">
        <v>339</v>
      </c>
      <c r="O925" s="96" t="s">
        <v>444</v>
      </c>
      <c r="P925" s="96" t="s">
        <v>338</v>
      </c>
      <c r="Q925" s="96" t="s">
        <v>1332</v>
      </c>
      <c r="R925" s="96" t="s">
        <v>412</v>
      </c>
      <c r="S925" s="96" t="s">
        <v>406</v>
      </c>
      <c r="T925" s="96" t="s">
        <v>1200</v>
      </c>
      <c r="U925" s="97">
        <v>3.4</v>
      </c>
      <c r="V925" s="100">
        <v>46811</v>
      </c>
      <c r="W925" s="98">
        <v>4.7E-2</v>
      </c>
      <c r="X925" s="98">
        <v>5.8799999999999998E-2</v>
      </c>
      <c r="Y925" s="96" t="s">
        <v>411</v>
      </c>
      <c r="Z925" s="96"/>
      <c r="AA925" s="97">
        <v>13276.777443000001</v>
      </c>
      <c r="AB925" s="97">
        <v>1</v>
      </c>
      <c r="AC925" s="97">
        <v>97.749600000000001</v>
      </c>
      <c r="AD925" s="97"/>
      <c r="AE925" s="97">
        <v>12.978002999999999</v>
      </c>
      <c r="AF925" s="96"/>
      <c r="AG925" s="96"/>
      <c r="AH925" s="96"/>
      <c r="AI925" s="98">
        <v>1.4E-5</v>
      </c>
      <c r="AJ925" s="98">
        <v>2.0179999999999998E-3</v>
      </c>
      <c r="AK925" s="98">
        <v>7.7800000000000005E-4</v>
      </c>
      <c r="AL925" s="106"/>
    </row>
    <row r="926" spans="1:38" ht="15" customHeight="1">
      <c r="A926" s="106"/>
      <c r="B926" s="96">
        <v>286</v>
      </c>
      <c r="C926" s="96">
        <v>9803</v>
      </c>
      <c r="D926" s="96" t="s">
        <v>1376</v>
      </c>
      <c r="E926" s="96">
        <v>520025438</v>
      </c>
      <c r="F926" s="96" t="s">
        <v>308</v>
      </c>
      <c r="G926" s="96" t="s">
        <v>1377</v>
      </c>
      <c r="H926" s="96" t="s">
        <v>1378</v>
      </c>
      <c r="I926" s="96" t="s">
        <v>320</v>
      </c>
      <c r="J926" s="96" t="s">
        <v>753</v>
      </c>
      <c r="K926" s="96" t="s">
        <v>203</v>
      </c>
      <c r="L926" s="96" t="s">
        <v>203</v>
      </c>
      <c r="M926" s="96" t="s">
        <v>324</v>
      </c>
      <c r="N926" s="96" t="s">
        <v>339</v>
      </c>
      <c r="O926" s="96" t="s">
        <v>463</v>
      </c>
      <c r="P926" s="96" t="s">
        <v>338</v>
      </c>
      <c r="Q926" s="96" t="s">
        <v>1328</v>
      </c>
      <c r="R926" s="96" t="s">
        <v>412</v>
      </c>
      <c r="S926" s="96" t="s">
        <v>406</v>
      </c>
      <c r="T926" s="96" t="s">
        <v>1200</v>
      </c>
      <c r="U926" s="97">
        <v>0.99</v>
      </c>
      <c r="V926" s="100">
        <v>46022</v>
      </c>
      <c r="W926" s="98">
        <v>4.9500000000000002E-2</v>
      </c>
      <c r="X926" s="98">
        <v>4.2099999999999999E-2</v>
      </c>
      <c r="Y926" s="96" t="s">
        <v>411</v>
      </c>
      <c r="Z926" s="96"/>
      <c r="AA926" s="97">
        <v>4772.9578899999997</v>
      </c>
      <c r="AB926" s="97">
        <v>1</v>
      </c>
      <c r="AC926" s="97">
        <v>138.26</v>
      </c>
      <c r="AD926" s="97"/>
      <c r="AE926" s="97">
        <v>6.5990909999999996</v>
      </c>
      <c r="AF926" s="96"/>
      <c r="AG926" s="96"/>
      <c r="AH926" s="96"/>
      <c r="AI926" s="98">
        <v>1.0000000000000001E-5</v>
      </c>
      <c r="AJ926" s="98">
        <v>1.026E-3</v>
      </c>
      <c r="AK926" s="98">
        <v>3.9500000000000001E-4</v>
      </c>
      <c r="AL926" s="106"/>
    </row>
    <row r="927" spans="1:38" ht="15" customHeight="1">
      <c r="A927" s="106"/>
      <c r="B927" s="96">
        <v>286</v>
      </c>
      <c r="C927" s="96">
        <v>9803</v>
      </c>
      <c r="D927" s="96" t="s">
        <v>1314</v>
      </c>
      <c r="E927" s="96">
        <v>513754069</v>
      </c>
      <c r="F927" s="96" t="s">
        <v>308</v>
      </c>
      <c r="G927" s="96" t="s">
        <v>1503</v>
      </c>
      <c r="H927" s="96" t="s">
        <v>1504</v>
      </c>
      <c r="I927" s="96" t="s">
        <v>320</v>
      </c>
      <c r="J927" s="96" t="s">
        <v>952</v>
      </c>
      <c r="K927" s="96" t="s">
        <v>203</v>
      </c>
      <c r="L927" s="96" t="s">
        <v>203</v>
      </c>
      <c r="M927" s="96" t="s">
        <v>324</v>
      </c>
      <c r="N927" s="96" t="s">
        <v>339</v>
      </c>
      <c r="O927" s="96" t="s">
        <v>444</v>
      </c>
      <c r="P927" s="96" t="s">
        <v>338</v>
      </c>
      <c r="Q927" s="96" t="s">
        <v>1305</v>
      </c>
      <c r="R927" s="96" t="s">
        <v>414</v>
      </c>
      <c r="S927" s="96" t="s">
        <v>406</v>
      </c>
      <c r="T927" s="96" t="s">
        <v>1200</v>
      </c>
      <c r="U927" s="97">
        <v>6.93</v>
      </c>
      <c r="V927" s="100">
        <v>48304</v>
      </c>
      <c r="W927" s="98">
        <v>2.5000000000000001E-2</v>
      </c>
      <c r="X927" s="98">
        <v>6.1800000000000001E-2</v>
      </c>
      <c r="Y927" s="96" t="s">
        <v>411</v>
      </c>
      <c r="Z927" s="96"/>
      <c r="AA927" s="97">
        <v>19108.086017000001</v>
      </c>
      <c r="AB927" s="97">
        <v>1</v>
      </c>
      <c r="AC927" s="97">
        <v>78.709999999999994</v>
      </c>
      <c r="AD927" s="97"/>
      <c r="AE927" s="97">
        <v>15.039974000000001</v>
      </c>
      <c r="AF927" s="96"/>
      <c r="AG927" s="96"/>
      <c r="AH927" s="96"/>
      <c r="AI927" s="98">
        <v>1.4E-5</v>
      </c>
      <c r="AJ927" s="98">
        <v>2.3389999999999999E-3</v>
      </c>
      <c r="AK927" s="98">
        <v>9.01E-4</v>
      </c>
      <c r="AL927" s="106"/>
    </row>
    <row r="928" spans="1:38" ht="15" customHeight="1">
      <c r="A928" s="106"/>
      <c r="B928" s="96">
        <v>286</v>
      </c>
      <c r="C928" s="96">
        <v>9803</v>
      </c>
      <c r="D928" s="96" t="s">
        <v>1354</v>
      </c>
      <c r="E928" s="96">
        <v>513893123</v>
      </c>
      <c r="F928" s="96" t="s">
        <v>308</v>
      </c>
      <c r="G928" s="96" t="s">
        <v>1568</v>
      </c>
      <c r="H928" s="96" t="s">
        <v>1569</v>
      </c>
      <c r="I928" s="96" t="s">
        <v>320</v>
      </c>
      <c r="J928" s="96" t="s">
        <v>753</v>
      </c>
      <c r="K928" s="96" t="s">
        <v>203</v>
      </c>
      <c r="L928" s="96" t="s">
        <v>203</v>
      </c>
      <c r="M928" s="96" t="s">
        <v>324</v>
      </c>
      <c r="N928" s="96" t="s">
        <v>339</v>
      </c>
      <c r="O928" s="96" t="s">
        <v>442</v>
      </c>
      <c r="P928" s="96" t="s">
        <v>338</v>
      </c>
      <c r="Q928" s="96" t="s">
        <v>1357</v>
      </c>
      <c r="R928" s="96" t="s">
        <v>414</v>
      </c>
      <c r="S928" s="96" t="s">
        <v>406</v>
      </c>
      <c r="T928" s="96" t="s">
        <v>1200</v>
      </c>
      <c r="U928" s="97">
        <v>0.65</v>
      </c>
      <c r="V928" s="100">
        <v>46053</v>
      </c>
      <c r="W928" s="98">
        <v>0.01</v>
      </c>
      <c r="X928" s="98">
        <v>3.2500000000000001E-2</v>
      </c>
      <c r="Y928" s="96" t="s">
        <v>411</v>
      </c>
      <c r="Z928" s="96"/>
      <c r="AA928" s="97">
        <v>2356.6355199999998</v>
      </c>
      <c r="AB928" s="97">
        <v>1</v>
      </c>
      <c r="AC928" s="97">
        <v>111.26</v>
      </c>
      <c r="AD928" s="97"/>
      <c r="AE928" s="97">
        <v>2.6219920000000001</v>
      </c>
      <c r="AF928" s="96"/>
      <c r="AG928" s="96"/>
      <c r="AH928" s="96"/>
      <c r="AI928" s="98">
        <v>5.0000000000000004E-6</v>
      </c>
      <c r="AJ928" s="98">
        <v>4.0700000000000003E-4</v>
      </c>
      <c r="AK928" s="98">
        <v>1.5699999999999999E-4</v>
      </c>
      <c r="AL928" s="106"/>
    </row>
    <row r="929" spans="1:38" ht="15" customHeight="1">
      <c r="A929" s="106"/>
      <c r="B929" s="96">
        <v>286</v>
      </c>
      <c r="C929" s="96">
        <v>9803</v>
      </c>
      <c r="D929" s="96" t="s">
        <v>1340</v>
      </c>
      <c r="E929" s="96">
        <v>520036658</v>
      </c>
      <c r="F929" s="96" t="s">
        <v>308</v>
      </c>
      <c r="G929" s="96" t="s">
        <v>1994</v>
      </c>
      <c r="H929" s="96" t="s">
        <v>1995</v>
      </c>
      <c r="I929" s="96" t="s">
        <v>320</v>
      </c>
      <c r="J929" s="96" t="s">
        <v>952</v>
      </c>
      <c r="K929" s="96" t="s">
        <v>203</v>
      </c>
      <c r="L929" s="96" t="s">
        <v>203</v>
      </c>
      <c r="M929" s="96" t="s">
        <v>324</v>
      </c>
      <c r="N929" s="96" t="s">
        <v>339</v>
      </c>
      <c r="O929" s="96" t="s">
        <v>439</v>
      </c>
      <c r="P929" s="96" t="s">
        <v>338</v>
      </c>
      <c r="Q929" s="96" t="s">
        <v>1320</v>
      </c>
      <c r="R929" s="96" t="s">
        <v>412</v>
      </c>
      <c r="S929" s="96" t="s">
        <v>406</v>
      </c>
      <c r="T929" s="96" t="s">
        <v>1200</v>
      </c>
      <c r="U929" s="97">
        <v>2.44</v>
      </c>
      <c r="V929" s="100">
        <v>48116</v>
      </c>
      <c r="W929" s="98">
        <v>2.7E-2</v>
      </c>
      <c r="X929" s="98">
        <v>6.2100000000000002E-2</v>
      </c>
      <c r="Y929" s="96" t="s">
        <v>411</v>
      </c>
      <c r="Z929" s="96"/>
      <c r="AA929" s="97">
        <v>1822.3591690000001</v>
      </c>
      <c r="AB929" s="97">
        <v>1</v>
      </c>
      <c r="AC929" s="97">
        <v>92.63</v>
      </c>
      <c r="AD929" s="97"/>
      <c r="AE929" s="97">
        <v>1.688051</v>
      </c>
      <c r="AF929" s="96"/>
      <c r="AG929" s="96"/>
      <c r="AH929" s="96"/>
      <c r="AI929" s="98">
        <v>1.9999999999999999E-6</v>
      </c>
      <c r="AJ929" s="98">
        <v>2.6200000000000003E-4</v>
      </c>
      <c r="AK929" s="98">
        <v>1.01E-4</v>
      </c>
      <c r="AL929" s="106"/>
    </row>
    <row r="930" spans="1:38" ht="15" customHeight="1">
      <c r="A930" s="106"/>
      <c r="B930" s="96">
        <v>286</v>
      </c>
      <c r="C930" s="96">
        <v>9803</v>
      </c>
      <c r="D930" s="96" t="s">
        <v>1760</v>
      </c>
      <c r="E930" s="96">
        <v>520038894</v>
      </c>
      <c r="F930" s="96" t="s">
        <v>308</v>
      </c>
      <c r="G930" s="96" t="s">
        <v>1761</v>
      </c>
      <c r="H930" s="96" t="s">
        <v>1762</v>
      </c>
      <c r="I930" s="96" t="s">
        <v>320</v>
      </c>
      <c r="J930" s="96" t="s">
        <v>753</v>
      </c>
      <c r="K930" s="96" t="s">
        <v>203</v>
      </c>
      <c r="L930" s="96" t="s">
        <v>203</v>
      </c>
      <c r="M930" s="96" t="s">
        <v>324</v>
      </c>
      <c r="N930" s="96" t="s">
        <v>339</v>
      </c>
      <c r="O930" s="96" t="s">
        <v>464</v>
      </c>
      <c r="P930" s="96" t="s">
        <v>338</v>
      </c>
      <c r="Q930" s="96" t="s">
        <v>1313</v>
      </c>
      <c r="R930" s="96" t="s">
        <v>412</v>
      </c>
      <c r="S930" s="96" t="s">
        <v>406</v>
      </c>
      <c r="T930" s="96" t="s">
        <v>1200</v>
      </c>
      <c r="U930" s="97">
        <v>3.16</v>
      </c>
      <c r="V930" s="100">
        <v>46661</v>
      </c>
      <c r="W930" s="98">
        <v>5.0000000000000001E-3</v>
      </c>
      <c r="X930" s="98">
        <v>3.04E-2</v>
      </c>
      <c r="Y930" s="96" t="s">
        <v>411</v>
      </c>
      <c r="Z930" s="96"/>
      <c r="AA930" s="97">
        <v>12104.722395000001</v>
      </c>
      <c r="AB930" s="97">
        <v>1</v>
      </c>
      <c r="AC930" s="97">
        <v>102.49</v>
      </c>
      <c r="AD930" s="97"/>
      <c r="AE930" s="97">
        <v>12.406129</v>
      </c>
      <c r="AF930" s="96"/>
      <c r="AG930" s="96"/>
      <c r="AH930" s="96"/>
      <c r="AI930" s="98">
        <v>1.7E-5</v>
      </c>
      <c r="AJ930" s="98">
        <v>1.9289999999999999E-3</v>
      </c>
      <c r="AK930" s="98">
        <v>7.4399999999999998E-4</v>
      </c>
      <c r="AL930" s="106"/>
    </row>
    <row r="931" spans="1:38" ht="15" customHeight="1">
      <c r="A931" s="106"/>
      <c r="B931" s="96">
        <v>286</v>
      </c>
      <c r="C931" s="96">
        <v>9803</v>
      </c>
      <c r="D931" s="96" t="s">
        <v>1837</v>
      </c>
      <c r="E931" s="96">
        <v>1742</v>
      </c>
      <c r="F931" s="96" t="s">
        <v>80</v>
      </c>
      <c r="G931" s="96" t="s">
        <v>1838</v>
      </c>
      <c r="H931" s="96" t="s">
        <v>1839</v>
      </c>
      <c r="I931" s="96" t="s">
        <v>320</v>
      </c>
      <c r="J931" s="96" t="s">
        <v>754</v>
      </c>
      <c r="K931" s="96" t="s">
        <v>203</v>
      </c>
      <c r="L931" s="96" t="s">
        <v>203</v>
      </c>
      <c r="M931" s="96" t="s">
        <v>324</v>
      </c>
      <c r="N931" s="96" t="s">
        <v>339</v>
      </c>
      <c r="O931" s="96" t="s">
        <v>464</v>
      </c>
      <c r="P931" s="96" t="s">
        <v>338</v>
      </c>
      <c r="Q931" s="96" t="s">
        <v>1305</v>
      </c>
      <c r="R931" s="96" t="s">
        <v>414</v>
      </c>
      <c r="S931" s="96" t="s">
        <v>406</v>
      </c>
      <c r="T931" s="96" t="s">
        <v>1200</v>
      </c>
      <c r="U931" s="97">
        <v>3.1</v>
      </c>
      <c r="V931" s="100">
        <v>46944</v>
      </c>
      <c r="W931" s="98">
        <v>4.2999999999999997E-2</v>
      </c>
      <c r="X931" s="98">
        <v>7.8299999999999995E-2</v>
      </c>
      <c r="Y931" s="96" t="s">
        <v>411</v>
      </c>
      <c r="Z931" s="96"/>
      <c r="AA931" s="97">
        <v>59162.092591000001</v>
      </c>
      <c r="AB931" s="97">
        <v>1</v>
      </c>
      <c r="AC931" s="97">
        <v>90.67</v>
      </c>
      <c r="AD931" s="97"/>
      <c r="AE931" s="97">
        <v>53.642268999999999</v>
      </c>
      <c r="AF931" s="96"/>
      <c r="AG931" s="96"/>
      <c r="AH931" s="96"/>
      <c r="AI931" s="98">
        <v>5.1999999999999997E-5</v>
      </c>
      <c r="AJ931" s="98">
        <v>8.3429999999999997E-3</v>
      </c>
      <c r="AK931" s="98">
        <v>3.2160000000000001E-3</v>
      </c>
      <c r="AL931" s="106"/>
    </row>
    <row r="932" spans="1:38" ht="15" customHeight="1">
      <c r="A932" s="106"/>
      <c r="B932" s="96">
        <v>286</v>
      </c>
      <c r="C932" s="96">
        <v>9803</v>
      </c>
      <c r="D932" s="96" t="s">
        <v>1302</v>
      </c>
      <c r="E932" s="96">
        <v>513623314</v>
      </c>
      <c r="F932" s="96" t="s">
        <v>308</v>
      </c>
      <c r="G932" s="96" t="s">
        <v>1966</v>
      </c>
      <c r="H932" s="96" t="s">
        <v>1967</v>
      </c>
      <c r="I932" s="96" t="s">
        <v>320</v>
      </c>
      <c r="J932" s="96" t="s">
        <v>753</v>
      </c>
      <c r="K932" s="96" t="s">
        <v>203</v>
      </c>
      <c r="L932" s="96" t="s">
        <v>203</v>
      </c>
      <c r="M932" s="96" t="s">
        <v>324</v>
      </c>
      <c r="N932" s="96" t="s">
        <v>339</v>
      </c>
      <c r="O932" s="96" t="s">
        <v>463</v>
      </c>
      <c r="P932" s="96" t="s">
        <v>337</v>
      </c>
      <c r="Q932" s="96" t="s">
        <v>1313</v>
      </c>
      <c r="R932" s="96" t="s">
        <v>412</v>
      </c>
      <c r="S932" s="96" t="s">
        <v>406</v>
      </c>
      <c r="T932" s="96" t="s">
        <v>1200</v>
      </c>
      <c r="U932" s="97">
        <v>3.63</v>
      </c>
      <c r="V932" s="100">
        <v>46993</v>
      </c>
      <c r="W932" s="98">
        <v>6.8999999999999999E-3</v>
      </c>
      <c r="X932" s="98">
        <v>2.8000000000000001E-2</v>
      </c>
      <c r="Y932" s="96" t="s">
        <v>411</v>
      </c>
      <c r="Z932" s="96"/>
      <c r="AA932" s="97">
        <v>9815.8763670000008</v>
      </c>
      <c r="AB932" s="97">
        <v>1</v>
      </c>
      <c r="AC932" s="97">
        <v>105.51</v>
      </c>
      <c r="AD932" s="97"/>
      <c r="AE932" s="97">
        <v>10.356731</v>
      </c>
      <c r="AF932" s="96"/>
      <c r="AG932" s="96"/>
      <c r="AH932" s="96"/>
      <c r="AI932" s="98">
        <v>5.5999999999999999E-5</v>
      </c>
      <c r="AJ932" s="98">
        <v>1.6100000000000001E-3</v>
      </c>
      <c r="AK932" s="98">
        <v>6.2100000000000002E-4</v>
      </c>
      <c r="AL932" s="106"/>
    </row>
    <row r="933" spans="1:38" ht="15" customHeight="1">
      <c r="A933" s="106"/>
      <c r="B933" s="96">
        <v>286</v>
      </c>
      <c r="C933" s="96">
        <v>9803</v>
      </c>
      <c r="D933" s="96" t="s">
        <v>1197</v>
      </c>
      <c r="E933" s="96">
        <v>520018078</v>
      </c>
      <c r="F933" s="96" t="s">
        <v>308</v>
      </c>
      <c r="G933" s="96" t="s">
        <v>1908</v>
      </c>
      <c r="H933" s="96" t="s">
        <v>1909</v>
      </c>
      <c r="I933" s="96" t="s">
        <v>320</v>
      </c>
      <c r="J933" s="96" t="s">
        <v>753</v>
      </c>
      <c r="K933" s="96" t="s">
        <v>203</v>
      </c>
      <c r="L933" s="96" t="s">
        <v>203</v>
      </c>
      <c r="M933" s="96" t="s">
        <v>324</v>
      </c>
      <c r="N933" s="96" t="s">
        <v>339</v>
      </c>
      <c r="O933" s="96" t="s">
        <v>447</v>
      </c>
      <c r="P933" s="96" t="s">
        <v>338</v>
      </c>
      <c r="Q933" s="96" t="s">
        <v>1199</v>
      </c>
      <c r="R933" s="96" t="s">
        <v>412</v>
      </c>
      <c r="S933" s="96" t="s">
        <v>406</v>
      </c>
      <c r="T933" s="96" t="s">
        <v>1200</v>
      </c>
      <c r="U933" s="97">
        <v>5.3</v>
      </c>
      <c r="V933" s="100">
        <v>48913</v>
      </c>
      <c r="W933" s="98">
        <v>2.0199999999999999E-2</v>
      </c>
      <c r="X933" s="98">
        <v>2.5899999999999999E-2</v>
      </c>
      <c r="Y933" s="96" t="s">
        <v>411</v>
      </c>
      <c r="Z933" s="96"/>
      <c r="AA933" s="97">
        <v>71555.297846999994</v>
      </c>
      <c r="AB933" s="97">
        <v>1</v>
      </c>
      <c r="AC933" s="97">
        <v>99.13</v>
      </c>
      <c r="AD933" s="97"/>
      <c r="AE933" s="97">
        <v>70.932766000000001</v>
      </c>
      <c r="AF933" s="96"/>
      <c r="AG933" s="96"/>
      <c r="AH933" s="96"/>
      <c r="AI933" s="98">
        <v>3.3000000000000003E-5</v>
      </c>
      <c r="AJ933" s="98">
        <v>1.1032E-2</v>
      </c>
      <c r="AK933" s="98">
        <v>4.2529999999999998E-3</v>
      </c>
      <c r="AL933" s="106"/>
    </row>
    <row r="934" spans="1:38" ht="15" customHeight="1">
      <c r="A934" s="106"/>
      <c r="B934" s="96">
        <v>286</v>
      </c>
      <c r="C934" s="96">
        <v>9803</v>
      </c>
      <c r="D934" s="96" t="s">
        <v>1379</v>
      </c>
      <c r="E934" s="96">
        <v>510454333</v>
      </c>
      <c r="F934" s="96" t="s">
        <v>308</v>
      </c>
      <c r="G934" s="96" t="s">
        <v>1390</v>
      </c>
      <c r="H934" s="96" t="s">
        <v>1391</v>
      </c>
      <c r="I934" s="96" t="s">
        <v>320</v>
      </c>
      <c r="J934" s="96" t="s">
        <v>753</v>
      </c>
      <c r="K934" s="96" t="s">
        <v>203</v>
      </c>
      <c r="L934" s="96" t="s">
        <v>203</v>
      </c>
      <c r="M934" s="96" t="s">
        <v>326</v>
      </c>
      <c r="N934" s="96" t="s">
        <v>339</v>
      </c>
      <c r="O934" s="96" t="s">
        <v>476</v>
      </c>
      <c r="P934" s="96" t="s">
        <v>338</v>
      </c>
      <c r="Q934" s="96" t="s">
        <v>1320</v>
      </c>
      <c r="R934" s="96" t="s">
        <v>412</v>
      </c>
      <c r="S934" s="96" t="s">
        <v>406</v>
      </c>
      <c r="T934" s="96" t="s">
        <v>1200</v>
      </c>
      <c r="U934" s="97">
        <v>2.62</v>
      </c>
      <c r="V934" s="100">
        <v>47299</v>
      </c>
      <c r="W934" s="98">
        <v>0.01</v>
      </c>
      <c r="X934" s="98">
        <v>2.98E-2</v>
      </c>
      <c r="Y934" s="96" t="s">
        <v>411</v>
      </c>
      <c r="Z934" s="96"/>
      <c r="AA934" s="97">
        <v>1104.6796879999999</v>
      </c>
      <c r="AB934" s="97">
        <v>1</v>
      </c>
      <c r="AC934" s="97">
        <v>104.8245</v>
      </c>
      <c r="AD934" s="97"/>
      <c r="AE934" s="97">
        <v>1.1579740000000001</v>
      </c>
      <c r="AF934" s="96"/>
      <c r="AG934" s="96"/>
      <c r="AH934" s="96"/>
      <c r="AI934" s="98">
        <v>3.0000000000000001E-6</v>
      </c>
      <c r="AJ934" s="98">
        <v>1.8000000000000001E-4</v>
      </c>
      <c r="AK934" s="98">
        <v>6.8999999999999997E-5</v>
      </c>
      <c r="AL934" s="106"/>
    </row>
    <row r="935" spans="1:38" ht="15" customHeight="1">
      <c r="A935" s="106"/>
      <c r="B935" s="96">
        <v>286</v>
      </c>
      <c r="C935" s="96">
        <v>9803</v>
      </c>
      <c r="D935" s="96" t="s">
        <v>1399</v>
      </c>
      <c r="E935" s="96">
        <v>520032046</v>
      </c>
      <c r="F935" s="96" t="s">
        <v>308</v>
      </c>
      <c r="G935" s="96" t="s">
        <v>1450</v>
      </c>
      <c r="H935" s="96" t="s">
        <v>1451</v>
      </c>
      <c r="I935" s="96" t="s">
        <v>320</v>
      </c>
      <c r="J935" s="96" t="s">
        <v>753</v>
      </c>
      <c r="K935" s="96" t="s">
        <v>203</v>
      </c>
      <c r="L935" s="96" t="s">
        <v>203</v>
      </c>
      <c r="M935" s="96" t="s">
        <v>324</v>
      </c>
      <c r="N935" s="96" t="s">
        <v>339</v>
      </c>
      <c r="O935" s="96" t="s">
        <v>447</v>
      </c>
      <c r="P935" s="96" t="s">
        <v>338</v>
      </c>
      <c r="Q935" s="96" t="s">
        <v>1211</v>
      </c>
      <c r="R935" s="96" t="s">
        <v>414</v>
      </c>
      <c r="S935" s="96" t="s">
        <v>406</v>
      </c>
      <c r="T935" s="96" t="s">
        <v>1200</v>
      </c>
      <c r="U935" s="97">
        <v>3.17</v>
      </c>
      <c r="V935" s="100">
        <v>46658</v>
      </c>
      <c r="W935" s="98">
        <v>1.2200000000000001E-2</v>
      </c>
      <c r="X935" s="98">
        <v>2.41E-2</v>
      </c>
      <c r="Y935" s="96" t="s">
        <v>411</v>
      </c>
      <c r="Z935" s="96"/>
      <c r="AA935" s="97">
        <v>80497.743023999996</v>
      </c>
      <c r="AB935" s="97">
        <v>1</v>
      </c>
      <c r="AC935" s="97">
        <v>111.52</v>
      </c>
      <c r="AD935" s="97"/>
      <c r="AE935" s="97">
        <v>89.771083000000004</v>
      </c>
      <c r="AF935" s="96"/>
      <c r="AG935" s="96"/>
      <c r="AH935" s="96"/>
      <c r="AI935" s="98">
        <v>2.5999999999999998E-5</v>
      </c>
      <c r="AJ935" s="98">
        <v>1.3962E-2</v>
      </c>
      <c r="AK935" s="98">
        <v>5.3829999999999998E-3</v>
      </c>
      <c r="AL935" s="106"/>
    </row>
    <row r="936" spans="1:38" ht="15" customHeight="1">
      <c r="A936" s="106"/>
      <c r="B936" s="96">
        <v>286</v>
      </c>
      <c r="C936" s="96">
        <v>9803</v>
      </c>
      <c r="D936" s="96" t="s">
        <v>1517</v>
      </c>
      <c r="E936" s="96">
        <v>510560188</v>
      </c>
      <c r="F936" s="96" t="s">
        <v>308</v>
      </c>
      <c r="G936" s="96" t="s">
        <v>1532</v>
      </c>
      <c r="H936" s="96" t="s">
        <v>1533</v>
      </c>
      <c r="I936" s="96" t="s">
        <v>320</v>
      </c>
      <c r="J936" s="96" t="s">
        <v>753</v>
      </c>
      <c r="K936" s="96" t="s">
        <v>203</v>
      </c>
      <c r="L936" s="96" t="s">
        <v>203</v>
      </c>
      <c r="M936" s="96" t="s">
        <v>324</v>
      </c>
      <c r="N936" s="96" t="s">
        <v>339</v>
      </c>
      <c r="O936" s="96" t="s">
        <v>464</v>
      </c>
      <c r="P936" s="96" t="s">
        <v>338</v>
      </c>
      <c r="Q936" s="96" t="s">
        <v>1520</v>
      </c>
      <c r="R936" s="96" t="s">
        <v>414</v>
      </c>
      <c r="S936" s="96" t="s">
        <v>406</v>
      </c>
      <c r="T936" s="96" t="s">
        <v>1200</v>
      </c>
      <c r="U936" s="97">
        <v>5.36</v>
      </c>
      <c r="V936" s="100">
        <v>47937</v>
      </c>
      <c r="W936" s="98">
        <v>1.54E-2</v>
      </c>
      <c r="X936" s="98">
        <v>4.02E-2</v>
      </c>
      <c r="Y936" s="96" t="s">
        <v>411</v>
      </c>
      <c r="Z936" s="96"/>
      <c r="AA936" s="97">
        <v>1773.8172119999999</v>
      </c>
      <c r="AB936" s="97">
        <v>1</v>
      </c>
      <c r="AC936" s="97">
        <v>97.3</v>
      </c>
      <c r="AD936" s="97"/>
      <c r="AE936" s="97">
        <v>1.725924</v>
      </c>
      <c r="AF936" s="96"/>
      <c r="AG936" s="96"/>
      <c r="AH936" s="96"/>
      <c r="AI936" s="98">
        <v>1.9999999999999999E-6</v>
      </c>
      <c r="AJ936" s="98">
        <v>2.6800000000000001E-4</v>
      </c>
      <c r="AK936" s="98">
        <v>1.03E-4</v>
      </c>
      <c r="AL936" s="106"/>
    </row>
    <row r="937" spans="1:38" ht="15" customHeight="1">
      <c r="A937" s="106"/>
      <c r="B937" s="96">
        <v>286</v>
      </c>
      <c r="C937" s="96">
        <v>9803</v>
      </c>
      <c r="D937" s="96" t="s">
        <v>1645</v>
      </c>
      <c r="E937" s="96">
        <v>1630</v>
      </c>
      <c r="F937" s="96" t="s">
        <v>80</v>
      </c>
      <c r="G937" s="96" t="s">
        <v>1646</v>
      </c>
      <c r="H937" s="96" t="s">
        <v>1647</v>
      </c>
      <c r="I937" s="96" t="s">
        <v>320</v>
      </c>
      <c r="J937" s="96" t="s">
        <v>952</v>
      </c>
      <c r="K937" s="96" t="s">
        <v>203</v>
      </c>
      <c r="L937" s="96" t="s">
        <v>203</v>
      </c>
      <c r="M937" s="96" t="s">
        <v>324</v>
      </c>
      <c r="N937" s="96" t="s">
        <v>339</v>
      </c>
      <c r="O937" s="96" t="s">
        <v>464</v>
      </c>
      <c r="P937" s="96" t="s">
        <v>338</v>
      </c>
      <c r="Q937" s="96" t="s">
        <v>1320</v>
      </c>
      <c r="R937" s="96" t="s">
        <v>412</v>
      </c>
      <c r="S937" s="96" t="s">
        <v>406</v>
      </c>
      <c r="T937" s="96" t="s">
        <v>1200</v>
      </c>
      <c r="U937" s="97">
        <v>1.39</v>
      </c>
      <c r="V937" s="100">
        <v>45991</v>
      </c>
      <c r="W937" s="98">
        <v>3.95E-2</v>
      </c>
      <c r="X937" s="98">
        <v>6.1100000000000002E-2</v>
      </c>
      <c r="Y937" s="96" t="s">
        <v>411</v>
      </c>
      <c r="Z937" s="96"/>
      <c r="AA937" s="97">
        <v>11534.63992</v>
      </c>
      <c r="AB937" s="97">
        <v>1</v>
      </c>
      <c r="AC937" s="97">
        <v>97.55</v>
      </c>
      <c r="AD937" s="97"/>
      <c r="AE937" s="97">
        <v>11.252041</v>
      </c>
      <c r="AF937" s="96"/>
      <c r="AG937" s="96"/>
      <c r="AH937" s="96"/>
      <c r="AI937" s="98">
        <v>3.6000000000000001E-5</v>
      </c>
      <c r="AJ937" s="98">
        <v>1.75E-3</v>
      </c>
      <c r="AK937" s="98">
        <v>6.7400000000000001E-4</v>
      </c>
      <c r="AL937" s="106"/>
    </row>
    <row r="938" spans="1:38" ht="15" customHeight="1">
      <c r="A938" s="106"/>
      <c r="B938" s="96">
        <v>286</v>
      </c>
      <c r="C938" s="96">
        <v>9803</v>
      </c>
      <c r="D938" s="96" t="s">
        <v>1462</v>
      </c>
      <c r="E938" s="96">
        <v>520000472</v>
      </c>
      <c r="F938" s="96" t="s">
        <v>308</v>
      </c>
      <c r="G938" s="96" t="s">
        <v>2017</v>
      </c>
      <c r="H938" s="96" t="s">
        <v>2018</v>
      </c>
      <c r="I938" s="96" t="s">
        <v>320</v>
      </c>
      <c r="J938" s="96" t="s">
        <v>753</v>
      </c>
      <c r="K938" s="96" t="s">
        <v>203</v>
      </c>
      <c r="L938" s="96" t="s">
        <v>203</v>
      </c>
      <c r="M938" s="96" t="s">
        <v>324</v>
      </c>
      <c r="N938" s="96" t="s">
        <v>339</v>
      </c>
      <c r="O938" s="96" t="s">
        <v>439</v>
      </c>
      <c r="P938" s="96" t="s">
        <v>338</v>
      </c>
      <c r="Q938" s="96" t="s">
        <v>1301</v>
      </c>
      <c r="R938" s="96" t="s">
        <v>414</v>
      </c>
      <c r="S938" s="96" t="s">
        <v>406</v>
      </c>
      <c r="T938" s="96" t="s">
        <v>1200</v>
      </c>
      <c r="U938" s="97">
        <v>1.1299999999999999</v>
      </c>
      <c r="V938" s="100">
        <v>46081</v>
      </c>
      <c r="W938" s="98">
        <v>4.4999999999999998E-2</v>
      </c>
      <c r="X938" s="98">
        <v>2.6599999999999999E-2</v>
      </c>
      <c r="Y938" s="96" t="s">
        <v>411</v>
      </c>
      <c r="Z938" s="96"/>
      <c r="AA938" s="97">
        <v>90124.614755000002</v>
      </c>
      <c r="AB938" s="97">
        <v>1</v>
      </c>
      <c r="AC938" s="97">
        <v>119.29</v>
      </c>
      <c r="AD938" s="97"/>
      <c r="AE938" s="97">
        <v>107.509652</v>
      </c>
      <c r="AF938" s="96"/>
      <c r="AG938" s="96"/>
      <c r="AH938" s="96"/>
      <c r="AI938" s="98">
        <v>3.0000000000000001E-5</v>
      </c>
      <c r="AJ938" s="98">
        <v>1.6721E-2</v>
      </c>
      <c r="AK938" s="98">
        <v>6.4469999999999996E-3</v>
      </c>
      <c r="AL938" s="106"/>
    </row>
    <row r="939" spans="1:38" ht="15" customHeight="1">
      <c r="A939" s="106"/>
      <c r="B939" s="96">
        <v>286</v>
      </c>
      <c r="C939" s="96">
        <v>9803</v>
      </c>
      <c r="D939" s="96" t="s">
        <v>1424</v>
      </c>
      <c r="E939" s="96">
        <v>513775163</v>
      </c>
      <c r="F939" s="96" t="s">
        <v>308</v>
      </c>
      <c r="G939" s="96" t="s">
        <v>1425</v>
      </c>
      <c r="H939" s="96" t="s">
        <v>1426</v>
      </c>
      <c r="I939" s="96" t="s">
        <v>320</v>
      </c>
      <c r="J939" s="96" t="s">
        <v>952</v>
      </c>
      <c r="K939" s="96" t="s">
        <v>203</v>
      </c>
      <c r="L939" s="96" t="s">
        <v>203</v>
      </c>
      <c r="M939" s="96" t="s">
        <v>324</v>
      </c>
      <c r="N939" s="96" t="s">
        <v>339</v>
      </c>
      <c r="O939" s="96" t="s">
        <v>439</v>
      </c>
      <c r="P939" s="96" t="s">
        <v>337</v>
      </c>
      <c r="Q939" s="96" t="s">
        <v>1309</v>
      </c>
      <c r="R939" s="96" t="s">
        <v>414</v>
      </c>
      <c r="S939" s="96" t="s">
        <v>406</v>
      </c>
      <c r="T939" s="96" t="s">
        <v>1200</v>
      </c>
      <c r="U939" s="97">
        <v>3.26</v>
      </c>
      <c r="V939" s="100">
        <v>47238</v>
      </c>
      <c r="W939" s="98">
        <v>7.2499999999999995E-2</v>
      </c>
      <c r="X939" s="98">
        <v>6.3100000000000003E-2</v>
      </c>
      <c r="Y939" s="96" t="s">
        <v>411</v>
      </c>
      <c r="Z939" s="96"/>
      <c r="AA939" s="97">
        <v>15848.720063999999</v>
      </c>
      <c r="AB939" s="97">
        <v>1</v>
      </c>
      <c r="AC939" s="97">
        <v>104.56</v>
      </c>
      <c r="AD939" s="97"/>
      <c r="AE939" s="97">
        <v>16.571421000000001</v>
      </c>
      <c r="AF939" s="96"/>
      <c r="AG939" s="96"/>
      <c r="AH939" s="96"/>
      <c r="AI939" s="98">
        <v>2.1999999999999999E-5</v>
      </c>
      <c r="AJ939" s="98">
        <v>2.5769999999999999E-3</v>
      </c>
      <c r="AK939" s="98">
        <v>9.9299999999999996E-4</v>
      </c>
      <c r="AL939" s="106"/>
    </row>
    <row r="940" spans="1:38" ht="15" customHeight="1">
      <c r="A940" s="106"/>
      <c r="B940" s="96">
        <v>286</v>
      </c>
      <c r="C940" s="96">
        <v>9803</v>
      </c>
      <c r="D940" s="96" t="s">
        <v>1718</v>
      </c>
      <c r="E940" s="96">
        <v>511996803</v>
      </c>
      <c r="F940" s="96" t="s">
        <v>308</v>
      </c>
      <c r="G940" s="96" t="s">
        <v>2043</v>
      </c>
      <c r="H940" s="96" t="s">
        <v>1720</v>
      </c>
      <c r="I940" s="96" t="s">
        <v>320</v>
      </c>
      <c r="J940" s="96" t="s">
        <v>952</v>
      </c>
      <c r="K940" s="96" t="s">
        <v>203</v>
      </c>
      <c r="L940" s="96" t="s">
        <v>203</v>
      </c>
      <c r="M940" s="96" t="s">
        <v>326</v>
      </c>
      <c r="N940" s="96" t="s">
        <v>339</v>
      </c>
      <c r="O940" s="96" t="s">
        <v>446</v>
      </c>
      <c r="P940" s="96" t="s">
        <v>338</v>
      </c>
      <c r="Q940" s="96" t="s">
        <v>1309</v>
      </c>
      <c r="R940" s="96" t="s">
        <v>414</v>
      </c>
      <c r="S940" s="96" t="s">
        <v>406</v>
      </c>
      <c r="T940" s="96" t="s">
        <v>1200</v>
      </c>
      <c r="U940" s="97">
        <v>2.4900000000000002</v>
      </c>
      <c r="V940" s="100">
        <v>46752</v>
      </c>
      <c r="W940" s="98">
        <v>4.53E-2</v>
      </c>
      <c r="X940" s="98">
        <v>6.4000000000000001E-2</v>
      </c>
      <c r="Y940" s="96" t="s">
        <v>411</v>
      </c>
      <c r="Z940" s="96"/>
      <c r="AA940" s="97">
        <v>1512.1980550000001</v>
      </c>
      <c r="AB940" s="97">
        <v>1</v>
      </c>
      <c r="AC940" s="97">
        <v>95.759600000000006</v>
      </c>
      <c r="AD940" s="97"/>
      <c r="AE940" s="97">
        <v>1.4480740000000001</v>
      </c>
      <c r="AF940" s="96"/>
      <c r="AG940" s="96"/>
      <c r="AH940" s="96"/>
      <c r="AI940" s="98">
        <v>1.9999999999999999E-6</v>
      </c>
      <c r="AJ940" s="98">
        <v>2.2499999999999999E-4</v>
      </c>
      <c r="AK940" s="98">
        <v>8.6000000000000003E-5</v>
      </c>
      <c r="AL940" s="106"/>
    </row>
    <row r="941" spans="1:38" ht="15" customHeight="1">
      <c r="A941" s="106"/>
      <c r="B941" s="96">
        <v>286</v>
      </c>
      <c r="C941" s="96">
        <v>9803</v>
      </c>
      <c r="D941" s="96" t="s">
        <v>1658</v>
      </c>
      <c r="E941" s="96">
        <v>520038506</v>
      </c>
      <c r="F941" s="96" t="s">
        <v>308</v>
      </c>
      <c r="G941" s="96" t="s">
        <v>2049</v>
      </c>
      <c r="H941" s="96" t="s">
        <v>2050</v>
      </c>
      <c r="I941" s="96" t="s">
        <v>320</v>
      </c>
      <c r="J941" s="96" t="s">
        <v>753</v>
      </c>
      <c r="K941" s="96" t="s">
        <v>203</v>
      </c>
      <c r="L941" s="96" t="s">
        <v>203</v>
      </c>
      <c r="M941" s="96" t="s">
        <v>324</v>
      </c>
      <c r="N941" s="96" t="s">
        <v>339</v>
      </c>
      <c r="O941" s="96" t="s">
        <v>463</v>
      </c>
      <c r="P941" s="96" t="s">
        <v>337</v>
      </c>
      <c r="Q941" s="96" t="s">
        <v>1305</v>
      </c>
      <c r="R941" s="96" t="s">
        <v>414</v>
      </c>
      <c r="S941" s="96" t="s">
        <v>406</v>
      </c>
      <c r="T941" s="96" t="s">
        <v>1200</v>
      </c>
      <c r="U941" s="97">
        <v>7.13</v>
      </c>
      <c r="V941" s="100">
        <v>50099</v>
      </c>
      <c r="W941" s="98">
        <v>2.5600000000000001E-2</v>
      </c>
      <c r="X941" s="98">
        <v>4.53E-2</v>
      </c>
      <c r="Y941" s="96" t="s">
        <v>411</v>
      </c>
      <c r="Z941" s="96"/>
      <c r="AA941" s="97">
        <v>16651.705293999999</v>
      </c>
      <c r="AB941" s="97">
        <v>1</v>
      </c>
      <c r="AC941" s="97">
        <v>93.07</v>
      </c>
      <c r="AD941" s="97"/>
      <c r="AE941" s="97">
        <v>15.497742000000001</v>
      </c>
      <c r="AF941" s="96"/>
      <c r="AG941" s="96"/>
      <c r="AH941" s="96"/>
      <c r="AI941" s="98">
        <v>1.5E-5</v>
      </c>
      <c r="AJ941" s="98">
        <v>2.4099999999999998E-3</v>
      </c>
      <c r="AK941" s="98">
        <v>9.2900000000000003E-4</v>
      </c>
      <c r="AL941" s="106"/>
    </row>
    <row r="942" spans="1:38" ht="15" customHeight="1">
      <c r="A942" s="106"/>
      <c r="B942" s="96">
        <v>286</v>
      </c>
      <c r="C942" s="96">
        <v>9803</v>
      </c>
      <c r="D942" s="96" t="s">
        <v>1302</v>
      </c>
      <c r="E942" s="96">
        <v>513623314</v>
      </c>
      <c r="F942" s="96" t="s">
        <v>308</v>
      </c>
      <c r="G942" s="96" t="s">
        <v>1781</v>
      </c>
      <c r="H942" s="96" t="s">
        <v>1782</v>
      </c>
      <c r="I942" s="96" t="s">
        <v>320</v>
      </c>
      <c r="J942" s="96" t="s">
        <v>753</v>
      </c>
      <c r="K942" s="96" t="s">
        <v>203</v>
      </c>
      <c r="L942" s="96" t="s">
        <v>203</v>
      </c>
      <c r="M942" s="96" t="s">
        <v>324</v>
      </c>
      <c r="N942" s="96" t="s">
        <v>339</v>
      </c>
      <c r="O942" s="96" t="s">
        <v>463</v>
      </c>
      <c r="P942" s="96" t="s">
        <v>337</v>
      </c>
      <c r="Q942" s="96" t="s">
        <v>1336</v>
      </c>
      <c r="R942" s="96" t="s">
        <v>414</v>
      </c>
      <c r="S942" s="96" t="s">
        <v>406</v>
      </c>
      <c r="T942" s="96" t="s">
        <v>1200</v>
      </c>
      <c r="U942" s="97">
        <v>1.68</v>
      </c>
      <c r="V942" s="100">
        <v>46124</v>
      </c>
      <c r="W942" s="98">
        <v>1.34E-2</v>
      </c>
      <c r="X942" s="98">
        <v>2.63E-2</v>
      </c>
      <c r="Y942" s="96" t="s">
        <v>411</v>
      </c>
      <c r="Z942" s="96"/>
      <c r="AA942" s="97">
        <v>1512.0268129999999</v>
      </c>
      <c r="AB942" s="97">
        <v>1</v>
      </c>
      <c r="AC942" s="97">
        <v>112.6</v>
      </c>
      <c r="AD942" s="97"/>
      <c r="AE942" s="97">
        <v>1.702542</v>
      </c>
      <c r="AF942" s="96"/>
      <c r="AG942" s="96"/>
      <c r="AH942" s="96"/>
      <c r="AI942" s="98">
        <v>3.0000000000000001E-6</v>
      </c>
      <c r="AJ942" s="98">
        <v>2.6400000000000002E-4</v>
      </c>
      <c r="AK942" s="98">
        <v>1.02E-4</v>
      </c>
      <c r="AL942" s="106"/>
    </row>
    <row r="943" spans="1:38" ht="15" customHeight="1">
      <c r="A943" s="106"/>
      <c r="B943" s="96">
        <v>286</v>
      </c>
      <c r="C943" s="96">
        <v>9803</v>
      </c>
      <c r="D943" s="96" t="s">
        <v>1797</v>
      </c>
      <c r="E943" s="96">
        <v>512607888</v>
      </c>
      <c r="F943" s="96" t="s">
        <v>308</v>
      </c>
      <c r="G943" s="96" t="s">
        <v>1798</v>
      </c>
      <c r="H943" s="96" t="s">
        <v>1799</v>
      </c>
      <c r="I943" s="96" t="s">
        <v>320</v>
      </c>
      <c r="J943" s="96" t="s">
        <v>952</v>
      </c>
      <c r="K943" s="96" t="s">
        <v>203</v>
      </c>
      <c r="L943" s="96" t="s">
        <v>203</v>
      </c>
      <c r="M943" s="96" t="s">
        <v>324</v>
      </c>
      <c r="N943" s="96" t="s">
        <v>339</v>
      </c>
      <c r="O943" s="96" t="s">
        <v>460</v>
      </c>
      <c r="P943" s="96" t="s">
        <v>338</v>
      </c>
      <c r="Q943" s="96" t="s">
        <v>1520</v>
      </c>
      <c r="R943" s="96" t="s">
        <v>414</v>
      </c>
      <c r="S943" s="96" t="s">
        <v>406</v>
      </c>
      <c r="T943" s="96" t="s">
        <v>1200</v>
      </c>
      <c r="U943" s="97">
        <v>3.33</v>
      </c>
      <c r="V943" s="100">
        <v>48091</v>
      </c>
      <c r="W943" s="98">
        <v>2.1600000000000001E-2</v>
      </c>
      <c r="X943" s="98">
        <v>6.3500000000000001E-2</v>
      </c>
      <c r="Y943" s="96" t="s">
        <v>411</v>
      </c>
      <c r="Z943" s="96"/>
      <c r="AA943" s="97">
        <v>2724.9672150000001</v>
      </c>
      <c r="AB943" s="97">
        <v>1</v>
      </c>
      <c r="AC943" s="97">
        <v>87.82</v>
      </c>
      <c r="AD943" s="97"/>
      <c r="AE943" s="97">
        <v>2.3930660000000001</v>
      </c>
      <c r="AF943" s="96"/>
      <c r="AG943" s="96"/>
      <c r="AH943" s="96"/>
      <c r="AI943" s="98">
        <v>3.0000000000000001E-6</v>
      </c>
      <c r="AJ943" s="98">
        <v>3.7199999999999999E-4</v>
      </c>
      <c r="AK943" s="98">
        <v>1.4300000000000001E-4</v>
      </c>
      <c r="AL943" s="106"/>
    </row>
    <row r="944" spans="1:38" ht="15" customHeight="1">
      <c r="A944" s="106"/>
      <c r="B944" s="96">
        <v>286</v>
      </c>
      <c r="C944" s="96">
        <v>9803</v>
      </c>
      <c r="D944" s="96" t="s">
        <v>1364</v>
      </c>
      <c r="E944" s="96">
        <v>513821488</v>
      </c>
      <c r="F944" s="96" t="s">
        <v>308</v>
      </c>
      <c r="G944" s="96" t="s">
        <v>1573</v>
      </c>
      <c r="H944" s="96" t="s">
        <v>1574</v>
      </c>
      <c r="I944" s="96" t="s">
        <v>320</v>
      </c>
      <c r="J944" s="96" t="s">
        <v>753</v>
      </c>
      <c r="K944" s="96" t="s">
        <v>203</v>
      </c>
      <c r="L944" s="96" t="s">
        <v>203</v>
      </c>
      <c r="M944" s="96" t="s">
        <v>324</v>
      </c>
      <c r="N944" s="96" t="s">
        <v>339</v>
      </c>
      <c r="O944" s="96" t="s">
        <v>463</v>
      </c>
      <c r="P944" s="96" t="s">
        <v>337</v>
      </c>
      <c r="Q944" s="96" t="s">
        <v>1313</v>
      </c>
      <c r="R944" s="96" t="s">
        <v>412</v>
      </c>
      <c r="S944" s="96" t="s">
        <v>406</v>
      </c>
      <c r="T944" s="96" t="s">
        <v>1200</v>
      </c>
      <c r="U944" s="97">
        <v>0.22</v>
      </c>
      <c r="V944" s="100">
        <v>45555</v>
      </c>
      <c r="W944" s="98">
        <v>0.04</v>
      </c>
      <c r="X944" s="98">
        <v>2.1999999999999999E-2</v>
      </c>
      <c r="Y944" s="96" t="s">
        <v>411</v>
      </c>
      <c r="Z944" s="96"/>
      <c r="AA944" s="97">
        <v>2183.315098</v>
      </c>
      <c r="AB944" s="97">
        <v>1</v>
      </c>
      <c r="AC944" s="97">
        <v>115.01</v>
      </c>
      <c r="AD944" s="97"/>
      <c r="AE944" s="97">
        <v>2.5110299999999999</v>
      </c>
      <c r="AF944" s="96"/>
      <c r="AG944" s="96"/>
      <c r="AH944" s="96"/>
      <c r="AI944" s="98">
        <v>2.5999999999999998E-5</v>
      </c>
      <c r="AJ944" s="98">
        <v>3.8999999999999999E-4</v>
      </c>
      <c r="AK944" s="98">
        <v>1.4999999999999999E-4</v>
      </c>
      <c r="AL944" s="106"/>
    </row>
    <row r="945" spans="1:38" ht="15" customHeight="1">
      <c r="A945" s="106"/>
      <c r="B945" s="96">
        <v>286</v>
      </c>
      <c r="C945" s="96">
        <v>9803</v>
      </c>
      <c r="D945" s="96" t="s">
        <v>1354</v>
      </c>
      <c r="E945" s="96">
        <v>513893123</v>
      </c>
      <c r="F945" s="96" t="s">
        <v>308</v>
      </c>
      <c r="G945" s="96" t="s">
        <v>1809</v>
      </c>
      <c r="H945" s="96" t="s">
        <v>1786</v>
      </c>
      <c r="I945" s="96" t="s">
        <v>320</v>
      </c>
      <c r="J945" s="96" t="s">
        <v>753</v>
      </c>
      <c r="K945" s="96" t="s">
        <v>203</v>
      </c>
      <c r="L945" s="96" t="s">
        <v>203</v>
      </c>
      <c r="M945" s="96" t="s">
        <v>324</v>
      </c>
      <c r="N945" s="96" t="s">
        <v>339</v>
      </c>
      <c r="O945" s="96" t="s">
        <v>442</v>
      </c>
      <c r="P945" s="96" t="s">
        <v>338</v>
      </c>
      <c r="Q945" s="96" t="s">
        <v>1357</v>
      </c>
      <c r="R945" s="96" t="s">
        <v>414</v>
      </c>
      <c r="S945" s="96" t="s">
        <v>406</v>
      </c>
      <c r="T945" s="96" t="s">
        <v>1200</v>
      </c>
      <c r="U945" s="97">
        <v>1.88</v>
      </c>
      <c r="V945" s="100">
        <v>46477</v>
      </c>
      <c r="W945" s="98">
        <v>3.5400000000000001E-2</v>
      </c>
      <c r="X945" s="98">
        <v>3.4500000000000003E-2</v>
      </c>
      <c r="Y945" s="96" t="s">
        <v>411</v>
      </c>
      <c r="Z945" s="96"/>
      <c r="AA945" s="97">
        <v>3621.0165459999998</v>
      </c>
      <c r="AB945" s="97">
        <v>1</v>
      </c>
      <c r="AC945" s="97">
        <v>106.57</v>
      </c>
      <c r="AD945" s="97"/>
      <c r="AE945" s="97">
        <v>3.8589169999999999</v>
      </c>
      <c r="AF945" s="96"/>
      <c r="AG945" s="96"/>
      <c r="AH945" s="96"/>
      <c r="AI945" s="98">
        <v>3.0000000000000001E-6</v>
      </c>
      <c r="AJ945" s="98">
        <v>5.9999999999999995E-4</v>
      </c>
      <c r="AK945" s="98">
        <v>2.31E-4</v>
      </c>
      <c r="AL945" s="106"/>
    </row>
    <row r="946" spans="1:38" ht="15" customHeight="1">
      <c r="A946" s="106"/>
      <c r="B946" s="96">
        <v>286</v>
      </c>
      <c r="C946" s="96">
        <v>9803</v>
      </c>
      <c r="D946" s="96" t="s">
        <v>1373</v>
      </c>
      <c r="E946" s="96">
        <v>1476</v>
      </c>
      <c r="F946" s="96" t="s">
        <v>80</v>
      </c>
      <c r="G946" s="96" t="s">
        <v>1374</v>
      </c>
      <c r="H946" s="96" t="s">
        <v>1375</v>
      </c>
      <c r="I946" s="96" t="s">
        <v>320</v>
      </c>
      <c r="J946" s="96" t="s">
        <v>753</v>
      </c>
      <c r="K946" s="96" t="s">
        <v>203</v>
      </c>
      <c r="L946" s="96" t="s">
        <v>298</v>
      </c>
      <c r="M946" s="96" t="s">
        <v>324</v>
      </c>
      <c r="N946" s="96" t="s">
        <v>339</v>
      </c>
      <c r="O946" s="96" t="s">
        <v>446</v>
      </c>
      <c r="P946" s="96" t="s">
        <v>338</v>
      </c>
      <c r="Q946" s="96" t="s">
        <v>409</v>
      </c>
      <c r="R946" s="96" t="s">
        <v>409</v>
      </c>
      <c r="S946" s="96" t="s">
        <v>409</v>
      </c>
      <c r="T946" s="96" t="s">
        <v>1200</v>
      </c>
      <c r="U946" s="97">
        <v>2.31</v>
      </c>
      <c r="V946" s="100">
        <v>45658</v>
      </c>
      <c r="W946" s="98">
        <v>6.9000000000000006E-2</v>
      </c>
      <c r="X946" s="98">
        <v>9.99</v>
      </c>
      <c r="Y946" s="96" t="s">
        <v>411</v>
      </c>
      <c r="Z946" s="96"/>
      <c r="AA946" s="97">
        <v>341.01628699999998</v>
      </c>
      <c r="AB946" s="97">
        <v>1</v>
      </c>
      <c r="AC946" s="97">
        <v>12.89</v>
      </c>
      <c r="AD946" s="97"/>
      <c r="AE946" s="97">
        <v>4.3957000000000003E-2</v>
      </c>
      <c r="AF946" s="96"/>
      <c r="AG946" s="96"/>
      <c r="AH946" s="96"/>
      <c r="AI946" s="98">
        <v>9.9999999999999995E-7</v>
      </c>
      <c r="AJ946" s="98">
        <v>6.0000000000000002E-6</v>
      </c>
      <c r="AK946" s="98">
        <v>1.9999999999999999E-6</v>
      </c>
      <c r="AL946" s="106"/>
    </row>
    <row r="947" spans="1:38" ht="15" customHeight="1">
      <c r="A947" s="106"/>
      <c r="B947" s="96">
        <v>286</v>
      </c>
      <c r="C947" s="96">
        <v>9803</v>
      </c>
      <c r="D947" s="96" t="s">
        <v>1462</v>
      </c>
      <c r="E947" s="96">
        <v>520000472</v>
      </c>
      <c r="F947" s="96" t="s">
        <v>308</v>
      </c>
      <c r="G947" s="96" t="s">
        <v>1641</v>
      </c>
      <c r="H947" s="96" t="s">
        <v>1642</v>
      </c>
      <c r="I947" s="96" t="s">
        <v>320</v>
      </c>
      <c r="J947" s="96" t="s">
        <v>753</v>
      </c>
      <c r="K947" s="96" t="s">
        <v>203</v>
      </c>
      <c r="L947" s="96" t="s">
        <v>203</v>
      </c>
      <c r="M947" s="96" t="s">
        <v>324</v>
      </c>
      <c r="N947" s="96" t="s">
        <v>339</v>
      </c>
      <c r="O947" s="96" t="s">
        <v>439</v>
      </c>
      <c r="P947" s="96" t="s">
        <v>338</v>
      </c>
      <c r="Q947" s="96" t="s">
        <v>1301</v>
      </c>
      <c r="R947" s="96" t="s">
        <v>414</v>
      </c>
      <c r="S947" s="96" t="s">
        <v>406</v>
      </c>
      <c r="T947" s="96" t="s">
        <v>1200</v>
      </c>
      <c r="U947" s="97">
        <v>3.63</v>
      </c>
      <c r="V947" s="100">
        <v>47220</v>
      </c>
      <c r="W947" s="98">
        <v>3.85E-2</v>
      </c>
      <c r="X947" s="98">
        <v>2.4899999999999999E-2</v>
      </c>
      <c r="Y947" s="96" t="s">
        <v>411</v>
      </c>
      <c r="Z947" s="96"/>
      <c r="AA947" s="97">
        <v>40425.671071999997</v>
      </c>
      <c r="AB947" s="97">
        <v>1</v>
      </c>
      <c r="AC947" s="97">
        <v>121.05</v>
      </c>
      <c r="AD947" s="97"/>
      <c r="AE947" s="97">
        <v>48.935274</v>
      </c>
      <c r="AF947" s="96"/>
      <c r="AG947" s="96"/>
      <c r="AH947" s="96"/>
      <c r="AI947" s="98">
        <v>1.5E-5</v>
      </c>
      <c r="AJ947" s="98">
        <v>7.6109999999999997E-3</v>
      </c>
      <c r="AK947" s="98">
        <v>2.934E-3</v>
      </c>
      <c r="AL947" s="106"/>
    </row>
    <row r="948" spans="1:38" ht="15" customHeight="1">
      <c r="A948" s="106"/>
      <c r="B948" s="96">
        <v>286</v>
      </c>
      <c r="C948" s="96">
        <v>9803</v>
      </c>
      <c r="D948" s="96" t="s">
        <v>1445</v>
      </c>
      <c r="E948" s="96">
        <v>510381601</v>
      </c>
      <c r="F948" s="96" t="s">
        <v>308</v>
      </c>
      <c r="G948" s="96" t="s">
        <v>1544</v>
      </c>
      <c r="H948" s="96" t="s">
        <v>1545</v>
      </c>
      <c r="I948" s="96" t="s">
        <v>320</v>
      </c>
      <c r="J948" s="96" t="s">
        <v>952</v>
      </c>
      <c r="K948" s="96" t="s">
        <v>203</v>
      </c>
      <c r="L948" s="96" t="s">
        <v>203</v>
      </c>
      <c r="M948" s="96" t="s">
        <v>324</v>
      </c>
      <c r="N948" s="96" t="s">
        <v>339</v>
      </c>
      <c r="O948" s="96" t="s">
        <v>446</v>
      </c>
      <c r="P948" s="96" t="s">
        <v>337</v>
      </c>
      <c r="Q948" s="96" t="s">
        <v>1328</v>
      </c>
      <c r="R948" s="96" t="s">
        <v>412</v>
      </c>
      <c r="S948" s="96" t="s">
        <v>406</v>
      </c>
      <c r="T948" s="96" t="s">
        <v>1200</v>
      </c>
      <c r="U948" s="97">
        <v>2.09</v>
      </c>
      <c r="V948" s="100">
        <v>47133</v>
      </c>
      <c r="W948" s="98">
        <v>4.2999999999999997E-2</v>
      </c>
      <c r="X948" s="98">
        <v>5.8900000000000001E-2</v>
      </c>
      <c r="Y948" s="96" t="s">
        <v>411</v>
      </c>
      <c r="Z948" s="96"/>
      <c r="AA948" s="97">
        <v>20639.212261000001</v>
      </c>
      <c r="AB948" s="97">
        <v>1</v>
      </c>
      <c r="AC948" s="97">
        <v>98.86</v>
      </c>
      <c r="AD948" s="97"/>
      <c r="AE948" s="97">
        <v>20.403925000000001</v>
      </c>
      <c r="AF948" s="96"/>
      <c r="AG948" s="96"/>
      <c r="AH948" s="96"/>
      <c r="AI948" s="98">
        <v>2.0000000000000002E-5</v>
      </c>
      <c r="AJ948" s="98">
        <v>3.173E-3</v>
      </c>
      <c r="AK948" s="98">
        <v>1.2229999999999999E-3</v>
      </c>
      <c r="AL948" s="106"/>
    </row>
    <row r="949" spans="1:38" ht="15" customHeight="1">
      <c r="A949" s="106"/>
      <c r="B949" s="96">
        <v>286</v>
      </c>
      <c r="C949" s="96">
        <v>9803</v>
      </c>
      <c r="D949" s="96" t="s">
        <v>1590</v>
      </c>
      <c r="E949" s="96">
        <v>1154</v>
      </c>
      <c r="F949" s="96" t="s">
        <v>80</v>
      </c>
      <c r="G949" s="96" t="s">
        <v>1591</v>
      </c>
      <c r="H949" s="96" t="s">
        <v>1592</v>
      </c>
      <c r="I949" s="96" t="s">
        <v>320</v>
      </c>
      <c r="J949" s="96" t="s">
        <v>753</v>
      </c>
      <c r="K949" s="96" t="s">
        <v>203</v>
      </c>
      <c r="L949" s="96" t="s">
        <v>203</v>
      </c>
      <c r="M949" s="96" t="s">
        <v>324</v>
      </c>
      <c r="N949" s="96" t="s">
        <v>339</v>
      </c>
      <c r="O949" s="96" t="s">
        <v>450</v>
      </c>
      <c r="P949" s="96" t="s">
        <v>338</v>
      </c>
      <c r="Q949" s="96" t="s">
        <v>409</v>
      </c>
      <c r="R949" s="96" t="s">
        <v>409</v>
      </c>
      <c r="S949" s="96" t="s">
        <v>409</v>
      </c>
      <c r="T949" s="96" t="s">
        <v>1200</v>
      </c>
      <c r="U949" s="97">
        <v>1.45</v>
      </c>
      <c r="V949" s="100">
        <v>45657</v>
      </c>
      <c r="W949" s="98">
        <v>6.8000000000000005E-2</v>
      </c>
      <c r="X949" s="98">
        <v>9.99</v>
      </c>
      <c r="Y949" s="96" t="s">
        <v>411</v>
      </c>
      <c r="Z949" s="96"/>
      <c r="AA949" s="97">
        <v>915.88679100000002</v>
      </c>
      <c r="AB949" s="97">
        <v>1</v>
      </c>
      <c r="AC949" s="97">
        <v>24.03</v>
      </c>
      <c r="AD949" s="97"/>
      <c r="AE949" s="97">
        <v>0.220087</v>
      </c>
      <c r="AF949" s="96"/>
      <c r="AG949" s="96"/>
      <c r="AH949" s="96"/>
      <c r="AI949" s="98">
        <v>1.9999999999999999E-6</v>
      </c>
      <c r="AJ949" s="98">
        <v>3.4E-5</v>
      </c>
      <c r="AK949" s="98">
        <v>1.2999999999999999E-5</v>
      </c>
      <c r="AL949" s="106"/>
    </row>
    <row r="950" spans="1:38" ht="15" customHeight="1">
      <c r="A950" s="106"/>
      <c r="B950" s="96">
        <v>286</v>
      </c>
      <c r="C950" s="96">
        <v>9803</v>
      </c>
      <c r="D950" s="96" t="s">
        <v>1551</v>
      </c>
      <c r="E950" s="96">
        <v>511659401</v>
      </c>
      <c r="F950" s="96" t="s">
        <v>308</v>
      </c>
      <c r="G950" s="96" t="s">
        <v>1937</v>
      </c>
      <c r="H950" s="96" t="s">
        <v>1938</v>
      </c>
      <c r="I950" s="96" t="s">
        <v>320</v>
      </c>
      <c r="J950" s="96" t="s">
        <v>952</v>
      </c>
      <c r="K950" s="96" t="s">
        <v>203</v>
      </c>
      <c r="L950" s="96" t="s">
        <v>203</v>
      </c>
      <c r="M950" s="96" t="s">
        <v>324</v>
      </c>
      <c r="N950" s="96" t="s">
        <v>339</v>
      </c>
      <c r="O950" s="96" t="s">
        <v>463</v>
      </c>
      <c r="P950" s="96" t="s">
        <v>338</v>
      </c>
      <c r="Q950" s="96" t="s">
        <v>1313</v>
      </c>
      <c r="R950" s="96" t="s">
        <v>412</v>
      </c>
      <c r="S950" s="96" t="s">
        <v>406</v>
      </c>
      <c r="T950" s="96" t="s">
        <v>1200</v>
      </c>
      <c r="U950" s="97">
        <v>2.94</v>
      </c>
      <c r="V950" s="100">
        <v>47238</v>
      </c>
      <c r="W950" s="98">
        <v>0.05</v>
      </c>
      <c r="X950" s="98">
        <v>5.3999999999999999E-2</v>
      </c>
      <c r="Y950" s="96" t="s">
        <v>411</v>
      </c>
      <c r="Z950" s="96"/>
      <c r="AA950" s="97">
        <v>11576.657432</v>
      </c>
      <c r="AB950" s="97">
        <v>1</v>
      </c>
      <c r="AC950" s="97">
        <v>99.88</v>
      </c>
      <c r="AD950" s="97"/>
      <c r="AE950" s="97">
        <v>11.562765000000001</v>
      </c>
      <c r="AF950" s="96"/>
      <c r="AG950" s="96"/>
      <c r="AH950" s="96"/>
      <c r="AI950" s="98">
        <v>2.8E-5</v>
      </c>
      <c r="AJ950" s="98">
        <v>1.7979999999999999E-3</v>
      </c>
      <c r="AK950" s="98">
        <v>6.9300000000000004E-4</v>
      </c>
      <c r="AL950" s="106"/>
    </row>
    <row r="951" spans="1:38" ht="15" customHeight="1">
      <c r="A951" s="106"/>
      <c r="B951" s="96">
        <v>286</v>
      </c>
      <c r="C951" s="96">
        <v>9803</v>
      </c>
      <c r="D951" s="96" t="s">
        <v>1406</v>
      </c>
      <c r="E951" s="96">
        <v>520025586</v>
      </c>
      <c r="F951" s="96" t="s">
        <v>308</v>
      </c>
      <c r="G951" s="96" t="s">
        <v>1407</v>
      </c>
      <c r="H951" s="96" t="s">
        <v>1408</v>
      </c>
      <c r="I951" s="96" t="s">
        <v>320</v>
      </c>
      <c r="J951" s="96" t="s">
        <v>753</v>
      </c>
      <c r="K951" s="96" t="s">
        <v>203</v>
      </c>
      <c r="L951" s="96" t="s">
        <v>203</v>
      </c>
      <c r="M951" s="96" t="s">
        <v>324</v>
      </c>
      <c r="N951" s="96" t="s">
        <v>339</v>
      </c>
      <c r="O951" s="96" t="s">
        <v>450</v>
      </c>
      <c r="P951" s="96" t="s">
        <v>338</v>
      </c>
      <c r="Q951" s="96" t="s">
        <v>409</v>
      </c>
      <c r="R951" s="96" t="s">
        <v>409</v>
      </c>
      <c r="S951" s="96" t="s">
        <v>409</v>
      </c>
      <c r="T951" s="96" t="s">
        <v>1200</v>
      </c>
      <c r="U951" s="97">
        <v>3.02</v>
      </c>
      <c r="V951" s="100">
        <v>46934</v>
      </c>
      <c r="W951" s="98">
        <v>3.6999999999999998E-2</v>
      </c>
      <c r="X951" s="98">
        <v>4.7500000000000001E-2</v>
      </c>
      <c r="Y951" s="96" t="s">
        <v>411</v>
      </c>
      <c r="Z951" s="96"/>
      <c r="AA951" s="97">
        <v>3343.218828</v>
      </c>
      <c r="AB951" s="97">
        <v>1</v>
      </c>
      <c r="AC951" s="97">
        <v>110.24</v>
      </c>
      <c r="AD951" s="97"/>
      <c r="AE951" s="97">
        <v>3.6855639999999998</v>
      </c>
      <c r="AF951" s="96"/>
      <c r="AG951" s="96"/>
      <c r="AH951" s="96"/>
      <c r="AI951" s="98">
        <v>3.9999999999999998E-6</v>
      </c>
      <c r="AJ951" s="98">
        <v>5.7300000000000005E-4</v>
      </c>
      <c r="AK951" s="98">
        <v>2.2100000000000001E-4</v>
      </c>
      <c r="AL951" s="106"/>
    </row>
    <row r="952" spans="1:38" ht="15" customHeight="1">
      <c r="A952" s="106"/>
      <c r="B952" s="96">
        <v>286</v>
      </c>
      <c r="C952" s="96">
        <v>9803</v>
      </c>
      <c r="D952" s="96" t="s">
        <v>1718</v>
      </c>
      <c r="E952" s="96">
        <v>511996803</v>
      </c>
      <c r="F952" s="96" t="s">
        <v>308</v>
      </c>
      <c r="G952" s="96" t="s">
        <v>1719</v>
      </c>
      <c r="H952" s="96" t="s">
        <v>1720</v>
      </c>
      <c r="I952" s="96" t="s">
        <v>320</v>
      </c>
      <c r="J952" s="96" t="s">
        <v>952</v>
      </c>
      <c r="K952" s="96" t="s">
        <v>203</v>
      </c>
      <c r="L952" s="96" t="s">
        <v>203</v>
      </c>
      <c r="M952" s="96" t="s">
        <v>324</v>
      </c>
      <c r="N952" s="96" t="s">
        <v>339</v>
      </c>
      <c r="O952" s="96" t="s">
        <v>446</v>
      </c>
      <c r="P952" s="96" t="s">
        <v>338</v>
      </c>
      <c r="Q952" s="96" t="s">
        <v>1309</v>
      </c>
      <c r="R952" s="96" t="s">
        <v>414</v>
      </c>
      <c r="S952" s="96" t="s">
        <v>406</v>
      </c>
      <c r="T952" s="96" t="s">
        <v>1200</v>
      </c>
      <c r="U952" s="97">
        <v>2.4900000000000002</v>
      </c>
      <c r="V952" s="100">
        <v>46752</v>
      </c>
      <c r="W952" s="98">
        <v>4.53E-2</v>
      </c>
      <c r="X952" s="98">
        <v>6.2600000000000003E-2</v>
      </c>
      <c r="Y952" s="96" t="s">
        <v>411</v>
      </c>
      <c r="Z952" s="96"/>
      <c r="AA952" s="97">
        <v>7955.1142060000002</v>
      </c>
      <c r="AB952" s="97">
        <v>1</v>
      </c>
      <c r="AC952" s="97">
        <v>96.1</v>
      </c>
      <c r="AD952" s="97"/>
      <c r="AE952" s="97">
        <v>7.6448640000000001</v>
      </c>
      <c r="AF952" s="96"/>
      <c r="AG952" s="96"/>
      <c r="AH952" s="96"/>
      <c r="AI952" s="98">
        <v>1.1E-5</v>
      </c>
      <c r="AJ952" s="98">
        <v>1.189E-3</v>
      </c>
      <c r="AK952" s="98">
        <v>4.5800000000000002E-4</v>
      </c>
      <c r="AL952" s="106"/>
    </row>
    <row r="953" spans="1:38" ht="15" customHeight="1">
      <c r="A953" s="106"/>
      <c r="B953" s="96">
        <v>286</v>
      </c>
      <c r="C953" s="96">
        <v>9803</v>
      </c>
      <c r="D953" s="96" t="s">
        <v>1955</v>
      </c>
      <c r="E953" s="96">
        <v>516167343</v>
      </c>
      <c r="F953" s="96" t="s">
        <v>308</v>
      </c>
      <c r="G953" s="96" t="s">
        <v>1956</v>
      </c>
      <c r="H953" s="96" t="s">
        <v>1957</v>
      </c>
      <c r="I953" s="96" t="s">
        <v>320</v>
      </c>
      <c r="J953" s="96" t="s">
        <v>753</v>
      </c>
      <c r="K953" s="96" t="s">
        <v>203</v>
      </c>
      <c r="L953" s="96" t="s">
        <v>203</v>
      </c>
      <c r="M953" s="96" t="s">
        <v>324</v>
      </c>
      <c r="N953" s="96" t="s">
        <v>339</v>
      </c>
      <c r="O953" s="96" t="s">
        <v>439</v>
      </c>
      <c r="P953" s="96" t="s">
        <v>338</v>
      </c>
      <c r="Q953" s="96" t="s">
        <v>409</v>
      </c>
      <c r="R953" s="96" t="s">
        <v>409</v>
      </c>
      <c r="S953" s="96" t="s">
        <v>409</v>
      </c>
      <c r="T953" s="96" t="s">
        <v>1200</v>
      </c>
      <c r="U953" s="97">
        <v>1.64</v>
      </c>
      <c r="V953" s="100">
        <v>46112</v>
      </c>
      <c r="W953" s="98">
        <v>1.6400000000000001E-2</v>
      </c>
      <c r="X953" s="98">
        <v>3.4299999999999997E-2</v>
      </c>
      <c r="Y953" s="96" t="s">
        <v>411</v>
      </c>
      <c r="Z953" s="96"/>
      <c r="AA953" s="97">
        <v>612.31933500000002</v>
      </c>
      <c r="AB953" s="97">
        <v>1</v>
      </c>
      <c r="AC953" s="97">
        <v>110.89</v>
      </c>
      <c r="AD953" s="97"/>
      <c r="AE953" s="97">
        <v>0.67900000000000005</v>
      </c>
      <c r="AF953" s="96"/>
      <c r="AG953" s="96"/>
      <c r="AH953" s="96"/>
      <c r="AI953" s="98">
        <v>1.9999999999999999E-6</v>
      </c>
      <c r="AJ953" s="98">
        <v>1.05E-4</v>
      </c>
      <c r="AK953" s="98">
        <v>4.0000000000000003E-5</v>
      </c>
      <c r="AL953" s="106"/>
    </row>
    <row r="954" spans="1:38" ht="15" customHeight="1">
      <c r="A954" s="106"/>
      <c r="B954" s="96">
        <v>286</v>
      </c>
      <c r="C954" s="96">
        <v>9803</v>
      </c>
      <c r="D954" s="96" t="s">
        <v>1197</v>
      </c>
      <c r="E954" s="96">
        <v>520018078</v>
      </c>
      <c r="F954" s="96" t="s">
        <v>308</v>
      </c>
      <c r="G954" s="96" t="s">
        <v>1563</v>
      </c>
      <c r="H954" s="96" t="s">
        <v>1564</v>
      </c>
      <c r="I954" s="96" t="s">
        <v>320</v>
      </c>
      <c r="J954" s="96" t="s">
        <v>753</v>
      </c>
      <c r="K954" s="96" t="s">
        <v>203</v>
      </c>
      <c r="L954" s="96" t="s">
        <v>203</v>
      </c>
      <c r="M954" s="96" t="s">
        <v>324</v>
      </c>
      <c r="N954" s="96" t="s">
        <v>339</v>
      </c>
      <c r="O954" s="96" t="s">
        <v>447</v>
      </c>
      <c r="P954" s="96" t="s">
        <v>338</v>
      </c>
      <c r="Q954" s="96" t="s">
        <v>1199</v>
      </c>
      <c r="R954" s="96" t="s">
        <v>412</v>
      </c>
      <c r="S954" s="96" t="s">
        <v>406</v>
      </c>
      <c r="T954" s="96" t="s">
        <v>1200</v>
      </c>
      <c r="U954" s="97">
        <v>5.39</v>
      </c>
      <c r="V954" s="100">
        <v>47447</v>
      </c>
      <c r="W954" s="98">
        <v>1E-3</v>
      </c>
      <c r="X954" s="98">
        <v>2.58E-2</v>
      </c>
      <c r="Y954" s="96" t="s">
        <v>411</v>
      </c>
      <c r="Z954" s="96"/>
      <c r="AA954" s="97">
        <v>43752.082457999997</v>
      </c>
      <c r="AB954" s="97">
        <v>1</v>
      </c>
      <c r="AC954" s="97">
        <v>97.13</v>
      </c>
      <c r="AD954" s="97"/>
      <c r="AE954" s="97">
        <v>42.496397000000002</v>
      </c>
      <c r="AF954" s="96"/>
      <c r="AG954" s="96"/>
      <c r="AH954" s="96"/>
      <c r="AI954" s="98">
        <v>1.7E-5</v>
      </c>
      <c r="AJ954" s="98">
        <v>6.6090000000000003E-3</v>
      </c>
      <c r="AK954" s="98">
        <v>2.5479999999999999E-3</v>
      </c>
      <c r="AL954" s="106"/>
    </row>
    <row r="955" spans="1:38" ht="15" customHeight="1">
      <c r="A955" s="106"/>
      <c r="B955" s="96">
        <v>286</v>
      </c>
      <c r="C955" s="96">
        <v>9803</v>
      </c>
      <c r="D955" s="96" t="s">
        <v>1414</v>
      </c>
      <c r="E955" s="96">
        <v>520037789</v>
      </c>
      <c r="F955" s="96" t="s">
        <v>308</v>
      </c>
      <c r="G955" s="96" t="s">
        <v>1861</v>
      </c>
      <c r="H955" s="96" t="s">
        <v>1841</v>
      </c>
      <c r="I955" s="96" t="s">
        <v>320</v>
      </c>
      <c r="J955" s="96" t="s">
        <v>753</v>
      </c>
      <c r="K955" s="96" t="s">
        <v>203</v>
      </c>
      <c r="L955" s="96" t="s">
        <v>203</v>
      </c>
      <c r="M955" s="96" t="s">
        <v>326</v>
      </c>
      <c r="N955" s="96" t="s">
        <v>339</v>
      </c>
      <c r="O955" s="96" t="s">
        <v>463</v>
      </c>
      <c r="P955" s="96" t="s">
        <v>337</v>
      </c>
      <c r="Q955" s="96" t="s">
        <v>1313</v>
      </c>
      <c r="R955" s="96" t="s">
        <v>412</v>
      </c>
      <c r="S955" s="96" t="s">
        <v>406</v>
      </c>
      <c r="T955" s="96" t="s">
        <v>1200</v>
      </c>
      <c r="U955" s="97">
        <v>5.55</v>
      </c>
      <c r="V955" s="100">
        <v>47665</v>
      </c>
      <c r="W955" s="98">
        <v>2.5000000000000001E-3</v>
      </c>
      <c r="X955" s="98">
        <v>3.2500000000000001E-2</v>
      </c>
      <c r="Y955" s="96" t="s">
        <v>411</v>
      </c>
      <c r="Z955" s="96"/>
      <c r="AA955" s="97">
        <v>1750.054151</v>
      </c>
      <c r="AB955" s="97">
        <v>1</v>
      </c>
      <c r="AC955" s="97">
        <v>94.531800000000004</v>
      </c>
      <c r="AD955" s="97"/>
      <c r="AE955" s="97">
        <v>1.6543559999999999</v>
      </c>
      <c r="AF955" s="96"/>
      <c r="AG955" s="96"/>
      <c r="AH955" s="96"/>
      <c r="AI955" s="98">
        <v>9.9999999999999995E-7</v>
      </c>
      <c r="AJ955" s="98">
        <v>2.5700000000000001E-4</v>
      </c>
      <c r="AK955" s="98">
        <v>9.8999999999999994E-5</v>
      </c>
      <c r="AL955" s="106"/>
    </row>
    <row r="956" spans="1:38" ht="15" customHeight="1">
      <c r="A956" s="106"/>
      <c r="B956" s="96">
        <v>286</v>
      </c>
      <c r="C956" s="96">
        <v>9803</v>
      </c>
      <c r="D956" s="96" t="s">
        <v>1675</v>
      </c>
      <c r="E956" s="96">
        <v>520043720</v>
      </c>
      <c r="F956" s="96" t="s">
        <v>308</v>
      </c>
      <c r="G956" s="96" t="s">
        <v>1676</v>
      </c>
      <c r="H956" s="96" t="s">
        <v>1677</v>
      </c>
      <c r="I956" s="96" t="s">
        <v>320</v>
      </c>
      <c r="J956" s="96" t="s">
        <v>952</v>
      </c>
      <c r="K956" s="96" t="s">
        <v>203</v>
      </c>
      <c r="L956" s="96" t="s">
        <v>203</v>
      </c>
      <c r="M956" s="96" t="s">
        <v>324</v>
      </c>
      <c r="N956" s="96" t="s">
        <v>339</v>
      </c>
      <c r="O956" s="96" t="s">
        <v>464</v>
      </c>
      <c r="P956" s="96" t="s">
        <v>337</v>
      </c>
      <c r="Q956" s="96" t="s">
        <v>1336</v>
      </c>
      <c r="R956" s="96" t="s">
        <v>414</v>
      </c>
      <c r="S956" s="96" t="s">
        <v>406</v>
      </c>
      <c r="T956" s="96" t="s">
        <v>1200</v>
      </c>
      <c r="U956" s="97">
        <v>5.9</v>
      </c>
      <c r="V956" s="100">
        <v>48122</v>
      </c>
      <c r="W956" s="98">
        <v>2.8000000000000001E-2</v>
      </c>
      <c r="X956" s="98">
        <v>6.3E-2</v>
      </c>
      <c r="Y956" s="96" t="s">
        <v>411</v>
      </c>
      <c r="Z956" s="96"/>
      <c r="AA956" s="97">
        <v>15914.705049</v>
      </c>
      <c r="AB956" s="97">
        <v>1</v>
      </c>
      <c r="AC956" s="97">
        <v>82.49</v>
      </c>
      <c r="AD956" s="97"/>
      <c r="AE956" s="97">
        <v>13.12804</v>
      </c>
      <c r="AF956" s="96"/>
      <c r="AG956" s="96"/>
      <c r="AH956" s="96"/>
      <c r="AI956" s="98">
        <v>2.8E-5</v>
      </c>
      <c r="AJ956" s="98">
        <v>2.0409999999999998E-3</v>
      </c>
      <c r="AK956" s="98">
        <v>7.8700000000000005E-4</v>
      </c>
      <c r="AL956" s="106"/>
    </row>
    <row r="957" spans="1:38" ht="15" customHeight="1">
      <c r="A957" s="106"/>
      <c r="B957" s="96">
        <v>286</v>
      </c>
      <c r="C957" s="96">
        <v>9803</v>
      </c>
      <c r="D957" s="96" t="s">
        <v>1477</v>
      </c>
      <c r="E957" s="96">
        <v>520029935</v>
      </c>
      <c r="F957" s="96" t="s">
        <v>308</v>
      </c>
      <c r="G957" s="96" t="s">
        <v>1478</v>
      </c>
      <c r="H957" s="96" t="s">
        <v>1479</v>
      </c>
      <c r="I957" s="96" t="s">
        <v>320</v>
      </c>
      <c r="J957" s="96" t="s">
        <v>952</v>
      </c>
      <c r="K957" s="96" t="s">
        <v>203</v>
      </c>
      <c r="L957" s="96" t="s">
        <v>203</v>
      </c>
      <c r="M957" s="96" t="s">
        <v>324</v>
      </c>
      <c r="N957" s="96" t="s">
        <v>339</v>
      </c>
      <c r="O957" s="96" t="s">
        <v>447</v>
      </c>
      <c r="P957" s="96" t="s">
        <v>338</v>
      </c>
      <c r="Q957" s="96" t="s">
        <v>1211</v>
      </c>
      <c r="R957" s="96" t="s">
        <v>414</v>
      </c>
      <c r="S957" s="96" t="s">
        <v>406</v>
      </c>
      <c r="T957" s="96" t="s">
        <v>1200</v>
      </c>
      <c r="U957" s="97">
        <v>3.14</v>
      </c>
      <c r="V957" s="100">
        <v>47822</v>
      </c>
      <c r="W957" s="98">
        <v>2.6800000000000001E-2</v>
      </c>
      <c r="X957" s="98">
        <v>5.0999999999999997E-2</v>
      </c>
      <c r="Y957" s="96" t="s">
        <v>411</v>
      </c>
      <c r="Z957" s="96"/>
      <c r="AA957" s="97">
        <v>41849.370413999997</v>
      </c>
      <c r="AB957" s="97">
        <v>1</v>
      </c>
      <c r="AC957" s="97">
        <v>94.27</v>
      </c>
      <c r="AD957" s="97"/>
      <c r="AE957" s="97">
        <v>39.451400999999997</v>
      </c>
      <c r="AF957" s="96"/>
      <c r="AG957" s="96"/>
      <c r="AH957" s="96"/>
      <c r="AI957" s="98">
        <v>1.8E-5</v>
      </c>
      <c r="AJ957" s="98">
        <v>6.136E-3</v>
      </c>
      <c r="AK957" s="98">
        <v>2.3649999999999999E-3</v>
      </c>
      <c r="AL957" s="106"/>
    </row>
    <row r="958" spans="1:38" ht="15" customHeight="1">
      <c r="A958" s="106"/>
      <c r="B958" s="96">
        <v>286</v>
      </c>
      <c r="C958" s="96">
        <v>9803</v>
      </c>
      <c r="D958" s="96" t="s">
        <v>1302</v>
      </c>
      <c r="E958" s="96">
        <v>513623314</v>
      </c>
      <c r="F958" s="96" t="s">
        <v>308</v>
      </c>
      <c r="G958" s="96" t="s">
        <v>1404</v>
      </c>
      <c r="H958" s="96" t="s">
        <v>1405</v>
      </c>
      <c r="I958" s="96" t="s">
        <v>320</v>
      </c>
      <c r="J958" s="96" t="s">
        <v>753</v>
      </c>
      <c r="K958" s="96" t="s">
        <v>203</v>
      </c>
      <c r="L958" s="96" t="s">
        <v>203</v>
      </c>
      <c r="M958" s="96" t="s">
        <v>324</v>
      </c>
      <c r="N958" s="96" t="s">
        <v>339</v>
      </c>
      <c r="O958" s="96" t="s">
        <v>463</v>
      </c>
      <c r="P958" s="96" t="s">
        <v>337</v>
      </c>
      <c r="Q958" s="96" t="s">
        <v>1313</v>
      </c>
      <c r="R958" s="96" t="s">
        <v>412</v>
      </c>
      <c r="S958" s="96" t="s">
        <v>406</v>
      </c>
      <c r="T958" s="96" t="s">
        <v>1200</v>
      </c>
      <c r="U958" s="97">
        <v>1.37</v>
      </c>
      <c r="V958" s="100">
        <v>45991</v>
      </c>
      <c r="W958" s="98">
        <v>2E-3</v>
      </c>
      <c r="X958" s="98">
        <v>2.4199999999999999E-2</v>
      </c>
      <c r="Y958" s="96" t="s">
        <v>411</v>
      </c>
      <c r="Z958" s="96"/>
      <c r="AA958" s="97">
        <v>569.12748599999998</v>
      </c>
      <c r="AB958" s="97">
        <v>1</v>
      </c>
      <c r="AC958" s="97">
        <v>109.12</v>
      </c>
      <c r="AD958" s="97"/>
      <c r="AE958" s="97">
        <v>0.621031</v>
      </c>
      <c r="AF958" s="96"/>
      <c r="AG958" s="96"/>
      <c r="AH958" s="96"/>
      <c r="AI958" s="98">
        <v>9.9999999999999995E-7</v>
      </c>
      <c r="AJ958" s="98">
        <v>9.6000000000000002E-5</v>
      </c>
      <c r="AK958" s="98">
        <v>3.6999999999999998E-5</v>
      </c>
      <c r="AL958" s="106"/>
    </row>
    <row r="959" spans="1:38" ht="15" customHeight="1">
      <c r="A959" s="106"/>
      <c r="B959" s="96">
        <v>286</v>
      </c>
      <c r="C959" s="96">
        <v>9803</v>
      </c>
      <c r="D959" s="96" t="s">
        <v>1379</v>
      </c>
      <c r="E959" s="96">
        <v>510454333</v>
      </c>
      <c r="F959" s="96" t="s">
        <v>308</v>
      </c>
      <c r="G959" s="96" t="s">
        <v>1854</v>
      </c>
      <c r="H959" s="96" t="s">
        <v>1391</v>
      </c>
      <c r="I959" s="96" t="s">
        <v>320</v>
      </c>
      <c r="J959" s="96" t="s">
        <v>753</v>
      </c>
      <c r="K959" s="96" t="s">
        <v>203</v>
      </c>
      <c r="L959" s="96" t="s">
        <v>203</v>
      </c>
      <c r="M959" s="96" t="s">
        <v>324</v>
      </c>
      <c r="N959" s="96" t="s">
        <v>339</v>
      </c>
      <c r="O959" s="96" t="s">
        <v>476</v>
      </c>
      <c r="P959" s="96" t="s">
        <v>338</v>
      </c>
      <c r="Q959" s="96" t="s">
        <v>1320</v>
      </c>
      <c r="R959" s="96" t="s">
        <v>412</v>
      </c>
      <c r="S959" s="96" t="s">
        <v>406</v>
      </c>
      <c r="T959" s="96" t="s">
        <v>1200</v>
      </c>
      <c r="U959" s="97">
        <v>2.62</v>
      </c>
      <c r="V959" s="100">
        <v>47299</v>
      </c>
      <c r="W959" s="98">
        <v>0.01</v>
      </c>
      <c r="X959" s="98">
        <v>2.8899999999999999E-2</v>
      </c>
      <c r="Y959" s="96" t="s">
        <v>411</v>
      </c>
      <c r="Z959" s="96"/>
      <c r="AA959" s="97">
        <v>5046.978435</v>
      </c>
      <c r="AB959" s="97">
        <v>1</v>
      </c>
      <c r="AC959" s="97">
        <v>105.07</v>
      </c>
      <c r="AD959" s="97"/>
      <c r="AE959" s="97">
        <v>5.3028599999999999</v>
      </c>
      <c r="AF959" s="96"/>
      <c r="AG959" s="96"/>
      <c r="AH959" s="96"/>
      <c r="AI959" s="98">
        <v>1.5999999999999999E-5</v>
      </c>
      <c r="AJ959" s="98">
        <v>8.2399999999999997E-4</v>
      </c>
      <c r="AK959" s="98">
        <v>3.1799999999999998E-4</v>
      </c>
      <c r="AL959" s="106"/>
    </row>
    <row r="960" spans="1:38" ht="15" customHeight="1">
      <c r="A960" s="106"/>
      <c r="B960" s="96">
        <v>286</v>
      </c>
      <c r="C960" s="96">
        <v>9803</v>
      </c>
      <c r="D960" s="96" t="s">
        <v>1392</v>
      </c>
      <c r="E960" s="96">
        <v>513708818</v>
      </c>
      <c r="F960" s="96" t="s">
        <v>308</v>
      </c>
      <c r="G960" s="96" t="s">
        <v>1393</v>
      </c>
      <c r="H960" s="96" t="s">
        <v>1394</v>
      </c>
      <c r="I960" s="96" t="s">
        <v>320</v>
      </c>
      <c r="J960" s="96" t="s">
        <v>753</v>
      </c>
      <c r="K960" s="96" t="s">
        <v>203</v>
      </c>
      <c r="L960" s="96" t="s">
        <v>203</v>
      </c>
      <c r="M960" s="96" t="s">
        <v>326</v>
      </c>
      <c r="N960" s="96" t="s">
        <v>339</v>
      </c>
      <c r="O960" s="96" t="s">
        <v>439</v>
      </c>
      <c r="P960" s="96" t="s">
        <v>338</v>
      </c>
      <c r="Q960" s="96" t="s">
        <v>1309</v>
      </c>
      <c r="R960" s="96" t="s">
        <v>414</v>
      </c>
      <c r="S960" s="96" t="s">
        <v>406</v>
      </c>
      <c r="T960" s="96" t="s">
        <v>1200</v>
      </c>
      <c r="U960" s="97">
        <v>5.97</v>
      </c>
      <c r="V960" s="100">
        <v>49217</v>
      </c>
      <c r="W960" s="98">
        <v>3.3000000000000002E-2</v>
      </c>
      <c r="X960" s="98">
        <v>4.5600000000000002E-2</v>
      </c>
      <c r="Y960" s="96" t="s">
        <v>411</v>
      </c>
      <c r="Z960" s="96"/>
      <c r="AA960" s="97">
        <v>33075.657552999997</v>
      </c>
      <c r="AB960" s="97">
        <v>1</v>
      </c>
      <c r="AC960" s="97">
        <v>99.871099999999998</v>
      </c>
      <c r="AD960" s="97"/>
      <c r="AE960" s="97">
        <v>33.033022000000003</v>
      </c>
      <c r="AF960" s="96"/>
      <c r="AG960" s="96"/>
      <c r="AH960" s="96"/>
      <c r="AI960" s="98">
        <v>2.5999999999999998E-5</v>
      </c>
      <c r="AJ960" s="98">
        <v>5.1370000000000001E-3</v>
      </c>
      <c r="AK960" s="98">
        <v>1.9810000000000001E-3</v>
      </c>
      <c r="AL960" s="106"/>
    </row>
    <row r="961" spans="1:38" ht="15" customHeight="1">
      <c r="A961" s="106"/>
      <c r="B961" s="96">
        <v>286</v>
      </c>
      <c r="C961" s="96">
        <v>9803</v>
      </c>
      <c r="D961" s="96" t="s">
        <v>1603</v>
      </c>
      <c r="E961" s="96">
        <v>520043878</v>
      </c>
      <c r="F961" s="96" t="s">
        <v>308</v>
      </c>
      <c r="G961" s="96" t="s">
        <v>1604</v>
      </c>
      <c r="H961" s="96" t="s">
        <v>1605</v>
      </c>
      <c r="I961" s="96" t="s">
        <v>320</v>
      </c>
      <c r="J961" s="96" t="s">
        <v>952</v>
      </c>
      <c r="K961" s="96" t="s">
        <v>203</v>
      </c>
      <c r="L961" s="96" t="s">
        <v>203</v>
      </c>
      <c r="M961" s="96" t="s">
        <v>324</v>
      </c>
      <c r="N961" s="96" t="s">
        <v>339</v>
      </c>
      <c r="O961" s="96" t="s">
        <v>439</v>
      </c>
      <c r="P961" s="96" t="s">
        <v>338</v>
      </c>
      <c r="Q961" s="96" t="s">
        <v>1520</v>
      </c>
      <c r="R961" s="96" t="s">
        <v>414</v>
      </c>
      <c r="S961" s="96" t="s">
        <v>406</v>
      </c>
      <c r="T961" s="96" t="s">
        <v>1200</v>
      </c>
      <c r="U961" s="97">
        <v>1.66</v>
      </c>
      <c r="V961" s="100">
        <v>46660</v>
      </c>
      <c r="W961" s="98">
        <v>3.2899999999999999E-2</v>
      </c>
      <c r="X961" s="98">
        <v>5.4199999999999998E-2</v>
      </c>
      <c r="Y961" s="96" t="s">
        <v>411</v>
      </c>
      <c r="Z961" s="96"/>
      <c r="AA961" s="97">
        <v>14295.859888999999</v>
      </c>
      <c r="AB961" s="97">
        <v>1</v>
      </c>
      <c r="AC961" s="97">
        <v>97.48</v>
      </c>
      <c r="AD961" s="97"/>
      <c r="AE961" s="97">
        <v>13.935604</v>
      </c>
      <c r="AF961" s="96"/>
      <c r="AG961" s="96"/>
      <c r="AH961" s="96"/>
      <c r="AI961" s="98">
        <v>2.9E-5</v>
      </c>
      <c r="AJ961" s="98">
        <v>2.1670000000000001E-3</v>
      </c>
      <c r="AK961" s="98">
        <v>8.3500000000000002E-4</v>
      </c>
      <c r="AL961" s="106"/>
    </row>
    <row r="962" spans="1:38" ht="15" customHeight="1">
      <c r="A962" s="106"/>
      <c r="B962" s="96">
        <v>286</v>
      </c>
      <c r="C962" s="96">
        <v>9803</v>
      </c>
      <c r="D962" s="96" t="s">
        <v>1747</v>
      </c>
      <c r="E962" s="96">
        <v>512832742</v>
      </c>
      <c r="F962" s="96" t="s">
        <v>308</v>
      </c>
      <c r="G962" s="96" t="s">
        <v>1748</v>
      </c>
      <c r="H962" s="96" t="s">
        <v>1749</v>
      </c>
      <c r="I962" s="96" t="s">
        <v>320</v>
      </c>
      <c r="J962" s="96" t="s">
        <v>952</v>
      </c>
      <c r="K962" s="96" t="s">
        <v>203</v>
      </c>
      <c r="L962" s="96" t="s">
        <v>203</v>
      </c>
      <c r="M962" s="96" t="s">
        <v>324</v>
      </c>
      <c r="N962" s="96" t="s">
        <v>339</v>
      </c>
      <c r="O962" s="96" t="s">
        <v>483</v>
      </c>
      <c r="P962" s="96" t="s">
        <v>338</v>
      </c>
      <c r="Q962" s="96" t="s">
        <v>1309</v>
      </c>
      <c r="R962" s="96" t="s">
        <v>414</v>
      </c>
      <c r="S962" s="96" t="s">
        <v>406</v>
      </c>
      <c r="T962" s="96" t="s">
        <v>1200</v>
      </c>
      <c r="U962" s="97">
        <v>2.33</v>
      </c>
      <c r="V962" s="100">
        <v>46356</v>
      </c>
      <c r="W962" s="98">
        <v>3.6499999999999998E-2</v>
      </c>
      <c r="X962" s="98">
        <v>5.8000000000000003E-2</v>
      </c>
      <c r="Y962" s="96" t="s">
        <v>411</v>
      </c>
      <c r="Z962" s="96"/>
      <c r="AA962" s="97">
        <v>17066.151836000001</v>
      </c>
      <c r="AB962" s="97">
        <v>1</v>
      </c>
      <c r="AC962" s="97">
        <v>95.7</v>
      </c>
      <c r="AD962" s="97"/>
      <c r="AE962" s="97">
        <v>16.332307</v>
      </c>
      <c r="AF962" s="96"/>
      <c r="AG962" s="96"/>
      <c r="AH962" s="96"/>
      <c r="AI962" s="98">
        <v>7.9999999999999996E-6</v>
      </c>
      <c r="AJ962" s="98">
        <v>2.5400000000000002E-3</v>
      </c>
      <c r="AK962" s="98">
        <v>9.7900000000000005E-4</v>
      </c>
      <c r="AL962" s="106"/>
    </row>
    <row r="963" spans="1:38" ht="15" customHeight="1">
      <c r="A963" s="106"/>
      <c r="B963" s="96">
        <v>286</v>
      </c>
      <c r="C963" s="96">
        <v>9803</v>
      </c>
      <c r="D963" s="96" t="s">
        <v>1452</v>
      </c>
      <c r="E963" s="96">
        <v>514065283</v>
      </c>
      <c r="F963" s="96" t="s">
        <v>308</v>
      </c>
      <c r="G963" s="96" t="s">
        <v>1453</v>
      </c>
      <c r="H963" s="96" t="s">
        <v>1454</v>
      </c>
      <c r="I963" s="96" t="s">
        <v>320</v>
      </c>
      <c r="J963" s="96" t="s">
        <v>952</v>
      </c>
      <c r="K963" s="96" t="s">
        <v>203</v>
      </c>
      <c r="L963" s="96" t="s">
        <v>203</v>
      </c>
      <c r="M963" s="96" t="s">
        <v>324</v>
      </c>
      <c r="N963" s="96" t="s">
        <v>339</v>
      </c>
      <c r="O963" s="96" t="s">
        <v>461</v>
      </c>
      <c r="P963" s="96" t="s">
        <v>337</v>
      </c>
      <c r="Q963" s="96" t="s">
        <v>1332</v>
      </c>
      <c r="R963" s="96" t="s">
        <v>412</v>
      </c>
      <c r="S963" s="96" t="s">
        <v>406</v>
      </c>
      <c r="T963" s="96" t="s">
        <v>1200</v>
      </c>
      <c r="U963" s="97">
        <v>2.14</v>
      </c>
      <c r="V963" s="100">
        <v>47027</v>
      </c>
      <c r="W963" s="98">
        <v>2.1499999999999998E-2</v>
      </c>
      <c r="X963" s="98">
        <v>5.6000000000000001E-2</v>
      </c>
      <c r="Y963" s="96" t="s">
        <v>411</v>
      </c>
      <c r="Z963" s="96"/>
      <c r="AA963" s="97">
        <v>17605.109822999999</v>
      </c>
      <c r="AB963" s="97">
        <v>1</v>
      </c>
      <c r="AC963" s="97">
        <v>93.09</v>
      </c>
      <c r="AD963" s="97">
        <v>1.033768</v>
      </c>
      <c r="AE963" s="97">
        <v>17.422364000000002</v>
      </c>
      <c r="AF963" s="96"/>
      <c r="AG963" s="96"/>
      <c r="AH963" s="96"/>
      <c r="AI963" s="98">
        <v>1.9000000000000001E-5</v>
      </c>
      <c r="AJ963" s="98">
        <v>2.709E-3</v>
      </c>
      <c r="AK963" s="98">
        <v>1.0430000000000001E-3</v>
      </c>
      <c r="AL963" s="106"/>
    </row>
    <row r="964" spans="1:38" ht="15" customHeight="1">
      <c r="A964" s="106"/>
      <c r="B964" s="96">
        <v>286</v>
      </c>
      <c r="C964" s="96">
        <v>9803</v>
      </c>
      <c r="D964" s="96" t="s">
        <v>1358</v>
      </c>
      <c r="E964" s="96">
        <v>520022732</v>
      </c>
      <c r="F964" s="96" t="s">
        <v>308</v>
      </c>
      <c r="G964" s="96" t="s">
        <v>1980</v>
      </c>
      <c r="H964" s="96" t="s">
        <v>1981</v>
      </c>
      <c r="I964" s="96" t="s">
        <v>320</v>
      </c>
      <c r="J964" s="96" t="s">
        <v>753</v>
      </c>
      <c r="K964" s="96" t="s">
        <v>203</v>
      </c>
      <c r="L964" s="96" t="s">
        <v>203</v>
      </c>
      <c r="M964" s="96" t="s">
        <v>324</v>
      </c>
      <c r="N964" s="96" t="s">
        <v>339</v>
      </c>
      <c r="O964" s="96" t="s">
        <v>474</v>
      </c>
      <c r="P964" s="96" t="s">
        <v>337</v>
      </c>
      <c r="Q964" s="96" t="s">
        <v>1313</v>
      </c>
      <c r="R964" s="96" t="s">
        <v>412</v>
      </c>
      <c r="S964" s="96" t="s">
        <v>406</v>
      </c>
      <c r="T964" s="96" t="s">
        <v>1200</v>
      </c>
      <c r="U964" s="97">
        <v>2.63</v>
      </c>
      <c r="V964" s="100">
        <v>47399</v>
      </c>
      <c r="W964" s="98">
        <v>2.9899999999999999E-2</v>
      </c>
      <c r="X964" s="98">
        <v>2.3300000000000001E-2</v>
      </c>
      <c r="Y964" s="96" t="s">
        <v>411</v>
      </c>
      <c r="Z964" s="96"/>
      <c r="AA964" s="97">
        <v>1853.8391180000001</v>
      </c>
      <c r="AB964" s="97">
        <v>1</v>
      </c>
      <c r="AC964" s="97">
        <v>117.71</v>
      </c>
      <c r="AD964" s="97"/>
      <c r="AE964" s="97">
        <v>2.1821540000000001</v>
      </c>
      <c r="AF964" s="96"/>
      <c r="AG964" s="96"/>
      <c r="AH964" s="96"/>
      <c r="AI964" s="98">
        <v>1.0000000000000001E-5</v>
      </c>
      <c r="AJ964" s="98">
        <v>3.39E-4</v>
      </c>
      <c r="AK964" s="98">
        <v>1.2999999999999999E-4</v>
      </c>
      <c r="AL964" s="106"/>
    </row>
    <row r="965" spans="1:38" ht="15" customHeight="1">
      <c r="A965" s="106"/>
      <c r="B965" s="96">
        <v>286</v>
      </c>
      <c r="C965" s="96">
        <v>9803</v>
      </c>
      <c r="D965" s="96" t="s">
        <v>1399</v>
      </c>
      <c r="E965" s="96">
        <v>520032046</v>
      </c>
      <c r="F965" s="96" t="s">
        <v>308</v>
      </c>
      <c r="G965" s="96" t="s">
        <v>1960</v>
      </c>
      <c r="H965" s="96" t="s">
        <v>1961</v>
      </c>
      <c r="I965" s="96" t="s">
        <v>320</v>
      </c>
      <c r="J965" s="96" t="s">
        <v>753</v>
      </c>
      <c r="K965" s="96" t="s">
        <v>203</v>
      </c>
      <c r="L965" s="96" t="s">
        <v>203</v>
      </c>
      <c r="M965" s="96" t="s">
        <v>324</v>
      </c>
      <c r="N965" s="96" t="s">
        <v>339</v>
      </c>
      <c r="O965" s="96" t="s">
        <v>447</v>
      </c>
      <c r="P965" s="96" t="s">
        <v>338</v>
      </c>
      <c r="Q965" s="96" t="s">
        <v>1211</v>
      </c>
      <c r="R965" s="96" t="s">
        <v>414</v>
      </c>
      <c r="S965" s="96" t="s">
        <v>406</v>
      </c>
      <c r="T965" s="96" t="s">
        <v>1200</v>
      </c>
      <c r="U965" s="97">
        <v>3.73</v>
      </c>
      <c r="V965" s="100">
        <v>48190</v>
      </c>
      <c r="W965" s="98">
        <v>1.6400000000000001E-2</v>
      </c>
      <c r="X965" s="98">
        <v>2.53E-2</v>
      </c>
      <c r="Y965" s="96" t="s">
        <v>411</v>
      </c>
      <c r="Z965" s="96"/>
      <c r="AA965" s="97">
        <v>14563.572334</v>
      </c>
      <c r="AB965" s="97">
        <v>1</v>
      </c>
      <c r="AC965" s="97">
        <v>102.97</v>
      </c>
      <c r="AD965" s="97"/>
      <c r="AE965" s="97">
        <v>14.99611</v>
      </c>
      <c r="AF965" s="96"/>
      <c r="AG965" s="96"/>
      <c r="AH965" s="96"/>
      <c r="AI965" s="98">
        <v>1.2999999999999999E-5</v>
      </c>
      <c r="AJ965" s="98">
        <v>2.3319999999999999E-3</v>
      </c>
      <c r="AK965" s="98">
        <v>8.9899999999999995E-4</v>
      </c>
      <c r="AL965" s="106"/>
    </row>
    <row r="966" spans="1:38" ht="15" customHeight="1">
      <c r="A966" s="106"/>
      <c r="B966" s="96">
        <v>286</v>
      </c>
      <c r="C966" s="96">
        <v>9803</v>
      </c>
      <c r="D966" s="96" t="s">
        <v>1496</v>
      </c>
      <c r="E966" s="96">
        <v>510216054</v>
      </c>
      <c r="F966" s="96" t="s">
        <v>308</v>
      </c>
      <c r="G966" s="96" t="s">
        <v>1554</v>
      </c>
      <c r="H966" s="96" t="s">
        <v>1555</v>
      </c>
      <c r="I966" s="96" t="s">
        <v>320</v>
      </c>
      <c r="J966" s="96" t="s">
        <v>952</v>
      </c>
      <c r="K966" s="96" t="s">
        <v>203</v>
      </c>
      <c r="L966" s="96" t="s">
        <v>203</v>
      </c>
      <c r="M966" s="96" t="s">
        <v>324</v>
      </c>
      <c r="N966" s="96" t="s">
        <v>339</v>
      </c>
      <c r="O966" s="96" t="s">
        <v>439</v>
      </c>
      <c r="P966" s="96" t="s">
        <v>337</v>
      </c>
      <c r="Q966" s="96" t="s">
        <v>1332</v>
      </c>
      <c r="R966" s="96" t="s">
        <v>412</v>
      </c>
      <c r="S966" s="96" t="s">
        <v>406</v>
      </c>
      <c r="T966" s="96" t="s">
        <v>1200</v>
      </c>
      <c r="U966" s="97">
        <v>6.81</v>
      </c>
      <c r="V966" s="100">
        <v>49460</v>
      </c>
      <c r="W966" s="98">
        <v>5.8599999999999999E-2</v>
      </c>
      <c r="X966" s="98">
        <v>6.1100000000000002E-2</v>
      </c>
      <c r="Y966" s="96" t="s">
        <v>411</v>
      </c>
      <c r="Z966" s="96"/>
      <c r="AA966" s="97">
        <v>17898.579186999999</v>
      </c>
      <c r="AB966" s="97">
        <v>1</v>
      </c>
      <c r="AC966" s="97">
        <v>100.02</v>
      </c>
      <c r="AD966" s="97"/>
      <c r="AE966" s="97">
        <v>17.902158</v>
      </c>
      <c r="AF966" s="96"/>
      <c r="AG966" s="96"/>
      <c r="AH966" s="96"/>
      <c r="AI966" s="98">
        <v>8.8999999999999995E-5</v>
      </c>
      <c r="AJ966" s="98">
        <v>2.784E-3</v>
      </c>
      <c r="AK966" s="98">
        <v>1.073E-3</v>
      </c>
      <c r="AL966" s="106"/>
    </row>
    <row r="967" spans="1:38" ht="15" customHeight="1">
      <c r="A967" s="106"/>
      <c r="B967" s="96">
        <v>286</v>
      </c>
      <c r="C967" s="96">
        <v>9803</v>
      </c>
      <c r="D967" s="96" t="s">
        <v>1346</v>
      </c>
      <c r="E967" s="96">
        <v>520025370</v>
      </c>
      <c r="F967" s="96" t="s">
        <v>308</v>
      </c>
      <c r="G967" s="96" t="s">
        <v>1420</v>
      </c>
      <c r="H967" s="96" t="s">
        <v>1348</v>
      </c>
      <c r="I967" s="96" t="s">
        <v>320</v>
      </c>
      <c r="J967" s="96" t="s">
        <v>952</v>
      </c>
      <c r="K967" s="96" t="s">
        <v>203</v>
      </c>
      <c r="L967" s="96" t="s">
        <v>203</v>
      </c>
      <c r="M967" s="96" t="s">
        <v>326</v>
      </c>
      <c r="N967" s="96" t="s">
        <v>339</v>
      </c>
      <c r="O967" s="96" t="s">
        <v>450</v>
      </c>
      <c r="P967" s="96" t="s">
        <v>338</v>
      </c>
      <c r="Q967" s="96" t="s">
        <v>1332</v>
      </c>
      <c r="R967" s="96" t="s">
        <v>412</v>
      </c>
      <c r="S967" s="96" t="s">
        <v>406</v>
      </c>
      <c r="T967" s="96" t="s">
        <v>1200</v>
      </c>
      <c r="U967" s="97">
        <v>2.5099999999999998</v>
      </c>
      <c r="V967" s="100">
        <v>47376</v>
      </c>
      <c r="W967" s="98">
        <v>2.0400000000000001E-2</v>
      </c>
      <c r="X967" s="98">
        <v>5.5399999999999998E-2</v>
      </c>
      <c r="Y967" s="96" t="s">
        <v>411</v>
      </c>
      <c r="Z967" s="96"/>
      <c r="AA967" s="97">
        <v>1638.350025</v>
      </c>
      <c r="AB967" s="97">
        <v>1</v>
      </c>
      <c r="AC967" s="97">
        <v>92.290700000000001</v>
      </c>
      <c r="AD967" s="97"/>
      <c r="AE967" s="97">
        <v>1.5120439999999999</v>
      </c>
      <c r="AF967" s="96"/>
      <c r="AG967" s="96"/>
      <c r="AH967" s="96"/>
      <c r="AI967" s="98">
        <v>3.0000000000000001E-6</v>
      </c>
      <c r="AJ967" s="98">
        <v>2.3499999999999999E-4</v>
      </c>
      <c r="AK967" s="98">
        <v>9.0000000000000006E-5</v>
      </c>
      <c r="AL967" s="106"/>
    </row>
    <row r="968" spans="1:38" ht="15" customHeight="1">
      <c r="A968" s="106"/>
      <c r="B968" s="96">
        <v>286</v>
      </c>
      <c r="C968" s="96">
        <v>9803</v>
      </c>
      <c r="D968" s="96" t="s">
        <v>1597</v>
      </c>
      <c r="E968" s="96">
        <v>520020116</v>
      </c>
      <c r="F968" s="96" t="s">
        <v>308</v>
      </c>
      <c r="G968" s="96" t="s">
        <v>1651</v>
      </c>
      <c r="H968" s="96" t="s">
        <v>1652</v>
      </c>
      <c r="I968" s="96" t="s">
        <v>320</v>
      </c>
      <c r="J968" s="96" t="s">
        <v>753</v>
      </c>
      <c r="K968" s="96" t="s">
        <v>203</v>
      </c>
      <c r="L968" s="96" t="s">
        <v>203</v>
      </c>
      <c r="M968" s="96" t="s">
        <v>324</v>
      </c>
      <c r="N968" s="96" t="s">
        <v>339</v>
      </c>
      <c r="O968" s="96" t="s">
        <v>463</v>
      </c>
      <c r="P968" s="96" t="s">
        <v>337</v>
      </c>
      <c r="Q968" s="96" t="s">
        <v>1328</v>
      </c>
      <c r="R968" s="96" t="s">
        <v>412</v>
      </c>
      <c r="S968" s="96" t="s">
        <v>406</v>
      </c>
      <c r="T968" s="96" t="s">
        <v>1200</v>
      </c>
      <c r="U968" s="97">
        <v>3.03</v>
      </c>
      <c r="V968" s="100">
        <v>46752</v>
      </c>
      <c r="W968" s="98">
        <v>1.7999999999999999E-2</v>
      </c>
      <c r="X968" s="98">
        <v>3.0200000000000001E-2</v>
      </c>
      <c r="Y968" s="96" t="s">
        <v>411</v>
      </c>
      <c r="Z968" s="96"/>
      <c r="AA968" s="97">
        <v>11836.325763000001</v>
      </c>
      <c r="AB968" s="97">
        <v>1</v>
      </c>
      <c r="AC968" s="97">
        <v>110.52</v>
      </c>
      <c r="AD968" s="97"/>
      <c r="AE968" s="97">
        <v>13.081507</v>
      </c>
      <c r="AF968" s="96"/>
      <c r="AG968" s="96"/>
      <c r="AH968" s="96"/>
      <c r="AI968" s="98">
        <v>1.5E-5</v>
      </c>
      <c r="AJ968" s="98">
        <v>2.0339999999999998E-3</v>
      </c>
      <c r="AK968" s="98">
        <v>7.8399999999999997E-4</v>
      </c>
      <c r="AL968" s="106"/>
    </row>
    <row r="969" spans="1:38" ht="15" customHeight="1">
      <c r="A969" s="106"/>
      <c r="B969" s="96">
        <v>286</v>
      </c>
      <c r="C969" s="96">
        <v>9803</v>
      </c>
      <c r="D969" s="96" t="s">
        <v>1597</v>
      </c>
      <c r="E969" s="96">
        <v>520020116</v>
      </c>
      <c r="F969" s="96" t="s">
        <v>308</v>
      </c>
      <c r="G969" s="96" t="s">
        <v>1598</v>
      </c>
      <c r="H969" s="96" t="s">
        <v>1599</v>
      </c>
      <c r="I969" s="96" t="s">
        <v>320</v>
      </c>
      <c r="J969" s="96" t="s">
        <v>753</v>
      </c>
      <c r="K969" s="96" t="s">
        <v>203</v>
      </c>
      <c r="L969" s="96" t="s">
        <v>203</v>
      </c>
      <c r="M969" s="96" t="s">
        <v>324</v>
      </c>
      <c r="N969" s="96" t="s">
        <v>339</v>
      </c>
      <c r="O969" s="96" t="s">
        <v>463</v>
      </c>
      <c r="P969" s="96" t="s">
        <v>337</v>
      </c>
      <c r="Q969" s="96" t="s">
        <v>1328</v>
      </c>
      <c r="R969" s="96" t="s">
        <v>412</v>
      </c>
      <c r="S969" s="96" t="s">
        <v>406</v>
      </c>
      <c r="T969" s="96" t="s">
        <v>1200</v>
      </c>
      <c r="U969" s="97">
        <v>3.45</v>
      </c>
      <c r="V969" s="100">
        <v>47483</v>
      </c>
      <c r="W969" s="98">
        <v>2.7E-2</v>
      </c>
      <c r="X969" s="98">
        <v>3.4200000000000001E-2</v>
      </c>
      <c r="Y969" s="96" t="s">
        <v>411</v>
      </c>
      <c r="Z969" s="96"/>
      <c r="AA969" s="97">
        <v>17463.136189000001</v>
      </c>
      <c r="AB969" s="97">
        <v>1</v>
      </c>
      <c r="AC969" s="97">
        <v>102.95</v>
      </c>
      <c r="AD969" s="97"/>
      <c r="AE969" s="97">
        <v>17.978297999999999</v>
      </c>
      <c r="AF969" s="96"/>
      <c r="AG969" s="96"/>
      <c r="AH969" s="96"/>
      <c r="AI969" s="98">
        <v>3.8999999999999999E-5</v>
      </c>
      <c r="AJ969" s="98">
        <v>2.7959999999999999E-3</v>
      </c>
      <c r="AK969" s="98">
        <v>1.078E-3</v>
      </c>
      <c r="AL969" s="106"/>
    </row>
    <row r="970" spans="1:38" ht="15" customHeight="1">
      <c r="A970" s="106"/>
      <c r="B970" s="96">
        <v>286</v>
      </c>
      <c r="C970" s="96">
        <v>9803</v>
      </c>
      <c r="D970" s="96" t="s">
        <v>1340</v>
      </c>
      <c r="E970" s="96">
        <v>520036658</v>
      </c>
      <c r="F970" s="96" t="s">
        <v>308</v>
      </c>
      <c r="G970" s="96" t="s">
        <v>1684</v>
      </c>
      <c r="H970" s="96" t="s">
        <v>1685</v>
      </c>
      <c r="I970" s="96" t="s">
        <v>320</v>
      </c>
      <c r="J970" s="96" t="s">
        <v>952</v>
      </c>
      <c r="K970" s="96" t="s">
        <v>203</v>
      </c>
      <c r="L970" s="96" t="s">
        <v>203</v>
      </c>
      <c r="M970" s="96" t="s">
        <v>324</v>
      </c>
      <c r="N970" s="96" t="s">
        <v>339</v>
      </c>
      <c r="O970" s="96" t="s">
        <v>439</v>
      </c>
      <c r="P970" s="96" t="s">
        <v>338</v>
      </c>
      <c r="Q970" s="96" t="s">
        <v>1320</v>
      </c>
      <c r="R970" s="96" t="s">
        <v>412</v>
      </c>
      <c r="S970" s="96" t="s">
        <v>406</v>
      </c>
      <c r="T970" s="96" t="s">
        <v>1200</v>
      </c>
      <c r="U970" s="97">
        <v>4.71</v>
      </c>
      <c r="V970" s="100">
        <v>48482</v>
      </c>
      <c r="W970" s="98">
        <v>5.7500000000000002E-2</v>
      </c>
      <c r="X970" s="98">
        <v>6.7699999999999996E-2</v>
      </c>
      <c r="Y970" s="96" t="s">
        <v>411</v>
      </c>
      <c r="Z970" s="96"/>
      <c r="AA970" s="97">
        <v>21263.160864000001</v>
      </c>
      <c r="AB970" s="97">
        <v>1</v>
      </c>
      <c r="AC970" s="97">
        <v>97.35</v>
      </c>
      <c r="AD970" s="97"/>
      <c r="AE970" s="97">
        <v>20.699687000000001</v>
      </c>
      <c r="AF970" s="96"/>
      <c r="AG970" s="96"/>
      <c r="AH970" s="96"/>
      <c r="AI970" s="98">
        <v>4.0000000000000003E-5</v>
      </c>
      <c r="AJ970" s="98">
        <v>3.2190000000000001E-3</v>
      </c>
      <c r="AK970" s="98">
        <v>1.2409999999999999E-3</v>
      </c>
      <c r="AL970" s="106"/>
    </row>
    <row r="971" spans="1:38" ht="15" customHeight="1">
      <c r="A971" s="106"/>
      <c r="B971" s="96">
        <v>286</v>
      </c>
      <c r="C971" s="96">
        <v>9803</v>
      </c>
      <c r="D971" s="96" t="s">
        <v>1314</v>
      </c>
      <c r="E971" s="96">
        <v>513754069</v>
      </c>
      <c r="F971" s="96" t="s">
        <v>308</v>
      </c>
      <c r="G971" s="96" t="s">
        <v>1682</v>
      </c>
      <c r="H971" s="96" t="s">
        <v>1683</v>
      </c>
      <c r="I971" s="96" t="s">
        <v>320</v>
      </c>
      <c r="J971" s="96" t="s">
        <v>753</v>
      </c>
      <c r="K971" s="96" t="s">
        <v>203</v>
      </c>
      <c r="L971" s="96" t="s">
        <v>203</v>
      </c>
      <c r="M971" s="96" t="s">
        <v>324</v>
      </c>
      <c r="N971" s="96" t="s">
        <v>339</v>
      </c>
      <c r="O971" s="96" t="s">
        <v>444</v>
      </c>
      <c r="P971" s="96" t="s">
        <v>338</v>
      </c>
      <c r="Q971" s="96" t="s">
        <v>1332</v>
      </c>
      <c r="R971" s="96" t="s">
        <v>412</v>
      </c>
      <c r="S971" s="96" t="s">
        <v>406</v>
      </c>
      <c r="T971" s="96" t="s">
        <v>1200</v>
      </c>
      <c r="U971" s="97">
        <v>1.06</v>
      </c>
      <c r="V971" s="100">
        <v>45869</v>
      </c>
      <c r="W971" s="98">
        <v>2.4799999999999999E-2</v>
      </c>
      <c r="X971" s="98">
        <v>2.7799999999999998E-2</v>
      </c>
      <c r="Y971" s="96" t="s">
        <v>411</v>
      </c>
      <c r="Z971" s="96"/>
      <c r="AA971" s="97">
        <v>1620.6885030000001</v>
      </c>
      <c r="AB971" s="97">
        <v>1</v>
      </c>
      <c r="AC971" s="97">
        <v>114.58</v>
      </c>
      <c r="AD971" s="97"/>
      <c r="AE971" s="97">
        <v>1.856984</v>
      </c>
      <c r="AF971" s="96"/>
      <c r="AG971" s="96"/>
      <c r="AH971" s="96"/>
      <c r="AI971" s="98">
        <v>3.0000000000000001E-6</v>
      </c>
      <c r="AJ971" s="98">
        <v>2.8800000000000001E-4</v>
      </c>
      <c r="AK971" s="98">
        <v>1.11E-4</v>
      </c>
      <c r="AL971" s="106"/>
    </row>
    <row r="972" spans="1:38" ht="15" customHeight="1">
      <c r="A972" s="106"/>
      <c r="B972" s="96">
        <v>286</v>
      </c>
      <c r="C972" s="96">
        <v>9803</v>
      </c>
      <c r="D972" s="96" t="s">
        <v>1414</v>
      </c>
      <c r="E972" s="96">
        <v>520037789</v>
      </c>
      <c r="F972" s="96" t="s">
        <v>308</v>
      </c>
      <c r="G972" s="96" t="s">
        <v>1455</v>
      </c>
      <c r="H972" s="96" t="s">
        <v>1456</v>
      </c>
      <c r="I972" s="96" t="s">
        <v>320</v>
      </c>
      <c r="J972" s="96" t="s">
        <v>753</v>
      </c>
      <c r="K972" s="96" t="s">
        <v>203</v>
      </c>
      <c r="L972" s="96" t="s">
        <v>203</v>
      </c>
      <c r="M972" s="96" t="s">
        <v>324</v>
      </c>
      <c r="N972" s="96" t="s">
        <v>339</v>
      </c>
      <c r="O972" s="96" t="s">
        <v>463</v>
      </c>
      <c r="P972" s="96" t="s">
        <v>337</v>
      </c>
      <c r="Q972" s="96" t="s">
        <v>1313</v>
      </c>
      <c r="R972" s="96" t="s">
        <v>412</v>
      </c>
      <c r="S972" s="96" t="s">
        <v>406</v>
      </c>
      <c r="T972" s="96" t="s">
        <v>1200</v>
      </c>
      <c r="U972" s="97">
        <v>4.59</v>
      </c>
      <c r="V972" s="100">
        <v>47300</v>
      </c>
      <c r="W972" s="98">
        <v>1.43E-2</v>
      </c>
      <c r="X972" s="98">
        <v>3.1800000000000002E-2</v>
      </c>
      <c r="Y972" s="96" t="s">
        <v>411</v>
      </c>
      <c r="Z972" s="96"/>
      <c r="AA972" s="97">
        <v>42467.840201999999</v>
      </c>
      <c r="AB972" s="97">
        <v>1</v>
      </c>
      <c r="AC972" s="97">
        <v>104.95</v>
      </c>
      <c r="AD972" s="97">
        <v>0.52407199999999998</v>
      </c>
      <c r="AE972" s="97">
        <v>45.094070000000002</v>
      </c>
      <c r="AF972" s="96"/>
      <c r="AG972" s="96"/>
      <c r="AH972" s="96"/>
      <c r="AI972" s="98">
        <v>3.6999999999999998E-5</v>
      </c>
      <c r="AJ972" s="98">
        <v>7.0130000000000001E-3</v>
      </c>
      <c r="AK972" s="98">
        <v>2.7030000000000001E-3</v>
      </c>
      <c r="AL972" s="106"/>
    </row>
    <row r="973" spans="1:38" ht="15" customHeight="1">
      <c r="A973" s="106"/>
      <c r="B973" s="96">
        <v>286</v>
      </c>
      <c r="C973" s="96">
        <v>9803</v>
      </c>
      <c r="D973" s="96" t="s">
        <v>1570</v>
      </c>
      <c r="E973" s="96">
        <v>512719485</v>
      </c>
      <c r="F973" s="96" t="s">
        <v>308</v>
      </c>
      <c r="G973" s="96" t="s">
        <v>1571</v>
      </c>
      <c r="H973" s="96" t="s">
        <v>1572</v>
      </c>
      <c r="I973" s="96" t="s">
        <v>320</v>
      </c>
      <c r="J973" s="96" t="s">
        <v>952</v>
      </c>
      <c r="K973" s="96" t="s">
        <v>203</v>
      </c>
      <c r="L973" s="96" t="s">
        <v>203</v>
      </c>
      <c r="M973" s="96" t="s">
        <v>324</v>
      </c>
      <c r="N973" s="96" t="s">
        <v>339</v>
      </c>
      <c r="O973" s="96" t="s">
        <v>463</v>
      </c>
      <c r="P973" s="96" t="s">
        <v>337</v>
      </c>
      <c r="Q973" s="96" t="s">
        <v>1520</v>
      </c>
      <c r="R973" s="96" t="s">
        <v>414</v>
      </c>
      <c r="S973" s="96" t="s">
        <v>406</v>
      </c>
      <c r="T973" s="96" t="s">
        <v>1200</v>
      </c>
      <c r="U973" s="97">
        <v>5.56</v>
      </c>
      <c r="V973" s="100">
        <v>48395</v>
      </c>
      <c r="W973" s="98">
        <v>5.4800000000000001E-2</v>
      </c>
      <c r="X973" s="98">
        <v>6.3299999999999995E-2</v>
      </c>
      <c r="Y973" s="96" t="s">
        <v>411</v>
      </c>
      <c r="Z973" s="96"/>
      <c r="AA973" s="97">
        <v>14148.876566000001</v>
      </c>
      <c r="AB973" s="97">
        <v>1</v>
      </c>
      <c r="AC973" s="97">
        <v>95.98</v>
      </c>
      <c r="AD973" s="97"/>
      <c r="AE973" s="97">
        <v>13.580090999999999</v>
      </c>
      <c r="AF973" s="96"/>
      <c r="AG973" s="96"/>
      <c r="AH973" s="96"/>
      <c r="AI973" s="98">
        <v>4.6999999999999997E-5</v>
      </c>
      <c r="AJ973" s="98">
        <v>2.1120000000000002E-3</v>
      </c>
      <c r="AK973" s="98">
        <v>8.1400000000000005E-4</v>
      </c>
      <c r="AL973" s="106"/>
    </row>
    <row r="974" spans="1:38" ht="15" customHeight="1">
      <c r="A974" s="106"/>
      <c r="B974" s="96">
        <v>286</v>
      </c>
      <c r="C974" s="96">
        <v>9803</v>
      </c>
      <c r="D974" s="96" t="s">
        <v>1565</v>
      </c>
      <c r="E974" s="96">
        <v>520033234</v>
      </c>
      <c r="F974" s="96" t="s">
        <v>308</v>
      </c>
      <c r="G974" s="96" t="s">
        <v>2006</v>
      </c>
      <c r="H974" s="96" t="s">
        <v>1695</v>
      </c>
      <c r="I974" s="96" t="s">
        <v>320</v>
      </c>
      <c r="J974" s="96" t="s">
        <v>952</v>
      </c>
      <c r="K974" s="96" t="s">
        <v>203</v>
      </c>
      <c r="L974" s="96" t="s">
        <v>203</v>
      </c>
      <c r="M974" s="96" t="s">
        <v>326</v>
      </c>
      <c r="N974" s="96" t="s">
        <v>339</v>
      </c>
      <c r="O974" s="96" t="s">
        <v>464</v>
      </c>
      <c r="P974" s="96" t="s">
        <v>337</v>
      </c>
      <c r="Q974" s="96" t="s">
        <v>1309</v>
      </c>
      <c r="R974" s="96" t="s">
        <v>414</v>
      </c>
      <c r="S974" s="96" t="s">
        <v>406</v>
      </c>
      <c r="T974" s="96" t="s">
        <v>1200</v>
      </c>
      <c r="U974" s="97">
        <v>4.0999999999999996</v>
      </c>
      <c r="V974" s="100">
        <v>47299</v>
      </c>
      <c r="W974" s="98">
        <v>5.5E-2</v>
      </c>
      <c r="X974" s="98">
        <v>8.5300000000000001E-2</v>
      </c>
      <c r="Y974" s="96" t="s">
        <v>411</v>
      </c>
      <c r="Z974" s="96"/>
      <c r="AA974" s="97">
        <v>11932.386125000001</v>
      </c>
      <c r="AB974" s="97">
        <v>1</v>
      </c>
      <c r="AC974" s="97">
        <v>88.947699999999998</v>
      </c>
      <c r="AD974" s="97"/>
      <c r="AE974" s="97">
        <v>10.613581999999999</v>
      </c>
      <c r="AF974" s="96"/>
      <c r="AG974" s="96"/>
      <c r="AH974" s="96"/>
      <c r="AI974" s="98">
        <v>2.0000000000000002E-5</v>
      </c>
      <c r="AJ974" s="98">
        <v>1.65E-3</v>
      </c>
      <c r="AK974" s="98">
        <v>6.3599999999999996E-4</v>
      </c>
      <c r="AL974" s="106"/>
    </row>
    <row r="975" spans="1:38" ht="15" customHeight="1">
      <c r="A975" s="106"/>
      <c r="B975" s="96">
        <v>286</v>
      </c>
      <c r="C975" s="96">
        <v>9803</v>
      </c>
      <c r="D975" s="96" t="s">
        <v>1317</v>
      </c>
      <c r="E975" s="96">
        <v>520028911</v>
      </c>
      <c r="F975" s="96" t="s">
        <v>308</v>
      </c>
      <c r="G975" s="96" t="s">
        <v>1318</v>
      </c>
      <c r="H975" s="96" t="s">
        <v>1319</v>
      </c>
      <c r="I975" s="96" t="s">
        <v>320</v>
      </c>
      <c r="J975" s="96" t="s">
        <v>952</v>
      </c>
      <c r="K975" s="96" t="s">
        <v>203</v>
      </c>
      <c r="L975" s="96" t="s">
        <v>203</v>
      </c>
      <c r="M975" s="96" t="s">
        <v>324</v>
      </c>
      <c r="N975" s="96" t="s">
        <v>339</v>
      </c>
      <c r="O975" s="96" t="s">
        <v>450</v>
      </c>
      <c r="P975" s="96" t="s">
        <v>337</v>
      </c>
      <c r="Q975" s="96" t="s">
        <v>1320</v>
      </c>
      <c r="R975" s="96" t="s">
        <v>412</v>
      </c>
      <c r="S975" s="96" t="s">
        <v>406</v>
      </c>
      <c r="T975" s="96" t="s">
        <v>1200</v>
      </c>
      <c r="U975" s="97">
        <v>3.13</v>
      </c>
      <c r="V975" s="100">
        <v>47858</v>
      </c>
      <c r="W975" s="98">
        <v>0.04</v>
      </c>
      <c r="X975" s="98">
        <v>5.6899999999999999E-2</v>
      </c>
      <c r="Y975" s="96" t="s">
        <v>411</v>
      </c>
      <c r="Z975" s="96"/>
      <c r="AA975" s="97">
        <v>12436.062934</v>
      </c>
      <c r="AB975" s="97">
        <v>1</v>
      </c>
      <c r="AC975" s="97">
        <v>96.92</v>
      </c>
      <c r="AD975" s="97"/>
      <c r="AE975" s="97">
        <v>12.053032</v>
      </c>
      <c r="AF975" s="96"/>
      <c r="AG975" s="96"/>
      <c r="AH975" s="96"/>
      <c r="AI975" s="98">
        <v>1.8E-5</v>
      </c>
      <c r="AJ975" s="98">
        <v>1.874E-3</v>
      </c>
      <c r="AK975" s="98">
        <v>7.2199999999999999E-4</v>
      </c>
      <c r="AL975" s="106"/>
    </row>
    <row r="976" spans="1:38" ht="15" customHeight="1">
      <c r="A976" s="106"/>
      <c r="B976" s="96">
        <v>286</v>
      </c>
      <c r="C976" s="96">
        <v>9803</v>
      </c>
      <c r="D976" s="96" t="s">
        <v>1417</v>
      </c>
      <c r="E976" s="96">
        <v>513230029</v>
      </c>
      <c r="F976" s="96" t="s">
        <v>308</v>
      </c>
      <c r="G976" s="96" t="s">
        <v>1769</v>
      </c>
      <c r="H976" s="96" t="s">
        <v>1770</v>
      </c>
      <c r="I976" s="96" t="s">
        <v>320</v>
      </c>
      <c r="J976" s="96" t="s">
        <v>952</v>
      </c>
      <c r="K976" s="96" t="s">
        <v>203</v>
      </c>
      <c r="L976" s="96" t="s">
        <v>203</v>
      </c>
      <c r="M976" s="96" t="s">
        <v>324</v>
      </c>
      <c r="N976" s="96" t="s">
        <v>339</v>
      </c>
      <c r="O976" s="96" t="s">
        <v>444</v>
      </c>
      <c r="P976" s="96" t="s">
        <v>338</v>
      </c>
      <c r="Q976" s="96" t="s">
        <v>1357</v>
      </c>
      <c r="R976" s="96" t="s">
        <v>414</v>
      </c>
      <c r="S976" s="96" t="s">
        <v>406</v>
      </c>
      <c r="T976" s="96" t="s">
        <v>1200</v>
      </c>
      <c r="U976" s="97">
        <v>3.56</v>
      </c>
      <c r="V976" s="100">
        <v>46843</v>
      </c>
      <c r="W976" s="98">
        <v>3.2599999999999997E-2</v>
      </c>
      <c r="X976" s="98">
        <v>5.7500000000000002E-2</v>
      </c>
      <c r="Y976" s="96" t="s">
        <v>411</v>
      </c>
      <c r="Z976" s="96"/>
      <c r="AA976" s="97">
        <v>16142.206328</v>
      </c>
      <c r="AB976" s="97">
        <v>1</v>
      </c>
      <c r="AC976" s="97">
        <v>92.62</v>
      </c>
      <c r="AD976" s="97"/>
      <c r="AE976" s="97">
        <v>14.950911</v>
      </c>
      <c r="AF976" s="96"/>
      <c r="AG976" s="96"/>
      <c r="AH976" s="96"/>
      <c r="AI976" s="98">
        <v>1.5999999999999999E-5</v>
      </c>
      <c r="AJ976" s="98">
        <v>2.3249999999999998E-3</v>
      </c>
      <c r="AK976" s="98">
        <v>8.9599999999999999E-4</v>
      </c>
      <c r="AL976" s="106"/>
    </row>
    <row r="977" spans="1:38" ht="15" customHeight="1">
      <c r="A977" s="106"/>
      <c r="B977" s="96">
        <v>286</v>
      </c>
      <c r="C977" s="96">
        <v>9803</v>
      </c>
      <c r="D977" s="96" t="s">
        <v>1317</v>
      </c>
      <c r="E977" s="96">
        <v>520028911</v>
      </c>
      <c r="F977" s="96" t="s">
        <v>308</v>
      </c>
      <c r="G977" s="96" t="s">
        <v>1783</v>
      </c>
      <c r="H977" s="96" t="s">
        <v>1784</v>
      </c>
      <c r="I977" s="96" t="s">
        <v>320</v>
      </c>
      <c r="J977" s="96" t="s">
        <v>952</v>
      </c>
      <c r="K977" s="96" t="s">
        <v>203</v>
      </c>
      <c r="L977" s="96" t="s">
        <v>203</v>
      </c>
      <c r="M977" s="96" t="s">
        <v>324</v>
      </c>
      <c r="N977" s="96" t="s">
        <v>339</v>
      </c>
      <c r="O977" s="96" t="s">
        <v>450</v>
      </c>
      <c r="P977" s="96" t="s">
        <v>337</v>
      </c>
      <c r="Q977" s="96" t="s">
        <v>1320</v>
      </c>
      <c r="R977" s="96" t="s">
        <v>412</v>
      </c>
      <c r="S977" s="96" t="s">
        <v>406</v>
      </c>
      <c r="T977" s="96" t="s">
        <v>1200</v>
      </c>
      <c r="U977" s="97">
        <v>1.46</v>
      </c>
      <c r="V977" s="100">
        <v>46203</v>
      </c>
      <c r="W977" s="98">
        <v>0.04</v>
      </c>
      <c r="X977" s="98">
        <v>4.9399999999999999E-2</v>
      </c>
      <c r="Y977" s="96" t="s">
        <v>411</v>
      </c>
      <c r="Z977" s="96"/>
      <c r="AA977" s="97">
        <v>1590.98723</v>
      </c>
      <c r="AB977" s="97">
        <v>1</v>
      </c>
      <c r="AC977" s="97">
        <v>98.76</v>
      </c>
      <c r="AD977" s="97"/>
      <c r="AE977" s="97">
        <v>1.571258</v>
      </c>
      <c r="AF977" s="96"/>
      <c r="AG977" s="96"/>
      <c r="AH977" s="96"/>
      <c r="AI977" s="98">
        <v>1.2E-5</v>
      </c>
      <c r="AJ977" s="98">
        <v>2.4399999999999999E-4</v>
      </c>
      <c r="AK977" s="98">
        <v>9.3999999999999994E-5</v>
      </c>
      <c r="AL977" s="106"/>
    </row>
    <row r="978" spans="1:38" ht="15" customHeight="1">
      <c r="A978" s="106"/>
      <c r="B978" s="96">
        <v>286</v>
      </c>
      <c r="C978" s="96">
        <v>9803</v>
      </c>
      <c r="D978" s="96" t="s">
        <v>1361</v>
      </c>
      <c r="E978" s="96">
        <v>512764408</v>
      </c>
      <c r="F978" s="96" t="s">
        <v>308</v>
      </c>
      <c r="G978" s="96" t="s">
        <v>1362</v>
      </c>
      <c r="H978" s="96" t="s">
        <v>1363</v>
      </c>
      <c r="I978" s="96" t="s">
        <v>320</v>
      </c>
      <c r="J978" s="96" t="s">
        <v>952</v>
      </c>
      <c r="K978" s="96" t="s">
        <v>203</v>
      </c>
      <c r="L978" s="96" t="s">
        <v>203</v>
      </c>
      <c r="M978" s="96" t="s">
        <v>324</v>
      </c>
      <c r="N978" s="96" t="s">
        <v>339</v>
      </c>
      <c r="O978" s="96" t="s">
        <v>442</v>
      </c>
      <c r="P978" s="96" t="s">
        <v>338</v>
      </c>
      <c r="Q978" s="96" t="s">
        <v>1309</v>
      </c>
      <c r="R978" s="96" t="s">
        <v>414</v>
      </c>
      <c r="S978" s="96" t="s">
        <v>406</v>
      </c>
      <c r="T978" s="96" t="s">
        <v>1200</v>
      </c>
      <c r="U978" s="97">
        <v>1.19</v>
      </c>
      <c r="V978" s="100">
        <v>46295</v>
      </c>
      <c r="W978" s="98">
        <v>6.9000000000000006E-2</v>
      </c>
      <c r="X978" s="98">
        <v>6.88E-2</v>
      </c>
      <c r="Y978" s="96" t="s">
        <v>411</v>
      </c>
      <c r="Z978" s="96"/>
      <c r="AA978" s="97">
        <v>948.98187299999995</v>
      </c>
      <c r="AB978" s="97">
        <v>1</v>
      </c>
      <c r="AC978" s="97">
        <v>101.87</v>
      </c>
      <c r="AD978" s="97"/>
      <c r="AE978" s="97">
        <v>0.966727</v>
      </c>
      <c r="AF978" s="96"/>
      <c r="AG978" s="96"/>
      <c r="AH978" s="96"/>
      <c r="AI978" s="98">
        <v>1.9999999999999999E-6</v>
      </c>
      <c r="AJ978" s="98">
        <v>1.4999999999999999E-4</v>
      </c>
      <c r="AK978" s="98">
        <v>5.7000000000000003E-5</v>
      </c>
      <c r="AL978" s="106"/>
    </row>
    <row r="979" spans="1:38" ht="15" customHeight="1">
      <c r="A979" s="106"/>
      <c r="B979" s="96">
        <v>286</v>
      </c>
      <c r="C979" s="96">
        <v>9803</v>
      </c>
      <c r="D979" s="96" t="s">
        <v>1484</v>
      </c>
      <c r="E979" s="96">
        <v>520036617</v>
      </c>
      <c r="F979" s="96" t="s">
        <v>308</v>
      </c>
      <c r="G979" s="96" t="s">
        <v>2039</v>
      </c>
      <c r="H979" s="96" t="s">
        <v>1778</v>
      </c>
      <c r="I979" s="96" t="s">
        <v>320</v>
      </c>
      <c r="J979" s="96" t="s">
        <v>753</v>
      </c>
      <c r="K979" s="96" t="s">
        <v>203</v>
      </c>
      <c r="L979" s="96" t="s">
        <v>203</v>
      </c>
      <c r="M979" s="96" t="s">
        <v>326</v>
      </c>
      <c r="N979" s="96" t="s">
        <v>339</v>
      </c>
      <c r="O979" s="96" t="s">
        <v>463</v>
      </c>
      <c r="P979" s="96" t="s">
        <v>338</v>
      </c>
      <c r="Q979" s="96" t="s">
        <v>1328</v>
      </c>
      <c r="R979" s="96" t="s">
        <v>412</v>
      </c>
      <c r="S979" s="96" t="s">
        <v>406</v>
      </c>
      <c r="T979" s="96" t="s">
        <v>1200</v>
      </c>
      <c r="U979" s="97">
        <v>4.79</v>
      </c>
      <c r="V979" s="100">
        <v>47848</v>
      </c>
      <c r="W979" s="98">
        <v>8.9999999999999993E-3</v>
      </c>
      <c r="X979" s="98">
        <v>3.8399999999999997E-2</v>
      </c>
      <c r="Y979" s="96" t="s">
        <v>411</v>
      </c>
      <c r="Z979" s="96"/>
      <c r="AA979" s="97">
        <v>303.064864</v>
      </c>
      <c r="AB979" s="97">
        <v>1</v>
      </c>
      <c r="AC979" s="97">
        <v>96.476200000000006</v>
      </c>
      <c r="AD979" s="97"/>
      <c r="AE979" s="97">
        <v>0.29238500000000001</v>
      </c>
      <c r="AF979" s="96"/>
      <c r="AG979" s="96"/>
      <c r="AH979" s="96"/>
      <c r="AI979" s="98">
        <v>0</v>
      </c>
      <c r="AJ979" s="98">
        <v>4.5000000000000003E-5</v>
      </c>
      <c r="AK979" s="98">
        <v>1.7E-5</v>
      </c>
      <c r="AL979" s="106"/>
    </row>
    <row r="980" spans="1:38" ht="15" customHeight="1">
      <c r="A980" s="106"/>
      <c r="B980" s="96">
        <v>286</v>
      </c>
      <c r="C980" s="96">
        <v>9803</v>
      </c>
      <c r="D980" s="96" t="s">
        <v>1399</v>
      </c>
      <c r="E980" s="96">
        <v>520032046</v>
      </c>
      <c r="F980" s="96" t="s">
        <v>308</v>
      </c>
      <c r="G980" s="96" t="s">
        <v>1536</v>
      </c>
      <c r="H980" s="96" t="s">
        <v>1537</v>
      </c>
      <c r="I980" s="96" t="s">
        <v>320</v>
      </c>
      <c r="J980" s="96" t="s">
        <v>753</v>
      </c>
      <c r="K980" s="96" t="s">
        <v>203</v>
      </c>
      <c r="L980" s="96" t="s">
        <v>203</v>
      </c>
      <c r="M980" s="96" t="s">
        <v>324</v>
      </c>
      <c r="N980" s="96" t="s">
        <v>339</v>
      </c>
      <c r="O980" s="96" t="s">
        <v>447</v>
      </c>
      <c r="P980" s="96" t="s">
        <v>338</v>
      </c>
      <c r="Q980" s="96" t="s">
        <v>1305</v>
      </c>
      <c r="R980" s="96" t="s">
        <v>414</v>
      </c>
      <c r="S980" s="96" t="s">
        <v>406</v>
      </c>
      <c r="T980" s="96" t="s">
        <v>1200</v>
      </c>
      <c r="U980" s="97">
        <v>1.96</v>
      </c>
      <c r="V980" s="100">
        <v>46197</v>
      </c>
      <c r="W980" s="98">
        <v>1.89E-2</v>
      </c>
      <c r="X980" s="98">
        <v>2.81E-2</v>
      </c>
      <c r="Y980" s="96" t="s">
        <v>410</v>
      </c>
      <c r="Z980" s="96"/>
      <c r="AA980" s="97">
        <v>1801.48404</v>
      </c>
      <c r="AB980" s="97">
        <v>1</v>
      </c>
      <c r="AC980" s="97">
        <v>111.58</v>
      </c>
      <c r="AD980" s="97"/>
      <c r="AE980" s="97">
        <v>2.0100950000000002</v>
      </c>
      <c r="AF980" s="96"/>
      <c r="AG980" s="96"/>
      <c r="AH980" s="96"/>
      <c r="AI980" s="98">
        <v>3.9999999999999998E-6</v>
      </c>
      <c r="AJ980" s="98">
        <v>3.1199999999999999E-4</v>
      </c>
      <c r="AK980" s="98">
        <v>1.2E-4</v>
      </c>
      <c r="AL980" s="106"/>
    </row>
    <row r="981" spans="1:38" ht="15" customHeight="1">
      <c r="A981" s="106"/>
      <c r="B981" s="96">
        <v>286</v>
      </c>
      <c r="C981" s="96">
        <v>9803</v>
      </c>
      <c r="D981" s="96" t="s">
        <v>1329</v>
      </c>
      <c r="E981" s="96">
        <v>513682146</v>
      </c>
      <c r="F981" s="96" t="s">
        <v>308</v>
      </c>
      <c r="G981" s="96" t="s">
        <v>1330</v>
      </c>
      <c r="H981" s="96" t="s">
        <v>1331</v>
      </c>
      <c r="I981" s="96" t="s">
        <v>320</v>
      </c>
      <c r="J981" s="96" t="s">
        <v>753</v>
      </c>
      <c r="K981" s="96" t="s">
        <v>203</v>
      </c>
      <c r="L981" s="96" t="s">
        <v>203</v>
      </c>
      <c r="M981" s="96" t="s">
        <v>324</v>
      </c>
      <c r="N981" s="96" t="s">
        <v>339</v>
      </c>
      <c r="O981" s="96" t="s">
        <v>447</v>
      </c>
      <c r="P981" s="96" t="s">
        <v>338</v>
      </c>
      <c r="Q981" s="96" t="s">
        <v>1332</v>
      </c>
      <c r="R981" s="96" t="s">
        <v>412</v>
      </c>
      <c r="S981" s="96" t="s">
        <v>406</v>
      </c>
      <c r="T981" s="96" t="s">
        <v>1200</v>
      </c>
      <c r="U981" s="97">
        <v>4.75</v>
      </c>
      <c r="V981" s="100">
        <v>47879</v>
      </c>
      <c r="W981" s="98">
        <v>2.5899999999999999E-2</v>
      </c>
      <c r="X981" s="98">
        <v>2.75E-2</v>
      </c>
      <c r="Y981" s="96" t="s">
        <v>411</v>
      </c>
      <c r="Z981" s="96"/>
      <c r="AA981" s="97">
        <v>14868.548604</v>
      </c>
      <c r="AB981" s="97">
        <v>1</v>
      </c>
      <c r="AC981" s="97">
        <v>102.32</v>
      </c>
      <c r="AD981" s="97"/>
      <c r="AE981" s="97">
        <v>15.213498</v>
      </c>
      <c r="AF981" s="96"/>
      <c r="AG981" s="96"/>
      <c r="AH981" s="96"/>
      <c r="AI981" s="98">
        <v>3.3000000000000003E-5</v>
      </c>
      <c r="AJ981" s="98">
        <v>2.366E-3</v>
      </c>
      <c r="AK981" s="98">
        <v>9.1200000000000005E-4</v>
      </c>
      <c r="AL981" s="106"/>
    </row>
    <row r="982" spans="1:38" ht="15" customHeight="1">
      <c r="A982" s="106"/>
      <c r="B982" s="96">
        <v>286</v>
      </c>
      <c r="C982" s="96">
        <v>9803</v>
      </c>
      <c r="D982" s="96" t="s">
        <v>1325</v>
      </c>
      <c r="E982" s="96">
        <v>510488190</v>
      </c>
      <c r="F982" s="96" t="s">
        <v>308</v>
      </c>
      <c r="G982" s="96" t="s">
        <v>1326</v>
      </c>
      <c r="H982" s="96" t="s">
        <v>1327</v>
      </c>
      <c r="I982" s="96" t="s">
        <v>320</v>
      </c>
      <c r="J982" s="96" t="s">
        <v>952</v>
      </c>
      <c r="K982" s="96" t="s">
        <v>203</v>
      </c>
      <c r="L982" s="96" t="s">
        <v>203</v>
      </c>
      <c r="M982" s="96" t="s">
        <v>324</v>
      </c>
      <c r="N982" s="96" t="s">
        <v>339</v>
      </c>
      <c r="O982" s="96" t="s">
        <v>446</v>
      </c>
      <c r="P982" s="96" t="s">
        <v>338</v>
      </c>
      <c r="Q982" s="96" t="s">
        <v>1328</v>
      </c>
      <c r="R982" s="96" t="s">
        <v>412</v>
      </c>
      <c r="S982" s="96" t="s">
        <v>406</v>
      </c>
      <c r="T982" s="96" t="s">
        <v>1200</v>
      </c>
      <c r="U982" s="97">
        <v>3.09</v>
      </c>
      <c r="V982" s="100">
        <v>47452</v>
      </c>
      <c r="W982" s="98">
        <v>5.3400000000000003E-2</v>
      </c>
      <c r="X982" s="98">
        <v>6.3500000000000001E-2</v>
      </c>
      <c r="Y982" s="96" t="s">
        <v>411</v>
      </c>
      <c r="Z982" s="96"/>
      <c r="AA982" s="97">
        <v>24618.217712999998</v>
      </c>
      <c r="AB982" s="97">
        <v>1</v>
      </c>
      <c r="AC982" s="97">
        <v>97.71</v>
      </c>
      <c r="AD982" s="97"/>
      <c r="AE982" s="97">
        <v>24.054459999999999</v>
      </c>
      <c r="AF982" s="96"/>
      <c r="AG982" s="96"/>
      <c r="AH982" s="96"/>
      <c r="AI982" s="98">
        <v>3.4999999999999997E-5</v>
      </c>
      <c r="AJ982" s="98">
        <v>3.741E-3</v>
      </c>
      <c r="AK982" s="98">
        <v>1.4419999999999999E-3</v>
      </c>
      <c r="AL982" s="106"/>
    </row>
    <row r="983" spans="1:38" ht="15" customHeight="1">
      <c r="A983" s="106"/>
      <c r="B983" s="96">
        <v>286</v>
      </c>
      <c r="C983" s="96">
        <v>9803</v>
      </c>
      <c r="D983" s="96" t="s">
        <v>1491</v>
      </c>
      <c r="E983" s="96">
        <v>520036104</v>
      </c>
      <c r="F983" s="96" t="s">
        <v>308</v>
      </c>
      <c r="G983" s="96" t="s">
        <v>1829</v>
      </c>
      <c r="H983" s="96" t="s">
        <v>1830</v>
      </c>
      <c r="I983" s="96" t="s">
        <v>320</v>
      </c>
      <c r="J983" s="96" t="s">
        <v>753</v>
      </c>
      <c r="K983" s="96" t="s">
        <v>203</v>
      </c>
      <c r="L983" s="96" t="s">
        <v>203</v>
      </c>
      <c r="M983" s="96" t="s">
        <v>324</v>
      </c>
      <c r="N983" s="96" t="s">
        <v>339</v>
      </c>
      <c r="O983" s="96" t="s">
        <v>446</v>
      </c>
      <c r="P983" s="96" t="s">
        <v>337</v>
      </c>
      <c r="Q983" s="96" t="s">
        <v>1328</v>
      </c>
      <c r="R983" s="96" t="s">
        <v>412</v>
      </c>
      <c r="S983" s="96" t="s">
        <v>406</v>
      </c>
      <c r="T983" s="96" t="s">
        <v>1200</v>
      </c>
      <c r="U983" s="97">
        <v>3.04</v>
      </c>
      <c r="V983" s="100">
        <v>47239</v>
      </c>
      <c r="W983" s="98">
        <v>3.9E-2</v>
      </c>
      <c r="X983" s="98">
        <v>4.0399999999999998E-2</v>
      </c>
      <c r="Y983" s="96" t="s">
        <v>411</v>
      </c>
      <c r="Z983" s="96"/>
      <c r="AA983" s="97">
        <v>6165.0661959999998</v>
      </c>
      <c r="AB983" s="97">
        <v>1</v>
      </c>
      <c r="AC983" s="97">
        <v>114.47</v>
      </c>
      <c r="AD983" s="97"/>
      <c r="AE983" s="97">
        <v>7.0571510000000002</v>
      </c>
      <c r="AF983" s="96"/>
      <c r="AG983" s="96"/>
      <c r="AH983" s="96"/>
      <c r="AI983" s="98">
        <v>3.9999999999999998E-6</v>
      </c>
      <c r="AJ983" s="98">
        <v>1.0970000000000001E-3</v>
      </c>
      <c r="AK983" s="98">
        <v>4.2299999999999998E-4</v>
      </c>
      <c r="AL983" s="106"/>
    </row>
    <row r="984" spans="1:38" ht="15" customHeight="1">
      <c r="A984" s="106"/>
      <c r="B984" s="96">
        <v>286</v>
      </c>
      <c r="C984" s="96">
        <v>9803</v>
      </c>
      <c r="D984" s="96" t="s">
        <v>1370</v>
      </c>
      <c r="E984" s="96">
        <v>1604</v>
      </c>
      <c r="F984" s="96" t="s">
        <v>80</v>
      </c>
      <c r="G984" s="96" t="s">
        <v>1371</v>
      </c>
      <c r="H984" s="96" t="s">
        <v>1372</v>
      </c>
      <c r="I984" s="96" t="s">
        <v>320</v>
      </c>
      <c r="J984" s="96" t="s">
        <v>952</v>
      </c>
      <c r="K984" s="96" t="s">
        <v>203</v>
      </c>
      <c r="L984" s="96" t="s">
        <v>203</v>
      </c>
      <c r="M984" s="96" t="s">
        <v>324</v>
      </c>
      <c r="N984" s="96" t="s">
        <v>339</v>
      </c>
      <c r="O984" s="96" t="s">
        <v>464</v>
      </c>
      <c r="P984" s="96" t="s">
        <v>338</v>
      </c>
      <c r="Q984" s="96" t="s">
        <v>1324</v>
      </c>
      <c r="R984" s="96" t="s">
        <v>412</v>
      </c>
      <c r="S984" s="96" t="s">
        <v>406</v>
      </c>
      <c r="T984" s="96" t="s">
        <v>1200</v>
      </c>
      <c r="U984" s="97">
        <v>2.39</v>
      </c>
      <c r="V984" s="100">
        <v>46888</v>
      </c>
      <c r="W984" s="98">
        <v>0.08</v>
      </c>
      <c r="X984" s="98">
        <v>0.1547</v>
      </c>
      <c r="Y984" s="96" t="s">
        <v>411</v>
      </c>
      <c r="Z984" s="96"/>
      <c r="AA984" s="97">
        <v>41805.922554999997</v>
      </c>
      <c r="AB984" s="97">
        <v>1</v>
      </c>
      <c r="AC984" s="97">
        <v>83.99</v>
      </c>
      <c r="AD984" s="97"/>
      <c r="AE984" s="97">
        <v>35.112794000000001</v>
      </c>
      <c r="AF984" s="96"/>
      <c r="AG984" s="96"/>
      <c r="AH984" s="96"/>
      <c r="AI984" s="98">
        <v>4.6E-5</v>
      </c>
      <c r="AJ984" s="98">
        <v>5.4609999999999997E-3</v>
      </c>
      <c r="AK984" s="98">
        <v>2.1050000000000001E-3</v>
      </c>
      <c r="AL984" s="106"/>
    </row>
    <row r="985" spans="1:38" ht="15" customHeight="1">
      <c r="A985" s="106"/>
      <c r="B985" s="96">
        <v>286</v>
      </c>
      <c r="C985" s="96">
        <v>9803</v>
      </c>
      <c r="D985" s="96" t="s">
        <v>1496</v>
      </c>
      <c r="E985" s="96">
        <v>510216054</v>
      </c>
      <c r="F985" s="96" t="s">
        <v>308</v>
      </c>
      <c r="G985" s="96" t="s">
        <v>1497</v>
      </c>
      <c r="H985" s="96" t="s">
        <v>1498</v>
      </c>
      <c r="I985" s="96" t="s">
        <v>320</v>
      </c>
      <c r="J985" s="96" t="s">
        <v>753</v>
      </c>
      <c r="K985" s="96" t="s">
        <v>203</v>
      </c>
      <c r="L985" s="96" t="s">
        <v>203</v>
      </c>
      <c r="M985" s="96" t="s">
        <v>324</v>
      </c>
      <c r="N985" s="96" t="s">
        <v>339</v>
      </c>
      <c r="O985" s="96" t="s">
        <v>439</v>
      </c>
      <c r="P985" s="96" t="s">
        <v>337</v>
      </c>
      <c r="Q985" s="96" t="s">
        <v>1332</v>
      </c>
      <c r="R985" s="96" t="s">
        <v>412</v>
      </c>
      <c r="S985" s="96" t="s">
        <v>406</v>
      </c>
      <c r="T985" s="96" t="s">
        <v>1200</v>
      </c>
      <c r="U985" s="97">
        <v>3.31</v>
      </c>
      <c r="V985" s="100">
        <v>47817</v>
      </c>
      <c r="W985" s="98">
        <v>1.23E-2</v>
      </c>
      <c r="X985" s="98">
        <v>2.87E-2</v>
      </c>
      <c r="Y985" s="96" t="s">
        <v>411</v>
      </c>
      <c r="Z985" s="96"/>
      <c r="AA985" s="97">
        <v>33509.291947999998</v>
      </c>
      <c r="AB985" s="97">
        <v>1</v>
      </c>
      <c r="AC985" s="97">
        <v>108.38</v>
      </c>
      <c r="AD985" s="97"/>
      <c r="AE985" s="97">
        <v>36.317369999999997</v>
      </c>
      <c r="AF985" s="96"/>
      <c r="AG985" s="96"/>
      <c r="AH985" s="96"/>
      <c r="AI985" s="98">
        <v>3.0000000000000001E-5</v>
      </c>
      <c r="AJ985" s="98">
        <v>5.6480000000000002E-3</v>
      </c>
      <c r="AK985" s="98">
        <v>2.1770000000000001E-3</v>
      </c>
      <c r="AL985" s="106"/>
    </row>
    <row r="986" spans="1:38" ht="15" customHeight="1">
      <c r="A986" s="106"/>
      <c r="B986" s="96">
        <v>286</v>
      </c>
      <c r="C986" s="96">
        <v>9803</v>
      </c>
      <c r="D986" s="96" t="s">
        <v>1898</v>
      </c>
      <c r="E986" s="96">
        <v>520038605</v>
      </c>
      <c r="F986" s="96" t="s">
        <v>308</v>
      </c>
      <c r="G986" s="96" t="s">
        <v>1899</v>
      </c>
      <c r="H986" s="96" t="s">
        <v>1900</v>
      </c>
      <c r="I986" s="96" t="s">
        <v>320</v>
      </c>
      <c r="J986" s="96" t="s">
        <v>952</v>
      </c>
      <c r="K986" s="96" t="s">
        <v>203</v>
      </c>
      <c r="L986" s="96" t="s">
        <v>203</v>
      </c>
      <c r="M986" s="96" t="s">
        <v>324</v>
      </c>
      <c r="N986" s="96" t="s">
        <v>339</v>
      </c>
      <c r="O986" s="96" t="s">
        <v>446</v>
      </c>
      <c r="P986" s="96" t="s">
        <v>337</v>
      </c>
      <c r="Q986" s="96" t="s">
        <v>1309</v>
      </c>
      <c r="R986" s="96" t="s">
        <v>414</v>
      </c>
      <c r="S986" s="96" t="s">
        <v>406</v>
      </c>
      <c r="T986" s="96" t="s">
        <v>1200</v>
      </c>
      <c r="U986" s="97">
        <v>1.45</v>
      </c>
      <c r="V986" s="100">
        <v>46387</v>
      </c>
      <c r="W986" s="98">
        <v>3.4700000000000002E-2</v>
      </c>
      <c r="X986" s="98">
        <v>6.1600000000000002E-2</v>
      </c>
      <c r="Y986" s="96" t="s">
        <v>411</v>
      </c>
      <c r="Z986" s="96"/>
      <c r="AA986" s="97">
        <v>1800.7175789999999</v>
      </c>
      <c r="AB986" s="97">
        <v>1</v>
      </c>
      <c r="AC986" s="97">
        <v>96.37</v>
      </c>
      <c r="AD986" s="97"/>
      <c r="AE986" s="97">
        <v>1.7353510000000001</v>
      </c>
      <c r="AF986" s="96"/>
      <c r="AG986" s="96"/>
      <c r="AH986" s="96"/>
      <c r="AI986" s="98">
        <v>1.2E-5</v>
      </c>
      <c r="AJ986" s="98">
        <v>2.6899999999999998E-4</v>
      </c>
      <c r="AK986" s="98">
        <v>1.0399999999999999E-4</v>
      </c>
      <c r="AL986" s="106"/>
    </row>
    <row r="987" spans="1:38" ht="15" customHeight="1">
      <c r="A987" s="106"/>
      <c r="B987" s="96">
        <v>286</v>
      </c>
      <c r="C987" s="96">
        <v>9803</v>
      </c>
      <c r="D987" s="96" t="s">
        <v>1477</v>
      </c>
      <c r="E987" s="96">
        <v>520029935</v>
      </c>
      <c r="F987" s="96" t="s">
        <v>308</v>
      </c>
      <c r="G987" s="96" t="s">
        <v>1920</v>
      </c>
      <c r="H987" s="96" t="s">
        <v>1921</v>
      </c>
      <c r="I987" s="96" t="s">
        <v>320</v>
      </c>
      <c r="J987" s="96" t="s">
        <v>753</v>
      </c>
      <c r="K987" s="96" t="s">
        <v>203</v>
      </c>
      <c r="L987" s="96" t="s">
        <v>203</v>
      </c>
      <c r="M987" s="96" t="s">
        <v>324</v>
      </c>
      <c r="N987" s="96" t="s">
        <v>339</v>
      </c>
      <c r="O987" s="96" t="s">
        <v>447</v>
      </c>
      <c r="P987" s="96" t="s">
        <v>338</v>
      </c>
      <c r="Q987" s="96" t="s">
        <v>1305</v>
      </c>
      <c r="R987" s="96" t="s">
        <v>414</v>
      </c>
      <c r="S987" s="96" t="s">
        <v>406</v>
      </c>
      <c r="T987" s="96" t="s">
        <v>1200</v>
      </c>
      <c r="U987" s="97">
        <v>1.98</v>
      </c>
      <c r="V987" s="100">
        <v>46204</v>
      </c>
      <c r="W987" s="98">
        <v>2.4199999999999999E-2</v>
      </c>
      <c r="X987" s="98">
        <v>2.8000000000000001E-2</v>
      </c>
      <c r="Y987" s="96" t="s">
        <v>410</v>
      </c>
      <c r="Z987" s="96"/>
      <c r="AA987" s="97">
        <v>24304.842627000002</v>
      </c>
      <c r="AB987" s="97">
        <v>1</v>
      </c>
      <c r="AC987" s="97">
        <v>112.82</v>
      </c>
      <c r="AD987" s="97"/>
      <c r="AE987" s="97">
        <v>27.420722999999999</v>
      </c>
      <c r="AF987" s="96"/>
      <c r="AG987" s="96"/>
      <c r="AH987" s="96"/>
      <c r="AI987" s="98">
        <v>1.5999999999999999E-5</v>
      </c>
      <c r="AJ987" s="98">
        <v>4.2640000000000004E-3</v>
      </c>
      <c r="AK987" s="98">
        <v>1.6440000000000001E-3</v>
      </c>
      <c r="AL987" s="106"/>
    </row>
    <row r="988" spans="1:38" ht="15" customHeight="1">
      <c r="A988" s="106"/>
      <c r="B988" s="96">
        <v>286</v>
      </c>
      <c r="C988" s="96">
        <v>9803</v>
      </c>
      <c r="D988" s="96" t="s">
        <v>1524</v>
      </c>
      <c r="E988" s="96">
        <v>513257873</v>
      </c>
      <c r="F988" s="96" t="s">
        <v>308</v>
      </c>
      <c r="G988" s="96" t="s">
        <v>1667</v>
      </c>
      <c r="H988" s="96" t="s">
        <v>1668</v>
      </c>
      <c r="I988" s="96" t="s">
        <v>320</v>
      </c>
      <c r="J988" s="96" t="s">
        <v>753</v>
      </c>
      <c r="K988" s="96" t="s">
        <v>203</v>
      </c>
      <c r="L988" s="96" t="s">
        <v>203</v>
      </c>
      <c r="M988" s="96" t="s">
        <v>324</v>
      </c>
      <c r="N988" s="96" t="s">
        <v>339</v>
      </c>
      <c r="O988" s="96" t="s">
        <v>463</v>
      </c>
      <c r="P988" s="96" t="s">
        <v>338</v>
      </c>
      <c r="Q988" s="96" t="s">
        <v>1332</v>
      </c>
      <c r="R988" s="96" t="s">
        <v>412</v>
      </c>
      <c r="S988" s="96" t="s">
        <v>406</v>
      </c>
      <c r="T988" s="96" t="s">
        <v>1200</v>
      </c>
      <c r="U988" s="97">
        <v>1.96</v>
      </c>
      <c r="V988" s="100">
        <v>46477</v>
      </c>
      <c r="W988" s="98">
        <v>1.4E-2</v>
      </c>
      <c r="X988" s="98">
        <v>2.63E-2</v>
      </c>
      <c r="Y988" s="96" t="s">
        <v>411</v>
      </c>
      <c r="Z988" s="96"/>
      <c r="AA988" s="97">
        <v>9970.6397969999998</v>
      </c>
      <c r="AB988" s="97">
        <v>1</v>
      </c>
      <c r="AC988" s="97">
        <v>111.84</v>
      </c>
      <c r="AD988" s="97"/>
      <c r="AE988" s="97">
        <v>11.151163</v>
      </c>
      <c r="AF988" s="96"/>
      <c r="AG988" s="96"/>
      <c r="AH988" s="96"/>
      <c r="AI988" s="98">
        <v>1.2E-5</v>
      </c>
      <c r="AJ988" s="98">
        <v>1.7340000000000001E-3</v>
      </c>
      <c r="AK988" s="98">
        <v>6.6799999999999997E-4</v>
      </c>
      <c r="AL988" s="106"/>
    </row>
    <row r="989" spans="1:38" ht="15" customHeight="1">
      <c r="A989" s="106"/>
      <c r="B989" s="96">
        <v>286</v>
      </c>
      <c r="C989" s="96">
        <v>9803</v>
      </c>
      <c r="D989" s="96" t="s">
        <v>1477</v>
      </c>
      <c r="E989" s="96">
        <v>520029935</v>
      </c>
      <c r="F989" s="96" t="s">
        <v>308</v>
      </c>
      <c r="G989" s="96" t="s">
        <v>1851</v>
      </c>
      <c r="H989" s="96" t="s">
        <v>1852</v>
      </c>
      <c r="I989" s="96" t="s">
        <v>320</v>
      </c>
      <c r="J989" s="96" t="s">
        <v>753</v>
      </c>
      <c r="K989" s="96" t="s">
        <v>203</v>
      </c>
      <c r="L989" s="96" t="s">
        <v>203</v>
      </c>
      <c r="M989" s="96" t="s">
        <v>324</v>
      </c>
      <c r="N989" s="96" t="s">
        <v>339</v>
      </c>
      <c r="O989" s="96" t="s">
        <v>447</v>
      </c>
      <c r="P989" s="96" t="s">
        <v>338</v>
      </c>
      <c r="Q989" s="96" t="s">
        <v>1211</v>
      </c>
      <c r="R989" s="96" t="s">
        <v>414</v>
      </c>
      <c r="S989" s="96" t="s">
        <v>406</v>
      </c>
      <c r="T989" s="96" t="s">
        <v>1200</v>
      </c>
      <c r="U989" s="97">
        <v>5.3</v>
      </c>
      <c r="V989" s="100">
        <v>49388</v>
      </c>
      <c r="W989" s="98">
        <v>2.1100000000000001E-2</v>
      </c>
      <c r="X989" s="98">
        <v>2.5999999999999999E-2</v>
      </c>
      <c r="Y989" s="96" t="s">
        <v>411</v>
      </c>
      <c r="Z989" s="96"/>
      <c r="AA989" s="97">
        <v>16772.119776</v>
      </c>
      <c r="AB989" s="97">
        <v>1</v>
      </c>
      <c r="AC989" s="97">
        <v>100.34</v>
      </c>
      <c r="AD989" s="97"/>
      <c r="AE989" s="97">
        <v>16.829143999999999</v>
      </c>
      <c r="AF989" s="96"/>
      <c r="AG989" s="96"/>
      <c r="AH989" s="96"/>
      <c r="AI989" s="98">
        <v>1.0000000000000001E-5</v>
      </c>
      <c r="AJ989" s="98">
        <v>2.617E-3</v>
      </c>
      <c r="AK989" s="98">
        <v>1.0089999999999999E-3</v>
      </c>
      <c r="AL989" s="106"/>
    </row>
    <row r="990" spans="1:38" ht="15" customHeight="1">
      <c r="A990" s="106"/>
      <c r="B990" s="96">
        <v>286</v>
      </c>
      <c r="C990" s="96">
        <v>9803</v>
      </c>
      <c r="D990" s="96" t="s">
        <v>1459</v>
      </c>
      <c r="E990" s="96">
        <v>520033424</v>
      </c>
      <c r="F990" s="96" t="s">
        <v>308</v>
      </c>
      <c r="G990" s="96" t="s">
        <v>1460</v>
      </c>
      <c r="H990" s="96" t="s">
        <v>1461</v>
      </c>
      <c r="I990" s="96" t="s">
        <v>320</v>
      </c>
      <c r="J990" s="96" t="s">
        <v>952</v>
      </c>
      <c r="K990" s="96" t="s">
        <v>203</v>
      </c>
      <c r="L990" s="96" t="s">
        <v>203</v>
      </c>
      <c r="M990" s="96" t="s">
        <v>324</v>
      </c>
      <c r="N990" s="96" t="s">
        <v>339</v>
      </c>
      <c r="O990" s="96" t="s">
        <v>446</v>
      </c>
      <c r="P990" s="96" t="s">
        <v>338</v>
      </c>
      <c r="Q990" s="96" t="s">
        <v>1320</v>
      </c>
      <c r="R990" s="96" t="s">
        <v>412</v>
      </c>
      <c r="S990" s="96" t="s">
        <v>406</v>
      </c>
      <c r="T990" s="96" t="s">
        <v>1200</v>
      </c>
      <c r="U990" s="97">
        <v>3.48</v>
      </c>
      <c r="V990" s="100">
        <v>48029</v>
      </c>
      <c r="W990" s="98">
        <v>0.05</v>
      </c>
      <c r="X990" s="98">
        <v>6.1100000000000002E-2</v>
      </c>
      <c r="Y990" s="96" t="s">
        <v>411</v>
      </c>
      <c r="Z990" s="96"/>
      <c r="AA990" s="97">
        <v>6753.3125550000004</v>
      </c>
      <c r="AB990" s="97">
        <v>1</v>
      </c>
      <c r="AC990" s="97">
        <v>96.61</v>
      </c>
      <c r="AD990" s="97"/>
      <c r="AE990" s="97">
        <v>6.524375</v>
      </c>
      <c r="AF990" s="96"/>
      <c r="AG990" s="96"/>
      <c r="AH990" s="96"/>
      <c r="AI990" s="98">
        <v>2.5000000000000001E-5</v>
      </c>
      <c r="AJ990" s="98">
        <v>1.0139999999999999E-3</v>
      </c>
      <c r="AK990" s="98">
        <v>3.9100000000000002E-4</v>
      </c>
      <c r="AL990" s="106"/>
    </row>
    <row r="991" spans="1:38" ht="15" customHeight="1">
      <c r="A991" s="106"/>
      <c r="B991" s="96">
        <v>286</v>
      </c>
      <c r="C991" s="96">
        <v>9803</v>
      </c>
      <c r="D991" s="96" t="s">
        <v>1648</v>
      </c>
      <c r="E991" s="96">
        <v>515846558</v>
      </c>
      <c r="F991" s="96" t="s">
        <v>308</v>
      </c>
      <c r="G991" s="96" t="s">
        <v>1649</v>
      </c>
      <c r="H991" s="96" t="s">
        <v>1650</v>
      </c>
      <c r="I991" s="96" t="s">
        <v>320</v>
      </c>
      <c r="J991" s="96" t="s">
        <v>753</v>
      </c>
      <c r="K991" s="96" t="s">
        <v>203</v>
      </c>
      <c r="L991" s="96" t="s">
        <v>203</v>
      </c>
      <c r="M991" s="96" t="s">
        <v>324</v>
      </c>
      <c r="N991" s="96" t="s">
        <v>339</v>
      </c>
      <c r="O991" s="96" t="s">
        <v>450</v>
      </c>
      <c r="P991" s="96" t="s">
        <v>337</v>
      </c>
      <c r="Q991" s="96" t="s">
        <v>1320</v>
      </c>
      <c r="R991" s="96" t="s">
        <v>412</v>
      </c>
      <c r="S991" s="96" t="s">
        <v>406</v>
      </c>
      <c r="T991" s="96" t="s">
        <v>1200</v>
      </c>
      <c r="U991" s="97">
        <v>4.38</v>
      </c>
      <c r="V991" s="100">
        <v>48852</v>
      </c>
      <c r="W991" s="98">
        <v>7.4999999999999997E-3</v>
      </c>
      <c r="X991" s="98">
        <v>3.9199999999999999E-2</v>
      </c>
      <c r="Y991" s="96" t="s">
        <v>411</v>
      </c>
      <c r="Z991" s="96"/>
      <c r="AA991" s="97">
        <v>12020.126547</v>
      </c>
      <c r="AB991" s="97">
        <v>1</v>
      </c>
      <c r="AC991" s="97">
        <v>96.11</v>
      </c>
      <c r="AD991" s="97"/>
      <c r="AE991" s="97">
        <v>11.552543</v>
      </c>
      <c r="AF991" s="96"/>
      <c r="AG991" s="96"/>
      <c r="AH991" s="96"/>
      <c r="AI991" s="98">
        <v>1.1E-5</v>
      </c>
      <c r="AJ991" s="98">
        <v>1.7960000000000001E-3</v>
      </c>
      <c r="AK991" s="98">
        <v>6.9200000000000002E-4</v>
      </c>
      <c r="AL991" s="106"/>
    </row>
    <row r="992" spans="1:38" ht="15" customHeight="1">
      <c r="A992" s="106"/>
      <c r="B992" s="96">
        <v>286</v>
      </c>
      <c r="C992" s="96">
        <v>9803</v>
      </c>
      <c r="D992" s="96" t="s">
        <v>1302</v>
      </c>
      <c r="E992" s="96">
        <v>513623314</v>
      </c>
      <c r="F992" s="96" t="s">
        <v>308</v>
      </c>
      <c r="G992" s="96" t="s">
        <v>2056</v>
      </c>
      <c r="H992" s="96" t="s">
        <v>2057</v>
      </c>
      <c r="I992" s="96" t="s">
        <v>320</v>
      </c>
      <c r="J992" s="96" t="s">
        <v>753</v>
      </c>
      <c r="K992" s="96" t="s">
        <v>203</v>
      </c>
      <c r="L992" s="96" t="s">
        <v>203</v>
      </c>
      <c r="M992" s="96" t="s">
        <v>324</v>
      </c>
      <c r="N992" s="96" t="s">
        <v>339</v>
      </c>
      <c r="O992" s="96" t="s">
        <v>463</v>
      </c>
      <c r="P992" s="96" t="s">
        <v>337</v>
      </c>
      <c r="Q992" s="96" t="s">
        <v>1313</v>
      </c>
      <c r="R992" s="96" t="s">
        <v>412</v>
      </c>
      <c r="S992" s="96" t="s">
        <v>406</v>
      </c>
      <c r="T992" s="96" t="s">
        <v>1200</v>
      </c>
      <c r="U992" s="97">
        <v>3.15</v>
      </c>
      <c r="V992" s="100">
        <v>46680</v>
      </c>
      <c r="W992" s="98">
        <v>1.8200000000000001E-2</v>
      </c>
      <c r="X992" s="98">
        <v>2.7199999999999998E-2</v>
      </c>
      <c r="Y992" s="96" t="s">
        <v>411</v>
      </c>
      <c r="Z992" s="96"/>
      <c r="AA992" s="97">
        <v>8443.8597570000002</v>
      </c>
      <c r="AB992" s="97">
        <v>1</v>
      </c>
      <c r="AC992" s="97">
        <v>110.75</v>
      </c>
      <c r="AD992" s="97"/>
      <c r="AE992" s="97">
        <v>9.3515739999999994</v>
      </c>
      <c r="AF992" s="96"/>
      <c r="AG992" s="96"/>
      <c r="AH992" s="96"/>
      <c r="AI992" s="98">
        <v>1.5999999999999999E-5</v>
      </c>
      <c r="AJ992" s="98">
        <v>1.454E-3</v>
      </c>
      <c r="AK992" s="98">
        <v>5.5999999999999995E-4</v>
      </c>
      <c r="AL992" s="106"/>
    </row>
    <row r="993" spans="1:38" ht="15" customHeight="1">
      <c r="A993" s="106"/>
      <c r="B993" s="96">
        <v>286</v>
      </c>
      <c r="C993" s="96">
        <v>9803</v>
      </c>
      <c r="D993" s="96" t="s">
        <v>1452</v>
      </c>
      <c r="E993" s="96">
        <v>514065283</v>
      </c>
      <c r="F993" s="96" t="s">
        <v>308</v>
      </c>
      <c r="G993" s="96" t="s">
        <v>1964</v>
      </c>
      <c r="H993" s="96" t="s">
        <v>1965</v>
      </c>
      <c r="I993" s="96" t="s">
        <v>320</v>
      </c>
      <c r="J993" s="96" t="s">
        <v>952</v>
      </c>
      <c r="K993" s="96" t="s">
        <v>203</v>
      </c>
      <c r="L993" s="96" t="s">
        <v>203</v>
      </c>
      <c r="M993" s="96" t="s">
        <v>324</v>
      </c>
      <c r="N993" s="96" t="s">
        <v>339</v>
      </c>
      <c r="O993" s="96" t="s">
        <v>461</v>
      </c>
      <c r="P993" s="96" t="s">
        <v>337</v>
      </c>
      <c r="Q993" s="96" t="s">
        <v>1332</v>
      </c>
      <c r="R993" s="96" t="s">
        <v>412</v>
      </c>
      <c r="S993" s="96" t="s">
        <v>406</v>
      </c>
      <c r="T993" s="96" t="s">
        <v>1200</v>
      </c>
      <c r="U993" s="97">
        <v>3.35</v>
      </c>
      <c r="V993" s="100">
        <v>48026</v>
      </c>
      <c r="W993" s="98">
        <v>5.0500000000000003E-2</v>
      </c>
      <c r="X993" s="98">
        <v>5.7500000000000002E-2</v>
      </c>
      <c r="Y993" s="96" t="s">
        <v>411</v>
      </c>
      <c r="Z993" s="96"/>
      <c r="AA993" s="97">
        <v>10069.807197</v>
      </c>
      <c r="AB993" s="97">
        <v>1</v>
      </c>
      <c r="AC993" s="97">
        <v>98.03</v>
      </c>
      <c r="AD993" s="97"/>
      <c r="AE993" s="97">
        <v>9.8714309999999994</v>
      </c>
      <c r="AF993" s="96"/>
      <c r="AG993" s="96"/>
      <c r="AH993" s="96"/>
      <c r="AI993" s="98">
        <v>4.1999999999999998E-5</v>
      </c>
      <c r="AJ993" s="98">
        <v>1.5349999999999999E-3</v>
      </c>
      <c r="AK993" s="98">
        <v>5.9100000000000005E-4</v>
      </c>
      <c r="AL993" s="106"/>
    </row>
    <row r="994" spans="1:38" ht="15" customHeight="1">
      <c r="A994" s="106"/>
      <c r="B994" s="96">
        <v>286</v>
      </c>
      <c r="C994" s="96">
        <v>9803</v>
      </c>
      <c r="D994" s="96" t="s">
        <v>1645</v>
      </c>
      <c r="E994" s="96">
        <v>1630</v>
      </c>
      <c r="F994" s="96" t="s">
        <v>80</v>
      </c>
      <c r="G994" s="96" t="s">
        <v>1656</v>
      </c>
      <c r="H994" s="96" t="s">
        <v>1657</v>
      </c>
      <c r="I994" s="96" t="s">
        <v>320</v>
      </c>
      <c r="J994" s="96" t="s">
        <v>952</v>
      </c>
      <c r="K994" s="96" t="s">
        <v>203</v>
      </c>
      <c r="L994" s="96" t="s">
        <v>203</v>
      </c>
      <c r="M994" s="96" t="s">
        <v>324</v>
      </c>
      <c r="N994" s="96" t="s">
        <v>339</v>
      </c>
      <c r="O994" s="96" t="s">
        <v>464</v>
      </c>
      <c r="P994" s="96" t="s">
        <v>338</v>
      </c>
      <c r="Q994" s="96" t="s">
        <v>1313</v>
      </c>
      <c r="R994" s="96" t="s">
        <v>412</v>
      </c>
      <c r="S994" s="96" t="s">
        <v>406</v>
      </c>
      <c r="T994" s="96" t="s">
        <v>1200</v>
      </c>
      <c r="U994" s="97">
        <v>3.2</v>
      </c>
      <c r="V994" s="100">
        <v>46798</v>
      </c>
      <c r="W994" s="98">
        <v>5.8999999999999997E-2</v>
      </c>
      <c r="X994" s="98">
        <v>6.4399999999999999E-2</v>
      </c>
      <c r="Y994" s="96" t="s">
        <v>411</v>
      </c>
      <c r="Z994" s="96"/>
      <c r="AA994" s="97">
        <v>25497.918163999999</v>
      </c>
      <c r="AB994" s="97">
        <v>1</v>
      </c>
      <c r="AC994" s="97">
        <v>100.64</v>
      </c>
      <c r="AD994" s="97"/>
      <c r="AE994" s="97">
        <v>25.661104000000002</v>
      </c>
      <c r="AF994" s="96"/>
      <c r="AG994" s="96"/>
      <c r="AH994" s="96"/>
      <c r="AI994" s="98">
        <v>3.8999999999999999E-5</v>
      </c>
      <c r="AJ994" s="98">
        <v>3.9909999999999998E-3</v>
      </c>
      <c r="AK994" s="98">
        <v>1.5380000000000001E-3</v>
      </c>
      <c r="AL994" s="106"/>
    </row>
    <row r="995" spans="1:38" ht="15" customHeight="1">
      <c r="A995" s="106"/>
      <c r="B995" s="96">
        <v>286</v>
      </c>
      <c r="C995" s="96">
        <v>9803</v>
      </c>
      <c r="D995" s="96" t="s">
        <v>1367</v>
      </c>
      <c r="E995" s="96">
        <v>513141879</v>
      </c>
      <c r="F995" s="96" t="s">
        <v>308</v>
      </c>
      <c r="G995" s="96" t="s">
        <v>1918</v>
      </c>
      <c r="H995" s="96" t="s">
        <v>1919</v>
      </c>
      <c r="I995" s="96" t="s">
        <v>320</v>
      </c>
      <c r="J995" s="96" t="s">
        <v>753</v>
      </c>
      <c r="K995" s="96" t="s">
        <v>203</v>
      </c>
      <c r="L995" s="96" t="s">
        <v>203</v>
      </c>
      <c r="M995" s="96" t="s">
        <v>324</v>
      </c>
      <c r="N995" s="96" t="s">
        <v>339</v>
      </c>
      <c r="O995" s="96" t="s">
        <v>447</v>
      </c>
      <c r="P995" s="96" t="s">
        <v>338</v>
      </c>
      <c r="Q995" s="96" t="s">
        <v>1305</v>
      </c>
      <c r="R995" s="96" t="s">
        <v>414</v>
      </c>
      <c r="S995" s="96" t="s">
        <v>406</v>
      </c>
      <c r="T995" s="96" t="s">
        <v>1200</v>
      </c>
      <c r="U995" s="97">
        <v>4.42</v>
      </c>
      <c r="V995" s="100">
        <v>47190</v>
      </c>
      <c r="W995" s="98">
        <v>2.9899999999999999E-2</v>
      </c>
      <c r="X995" s="98">
        <v>3.5299999999999998E-2</v>
      </c>
      <c r="Y995" s="96" t="s">
        <v>410</v>
      </c>
      <c r="Z995" s="96"/>
      <c r="AA995" s="97">
        <v>25806.222781</v>
      </c>
      <c r="AB995" s="97">
        <v>1</v>
      </c>
      <c r="AC995" s="97">
        <v>104.39</v>
      </c>
      <c r="AD995" s="97"/>
      <c r="AE995" s="97">
        <v>26.939115000000001</v>
      </c>
      <c r="AF995" s="96"/>
      <c r="AG995" s="96"/>
      <c r="AH995" s="96"/>
      <c r="AI995" s="98">
        <v>3.1999999999999999E-5</v>
      </c>
      <c r="AJ995" s="98">
        <v>4.189E-3</v>
      </c>
      <c r="AK995" s="98">
        <v>1.6149999999999999E-3</v>
      </c>
      <c r="AL995" s="106"/>
    </row>
    <row r="996" spans="1:38" ht="15" customHeight="1">
      <c r="A996" s="106"/>
      <c r="B996" s="96">
        <v>286</v>
      </c>
      <c r="C996" s="96">
        <v>9803</v>
      </c>
      <c r="D996" s="96" t="s">
        <v>1735</v>
      </c>
      <c r="E996" s="96">
        <v>550010003</v>
      </c>
      <c r="F996" s="96" t="s">
        <v>309</v>
      </c>
      <c r="G996" s="96" t="s">
        <v>1805</v>
      </c>
      <c r="H996" s="96" t="s">
        <v>1806</v>
      </c>
      <c r="I996" s="96" t="s">
        <v>320</v>
      </c>
      <c r="J996" s="96" t="s">
        <v>754</v>
      </c>
      <c r="K996" s="96" t="s">
        <v>203</v>
      </c>
      <c r="L996" s="96" t="s">
        <v>203</v>
      </c>
      <c r="M996" s="96" t="s">
        <v>324</v>
      </c>
      <c r="N996" s="96" t="s">
        <v>339</v>
      </c>
      <c r="O996" s="96" t="s">
        <v>453</v>
      </c>
      <c r="P996" s="96" t="s">
        <v>338</v>
      </c>
      <c r="Q996" s="96" t="s">
        <v>1313</v>
      </c>
      <c r="R996" s="96" t="s">
        <v>412</v>
      </c>
      <c r="S996" s="96" t="s">
        <v>406</v>
      </c>
      <c r="T996" s="96" t="s">
        <v>1200</v>
      </c>
      <c r="U996" s="97">
        <v>0.76</v>
      </c>
      <c r="V996" s="100">
        <v>45940</v>
      </c>
      <c r="W996" s="98">
        <v>3.49E-2</v>
      </c>
      <c r="X996" s="98">
        <v>7.2700000000000001E-2</v>
      </c>
      <c r="Y996" s="96" t="s">
        <v>411</v>
      </c>
      <c r="Z996" s="96"/>
      <c r="AA996" s="97">
        <v>23392.749976999999</v>
      </c>
      <c r="AB996" s="97">
        <v>1</v>
      </c>
      <c r="AC996" s="97">
        <v>102.13</v>
      </c>
      <c r="AD996" s="97"/>
      <c r="AE996" s="97">
        <v>23.891014999999999</v>
      </c>
      <c r="AF996" s="96"/>
      <c r="AG996" s="96"/>
      <c r="AH996" s="96"/>
      <c r="AI996" s="98">
        <v>4.6E-5</v>
      </c>
      <c r="AJ996" s="98">
        <v>3.715E-3</v>
      </c>
      <c r="AK996" s="98">
        <v>1.4319999999999999E-3</v>
      </c>
      <c r="AL996" s="106"/>
    </row>
    <row r="997" spans="1:38" ht="15" customHeight="1">
      <c r="A997" s="106"/>
      <c r="B997" s="96">
        <v>286</v>
      </c>
      <c r="C997" s="96">
        <v>9803</v>
      </c>
      <c r="D997" s="96" t="s">
        <v>1491</v>
      </c>
      <c r="E997" s="96">
        <v>520036104</v>
      </c>
      <c r="F997" s="96" t="s">
        <v>308</v>
      </c>
      <c r="G997" s="96" t="s">
        <v>1492</v>
      </c>
      <c r="H997" s="96" t="s">
        <v>1493</v>
      </c>
      <c r="I997" s="96" t="s">
        <v>320</v>
      </c>
      <c r="J997" s="96" t="s">
        <v>952</v>
      </c>
      <c r="K997" s="96" t="s">
        <v>203</v>
      </c>
      <c r="L997" s="96" t="s">
        <v>203</v>
      </c>
      <c r="M997" s="96" t="s">
        <v>324</v>
      </c>
      <c r="N997" s="96" t="s">
        <v>339</v>
      </c>
      <c r="O997" s="96" t="s">
        <v>446</v>
      </c>
      <c r="P997" s="96" t="s">
        <v>337</v>
      </c>
      <c r="Q997" s="96" t="s">
        <v>1328</v>
      </c>
      <c r="R997" s="96" t="s">
        <v>412</v>
      </c>
      <c r="S997" s="96" t="s">
        <v>406</v>
      </c>
      <c r="T997" s="96" t="s">
        <v>1200</v>
      </c>
      <c r="U997" s="97">
        <v>3.54</v>
      </c>
      <c r="V997" s="100">
        <v>47603</v>
      </c>
      <c r="W997" s="98">
        <v>2.8000000000000001E-2</v>
      </c>
      <c r="X997" s="98">
        <v>6.7000000000000004E-2</v>
      </c>
      <c r="Y997" s="96" t="s">
        <v>411</v>
      </c>
      <c r="Z997" s="96"/>
      <c r="AA997" s="97">
        <v>15909.848166</v>
      </c>
      <c r="AB997" s="97">
        <v>1</v>
      </c>
      <c r="AC997" s="97">
        <v>87.99</v>
      </c>
      <c r="AD997" s="97"/>
      <c r="AE997" s="97">
        <v>13.999074999999999</v>
      </c>
      <c r="AF997" s="96"/>
      <c r="AG997" s="96"/>
      <c r="AH997" s="96"/>
      <c r="AI997" s="98">
        <v>2.0000000000000002E-5</v>
      </c>
      <c r="AJ997" s="98">
        <v>2.1770000000000001E-3</v>
      </c>
      <c r="AK997" s="98">
        <v>8.3900000000000001E-4</v>
      </c>
      <c r="AL997" s="106"/>
    </row>
    <row r="998" spans="1:38" ht="15" customHeight="1">
      <c r="A998" s="106"/>
      <c r="B998" s="96">
        <v>286</v>
      </c>
      <c r="C998" s="96">
        <v>9803</v>
      </c>
      <c r="D998" s="96" t="s">
        <v>1203</v>
      </c>
      <c r="E998" s="96">
        <v>520000118</v>
      </c>
      <c r="F998" s="96" t="s">
        <v>308</v>
      </c>
      <c r="G998" s="96" t="s">
        <v>1678</v>
      </c>
      <c r="H998" s="96" t="s">
        <v>1679</v>
      </c>
      <c r="I998" s="96" t="s">
        <v>320</v>
      </c>
      <c r="J998" s="96" t="s">
        <v>753</v>
      </c>
      <c r="K998" s="96" t="s">
        <v>203</v>
      </c>
      <c r="L998" s="96" t="s">
        <v>203</v>
      </c>
      <c r="M998" s="96" t="s">
        <v>324</v>
      </c>
      <c r="N998" s="96" t="s">
        <v>339</v>
      </c>
      <c r="O998" s="96" t="s">
        <v>447</v>
      </c>
      <c r="P998" s="96" t="s">
        <v>338</v>
      </c>
      <c r="Q998" s="96" t="s">
        <v>1332</v>
      </c>
      <c r="R998" s="96" t="s">
        <v>412</v>
      </c>
      <c r="S998" s="96" t="s">
        <v>406</v>
      </c>
      <c r="T998" s="96" t="s">
        <v>1200</v>
      </c>
      <c r="U998" s="97">
        <v>3.65</v>
      </c>
      <c r="V998" s="100">
        <v>46825</v>
      </c>
      <c r="W998" s="98">
        <v>8.3999999999999995E-3</v>
      </c>
      <c r="X998" s="98">
        <v>3.3399999999999999E-2</v>
      </c>
      <c r="Y998" s="96" t="s">
        <v>410</v>
      </c>
      <c r="Z998" s="96"/>
      <c r="AA998" s="97">
        <v>1972.721736</v>
      </c>
      <c r="AB998" s="97">
        <v>1</v>
      </c>
      <c r="AC998" s="97">
        <v>101.16</v>
      </c>
      <c r="AD998" s="97"/>
      <c r="AE998" s="97">
        <v>1.9956050000000001</v>
      </c>
      <c r="AF998" s="96"/>
      <c r="AG998" s="96"/>
      <c r="AH998" s="96"/>
      <c r="AI998" s="98">
        <v>3.9999999999999998E-6</v>
      </c>
      <c r="AJ998" s="98">
        <v>3.1E-4</v>
      </c>
      <c r="AK998" s="98">
        <v>1.1900000000000001E-4</v>
      </c>
      <c r="AL998" s="106"/>
    </row>
    <row r="999" spans="1:38" ht="15" customHeight="1">
      <c r="A999" s="106"/>
      <c r="B999" s="96">
        <v>286</v>
      </c>
      <c r="C999" s="96">
        <v>9803</v>
      </c>
      <c r="D999" s="96" t="s">
        <v>1392</v>
      </c>
      <c r="E999" s="96">
        <v>513708818</v>
      </c>
      <c r="F999" s="96" t="s">
        <v>308</v>
      </c>
      <c r="G999" s="96" t="s">
        <v>2025</v>
      </c>
      <c r="H999" s="96" t="s">
        <v>2026</v>
      </c>
      <c r="I999" s="96" t="s">
        <v>320</v>
      </c>
      <c r="J999" s="96" t="s">
        <v>753</v>
      </c>
      <c r="K999" s="96" t="s">
        <v>203</v>
      </c>
      <c r="L999" s="96" t="s">
        <v>203</v>
      </c>
      <c r="M999" s="96" t="s">
        <v>324</v>
      </c>
      <c r="N999" s="96" t="s">
        <v>339</v>
      </c>
      <c r="O999" s="96" t="s">
        <v>439</v>
      </c>
      <c r="P999" s="96" t="s">
        <v>338</v>
      </c>
      <c r="Q999" s="96" t="s">
        <v>1309</v>
      </c>
      <c r="R999" s="96" t="s">
        <v>414</v>
      </c>
      <c r="S999" s="96" t="s">
        <v>406</v>
      </c>
      <c r="T999" s="96" t="s">
        <v>1200</v>
      </c>
      <c r="U999" s="97">
        <v>3.69</v>
      </c>
      <c r="V999" s="100">
        <v>48121</v>
      </c>
      <c r="W999" s="98">
        <v>1.7999999999999999E-2</v>
      </c>
      <c r="X999" s="98">
        <v>3.5799999999999998E-2</v>
      </c>
      <c r="Y999" s="96" t="s">
        <v>411</v>
      </c>
      <c r="Z999" s="96"/>
      <c r="AA999" s="97">
        <v>4068.3179970000001</v>
      </c>
      <c r="AB999" s="97">
        <v>1</v>
      </c>
      <c r="AC999" s="97">
        <v>106.94</v>
      </c>
      <c r="AD999" s="97"/>
      <c r="AE999" s="97">
        <v>4.3506590000000003</v>
      </c>
      <c r="AF999" s="96"/>
      <c r="AG999" s="96"/>
      <c r="AH999" s="96"/>
      <c r="AI999" s="98">
        <v>3.9999999999999998E-6</v>
      </c>
      <c r="AJ999" s="98">
        <v>6.7599999999999995E-4</v>
      </c>
      <c r="AK999" s="98">
        <v>2.5999999999999998E-4</v>
      </c>
      <c r="AL999" s="106"/>
    </row>
    <row r="1000" spans="1:38" ht="15" customHeight="1">
      <c r="A1000" s="106"/>
      <c r="B1000" s="96">
        <v>286</v>
      </c>
      <c r="C1000" s="96">
        <v>9803</v>
      </c>
      <c r="D1000" s="96" t="s">
        <v>1414</v>
      </c>
      <c r="E1000" s="96">
        <v>520037789</v>
      </c>
      <c r="F1000" s="96" t="s">
        <v>308</v>
      </c>
      <c r="G1000" s="96" t="s">
        <v>1840</v>
      </c>
      <c r="H1000" s="96" t="s">
        <v>1841</v>
      </c>
      <c r="I1000" s="96" t="s">
        <v>320</v>
      </c>
      <c r="J1000" s="96" t="s">
        <v>753</v>
      </c>
      <c r="K1000" s="96" t="s">
        <v>203</v>
      </c>
      <c r="L1000" s="96" t="s">
        <v>203</v>
      </c>
      <c r="M1000" s="96" t="s">
        <v>324</v>
      </c>
      <c r="N1000" s="96" t="s">
        <v>339</v>
      </c>
      <c r="O1000" s="96" t="s">
        <v>463</v>
      </c>
      <c r="P1000" s="96" t="s">
        <v>337</v>
      </c>
      <c r="Q1000" s="96" t="s">
        <v>1313</v>
      </c>
      <c r="R1000" s="96" t="s">
        <v>412</v>
      </c>
      <c r="S1000" s="96" t="s">
        <v>406</v>
      </c>
      <c r="T1000" s="96" t="s">
        <v>1200</v>
      </c>
      <c r="U1000" s="97">
        <v>5.55</v>
      </c>
      <c r="V1000" s="100">
        <v>47665</v>
      </c>
      <c r="W1000" s="98">
        <v>2.5000000000000001E-3</v>
      </c>
      <c r="X1000" s="98">
        <v>3.2399999999999998E-2</v>
      </c>
      <c r="Y1000" s="96" t="s">
        <v>411</v>
      </c>
      <c r="Z1000" s="96"/>
      <c r="AA1000" s="97">
        <v>31471.613511</v>
      </c>
      <c r="AB1000" s="97">
        <v>1</v>
      </c>
      <c r="AC1000" s="97">
        <v>94.59</v>
      </c>
      <c r="AD1000" s="97">
        <v>0.84121299999999999</v>
      </c>
      <c r="AE1000" s="97">
        <v>30.610212000000001</v>
      </c>
      <c r="AF1000" s="96"/>
      <c r="AG1000" s="96"/>
      <c r="AH1000" s="96"/>
      <c r="AI1000" s="98">
        <v>2.5000000000000001E-5</v>
      </c>
      <c r="AJ1000" s="98">
        <v>4.7600000000000003E-3</v>
      </c>
      <c r="AK1000" s="98">
        <v>1.835E-3</v>
      </c>
      <c r="AL1000" s="106"/>
    </row>
    <row r="1001" spans="1:38" ht="15" customHeight="1">
      <c r="A1001" s="106"/>
      <c r="B1001" s="96">
        <v>286</v>
      </c>
      <c r="C1001" s="96">
        <v>9803</v>
      </c>
      <c r="D1001" s="96" t="s">
        <v>1565</v>
      </c>
      <c r="E1001" s="96">
        <v>520033234</v>
      </c>
      <c r="F1001" s="96" t="s">
        <v>308</v>
      </c>
      <c r="G1001" s="96" t="s">
        <v>1694</v>
      </c>
      <c r="H1001" s="96" t="s">
        <v>1695</v>
      </c>
      <c r="I1001" s="96" t="s">
        <v>320</v>
      </c>
      <c r="J1001" s="96" t="s">
        <v>952</v>
      </c>
      <c r="K1001" s="96" t="s">
        <v>203</v>
      </c>
      <c r="L1001" s="96" t="s">
        <v>203</v>
      </c>
      <c r="M1001" s="96" t="s">
        <v>324</v>
      </c>
      <c r="N1001" s="96" t="s">
        <v>339</v>
      </c>
      <c r="O1001" s="96" t="s">
        <v>464</v>
      </c>
      <c r="P1001" s="96" t="s">
        <v>337</v>
      </c>
      <c r="Q1001" s="96" t="s">
        <v>1309</v>
      </c>
      <c r="R1001" s="96" t="s">
        <v>414</v>
      </c>
      <c r="S1001" s="96" t="s">
        <v>406</v>
      </c>
      <c r="T1001" s="96" t="s">
        <v>1200</v>
      </c>
      <c r="U1001" s="97">
        <v>4.0999999999999996</v>
      </c>
      <c r="V1001" s="100">
        <v>47299</v>
      </c>
      <c r="W1001" s="98">
        <v>5.5E-2</v>
      </c>
      <c r="X1001" s="98">
        <v>8.0199999999999994E-2</v>
      </c>
      <c r="Y1001" s="96" t="s">
        <v>411</v>
      </c>
      <c r="Z1001" s="96"/>
      <c r="AA1001" s="97">
        <v>15520.454632000001</v>
      </c>
      <c r="AB1001" s="97">
        <v>1</v>
      </c>
      <c r="AC1001" s="97">
        <v>90.7</v>
      </c>
      <c r="AD1001" s="97"/>
      <c r="AE1001" s="97">
        <v>14.077052</v>
      </c>
      <c r="AF1001" s="96"/>
      <c r="AG1001" s="96"/>
      <c r="AH1001" s="96"/>
      <c r="AI1001" s="98">
        <v>2.6999999999999999E-5</v>
      </c>
      <c r="AJ1001" s="98">
        <v>2.189E-3</v>
      </c>
      <c r="AK1001" s="98">
        <v>8.4400000000000002E-4</v>
      </c>
      <c r="AL1001" s="106"/>
    </row>
    <row r="1002" spans="1:38" ht="15" customHeight="1">
      <c r="A1002" s="106"/>
      <c r="B1002" s="96">
        <v>286</v>
      </c>
      <c r="C1002" s="96">
        <v>9803</v>
      </c>
      <c r="D1002" s="96" t="s">
        <v>1197</v>
      </c>
      <c r="E1002" s="96">
        <v>520018078</v>
      </c>
      <c r="F1002" s="96" t="s">
        <v>308</v>
      </c>
      <c r="G1002" s="96" t="s">
        <v>2054</v>
      </c>
      <c r="H1002" s="96" t="s">
        <v>2055</v>
      </c>
      <c r="I1002" s="96" t="s">
        <v>320</v>
      </c>
      <c r="J1002" s="96" t="s">
        <v>952</v>
      </c>
      <c r="K1002" s="96" t="s">
        <v>203</v>
      </c>
      <c r="L1002" s="96" t="s">
        <v>203</v>
      </c>
      <c r="M1002" s="96" t="s">
        <v>324</v>
      </c>
      <c r="N1002" s="96" t="s">
        <v>339</v>
      </c>
      <c r="O1002" s="96" t="s">
        <v>447</v>
      </c>
      <c r="P1002" s="96" t="s">
        <v>338</v>
      </c>
      <c r="Q1002" s="96" t="s">
        <v>1199</v>
      </c>
      <c r="R1002" s="96" t="s">
        <v>412</v>
      </c>
      <c r="S1002" s="96" t="s">
        <v>406</v>
      </c>
      <c r="T1002" s="96" t="s">
        <v>1200</v>
      </c>
      <c r="U1002" s="97">
        <v>0.66</v>
      </c>
      <c r="V1002" s="100">
        <v>45716</v>
      </c>
      <c r="W1002" s="98">
        <v>2.0199999999999999E-2</v>
      </c>
      <c r="X1002" s="98">
        <v>4.4600000000000001E-2</v>
      </c>
      <c r="Y1002" s="96" t="s">
        <v>411</v>
      </c>
      <c r="Z1002" s="96"/>
      <c r="AA1002" s="97">
        <v>15909.848166</v>
      </c>
      <c r="AB1002" s="97">
        <v>1</v>
      </c>
      <c r="AC1002" s="97">
        <v>99.11</v>
      </c>
      <c r="AD1002" s="97"/>
      <c r="AE1002" s="97">
        <v>15.76825</v>
      </c>
      <c r="AF1002" s="96"/>
      <c r="AG1002" s="96"/>
      <c r="AH1002" s="96"/>
      <c r="AI1002" s="98">
        <v>1.8E-5</v>
      </c>
      <c r="AJ1002" s="98">
        <v>2.4520000000000002E-3</v>
      </c>
      <c r="AK1002" s="98">
        <v>9.4499999999999998E-4</v>
      </c>
      <c r="AL1002" s="106"/>
    </row>
    <row r="1003" spans="1:38" ht="15" customHeight="1">
      <c r="A1003" s="106"/>
      <c r="B1003" s="96">
        <v>286</v>
      </c>
      <c r="C1003" s="96">
        <v>9803</v>
      </c>
      <c r="D1003" s="96" t="s">
        <v>1546</v>
      </c>
      <c r="E1003" s="96">
        <v>511930125</v>
      </c>
      <c r="F1003" s="96" t="s">
        <v>308</v>
      </c>
      <c r="G1003" s="96" t="s">
        <v>2037</v>
      </c>
      <c r="H1003" s="96" t="s">
        <v>2038</v>
      </c>
      <c r="I1003" s="96" t="s">
        <v>320</v>
      </c>
      <c r="J1003" s="96" t="s">
        <v>952</v>
      </c>
      <c r="K1003" s="96" t="s">
        <v>203</v>
      </c>
      <c r="L1003" s="96" t="s">
        <v>203</v>
      </c>
      <c r="M1003" s="96" t="s">
        <v>324</v>
      </c>
      <c r="N1003" s="96" t="s">
        <v>339</v>
      </c>
      <c r="O1003" s="96" t="s">
        <v>483</v>
      </c>
      <c r="P1003" s="96" t="s">
        <v>337</v>
      </c>
      <c r="Q1003" s="96" t="s">
        <v>1320</v>
      </c>
      <c r="R1003" s="96" t="s">
        <v>412</v>
      </c>
      <c r="S1003" s="96" t="s">
        <v>406</v>
      </c>
      <c r="T1003" s="96" t="s">
        <v>1200</v>
      </c>
      <c r="U1003" s="97">
        <v>1.48</v>
      </c>
      <c r="V1003" s="100">
        <v>46208</v>
      </c>
      <c r="W1003" s="98">
        <v>3.5499999999999997E-2</v>
      </c>
      <c r="X1003" s="98">
        <v>5.3699999999999998E-2</v>
      </c>
      <c r="Y1003" s="96" t="s">
        <v>411</v>
      </c>
      <c r="Z1003" s="96"/>
      <c r="AA1003" s="97">
        <v>7845.3513869999997</v>
      </c>
      <c r="AB1003" s="97">
        <v>1</v>
      </c>
      <c r="AC1003" s="97">
        <v>97.46</v>
      </c>
      <c r="AD1003" s="97">
        <v>2.9420060000000001</v>
      </c>
      <c r="AE1003" s="97">
        <v>10.588085</v>
      </c>
      <c r="AF1003" s="96"/>
      <c r="AG1003" s="96"/>
      <c r="AH1003" s="96"/>
      <c r="AI1003" s="98">
        <v>2.6999999999999999E-5</v>
      </c>
      <c r="AJ1003" s="98">
        <v>1.6459999999999999E-3</v>
      </c>
      <c r="AK1003" s="98">
        <v>6.3400000000000001E-4</v>
      </c>
      <c r="AL1003" s="106"/>
    </row>
    <row r="1004" spans="1:38" ht="15" customHeight="1">
      <c r="A1004" s="106"/>
      <c r="B1004" s="96">
        <v>286</v>
      </c>
      <c r="C1004" s="96">
        <v>9803</v>
      </c>
      <c r="D1004" s="96" t="s">
        <v>1484</v>
      </c>
      <c r="E1004" s="96">
        <v>520036617</v>
      </c>
      <c r="F1004" s="96" t="s">
        <v>308</v>
      </c>
      <c r="G1004" s="96" t="s">
        <v>1502</v>
      </c>
      <c r="H1004" s="96" t="s">
        <v>1486</v>
      </c>
      <c r="I1004" s="96" t="s">
        <v>320</v>
      </c>
      <c r="J1004" s="96" t="s">
        <v>753</v>
      </c>
      <c r="K1004" s="96" t="s">
        <v>203</v>
      </c>
      <c r="L1004" s="96" t="s">
        <v>203</v>
      </c>
      <c r="M1004" s="96" t="s">
        <v>326</v>
      </c>
      <c r="N1004" s="96" t="s">
        <v>339</v>
      </c>
      <c r="O1004" s="96" t="s">
        <v>463</v>
      </c>
      <c r="P1004" s="96" t="s">
        <v>338</v>
      </c>
      <c r="Q1004" s="96" t="s">
        <v>1320</v>
      </c>
      <c r="R1004" s="96" t="s">
        <v>412</v>
      </c>
      <c r="S1004" s="96" t="s">
        <v>406</v>
      </c>
      <c r="T1004" s="96" t="s">
        <v>1200</v>
      </c>
      <c r="U1004" s="97">
        <v>4.1399999999999997</v>
      </c>
      <c r="V1004" s="100">
        <v>47300</v>
      </c>
      <c r="W1004" s="98">
        <v>1.5299999999999999E-2</v>
      </c>
      <c r="X1004" s="98">
        <v>3.2800000000000003E-2</v>
      </c>
      <c r="Y1004" s="96" t="s">
        <v>411</v>
      </c>
      <c r="Z1004" s="96"/>
      <c r="AA1004" s="97">
        <v>559.59263799999997</v>
      </c>
      <c r="AB1004" s="97">
        <v>1</v>
      </c>
      <c r="AC1004" s="97">
        <v>105.87130000000001</v>
      </c>
      <c r="AD1004" s="97"/>
      <c r="AE1004" s="97">
        <v>0.59244799999999997</v>
      </c>
      <c r="AF1004" s="96"/>
      <c r="AG1004" s="96"/>
      <c r="AH1004" s="96"/>
      <c r="AI1004" s="98">
        <v>9.9999999999999995E-7</v>
      </c>
      <c r="AJ1004" s="98">
        <v>9.2E-5</v>
      </c>
      <c r="AK1004" s="98">
        <v>3.4999999999999997E-5</v>
      </c>
      <c r="AL1004" s="106"/>
    </row>
    <row r="1005" spans="1:38" ht="15" customHeight="1">
      <c r="A1005" s="106"/>
      <c r="B1005" s="96">
        <v>286</v>
      </c>
      <c r="C1005" s="96">
        <v>9803</v>
      </c>
      <c r="D1005" s="96" t="s">
        <v>1197</v>
      </c>
      <c r="E1005" s="96">
        <v>520018078</v>
      </c>
      <c r="F1005" s="96" t="s">
        <v>308</v>
      </c>
      <c r="G1005" s="96" t="s">
        <v>1487</v>
      </c>
      <c r="H1005" s="96" t="s">
        <v>1488</v>
      </c>
      <c r="I1005" s="96" t="s">
        <v>320</v>
      </c>
      <c r="J1005" s="96" t="s">
        <v>753</v>
      </c>
      <c r="K1005" s="96" t="s">
        <v>203</v>
      </c>
      <c r="L1005" s="96" t="s">
        <v>203</v>
      </c>
      <c r="M1005" s="96" t="s">
        <v>324</v>
      </c>
      <c r="N1005" s="96" t="s">
        <v>339</v>
      </c>
      <c r="O1005" s="96" t="s">
        <v>447</v>
      </c>
      <c r="P1005" s="96" t="s">
        <v>338</v>
      </c>
      <c r="Q1005" s="96" t="s">
        <v>1332</v>
      </c>
      <c r="R1005" s="96" t="s">
        <v>412</v>
      </c>
      <c r="S1005" s="96" t="s">
        <v>406</v>
      </c>
      <c r="T1005" s="96" t="s">
        <v>1200</v>
      </c>
      <c r="U1005" s="97">
        <v>3.65</v>
      </c>
      <c r="V1005" s="100">
        <v>46839</v>
      </c>
      <c r="W1005" s="98">
        <v>1.4999999999999999E-2</v>
      </c>
      <c r="X1005" s="98">
        <v>3.2099999999999997E-2</v>
      </c>
      <c r="Y1005" s="96" t="s">
        <v>410</v>
      </c>
      <c r="Z1005" s="96"/>
      <c r="AA1005" s="97">
        <v>2421.5783270000002</v>
      </c>
      <c r="AB1005" s="97">
        <v>1</v>
      </c>
      <c r="AC1005" s="97">
        <v>103.49</v>
      </c>
      <c r="AD1005" s="97"/>
      <c r="AE1005" s="97">
        <v>2.5060910000000001</v>
      </c>
      <c r="AF1005" s="96"/>
      <c r="AG1005" s="96"/>
      <c r="AH1005" s="96"/>
      <c r="AI1005" s="98">
        <v>9.9999999999999995E-7</v>
      </c>
      <c r="AJ1005" s="98">
        <v>3.8900000000000002E-4</v>
      </c>
      <c r="AK1005" s="98">
        <v>1.4999999999999999E-4</v>
      </c>
      <c r="AL1005" s="106"/>
    </row>
    <row r="1006" spans="1:38" ht="15" customHeight="1">
      <c r="A1006" s="106"/>
      <c r="B1006" s="96">
        <v>286</v>
      </c>
      <c r="C1006" s="96">
        <v>9803</v>
      </c>
      <c r="D1006" s="96" t="s">
        <v>1862</v>
      </c>
      <c r="E1006" s="96">
        <v>520036120</v>
      </c>
      <c r="F1006" s="96" t="s">
        <v>308</v>
      </c>
      <c r="G1006" s="96" t="s">
        <v>1889</v>
      </c>
      <c r="H1006" s="96" t="s">
        <v>1856</v>
      </c>
      <c r="I1006" s="96" t="s">
        <v>320</v>
      </c>
      <c r="J1006" s="96" t="s">
        <v>952</v>
      </c>
      <c r="K1006" s="96" t="s">
        <v>203</v>
      </c>
      <c r="L1006" s="96" t="s">
        <v>203</v>
      </c>
      <c r="M1006" s="96" t="s">
        <v>324</v>
      </c>
      <c r="N1006" s="96" t="s">
        <v>339</v>
      </c>
      <c r="O1006" s="96" t="s">
        <v>444</v>
      </c>
      <c r="P1006" s="96" t="s">
        <v>338</v>
      </c>
      <c r="Q1006" s="96" t="s">
        <v>1332</v>
      </c>
      <c r="R1006" s="96" t="s">
        <v>412</v>
      </c>
      <c r="S1006" s="96" t="s">
        <v>406</v>
      </c>
      <c r="T1006" s="96" t="s">
        <v>1200</v>
      </c>
      <c r="U1006" s="97">
        <v>3.4</v>
      </c>
      <c r="V1006" s="100">
        <v>46811</v>
      </c>
      <c r="W1006" s="98">
        <v>4.7E-2</v>
      </c>
      <c r="X1006" s="98">
        <v>5.57E-2</v>
      </c>
      <c r="Y1006" s="96" t="s">
        <v>411</v>
      </c>
      <c r="Z1006" s="96"/>
      <c r="AA1006" s="97">
        <v>7954.9240829999999</v>
      </c>
      <c r="AB1006" s="97">
        <v>1</v>
      </c>
      <c r="AC1006" s="97">
        <v>98.75</v>
      </c>
      <c r="AD1006" s="97"/>
      <c r="AE1006" s="97">
        <v>7.8554870000000001</v>
      </c>
      <c r="AF1006" s="96"/>
      <c r="AG1006" s="96"/>
      <c r="AH1006" s="96"/>
      <c r="AI1006" s="98">
        <v>7.9999999999999996E-6</v>
      </c>
      <c r="AJ1006" s="98">
        <v>1.2210000000000001E-3</v>
      </c>
      <c r="AK1006" s="98">
        <v>4.7100000000000001E-4</v>
      </c>
      <c r="AL1006" s="106"/>
    </row>
    <row r="1007" spans="1:38" ht="15" customHeight="1">
      <c r="A1007" s="106"/>
      <c r="B1007" s="96">
        <v>286</v>
      </c>
      <c r="C1007" s="96">
        <v>9803</v>
      </c>
      <c r="D1007" s="96" t="s">
        <v>1203</v>
      </c>
      <c r="E1007" s="96">
        <v>520000118</v>
      </c>
      <c r="F1007" s="96" t="s">
        <v>308</v>
      </c>
      <c r="G1007" s="96" t="s">
        <v>1663</v>
      </c>
      <c r="H1007" s="96" t="s">
        <v>1664</v>
      </c>
      <c r="I1007" s="96" t="s">
        <v>320</v>
      </c>
      <c r="J1007" s="96" t="s">
        <v>753</v>
      </c>
      <c r="K1007" s="96" t="s">
        <v>203</v>
      </c>
      <c r="L1007" s="96" t="s">
        <v>203</v>
      </c>
      <c r="M1007" s="96" t="s">
        <v>324</v>
      </c>
      <c r="N1007" s="96" t="s">
        <v>339</v>
      </c>
      <c r="O1007" s="96" t="s">
        <v>447</v>
      </c>
      <c r="P1007" s="96" t="s">
        <v>338</v>
      </c>
      <c r="Q1007" s="96" t="s">
        <v>1211</v>
      </c>
      <c r="R1007" s="96" t="s">
        <v>414</v>
      </c>
      <c r="S1007" s="96" t="s">
        <v>406</v>
      </c>
      <c r="T1007" s="96" t="s">
        <v>1200</v>
      </c>
      <c r="U1007" s="97">
        <v>2.29</v>
      </c>
      <c r="V1007" s="100">
        <v>46872</v>
      </c>
      <c r="W1007" s="98">
        <v>6.0000000000000001E-3</v>
      </c>
      <c r="X1007" s="98">
        <v>2.1600000000000001E-2</v>
      </c>
      <c r="Y1007" s="96" t="s">
        <v>411</v>
      </c>
      <c r="Z1007" s="96"/>
      <c r="AA1007" s="97">
        <v>38052.552844999998</v>
      </c>
      <c r="AB1007" s="97">
        <v>1</v>
      </c>
      <c r="AC1007" s="97">
        <v>110.68</v>
      </c>
      <c r="AD1007" s="97"/>
      <c r="AE1007" s="97">
        <v>42.116565000000001</v>
      </c>
      <c r="AF1007" s="96"/>
      <c r="AG1007" s="96"/>
      <c r="AH1007" s="96"/>
      <c r="AI1007" s="98">
        <v>4.1999999999999998E-5</v>
      </c>
      <c r="AJ1007" s="98">
        <v>6.5500000000000003E-3</v>
      </c>
      <c r="AK1007" s="98">
        <v>2.5249999999999999E-3</v>
      </c>
      <c r="AL1007" s="106"/>
    </row>
    <row r="1008" spans="1:38" ht="15" customHeight="1">
      <c r="A1008" s="106"/>
      <c r="B1008" s="96">
        <v>286</v>
      </c>
      <c r="C1008" s="96">
        <v>9803</v>
      </c>
      <c r="D1008" s="96" t="s">
        <v>1417</v>
      </c>
      <c r="E1008" s="96">
        <v>513230029</v>
      </c>
      <c r="F1008" s="96" t="s">
        <v>308</v>
      </c>
      <c r="G1008" s="96" t="s">
        <v>1465</v>
      </c>
      <c r="H1008" s="96" t="s">
        <v>1466</v>
      </c>
      <c r="I1008" s="96" t="s">
        <v>320</v>
      </c>
      <c r="J1008" s="96" t="s">
        <v>952</v>
      </c>
      <c r="K1008" s="96" t="s">
        <v>203</v>
      </c>
      <c r="L1008" s="96" t="s">
        <v>203</v>
      </c>
      <c r="M1008" s="96" t="s">
        <v>324</v>
      </c>
      <c r="N1008" s="96" t="s">
        <v>339</v>
      </c>
      <c r="O1008" s="96" t="s">
        <v>444</v>
      </c>
      <c r="P1008" s="96" t="s">
        <v>338</v>
      </c>
      <c r="Q1008" s="96" t="s">
        <v>1357</v>
      </c>
      <c r="R1008" s="96" t="s">
        <v>414</v>
      </c>
      <c r="S1008" s="96" t="s">
        <v>406</v>
      </c>
      <c r="T1008" s="96" t="s">
        <v>1200</v>
      </c>
      <c r="U1008" s="97">
        <v>5.37</v>
      </c>
      <c r="V1008" s="100">
        <v>47573</v>
      </c>
      <c r="W1008" s="98">
        <v>2.3800000000000002E-2</v>
      </c>
      <c r="X1008" s="98">
        <v>5.96E-2</v>
      </c>
      <c r="Y1008" s="96" t="s">
        <v>411</v>
      </c>
      <c r="Z1008" s="96"/>
      <c r="AA1008" s="97">
        <v>26008.655712</v>
      </c>
      <c r="AB1008" s="97">
        <v>1</v>
      </c>
      <c r="AC1008" s="97">
        <v>83.57</v>
      </c>
      <c r="AD1008" s="97"/>
      <c r="AE1008" s="97">
        <v>21.735433</v>
      </c>
      <c r="AF1008" s="96"/>
      <c r="AG1008" s="96"/>
      <c r="AH1008" s="96"/>
      <c r="AI1008" s="98">
        <v>4.0000000000000003E-5</v>
      </c>
      <c r="AJ1008" s="98">
        <v>3.3800000000000002E-3</v>
      </c>
      <c r="AK1008" s="98">
        <v>1.3029999999999999E-3</v>
      </c>
      <c r="AL1008" s="106"/>
    </row>
    <row r="1009" spans="1:38" ht="15" customHeight="1">
      <c r="A1009" s="106"/>
      <c r="B1009" s="96">
        <v>286</v>
      </c>
      <c r="C1009" s="96">
        <v>9803</v>
      </c>
      <c r="D1009" s="96" t="s">
        <v>1826</v>
      </c>
      <c r="E1009" s="96">
        <v>513682625</v>
      </c>
      <c r="F1009" s="96" t="s">
        <v>308</v>
      </c>
      <c r="G1009" s="96" t="s">
        <v>1827</v>
      </c>
      <c r="H1009" s="96" t="s">
        <v>1828</v>
      </c>
      <c r="I1009" s="96" t="s">
        <v>320</v>
      </c>
      <c r="J1009" s="96" t="s">
        <v>952</v>
      </c>
      <c r="K1009" s="96" t="s">
        <v>203</v>
      </c>
      <c r="L1009" s="96" t="s">
        <v>203</v>
      </c>
      <c r="M1009" s="96" t="s">
        <v>324</v>
      </c>
      <c r="N1009" s="96" t="s">
        <v>339</v>
      </c>
      <c r="O1009" s="96" t="s">
        <v>458</v>
      </c>
      <c r="P1009" s="96" t="s">
        <v>338</v>
      </c>
      <c r="Q1009" s="96" t="s">
        <v>1357</v>
      </c>
      <c r="R1009" s="96" t="s">
        <v>414</v>
      </c>
      <c r="S1009" s="96" t="s">
        <v>406</v>
      </c>
      <c r="T1009" s="96" t="s">
        <v>1200</v>
      </c>
      <c r="U1009" s="97">
        <v>2.6</v>
      </c>
      <c r="V1009" s="100">
        <v>47208</v>
      </c>
      <c r="W1009" s="98">
        <v>1.5800000000000002E-2</v>
      </c>
      <c r="X1009" s="98">
        <v>5.2600000000000001E-2</v>
      </c>
      <c r="Y1009" s="96" t="s">
        <v>411</v>
      </c>
      <c r="Z1009" s="96"/>
      <c r="AA1009" s="97">
        <v>2755.4660319999998</v>
      </c>
      <c r="AB1009" s="97">
        <v>1</v>
      </c>
      <c r="AC1009" s="97">
        <v>91.4</v>
      </c>
      <c r="AD1009" s="97"/>
      <c r="AE1009" s="97">
        <v>2.5184950000000002</v>
      </c>
      <c r="AF1009" s="96"/>
      <c r="AG1009" s="96"/>
      <c r="AH1009" s="96"/>
      <c r="AI1009" s="98">
        <v>2.4000000000000001E-5</v>
      </c>
      <c r="AJ1009" s="98">
        <v>3.9100000000000002E-4</v>
      </c>
      <c r="AK1009" s="98">
        <v>1.5100000000000001E-4</v>
      </c>
      <c r="AL1009" s="106"/>
    </row>
    <row r="1010" spans="1:38" ht="15" customHeight="1">
      <c r="A1010" s="106"/>
      <c r="B1010" s="96">
        <v>286</v>
      </c>
      <c r="C1010" s="96">
        <v>9803</v>
      </c>
      <c r="D1010" s="96" t="s">
        <v>1771</v>
      </c>
      <c r="E1010" s="96">
        <v>515364891</v>
      </c>
      <c r="F1010" s="96" t="s">
        <v>308</v>
      </c>
      <c r="G1010" s="96" t="s">
        <v>2048</v>
      </c>
      <c r="H1010" s="96" t="s">
        <v>1773</v>
      </c>
      <c r="I1010" s="96" t="s">
        <v>320</v>
      </c>
      <c r="J1010" s="96" t="s">
        <v>753</v>
      </c>
      <c r="K1010" s="96" t="s">
        <v>203</v>
      </c>
      <c r="L1010" s="96" t="s">
        <v>203</v>
      </c>
      <c r="M1010" s="96" t="s">
        <v>324</v>
      </c>
      <c r="N1010" s="96" t="s">
        <v>339</v>
      </c>
      <c r="O1010" s="96" t="s">
        <v>440</v>
      </c>
      <c r="P1010" s="96" t="s">
        <v>338</v>
      </c>
      <c r="Q1010" s="96" t="s">
        <v>409</v>
      </c>
      <c r="R1010" s="96" t="s">
        <v>409</v>
      </c>
      <c r="S1010" s="96" t="s">
        <v>409</v>
      </c>
      <c r="T1010" s="96" t="s">
        <v>1200</v>
      </c>
      <c r="U1010" s="97">
        <v>2.96</v>
      </c>
      <c r="V1010" s="100">
        <v>46934</v>
      </c>
      <c r="W1010" s="98">
        <v>1.5800000000000002E-2</v>
      </c>
      <c r="X1010" s="98">
        <v>4.3700000000000003E-2</v>
      </c>
      <c r="Y1010" s="96" t="s">
        <v>411</v>
      </c>
      <c r="Z1010" s="96"/>
      <c r="AA1010" s="97">
        <v>3935.0653149999998</v>
      </c>
      <c r="AB1010" s="97">
        <v>1</v>
      </c>
      <c r="AC1010" s="97">
        <v>103.21</v>
      </c>
      <c r="AD1010" s="97"/>
      <c r="AE1010" s="97">
        <v>4.0613799999999998</v>
      </c>
      <c r="AF1010" s="96"/>
      <c r="AG1010" s="96"/>
      <c r="AH1010" s="96"/>
      <c r="AI1010" s="98">
        <v>1.0000000000000001E-5</v>
      </c>
      <c r="AJ1010" s="98">
        <v>6.3100000000000005E-4</v>
      </c>
      <c r="AK1010" s="98">
        <v>2.43E-4</v>
      </c>
      <c r="AL1010" s="106"/>
    </row>
    <row r="1011" spans="1:38" ht="15" customHeight="1">
      <c r="A1011" s="106"/>
      <c r="B1011" s="96">
        <v>286</v>
      </c>
      <c r="C1011" s="96">
        <v>9803</v>
      </c>
      <c r="D1011" s="96" t="s">
        <v>1333</v>
      </c>
      <c r="E1011" s="96">
        <v>520024126</v>
      </c>
      <c r="F1011" s="96" t="s">
        <v>308</v>
      </c>
      <c r="G1011" s="96" t="s">
        <v>1680</v>
      </c>
      <c r="H1011" s="96" t="s">
        <v>1681</v>
      </c>
      <c r="I1011" s="96" t="s">
        <v>320</v>
      </c>
      <c r="J1011" s="96" t="s">
        <v>753</v>
      </c>
      <c r="K1011" s="96" t="s">
        <v>203</v>
      </c>
      <c r="L1011" s="96" t="s">
        <v>203</v>
      </c>
      <c r="M1011" s="96" t="s">
        <v>324</v>
      </c>
      <c r="N1011" s="96" t="s">
        <v>339</v>
      </c>
      <c r="O1011" s="96" t="s">
        <v>463</v>
      </c>
      <c r="P1011" s="96" t="s">
        <v>337</v>
      </c>
      <c r="Q1011" s="96" t="s">
        <v>1336</v>
      </c>
      <c r="R1011" s="96" t="s">
        <v>414</v>
      </c>
      <c r="S1011" s="96" t="s">
        <v>406</v>
      </c>
      <c r="T1011" s="96" t="s">
        <v>1200</v>
      </c>
      <c r="U1011" s="97">
        <v>6.06</v>
      </c>
      <c r="V1011" s="100">
        <v>48852</v>
      </c>
      <c r="W1011" s="98">
        <v>3.5000000000000001E-3</v>
      </c>
      <c r="X1011" s="98">
        <v>3.6600000000000001E-2</v>
      </c>
      <c r="Y1011" s="96" t="s">
        <v>411</v>
      </c>
      <c r="Z1011" s="96"/>
      <c r="AA1011" s="97">
        <v>71940.670167000004</v>
      </c>
      <c r="AB1011" s="97">
        <v>1</v>
      </c>
      <c r="AC1011" s="97">
        <v>90.9</v>
      </c>
      <c r="AD1011" s="97"/>
      <c r="AE1011" s="97">
        <v>65.394069000000002</v>
      </c>
      <c r="AF1011" s="96"/>
      <c r="AG1011" s="96"/>
      <c r="AH1011" s="96"/>
      <c r="AI1011" s="98">
        <v>2.0000000000000002E-5</v>
      </c>
      <c r="AJ1011" s="98">
        <v>1.0170999999999999E-2</v>
      </c>
      <c r="AK1011" s="98">
        <v>3.921E-3</v>
      </c>
      <c r="AL1011" s="106"/>
    </row>
    <row r="1012" spans="1:38" ht="15" customHeight="1">
      <c r="A1012" s="106"/>
      <c r="B1012" s="96">
        <v>286</v>
      </c>
      <c r="C1012" s="96">
        <v>9803</v>
      </c>
      <c r="D1012" s="96" t="s">
        <v>1491</v>
      </c>
      <c r="E1012" s="96">
        <v>520036104</v>
      </c>
      <c r="F1012" s="96" t="s">
        <v>308</v>
      </c>
      <c r="G1012" s="96" t="s">
        <v>1944</v>
      </c>
      <c r="H1012" s="96" t="s">
        <v>1945</v>
      </c>
      <c r="I1012" s="96" t="s">
        <v>320</v>
      </c>
      <c r="J1012" s="96" t="s">
        <v>753</v>
      </c>
      <c r="K1012" s="96" t="s">
        <v>203</v>
      </c>
      <c r="L1012" s="96" t="s">
        <v>203</v>
      </c>
      <c r="M1012" s="96" t="s">
        <v>324</v>
      </c>
      <c r="N1012" s="96" t="s">
        <v>339</v>
      </c>
      <c r="O1012" s="96" t="s">
        <v>446</v>
      </c>
      <c r="P1012" s="96" t="s">
        <v>337</v>
      </c>
      <c r="Q1012" s="96" t="s">
        <v>1328</v>
      </c>
      <c r="R1012" s="96" t="s">
        <v>412</v>
      </c>
      <c r="S1012" s="96" t="s">
        <v>406</v>
      </c>
      <c r="T1012" s="96" t="s">
        <v>1200</v>
      </c>
      <c r="U1012" s="97">
        <v>0.74</v>
      </c>
      <c r="V1012" s="100">
        <v>45748</v>
      </c>
      <c r="W1012" s="98">
        <v>4.3400000000000001E-2</v>
      </c>
      <c r="X1012" s="98">
        <v>3.6499999999999998E-2</v>
      </c>
      <c r="Y1012" s="96" t="s">
        <v>411</v>
      </c>
      <c r="Z1012" s="96"/>
      <c r="AA1012" s="97">
        <v>7761.9674359999999</v>
      </c>
      <c r="AB1012" s="97">
        <v>1</v>
      </c>
      <c r="AC1012" s="97">
        <v>115.35</v>
      </c>
      <c r="AD1012" s="97"/>
      <c r="AE1012" s="97">
        <v>8.9534289999999999</v>
      </c>
      <c r="AF1012" s="96"/>
      <c r="AG1012" s="96"/>
      <c r="AH1012" s="96"/>
      <c r="AI1012" s="98">
        <v>1.7E-5</v>
      </c>
      <c r="AJ1012" s="98">
        <v>1.392E-3</v>
      </c>
      <c r="AK1012" s="98">
        <v>5.3600000000000002E-4</v>
      </c>
      <c r="AL1012" s="106"/>
    </row>
    <row r="1013" spans="1:38" ht="15" customHeight="1">
      <c r="A1013" s="106"/>
      <c r="B1013" s="96">
        <v>286</v>
      </c>
      <c r="C1013" s="96">
        <v>9803</v>
      </c>
      <c r="D1013" s="96" t="s">
        <v>1499</v>
      </c>
      <c r="E1013" s="96">
        <v>520027830</v>
      </c>
      <c r="F1013" s="96" t="s">
        <v>308</v>
      </c>
      <c r="G1013" s="96" t="s">
        <v>1500</v>
      </c>
      <c r="H1013" s="96" t="s">
        <v>1501</v>
      </c>
      <c r="I1013" s="96" t="s">
        <v>320</v>
      </c>
      <c r="J1013" s="96" t="s">
        <v>952</v>
      </c>
      <c r="K1013" s="96" t="s">
        <v>203</v>
      </c>
      <c r="L1013" s="96" t="s">
        <v>203</v>
      </c>
      <c r="M1013" s="96" t="s">
        <v>324</v>
      </c>
      <c r="N1013" s="96" t="s">
        <v>339</v>
      </c>
      <c r="O1013" s="96" t="s">
        <v>455</v>
      </c>
      <c r="P1013" s="96" t="s">
        <v>338</v>
      </c>
      <c r="Q1013" s="96" t="s">
        <v>1313</v>
      </c>
      <c r="R1013" s="96" t="s">
        <v>412</v>
      </c>
      <c r="S1013" s="96" t="s">
        <v>406</v>
      </c>
      <c r="T1013" s="96" t="s">
        <v>1200</v>
      </c>
      <c r="U1013" s="97">
        <v>7.81</v>
      </c>
      <c r="V1013" s="100">
        <v>49308</v>
      </c>
      <c r="W1013" s="98">
        <v>2.4E-2</v>
      </c>
      <c r="X1013" s="98">
        <v>5.8400000000000001E-2</v>
      </c>
      <c r="Y1013" s="96" t="s">
        <v>411</v>
      </c>
      <c r="Z1013" s="96"/>
      <c r="AA1013" s="97">
        <v>32458.381286</v>
      </c>
      <c r="AB1013" s="97">
        <v>1</v>
      </c>
      <c r="AC1013" s="97">
        <v>76.87</v>
      </c>
      <c r="AD1013" s="97"/>
      <c r="AE1013" s="97">
        <v>24.950756999999999</v>
      </c>
      <c r="AF1013" s="96"/>
      <c r="AG1013" s="96"/>
      <c r="AH1013" s="96"/>
      <c r="AI1013" s="98">
        <v>4.3999999999999999E-5</v>
      </c>
      <c r="AJ1013" s="98">
        <v>3.8800000000000002E-3</v>
      </c>
      <c r="AK1013" s="98">
        <v>1.4959999999999999E-3</v>
      </c>
      <c r="AL1013" s="106"/>
    </row>
    <row r="1014" spans="1:38" ht="15" customHeight="1">
      <c r="A1014" s="106"/>
      <c r="B1014" s="96">
        <v>286</v>
      </c>
      <c r="C1014" s="96">
        <v>9803</v>
      </c>
      <c r="D1014" s="96" t="s">
        <v>1632</v>
      </c>
      <c r="E1014" s="96">
        <v>520034257</v>
      </c>
      <c r="F1014" s="96" t="s">
        <v>308</v>
      </c>
      <c r="G1014" s="96" t="s">
        <v>1633</v>
      </c>
      <c r="H1014" s="96" t="s">
        <v>1634</v>
      </c>
      <c r="I1014" s="96" t="s">
        <v>320</v>
      </c>
      <c r="J1014" s="96" t="s">
        <v>753</v>
      </c>
      <c r="K1014" s="96" t="s">
        <v>203</v>
      </c>
      <c r="L1014" s="96" t="s">
        <v>203</v>
      </c>
      <c r="M1014" s="96" t="s">
        <v>326</v>
      </c>
      <c r="N1014" s="96" t="s">
        <v>339</v>
      </c>
      <c r="O1014" s="96" t="s">
        <v>450</v>
      </c>
      <c r="P1014" s="96" t="s">
        <v>338</v>
      </c>
      <c r="Q1014" s="96" t="s">
        <v>1520</v>
      </c>
      <c r="R1014" s="96" t="s">
        <v>414</v>
      </c>
      <c r="S1014" s="96" t="s">
        <v>406</v>
      </c>
      <c r="T1014" s="96" t="s">
        <v>1200</v>
      </c>
      <c r="U1014" s="97">
        <v>3.21</v>
      </c>
      <c r="V1014" s="100">
        <v>46944</v>
      </c>
      <c r="W1014" s="98">
        <v>3.73E-2</v>
      </c>
      <c r="X1014" s="98">
        <v>3.7100000000000001E-2</v>
      </c>
      <c r="Y1014" s="96" t="s">
        <v>411</v>
      </c>
      <c r="Z1014" s="96"/>
      <c r="AA1014" s="97">
        <v>474.49093599999998</v>
      </c>
      <c r="AB1014" s="97">
        <v>1</v>
      </c>
      <c r="AC1014" s="97">
        <v>107.03</v>
      </c>
      <c r="AD1014" s="97"/>
      <c r="AE1014" s="97">
        <v>0.50784700000000005</v>
      </c>
      <c r="AF1014" s="96"/>
      <c r="AG1014" s="96"/>
      <c r="AH1014" s="96"/>
      <c r="AI1014" s="98">
        <v>9.9999999999999995E-7</v>
      </c>
      <c r="AJ1014" s="98">
        <v>7.7999999999999999E-5</v>
      </c>
      <c r="AK1014" s="98">
        <v>3.0000000000000001E-5</v>
      </c>
      <c r="AL1014" s="106"/>
    </row>
    <row r="1015" spans="1:38" ht="15" customHeight="1">
      <c r="A1015" s="106"/>
      <c r="B1015" s="96">
        <v>286</v>
      </c>
      <c r="C1015" s="96">
        <v>9803</v>
      </c>
      <c r="D1015" s="96" t="s">
        <v>1511</v>
      </c>
      <c r="E1015" s="96">
        <v>513765859</v>
      </c>
      <c r="F1015" s="96" t="s">
        <v>308</v>
      </c>
      <c r="G1015" s="96" t="s">
        <v>1690</v>
      </c>
      <c r="H1015" s="96" t="s">
        <v>1687</v>
      </c>
      <c r="I1015" s="96" t="s">
        <v>320</v>
      </c>
      <c r="J1015" s="96" t="s">
        <v>753</v>
      </c>
      <c r="K1015" s="96" t="s">
        <v>203</v>
      </c>
      <c r="L1015" s="96" t="s">
        <v>203</v>
      </c>
      <c r="M1015" s="96" t="s">
        <v>326</v>
      </c>
      <c r="N1015" s="96" t="s">
        <v>339</v>
      </c>
      <c r="O1015" s="96" t="s">
        <v>463</v>
      </c>
      <c r="P1015" s="96" t="s">
        <v>337</v>
      </c>
      <c r="Q1015" s="96" t="s">
        <v>1313</v>
      </c>
      <c r="R1015" s="96" t="s">
        <v>412</v>
      </c>
      <c r="S1015" s="96" t="s">
        <v>406</v>
      </c>
      <c r="T1015" s="96" t="s">
        <v>1200</v>
      </c>
      <c r="U1015" s="97">
        <v>2.4900000000000002</v>
      </c>
      <c r="V1015" s="100">
        <v>47057</v>
      </c>
      <c r="W1015" s="98">
        <v>1.4200000000000001E-2</v>
      </c>
      <c r="X1015" s="98">
        <v>2.9899999999999999E-2</v>
      </c>
      <c r="Y1015" s="96" t="s">
        <v>411</v>
      </c>
      <c r="Z1015" s="96"/>
      <c r="AA1015" s="97">
        <v>1377.354932</v>
      </c>
      <c r="AB1015" s="97">
        <v>1</v>
      </c>
      <c r="AC1015" s="97">
        <v>109.5226</v>
      </c>
      <c r="AD1015" s="97"/>
      <c r="AE1015" s="97">
        <v>1.5085150000000001</v>
      </c>
      <c r="AF1015" s="96"/>
      <c r="AG1015" s="96"/>
      <c r="AH1015" s="96"/>
      <c r="AI1015" s="98">
        <v>9.9999999999999995E-7</v>
      </c>
      <c r="AJ1015" s="98">
        <v>2.34E-4</v>
      </c>
      <c r="AK1015" s="98">
        <v>9.0000000000000006E-5</v>
      </c>
      <c r="AL1015" s="106"/>
    </row>
    <row r="1016" spans="1:38" ht="15" customHeight="1">
      <c r="A1016" s="106"/>
      <c r="B1016" s="96">
        <v>286</v>
      </c>
      <c r="C1016" s="96">
        <v>9803</v>
      </c>
      <c r="D1016" s="96" t="s">
        <v>1632</v>
      </c>
      <c r="E1016" s="96">
        <v>520034257</v>
      </c>
      <c r="F1016" s="96" t="s">
        <v>308</v>
      </c>
      <c r="G1016" s="96" t="s">
        <v>1912</v>
      </c>
      <c r="H1016" s="96" t="s">
        <v>1634</v>
      </c>
      <c r="I1016" s="96" t="s">
        <v>320</v>
      </c>
      <c r="J1016" s="96" t="s">
        <v>753</v>
      </c>
      <c r="K1016" s="96" t="s">
        <v>203</v>
      </c>
      <c r="L1016" s="96" t="s">
        <v>203</v>
      </c>
      <c r="M1016" s="96" t="s">
        <v>324</v>
      </c>
      <c r="N1016" s="96" t="s">
        <v>339</v>
      </c>
      <c r="O1016" s="96" t="s">
        <v>450</v>
      </c>
      <c r="P1016" s="96" t="s">
        <v>338</v>
      </c>
      <c r="Q1016" s="96" t="s">
        <v>1520</v>
      </c>
      <c r="R1016" s="96" t="s">
        <v>414</v>
      </c>
      <c r="S1016" s="96" t="s">
        <v>406</v>
      </c>
      <c r="T1016" s="96" t="s">
        <v>1200</v>
      </c>
      <c r="U1016" s="97">
        <v>3.21</v>
      </c>
      <c r="V1016" s="100">
        <v>46944</v>
      </c>
      <c r="W1016" s="98">
        <v>3.73E-2</v>
      </c>
      <c r="X1016" s="98">
        <v>3.7199999999999997E-2</v>
      </c>
      <c r="Y1016" s="96" t="s">
        <v>411</v>
      </c>
      <c r="Z1016" s="96"/>
      <c r="AA1016" s="97">
        <v>7043.6875289999998</v>
      </c>
      <c r="AB1016" s="97">
        <v>1</v>
      </c>
      <c r="AC1016" s="97">
        <v>107.03</v>
      </c>
      <c r="AD1016" s="97"/>
      <c r="AE1016" s="97">
        <v>7.5388580000000003</v>
      </c>
      <c r="AF1016" s="96"/>
      <c r="AG1016" s="96"/>
      <c r="AH1016" s="96"/>
      <c r="AI1016" s="98">
        <v>2.0000000000000002E-5</v>
      </c>
      <c r="AJ1016" s="98">
        <v>1.1720000000000001E-3</v>
      </c>
      <c r="AK1016" s="98">
        <v>4.5199999999999998E-4</v>
      </c>
      <c r="AL1016" s="106"/>
    </row>
    <row r="1017" spans="1:38" ht="15" customHeight="1">
      <c r="A1017" s="106"/>
      <c r="B1017" s="96">
        <v>286</v>
      </c>
      <c r="C1017" s="96">
        <v>9803</v>
      </c>
      <c r="D1017" s="96" t="s">
        <v>1725</v>
      </c>
      <c r="E1017" s="96">
        <v>1665</v>
      </c>
      <c r="F1017" s="96" t="s">
        <v>80</v>
      </c>
      <c r="G1017" s="96" t="s">
        <v>1726</v>
      </c>
      <c r="H1017" s="96" t="s">
        <v>1727</v>
      </c>
      <c r="I1017" s="96" t="s">
        <v>320</v>
      </c>
      <c r="J1017" s="96" t="s">
        <v>952</v>
      </c>
      <c r="K1017" s="96" t="s">
        <v>203</v>
      </c>
      <c r="L1017" s="96" t="s">
        <v>203</v>
      </c>
      <c r="M1017" s="96" t="s">
        <v>324</v>
      </c>
      <c r="N1017" s="96" t="s">
        <v>339</v>
      </c>
      <c r="O1017" s="96" t="s">
        <v>464</v>
      </c>
      <c r="P1017" s="96" t="s">
        <v>338</v>
      </c>
      <c r="Q1017" s="96" t="s">
        <v>1332</v>
      </c>
      <c r="R1017" s="96" t="s">
        <v>412</v>
      </c>
      <c r="S1017" s="96" t="s">
        <v>406</v>
      </c>
      <c r="T1017" s="96" t="s">
        <v>1200</v>
      </c>
      <c r="U1017" s="97">
        <v>3.67</v>
      </c>
      <c r="V1017" s="100">
        <v>48502</v>
      </c>
      <c r="W1017" s="98">
        <v>4.4999999999999998E-2</v>
      </c>
      <c r="X1017" s="98">
        <v>6.9699999999999998E-2</v>
      </c>
      <c r="Y1017" s="96" t="s">
        <v>411</v>
      </c>
      <c r="Z1017" s="96"/>
      <c r="AA1017" s="97">
        <v>1974.805118</v>
      </c>
      <c r="AB1017" s="97">
        <v>1</v>
      </c>
      <c r="AC1017" s="97">
        <v>92.67</v>
      </c>
      <c r="AD1017" s="97"/>
      <c r="AE1017" s="97">
        <v>1.8300510000000001</v>
      </c>
      <c r="AF1017" s="96"/>
      <c r="AG1017" s="96"/>
      <c r="AH1017" s="96"/>
      <c r="AI1017" s="98">
        <v>1.9999999999999999E-6</v>
      </c>
      <c r="AJ1017" s="98">
        <v>2.8400000000000002E-4</v>
      </c>
      <c r="AK1017" s="98">
        <v>1.0900000000000001E-4</v>
      </c>
      <c r="AL1017" s="106"/>
    </row>
    <row r="1018" spans="1:38" ht="15" customHeight="1">
      <c r="A1018" s="106"/>
      <c r="B1018" s="96">
        <v>286</v>
      </c>
      <c r="C1018" s="96">
        <v>9803</v>
      </c>
      <c r="D1018" s="96" t="s">
        <v>1382</v>
      </c>
      <c r="E1018" s="96">
        <v>520036690</v>
      </c>
      <c r="F1018" s="96" t="s">
        <v>308</v>
      </c>
      <c r="G1018" s="96" t="s">
        <v>1842</v>
      </c>
      <c r="H1018" s="96" t="s">
        <v>1384</v>
      </c>
      <c r="I1018" s="96" t="s">
        <v>320</v>
      </c>
      <c r="J1018" s="96" t="s">
        <v>952</v>
      </c>
      <c r="K1018" s="96" t="s">
        <v>203</v>
      </c>
      <c r="L1018" s="96" t="s">
        <v>203</v>
      </c>
      <c r="M1018" s="96" t="s">
        <v>326</v>
      </c>
      <c r="N1018" s="96" t="s">
        <v>339</v>
      </c>
      <c r="O1018" s="96" t="s">
        <v>475</v>
      </c>
      <c r="P1018" s="96" t="s">
        <v>337</v>
      </c>
      <c r="Q1018" s="96" t="s">
        <v>1305</v>
      </c>
      <c r="R1018" s="96" t="s">
        <v>414</v>
      </c>
      <c r="S1018" s="96" t="s">
        <v>406</v>
      </c>
      <c r="T1018" s="96" t="s">
        <v>1200</v>
      </c>
      <c r="U1018" s="97">
        <v>1.58</v>
      </c>
      <c r="V1018" s="100">
        <v>46357</v>
      </c>
      <c r="W1018" s="98">
        <v>2.29E-2</v>
      </c>
      <c r="X1018" s="98">
        <v>4.99E-2</v>
      </c>
      <c r="Y1018" s="96" t="s">
        <v>411</v>
      </c>
      <c r="Z1018" s="96"/>
      <c r="AA1018" s="97">
        <v>432.12573900000001</v>
      </c>
      <c r="AB1018" s="97">
        <v>1</v>
      </c>
      <c r="AC1018" s="97">
        <v>96.118700000000004</v>
      </c>
      <c r="AD1018" s="97"/>
      <c r="AE1018" s="97">
        <v>0.41535300000000003</v>
      </c>
      <c r="AF1018" s="96"/>
      <c r="AG1018" s="96"/>
      <c r="AH1018" s="96"/>
      <c r="AI1018" s="98">
        <v>9.9999999999999995E-7</v>
      </c>
      <c r="AJ1018" s="98">
        <v>6.3999999999999997E-5</v>
      </c>
      <c r="AK1018" s="98">
        <v>2.4000000000000001E-5</v>
      </c>
      <c r="AL1018" s="106"/>
    </row>
    <row r="1019" spans="1:38" ht="15" customHeight="1">
      <c r="A1019" s="106"/>
      <c r="B1019" s="96">
        <v>286</v>
      </c>
      <c r="C1019" s="96">
        <v>9803</v>
      </c>
      <c r="D1019" s="96" t="s">
        <v>1321</v>
      </c>
      <c r="E1019" s="96">
        <v>550263107</v>
      </c>
      <c r="F1019" s="96" t="s">
        <v>309</v>
      </c>
      <c r="G1019" s="96" t="s">
        <v>1803</v>
      </c>
      <c r="H1019" s="96" t="s">
        <v>1804</v>
      </c>
      <c r="I1019" s="96" t="s">
        <v>320</v>
      </c>
      <c r="J1019" s="96" t="s">
        <v>952</v>
      </c>
      <c r="K1019" s="96" t="s">
        <v>203</v>
      </c>
      <c r="L1019" s="96" t="s">
        <v>203</v>
      </c>
      <c r="M1019" s="96" t="s">
        <v>324</v>
      </c>
      <c r="N1019" s="96" t="s">
        <v>339</v>
      </c>
      <c r="O1019" s="96" t="s">
        <v>453</v>
      </c>
      <c r="P1019" s="96" t="s">
        <v>338</v>
      </c>
      <c r="Q1019" s="96" t="s">
        <v>1324</v>
      </c>
      <c r="R1019" s="96" t="s">
        <v>412</v>
      </c>
      <c r="S1019" s="96" t="s">
        <v>406</v>
      </c>
      <c r="T1019" s="96" t="s">
        <v>1200</v>
      </c>
      <c r="U1019" s="97">
        <v>3.37</v>
      </c>
      <c r="V1019" s="100">
        <v>47118</v>
      </c>
      <c r="W1019" s="98">
        <v>6.5000000000000002E-2</v>
      </c>
      <c r="X1019" s="98">
        <v>6.8000000000000005E-2</v>
      </c>
      <c r="Y1019" s="96" t="s">
        <v>411</v>
      </c>
      <c r="Z1019" s="96"/>
      <c r="AA1019" s="97">
        <v>13522.853472999999</v>
      </c>
      <c r="AB1019" s="97">
        <v>1</v>
      </c>
      <c r="AC1019" s="97">
        <v>99.37</v>
      </c>
      <c r="AD1019" s="97"/>
      <c r="AE1019" s="97">
        <v>13.437659</v>
      </c>
      <c r="AF1019" s="96"/>
      <c r="AG1019" s="96"/>
      <c r="AH1019" s="96"/>
      <c r="AI1019" s="98">
        <v>2.6999999999999999E-5</v>
      </c>
      <c r="AJ1019" s="98">
        <v>2.0899999999999998E-3</v>
      </c>
      <c r="AK1019" s="98">
        <v>8.0500000000000005E-4</v>
      </c>
      <c r="AL1019" s="106"/>
    </row>
    <row r="1020" spans="1:38" ht="15" customHeight="1">
      <c r="A1020" s="106"/>
      <c r="B1020" s="96">
        <v>286</v>
      </c>
      <c r="C1020" s="96">
        <v>9803</v>
      </c>
      <c r="D1020" s="96" t="s">
        <v>1648</v>
      </c>
      <c r="E1020" s="96">
        <v>515846558</v>
      </c>
      <c r="F1020" s="96" t="s">
        <v>308</v>
      </c>
      <c r="G1020" s="96" t="s">
        <v>2021</v>
      </c>
      <c r="H1020" s="96" t="s">
        <v>2022</v>
      </c>
      <c r="I1020" s="96" t="s">
        <v>320</v>
      </c>
      <c r="J1020" s="96" t="s">
        <v>753</v>
      </c>
      <c r="K1020" s="96" t="s">
        <v>203</v>
      </c>
      <c r="L1020" s="96" t="s">
        <v>203</v>
      </c>
      <c r="M1020" s="96" t="s">
        <v>324</v>
      </c>
      <c r="N1020" s="96" t="s">
        <v>339</v>
      </c>
      <c r="O1020" s="96" t="s">
        <v>450</v>
      </c>
      <c r="P1020" s="96" t="s">
        <v>337</v>
      </c>
      <c r="Q1020" s="96" t="s">
        <v>1320</v>
      </c>
      <c r="R1020" s="96" t="s">
        <v>412</v>
      </c>
      <c r="S1020" s="96" t="s">
        <v>406</v>
      </c>
      <c r="T1020" s="96" t="s">
        <v>1200</v>
      </c>
      <c r="U1020" s="97">
        <v>4.0599999999999996</v>
      </c>
      <c r="V1020" s="100">
        <v>48029</v>
      </c>
      <c r="W1020" s="98">
        <v>7.4999999999999997E-3</v>
      </c>
      <c r="X1020" s="98">
        <v>3.7100000000000001E-2</v>
      </c>
      <c r="Y1020" s="96" t="s">
        <v>411</v>
      </c>
      <c r="Z1020" s="96"/>
      <c r="AA1020" s="97">
        <v>12613.613303</v>
      </c>
      <c r="AB1020" s="97">
        <v>1</v>
      </c>
      <c r="AC1020" s="97">
        <v>99.42</v>
      </c>
      <c r="AD1020" s="97"/>
      <c r="AE1020" s="97">
        <v>12.540454</v>
      </c>
      <c r="AF1020" s="96"/>
      <c r="AG1020" s="96"/>
      <c r="AH1020" s="96"/>
      <c r="AI1020" s="98">
        <v>2.6999999999999999E-5</v>
      </c>
      <c r="AJ1020" s="98">
        <v>1.9499999999999999E-3</v>
      </c>
      <c r="AK1020" s="98">
        <v>7.5199999999999996E-4</v>
      </c>
      <c r="AL1020" s="106"/>
    </row>
    <row r="1021" spans="1:38" ht="15" customHeight="1">
      <c r="A1021" s="106"/>
      <c r="B1021" s="96">
        <v>286</v>
      </c>
      <c r="C1021" s="96">
        <v>9803</v>
      </c>
      <c r="D1021" s="96" t="s">
        <v>1414</v>
      </c>
      <c r="E1021" s="96">
        <v>520037789</v>
      </c>
      <c r="F1021" s="96" t="s">
        <v>308</v>
      </c>
      <c r="G1021" s="96" t="s">
        <v>1588</v>
      </c>
      <c r="H1021" s="96" t="s">
        <v>1589</v>
      </c>
      <c r="I1021" s="96" t="s">
        <v>320</v>
      </c>
      <c r="J1021" s="96" t="s">
        <v>753</v>
      </c>
      <c r="K1021" s="96" t="s">
        <v>203</v>
      </c>
      <c r="L1021" s="96" t="s">
        <v>203</v>
      </c>
      <c r="M1021" s="96" t="s">
        <v>324</v>
      </c>
      <c r="N1021" s="96" t="s">
        <v>339</v>
      </c>
      <c r="O1021" s="96" t="s">
        <v>463</v>
      </c>
      <c r="P1021" s="96" t="s">
        <v>337</v>
      </c>
      <c r="Q1021" s="96" t="s">
        <v>1313</v>
      </c>
      <c r="R1021" s="96" t="s">
        <v>412</v>
      </c>
      <c r="S1021" s="96" t="s">
        <v>406</v>
      </c>
      <c r="T1021" s="96" t="s">
        <v>1200</v>
      </c>
      <c r="U1021" s="97">
        <v>6.29</v>
      </c>
      <c r="V1021" s="100">
        <v>50041</v>
      </c>
      <c r="W1021" s="98">
        <v>3.61E-2</v>
      </c>
      <c r="X1021" s="98">
        <v>3.6999999999999998E-2</v>
      </c>
      <c r="Y1021" s="96" t="s">
        <v>411</v>
      </c>
      <c r="Z1021" s="96"/>
      <c r="AA1021" s="97">
        <v>40888.376493999996</v>
      </c>
      <c r="AB1021" s="97">
        <v>1</v>
      </c>
      <c r="AC1021" s="97">
        <v>103.82</v>
      </c>
      <c r="AD1021" s="97">
        <v>0.43468000000000001</v>
      </c>
      <c r="AE1021" s="97">
        <v>42.884991999999997</v>
      </c>
      <c r="AF1021" s="96"/>
      <c r="AG1021" s="96"/>
      <c r="AH1021" s="96"/>
      <c r="AI1021" s="98">
        <v>3.8000000000000002E-5</v>
      </c>
      <c r="AJ1021" s="98">
        <v>6.6689999999999996E-3</v>
      </c>
      <c r="AK1021" s="98">
        <v>2.5709999999999999E-3</v>
      </c>
      <c r="AL1021" s="106"/>
    </row>
    <row r="1022" spans="1:38" ht="15" customHeight="1">
      <c r="A1022" s="106"/>
      <c r="B1022" s="96">
        <v>286</v>
      </c>
      <c r="C1022" s="96">
        <v>9803</v>
      </c>
      <c r="D1022" s="96" t="s">
        <v>1417</v>
      </c>
      <c r="E1022" s="96">
        <v>513230029</v>
      </c>
      <c r="F1022" s="96" t="s">
        <v>308</v>
      </c>
      <c r="G1022" s="96" t="s">
        <v>1418</v>
      </c>
      <c r="H1022" s="96" t="s">
        <v>1419</v>
      </c>
      <c r="I1022" s="96" t="s">
        <v>320</v>
      </c>
      <c r="J1022" s="96" t="s">
        <v>952</v>
      </c>
      <c r="K1022" s="96" t="s">
        <v>203</v>
      </c>
      <c r="L1022" s="96" t="s">
        <v>203</v>
      </c>
      <c r="M1022" s="96" t="s">
        <v>324</v>
      </c>
      <c r="N1022" s="96" t="s">
        <v>339</v>
      </c>
      <c r="O1022" s="96" t="s">
        <v>444</v>
      </c>
      <c r="P1022" s="96" t="s">
        <v>338</v>
      </c>
      <c r="Q1022" s="96" t="s">
        <v>1357</v>
      </c>
      <c r="R1022" s="96" t="s">
        <v>414</v>
      </c>
      <c r="S1022" s="96" t="s">
        <v>406</v>
      </c>
      <c r="T1022" s="96" t="s">
        <v>1200</v>
      </c>
      <c r="U1022" s="97">
        <v>6.23</v>
      </c>
      <c r="V1022" s="100">
        <v>48213</v>
      </c>
      <c r="W1022" s="98">
        <v>5.3999999999999999E-2</v>
      </c>
      <c r="X1022" s="98">
        <v>6.2399999999999997E-2</v>
      </c>
      <c r="Y1022" s="96" t="s">
        <v>411</v>
      </c>
      <c r="Z1022" s="96"/>
      <c r="AA1022" s="97">
        <v>18724.544921000001</v>
      </c>
      <c r="AB1022" s="97">
        <v>1</v>
      </c>
      <c r="AC1022" s="97">
        <v>95.55</v>
      </c>
      <c r="AD1022" s="97"/>
      <c r="AE1022" s="97">
        <v>17.891302</v>
      </c>
      <c r="AF1022" s="96"/>
      <c r="AG1022" s="96"/>
      <c r="AH1022" s="96"/>
      <c r="AI1022" s="98">
        <v>3.1999999999999999E-5</v>
      </c>
      <c r="AJ1022" s="98">
        <v>2.7820000000000002E-3</v>
      </c>
      <c r="AK1022" s="98">
        <v>1.072E-3</v>
      </c>
      <c r="AL1022" s="106"/>
    </row>
    <row r="1023" spans="1:38" ht="15" customHeight="1">
      <c r="A1023" s="106"/>
      <c r="B1023" s="96">
        <v>286</v>
      </c>
      <c r="C1023" s="96">
        <v>9803</v>
      </c>
      <c r="D1023" s="96" t="s">
        <v>1459</v>
      </c>
      <c r="E1023" s="96">
        <v>520033424</v>
      </c>
      <c r="F1023" s="96" t="s">
        <v>308</v>
      </c>
      <c r="G1023" s="96" t="s">
        <v>1472</v>
      </c>
      <c r="H1023" s="96" t="s">
        <v>1473</v>
      </c>
      <c r="I1023" s="96" t="s">
        <v>320</v>
      </c>
      <c r="J1023" s="96" t="s">
        <v>952</v>
      </c>
      <c r="K1023" s="96" t="s">
        <v>203</v>
      </c>
      <c r="L1023" s="96" t="s">
        <v>203</v>
      </c>
      <c r="M1023" s="96" t="s">
        <v>324</v>
      </c>
      <c r="N1023" s="96" t="s">
        <v>339</v>
      </c>
      <c r="O1023" s="96" t="s">
        <v>446</v>
      </c>
      <c r="P1023" s="96" t="s">
        <v>338</v>
      </c>
      <c r="Q1023" s="96" t="s">
        <v>1320</v>
      </c>
      <c r="R1023" s="96" t="s">
        <v>412</v>
      </c>
      <c r="S1023" s="96" t="s">
        <v>406</v>
      </c>
      <c r="T1023" s="96" t="s">
        <v>1200</v>
      </c>
      <c r="U1023" s="97">
        <v>0.99</v>
      </c>
      <c r="V1023" s="100">
        <v>45838</v>
      </c>
      <c r="W1023" s="98">
        <v>3.0300000000000001E-2</v>
      </c>
      <c r="X1023" s="98">
        <v>5.7500000000000002E-2</v>
      </c>
      <c r="Y1023" s="96" t="s">
        <v>411</v>
      </c>
      <c r="Z1023" s="96"/>
      <c r="AA1023" s="97">
        <v>2077.0849819999999</v>
      </c>
      <c r="AB1023" s="97">
        <v>1</v>
      </c>
      <c r="AC1023" s="97">
        <v>97.48</v>
      </c>
      <c r="AD1023" s="97"/>
      <c r="AE1023" s="97">
        <v>2.0247419999999998</v>
      </c>
      <c r="AF1023" s="96"/>
      <c r="AG1023" s="96"/>
      <c r="AH1023" s="96"/>
      <c r="AI1023" s="98">
        <v>6.8999999999999997E-5</v>
      </c>
      <c r="AJ1023" s="98">
        <v>3.1399999999999999E-4</v>
      </c>
      <c r="AK1023" s="98">
        <v>1.21E-4</v>
      </c>
      <c r="AL1023" s="106"/>
    </row>
    <row r="1024" spans="1:38" ht="15" customHeight="1">
      <c r="A1024" s="106"/>
      <c r="B1024" s="96">
        <v>286</v>
      </c>
      <c r="C1024" s="96">
        <v>9803</v>
      </c>
      <c r="D1024" s="96" t="s">
        <v>1197</v>
      </c>
      <c r="E1024" s="96">
        <v>520018078</v>
      </c>
      <c r="F1024" s="96" t="s">
        <v>308</v>
      </c>
      <c r="G1024" s="96" t="s">
        <v>1549</v>
      </c>
      <c r="H1024" s="96" t="s">
        <v>1550</v>
      </c>
      <c r="I1024" s="96" t="s">
        <v>320</v>
      </c>
      <c r="J1024" s="96" t="s">
        <v>753</v>
      </c>
      <c r="K1024" s="96" t="s">
        <v>203</v>
      </c>
      <c r="L1024" s="96" t="s">
        <v>203</v>
      </c>
      <c r="M1024" s="96" t="s">
        <v>324</v>
      </c>
      <c r="N1024" s="96" t="s">
        <v>339</v>
      </c>
      <c r="O1024" s="96" t="s">
        <v>447</v>
      </c>
      <c r="P1024" s="96" t="s">
        <v>338</v>
      </c>
      <c r="Q1024" s="96" t="s">
        <v>1211</v>
      </c>
      <c r="R1024" s="96" t="s">
        <v>414</v>
      </c>
      <c r="S1024" s="96" t="s">
        <v>406</v>
      </c>
      <c r="T1024" s="96" t="s">
        <v>1200</v>
      </c>
      <c r="U1024" s="97">
        <v>1.99</v>
      </c>
      <c r="V1024" s="100">
        <v>46203</v>
      </c>
      <c r="W1024" s="98">
        <v>8.3000000000000001E-3</v>
      </c>
      <c r="X1024" s="98">
        <v>2.1000000000000001E-2</v>
      </c>
      <c r="Y1024" s="96" t="s">
        <v>411</v>
      </c>
      <c r="Z1024" s="96"/>
      <c r="AA1024" s="97">
        <v>28836.599802000001</v>
      </c>
      <c r="AB1024" s="97">
        <v>1</v>
      </c>
      <c r="AC1024" s="97">
        <v>110.75</v>
      </c>
      <c r="AD1024" s="97"/>
      <c r="AE1024" s="97">
        <v>31.936534000000002</v>
      </c>
      <c r="AF1024" s="96"/>
      <c r="AG1024" s="96"/>
      <c r="AH1024" s="96"/>
      <c r="AI1024" s="98">
        <v>1.8E-5</v>
      </c>
      <c r="AJ1024" s="98">
        <v>4.9670000000000001E-3</v>
      </c>
      <c r="AK1024" s="98">
        <v>1.915E-3</v>
      </c>
      <c r="AL1024" s="106"/>
    </row>
    <row r="1025" spans="1:38" ht="15" customHeight="1">
      <c r="A1025" s="106"/>
      <c r="B1025" s="96">
        <v>286</v>
      </c>
      <c r="C1025" s="96">
        <v>9803</v>
      </c>
      <c r="D1025" s="96" t="s">
        <v>1774</v>
      </c>
      <c r="E1025" s="96">
        <v>520039967</v>
      </c>
      <c r="F1025" s="96" t="s">
        <v>308</v>
      </c>
      <c r="G1025" s="96" t="s">
        <v>1775</v>
      </c>
      <c r="H1025" s="96" t="s">
        <v>1776</v>
      </c>
      <c r="I1025" s="96" t="s">
        <v>320</v>
      </c>
      <c r="J1025" s="96" t="s">
        <v>952</v>
      </c>
      <c r="K1025" s="96" t="s">
        <v>203</v>
      </c>
      <c r="L1025" s="96" t="s">
        <v>203</v>
      </c>
      <c r="M1025" s="96" t="s">
        <v>324</v>
      </c>
      <c r="N1025" s="96" t="s">
        <v>339</v>
      </c>
      <c r="O1025" s="96" t="s">
        <v>474</v>
      </c>
      <c r="P1025" s="96" t="s">
        <v>337</v>
      </c>
      <c r="Q1025" s="96" t="s">
        <v>1332</v>
      </c>
      <c r="R1025" s="96" t="s">
        <v>412</v>
      </c>
      <c r="S1025" s="96" t="s">
        <v>406</v>
      </c>
      <c r="T1025" s="96" t="s">
        <v>1200</v>
      </c>
      <c r="U1025" s="97">
        <v>3.04</v>
      </c>
      <c r="V1025" s="100">
        <v>47483</v>
      </c>
      <c r="W1025" s="98">
        <v>2.1000000000000001E-2</v>
      </c>
      <c r="X1025" s="98">
        <v>5.79E-2</v>
      </c>
      <c r="Y1025" s="96" t="s">
        <v>411</v>
      </c>
      <c r="Z1025" s="96"/>
      <c r="AA1025" s="97">
        <v>6766.7252129999997</v>
      </c>
      <c r="AB1025" s="97">
        <v>1</v>
      </c>
      <c r="AC1025" s="97">
        <v>89.62</v>
      </c>
      <c r="AD1025" s="97"/>
      <c r="AE1025" s="97">
        <v>6.0643390000000004</v>
      </c>
      <c r="AF1025" s="96"/>
      <c r="AG1025" s="96"/>
      <c r="AH1025" s="96"/>
      <c r="AI1025" s="98">
        <v>1.1E-5</v>
      </c>
      <c r="AJ1025" s="98">
        <v>9.4300000000000004E-4</v>
      </c>
      <c r="AK1025" s="98">
        <v>3.6299999999999999E-4</v>
      </c>
      <c r="AL1025" s="106"/>
    </row>
    <row r="1026" spans="1:38" ht="15" customHeight="1">
      <c r="A1026" s="106"/>
      <c r="B1026" s="96">
        <v>286</v>
      </c>
      <c r="C1026" s="96">
        <v>9803</v>
      </c>
      <c r="D1026" s="96" t="s">
        <v>1379</v>
      </c>
      <c r="E1026" s="96">
        <v>510454333</v>
      </c>
      <c r="F1026" s="96" t="s">
        <v>308</v>
      </c>
      <c r="G1026" s="96" t="s">
        <v>1380</v>
      </c>
      <c r="H1026" s="96" t="s">
        <v>1381</v>
      </c>
      <c r="I1026" s="96" t="s">
        <v>320</v>
      </c>
      <c r="J1026" s="96" t="s">
        <v>753</v>
      </c>
      <c r="K1026" s="96" t="s">
        <v>203</v>
      </c>
      <c r="L1026" s="96" t="s">
        <v>203</v>
      </c>
      <c r="M1026" s="96" t="s">
        <v>324</v>
      </c>
      <c r="N1026" s="96" t="s">
        <v>339</v>
      </c>
      <c r="O1026" s="96" t="s">
        <v>476</v>
      </c>
      <c r="P1026" s="96" t="s">
        <v>338</v>
      </c>
      <c r="Q1026" s="96" t="s">
        <v>1320</v>
      </c>
      <c r="R1026" s="96" t="s">
        <v>412</v>
      </c>
      <c r="S1026" s="96" t="s">
        <v>406</v>
      </c>
      <c r="T1026" s="96" t="s">
        <v>1200</v>
      </c>
      <c r="U1026" s="97">
        <v>2.73</v>
      </c>
      <c r="V1026" s="100">
        <v>47391</v>
      </c>
      <c r="W1026" s="98">
        <v>3.2300000000000002E-2</v>
      </c>
      <c r="X1026" s="98">
        <v>3.32E-2</v>
      </c>
      <c r="Y1026" s="96" t="s">
        <v>411</v>
      </c>
      <c r="Z1026" s="96"/>
      <c r="AA1026" s="97">
        <v>13642.358308999999</v>
      </c>
      <c r="AB1026" s="97">
        <v>1</v>
      </c>
      <c r="AC1026" s="97">
        <v>105.98</v>
      </c>
      <c r="AD1026" s="97"/>
      <c r="AE1026" s="97">
        <v>14.458171</v>
      </c>
      <c r="AF1026" s="96"/>
      <c r="AG1026" s="96"/>
      <c r="AH1026" s="96"/>
      <c r="AI1026" s="98">
        <v>2.3E-5</v>
      </c>
      <c r="AJ1026" s="98">
        <v>2.248E-3</v>
      </c>
      <c r="AK1026" s="98">
        <v>8.6700000000000004E-4</v>
      </c>
      <c r="AL1026" s="106"/>
    </row>
    <row r="1027" spans="1:38" ht="15" customHeight="1">
      <c r="A1027" s="106"/>
      <c r="B1027" s="96">
        <v>286</v>
      </c>
      <c r="C1027" s="96">
        <v>9803</v>
      </c>
      <c r="D1027" s="96" t="s">
        <v>1379</v>
      </c>
      <c r="E1027" s="96">
        <v>510454333</v>
      </c>
      <c r="F1027" s="96" t="s">
        <v>308</v>
      </c>
      <c r="G1027" s="96" t="s">
        <v>1972</v>
      </c>
      <c r="H1027" s="96" t="s">
        <v>1973</v>
      </c>
      <c r="I1027" s="96" t="s">
        <v>320</v>
      </c>
      <c r="J1027" s="96" t="s">
        <v>952</v>
      </c>
      <c r="K1027" s="96" t="s">
        <v>203</v>
      </c>
      <c r="L1027" s="96" t="s">
        <v>203</v>
      </c>
      <c r="M1027" s="96" t="s">
        <v>324</v>
      </c>
      <c r="N1027" s="96" t="s">
        <v>339</v>
      </c>
      <c r="O1027" s="96" t="s">
        <v>476</v>
      </c>
      <c r="P1027" s="96" t="s">
        <v>338</v>
      </c>
      <c r="Q1027" s="96" t="s">
        <v>1320</v>
      </c>
      <c r="R1027" s="96" t="s">
        <v>412</v>
      </c>
      <c r="S1027" s="96" t="s">
        <v>406</v>
      </c>
      <c r="T1027" s="96" t="s">
        <v>1200</v>
      </c>
      <c r="U1027" s="97">
        <v>2.78</v>
      </c>
      <c r="V1027" s="100">
        <v>47756</v>
      </c>
      <c r="W1027" s="98">
        <v>5.6500000000000002E-2</v>
      </c>
      <c r="X1027" s="98">
        <v>5.9799999999999999E-2</v>
      </c>
      <c r="Y1027" s="96" t="s">
        <v>411</v>
      </c>
      <c r="Z1027" s="96"/>
      <c r="AA1027" s="97">
        <v>12461.717511999999</v>
      </c>
      <c r="AB1027" s="97">
        <v>1</v>
      </c>
      <c r="AC1027" s="97">
        <v>100.74</v>
      </c>
      <c r="AD1027" s="97"/>
      <c r="AE1027" s="97">
        <v>12.553934</v>
      </c>
      <c r="AF1027" s="96"/>
      <c r="AG1027" s="96"/>
      <c r="AH1027" s="96"/>
      <c r="AI1027" s="98">
        <v>2.3E-5</v>
      </c>
      <c r="AJ1027" s="98">
        <v>1.952E-3</v>
      </c>
      <c r="AK1027" s="98">
        <v>7.5199999999999996E-4</v>
      </c>
      <c r="AL1027" s="106"/>
    </row>
    <row r="1028" spans="1:38" ht="15" customHeight="1">
      <c r="A1028" s="106"/>
      <c r="B1028" s="96">
        <v>286</v>
      </c>
      <c r="C1028" s="96">
        <v>9803</v>
      </c>
      <c r="D1028" s="96" t="s">
        <v>1306</v>
      </c>
      <c r="E1028" s="96">
        <v>520044322</v>
      </c>
      <c r="F1028" s="96" t="s">
        <v>308</v>
      </c>
      <c r="G1028" s="96" t="s">
        <v>1307</v>
      </c>
      <c r="H1028" s="96" t="s">
        <v>1308</v>
      </c>
      <c r="I1028" s="96" t="s">
        <v>320</v>
      </c>
      <c r="J1028" s="96" t="s">
        <v>952</v>
      </c>
      <c r="K1028" s="96" t="s">
        <v>203</v>
      </c>
      <c r="L1028" s="96" t="s">
        <v>203</v>
      </c>
      <c r="M1028" s="96" t="s">
        <v>324</v>
      </c>
      <c r="N1028" s="96" t="s">
        <v>339</v>
      </c>
      <c r="O1028" s="96" t="s">
        <v>453</v>
      </c>
      <c r="P1028" s="96" t="s">
        <v>338</v>
      </c>
      <c r="Q1028" s="96" t="s">
        <v>1309</v>
      </c>
      <c r="R1028" s="96" t="s">
        <v>414</v>
      </c>
      <c r="S1028" s="96" t="s">
        <v>406</v>
      </c>
      <c r="T1028" s="96" t="s">
        <v>1200</v>
      </c>
      <c r="U1028" s="97">
        <v>4.07</v>
      </c>
      <c r="V1028" s="100">
        <v>48152</v>
      </c>
      <c r="W1028" s="98">
        <v>6.5199999999999994E-2</v>
      </c>
      <c r="X1028" s="98">
        <v>6.4600000000000005E-2</v>
      </c>
      <c r="Y1028" s="96" t="s">
        <v>411</v>
      </c>
      <c r="Z1028" s="96"/>
      <c r="AA1028" s="97">
        <v>25327.602046</v>
      </c>
      <c r="AB1028" s="97">
        <v>1</v>
      </c>
      <c r="AC1028" s="97">
        <v>101.71</v>
      </c>
      <c r="AD1028" s="97"/>
      <c r="AE1028" s="97">
        <v>25.760704</v>
      </c>
      <c r="AF1028" s="96"/>
      <c r="AG1028" s="96"/>
      <c r="AH1028" s="96"/>
      <c r="AI1028" s="98">
        <v>1.9000000000000001E-5</v>
      </c>
      <c r="AJ1028" s="98">
        <v>4.006E-3</v>
      </c>
      <c r="AK1028" s="98">
        <v>1.544E-3</v>
      </c>
      <c r="AL1028" s="106"/>
    </row>
    <row r="1029" spans="1:38" ht="15" customHeight="1">
      <c r="A1029" s="106"/>
      <c r="B1029" s="96">
        <v>286</v>
      </c>
      <c r="C1029" s="96">
        <v>9803</v>
      </c>
      <c r="D1029" s="96" t="s">
        <v>1653</v>
      </c>
      <c r="E1029" s="96">
        <v>1628</v>
      </c>
      <c r="F1029" s="96" t="s">
        <v>80</v>
      </c>
      <c r="G1029" s="96" t="s">
        <v>1654</v>
      </c>
      <c r="H1029" s="96" t="s">
        <v>1655</v>
      </c>
      <c r="I1029" s="96" t="s">
        <v>320</v>
      </c>
      <c r="J1029" s="96" t="s">
        <v>952</v>
      </c>
      <c r="K1029" s="96" t="s">
        <v>203</v>
      </c>
      <c r="L1029" s="96" t="s">
        <v>203</v>
      </c>
      <c r="M1029" s="96" t="s">
        <v>324</v>
      </c>
      <c r="N1029" s="96" t="s">
        <v>339</v>
      </c>
      <c r="O1029" s="96" t="s">
        <v>464</v>
      </c>
      <c r="P1029" s="96" t="s">
        <v>338</v>
      </c>
      <c r="Q1029" s="96" t="s">
        <v>1320</v>
      </c>
      <c r="R1029" s="96" t="s">
        <v>412</v>
      </c>
      <c r="S1029" s="96" t="s">
        <v>406</v>
      </c>
      <c r="T1029" s="96" t="s">
        <v>1200</v>
      </c>
      <c r="U1029" s="97">
        <v>0.42</v>
      </c>
      <c r="V1029" s="100">
        <v>45627</v>
      </c>
      <c r="W1029" s="98">
        <v>3.9E-2</v>
      </c>
      <c r="X1029" s="98">
        <v>5.8999999999999997E-2</v>
      </c>
      <c r="Y1029" s="96" t="s">
        <v>411</v>
      </c>
      <c r="Z1029" s="96"/>
      <c r="AA1029" s="97">
        <v>3932.29718</v>
      </c>
      <c r="AB1029" s="97">
        <v>1</v>
      </c>
      <c r="AC1029" s="97">
        <v>99.53</v>
      </c>
      <c r="AD1029" s="97"/>
      <c r="AE1029" s="97">
        <v>3.913815</v>
      </c>
      <c r="AF1029" s="96"/>
      <c r="AG1029" s="96"/>
      <c r="AH1029" s="96"/>
      <c r="AI1029" s="98">
        <v>1.0000000000000001E-5</v>
      </c>
      <c r="AJ1029" s="98">
        <v>6.0800000000000003E-4</v>
      </c>
      <c r="AK1029" s="98">
        <v>2.34E-4</v>
      </c>
      <c r="AL1029" s="106"/>
    </row>
    <row r="1030" spans="1:38" ht="15" customHeight="1">
      <c r="A1030" s="106"/>
      <c r="B1030" s="96">
        <v>286</v>
      </c>
      <c r="C1030" s="96">
        <v>9803</v>
      </c>
      <c r="D1030" s="96" t="s">
        <v>1477</v>
      </c>
      <c r="E1030" s="96">
        <v>520029935</v>
      </c>
      <c r="F1030" s="96" t="s">
        <v>308</v>
      </c>
      <c r="G1030" s="96" t="s">
        <v>1755</v>
      </c>
      <c r="H1030" s="96" t="s">
        <v>1756</v>
      </c>
      <c r="I1030" s="96" t="s">
        <v>320</v>
      </c>
      <c r="J1030" s="96" t="s">
        <v>753</v>
      </c>
      <c r="K1030" s="96" t="s">
        <v>203</v>
      </c>
      <c r="L1030" s="96" t="s">
        <v>203</v>
      </c>
      <c r="M1030" s="96" t="s">
        <v>324</v>
      </c>
      <c r="N1030" s="96" t="s">
        <v>339</v>
      </c>
      <c r="O1030" s="96" t="s">
        <v>447</v>
      </c>
      <c r="P1030" s="96" t="s">
        <v>338</v>
      </c>
      <c r="Q1030" s="96" t="s">
        <v>1305</v>
      </c>
      <c r="R1030" s="96" t="s">
        <v>414</v>
      </c>
      <c r="S1030" s="96" t="s">
        <v>406</v>
      </c>
      <c r="T1030" s="96" t="s">
        <v>1200</v>
      </c>
      <c r="U1030" s="97">
        <v>1.31</v>
      </c>
      <c r="V1030" s="100">
        <v>45959</v>
      </c>
      <c r="W1030" s="98">
        <v>1.46E-2</v>
      </c>
      <c r="X1030" s="98">
        <v>2.47E-2</v>
      </c>
      <c r="Y1030" s="96" t="s">
        <v>410</v>
      </c>
      <c r="Z1030" s="96"/>
      <c r="AA1030" s="97">
        <v>24051.318401</v>
      </c>
      <c r="AB1030" s="97">
        <v>1</v>
      </c>
      <c r="AC1030" s="97">
        <v>112.48</v>
      </c>
      <c r="AD1030" s="97"/>
      <c r="AE1030" s="97">
        <v>27.052921999999999</v>
      </c>
      <c r="AF1030" s="96"/>
      <c r="AG1030" s="96"/>
      <c r="AH1030" s="96"/>
      <c r="AI1030" s="98">
        <v>1.8E-5</v>
      </c>
      <c r="AJ1030" s="98">
        <v>4.2069999999999998E-3</v>
      </c>
      <c r="AK1030" s="98">
        <v>1.622E-3</v>
      </c>
      <c r="AL1030" s="106"/>
    </row>
    <row r="1031" spans="1:38" ht="15" customHeight="1">
      <c r="A1031" s="106"/>
      <c r="B1031" s="96">
        <v>286</v>
      </c>
      <c r="C1031" s="96">
        <v>9803</v>
      </c>
      <c r="D1031" s="96" t="s">
        <v>1417</v>
      </c>
      <c r="E1031" s="96">
        <v>513230029</v>
      </c>
      <c r="F1031" s="96" t="s">
        <v>308</v>
      </c>
      <c r="G1031" s="96" t="s">
        <v>1743</v>
      </c>
      <c r="H1031" s="96" t="s">
        <v>1744</v>
      </c>
      <c r="I1031" s="96" t="s">
        <v>320</v>
      </c>
      <c r="J1031" s="96" t="s">
        <v>952</v>
      </c>
      <c r="K1031" s="96" t="s">
        <v>203</v>
      </c>
      <c r="L1031" s="96" t="s">
        <v>203</v>
      </c>
      <c r="M1031" s="96" t="s">
        <v>324</v>
      </c>
      <c r="N1031" s="96" t="s">
        <v>339</v>
      </c>
      <c r="O1031" s="96" t="s">
        <v>444</v>
      </c>
      <c r="P1031" s="96" t="s">
        <v>338</v>
      </c>
      <c r="Q1031" s="96" t="s">
        <v>1357</v>
      </c>
      <c r="R1031" s="96" t="s">
        <v>414</v>
      </c>
      <c r="S1031" s="96" t="s">
        <v>406</v>
      </c>
      <c r="T1031" s="96" t="s">
        <v>1200</v>
      </c>
      <c r="U1031" s="97">
        <v>1.48</v>
      </c>
      <c r="V1031" s="100">
        <v>46022</v>
      </c>
      <c r="W1031" s="98">
        <v>2.63E-2</v>
      </c>
      <c r="X1031" s="98">
        <v>5.1700000000000003E-2</v>
      </c>
      <c r="Y1031" s="96" t="s">
        <v>411</v>
      </c>
      <c r="Z1031" s="96"/>
      <c r="AA1031" s="97">
        <v>45745.558192999997</v>
      </c>
      <c r="AB1031" s="97">
        <v>1</v>
      </c>
      <c r="AC1031" s="97">
        <v>97.72</v>
      </c>
      <c r="AD1031" s="97"/>
      <c r="AE1031" s="97">
        <v>44.702559000000001</v>
      </c>
      <c r="AF1031" s="96"/>
      <c r="AG1031" s="96"/>
      <c r="AH1031" s="96"/>
      <c r="AI1031" s="98">
        <v>3.3000000000000003E-5</v>
      </c>
      <c r="AJ1031" s="98">
        <v>6.9519999999999998E-3</v>
      </c>
      <c r="AK1031" s="98">
        <v>2.6800000000000001E-3</v>
      </c>
      <c r="AL1031" s="106"/>
    </row>
    <row r="1032" spans="1:38" ht="15" customHeight="1">
      <c r="A1032" s="106"/>
      <c r="B1032" s="96">
        <v>286</v>
      </c>
      <c r="C1032" s="96">
        <v>9803</v>
      </c>
      <c r="D1032" s="96" t="s">
        <v>1346</v>
      </c>
      <c r="E1032" s="96">
        <v>520025370</v>
      </c>
      <c r="F1032" s="96" t="s">
        <v>308</v>
      </c>
      <c r="G1032" s="96" t="s">
        <v>1347</v>
      </c>
      <c r="H1032" s="96" t="s">
        <v>1348</v>
      </c>
      <c r="I1032" s="96" t="s">
        <v>320</v>
      </c>
      <c r="J1032" s="96" t="s">
        <v>952</v>
      </c>
      <c r="K1032" s="96" t="s">
        <v>203</v>
      </c>
      <c r="L1032" s="96" t="s">
        <v>203</v>
      </c>
      <c r="M1032" s="96" t="s">
        <v>326</v>
      </c>
      <c r="N1032" s="96" t="s">
        <v>339</v>
      </c>
      <c r="O1032" s="96" t="s">
        <v>450</v>
      </c>
      <c r="P1032" s="96" t="s">
        <v>338</v>
      </c>
      <c r="Q1032" s="96" t="s">
        <v>1332</v>
      </c>
      <c r="R1032" s="96" t="s">
        <v>412</v>
      </c>
      <c r="S1032" s="96" t="s">
        <v>406</v>
      </c>
      <c r="T1032" s="96" t="s">
        <v>1200</v>
      </c>
      <c r="U1032" s="97">
        <v>2.5099999999999998</v>
      </c>
      <c r="V1032" s="100">
        <v>47376</v>
      </c>
      <c r="W1032" s="98">
        <v>2.0400000000000001E-2</v>
      </c>
      <c r="X1032" s="98">
        <v>5.3800000000000001E-2</v>
      </c>
      <c r="Y1032" s="96" t="s">
        <v>411</v>
      </c>
      <c r="Z1032" s="96"/>
      <c r="AA1032" s="97">
        <v>766.30300699999998</v>
      </c>
      <c r="AB1032" s="97">
        <v>1</v>
      </c>
      <c r="AC1032" s="97">
        <v>92.64</v>
      </c>
      <c r="AD1032" s="97"/>
      <c r="AE1032" s="97">
        <v>0.70990299999999995</v>
      </c>
      <c r="AF1032" s="96"/>
      <c r="AG1032" s="96"/>
      <c r="AH1032" s="96"/>
      <c r="AI1032" s="98">
        <v>9.9999999999999995E-7</v>
      </c>
      <c r="AJ1032" s="98">
        <v>1.1E-4</v>
      </c>
      <c r="AK1032" s="98">
        <v>4.1999999999999998E-5</v>
      </c>
      <c r="AL1032" s="106"/>
    </row>
    <row r="1033" spans="1:38" ht="15" customHeight="1">
      <c r="A1033" s="106"/>
      <c r="B1033" s="96">
        <v>286</v>
      </c>
      <c r="C1033" s="96">
        <v>9803</v>
      </c>
      <c r="D1033" s="96" t="s">
        <v>1354</v>
      </c>
      <c r="E1033" s="96">
        <v>513893123</v>
      </c>
      <c r="F1033" s="96" t="s">
        <v>308</v>
      </c>
      <c r="G1033" s="96" t="s">
        <v>2030</v>
      </c>
      <c r="H1033" s="96" t="s">
        <v>1786</v>
      </c>
      <c r="I1033" s="96" t="s">
        <v>320</v>
      </c>
      <c r="J1033" s="96" t="s">
        <v>753</v>
      </c>
      <c r="K1033" s="96" t="s">
        <v>203</v>
      </c>
      <c r="L1033" s="96" t="s">
        <v>203</v>
      </c>
      <c r="M1033" s="96" t="s">
        <v>326</v>
      </c>
      <c r="N1033" s="96" t="s">
        <v>339</v>
      </c>
      <c r="O1033" s="96" t="s">
        <v>442</v>
      </c>
      <c r="P1033" s="96" t="s">
        <v>338</v>
      </c>
      <c r="Q1033" s="96" t="s">
        <v>1357</v>
      </c>
      <c r="R1033" s="96" t="s">
        <v>414</v>
      </c>
      <c r="S1033" s="96" t="s">
        <v>406</v>
      </c>
      <c r="T1033" s="96" t="s">
        <v>1200</v>
      </c>
      <c r="U1033" s="97">
        <v>1.88</v>
      </c>
      <c r="V1033" s="100">
        <v>46477</v>
      </c>
      <c r="W1033" s="98">
        <v>3.5400000000000001E-2</v>
      </c>
      <c r="X1033" s="98">
        <v>3.7199999999999997E-2</v>
      </c>
      <c r="Y1033" s="96" t="s">
        <v>411</v>
      </c>
      <c r="Z1033" s="96"/>
      <c r="AA1033" s="97">
        <v>1069.3992020000001</v>
      </c>
      <c r="AB1033" s="97">
        <v>1</v>
      </c>
      <c r="AC1033" s="97">
        <v>106.05110000000001</v>
      </c>
      <c r="AD1033" s="97"/>
      <c r="AE1033" s="97">
        <v>1.134109</v>
      </c>
      <c r="AF1033" s="96"/>
      <c r="AG1033" s="96"/>
      <c r="AH1033" s="96"/>
      <c r="AI1033" s="98">
        <v>0</v>
      </c>
      <c r="AJ1033" s="98">
        <v>1.76E-4</v>
      </c>
      <c r="AK1033" s="98">
        <v>6.7999999999999999E-5</v>
      </c>
      <c r="AL1033" s="106"/>
    </row>
    <row r="1034" spans="1:38" ht="15" customHeight="1">
      <c r="A1034" s="106"/>
      <c r="B1034" s="96">
        <v>286</v>
      </c>
      <c r="C1034" s="96">
        <v>9803</v>
      </c>
      <c r="D1034" s="96" t="s">
        <v>1982</v>
      </c>
      <c r="E1034" s="96">
        <v>520036732</v>
      </c>
      <c r="F1034" s="96" t="s">
        <v>308</v>
      </c>
      <c r="G1034" s="96" t="s">
        <v>1983</v>
      </c>
      <c r="H1034" s="96" t="s">
        <v>1984</v>
      </c>
      <c r="I1034" s="96" t="s">
        <v>320</v>
      </c>
      <c r="J1034" s="96" t="s">
        <v>952</v>
      </c>
      <c r="K1034" s="96" t="s">
        <v>203</v>
      </c>
      <c r="L1034" s="96" t="s">
        <v>203</v>
      </c>
      <c r="M1034" s="96" t="s">
        <v>324</v>
      </c>
      <c r="N1034" s="96" t="s">
        <v>339</v>
      </c>
      <c r="O1034" s="96" t="s">
        <v>461</v>
      </c>
      <c r="P1034" s="96" t="s">
        <v>338</v>
      </c>
      <c r="Q1034" s="96" t="s">
        <v>1305</v>
      </c>
      <c r="R1034" s="96" t="s">
        <v>414</v>
      </c>
      <c r="S1034" s="96" t="s">
        <v>406</v>
      </c>
      <c r="T1034" s="96" t="s">
        <v>1200</v>
      </c>
      <c r="U1034" s="97">
        <v>2.2400000000000002</v>
      </c>
      <c r="V1034" s="100">
        <v>46934</v>
      </c>
      <c r="W1034" s="98">
        <v>1.7500000000000002E-2</v>
      </c>
      <c r="X1034" s="98">
        <v>5.4600000000000003E-2</v>
      </c>
      <c r="Y1034" s="96" t="s">
        <v>411</v>
      </c>
      <c r="Z1034" s="96"/>
      <c r="AA1034" s="97">
        <v>2017.3112369999999</v>
      </c>
      <c r="AB1034" s="97">
        <v>1</v>
      </c>
      <c r="AC1034" s="97">
        <v>92.2</v>
      </c>
      <c r="AD1034" s="97"/>
      <c r="AE1034" s="97">
        <v>1.8599600000000001</v>
      </c>
      <c r="AF1034" s="96"/>
      <c r="AG1034" s="96"/>
      <c r="AH1034" s="96"/>
      <c r="AI1034" s="98">
        <v>1.9000000000000001E-5</v>
      </c>
      <c r="AJ1034" s="98">
        <v>2.8899999999999998E-4</v>
      </c>
      <c r="AK1034" s="98">
        <v>1.11E-4</v>
      </c>
      <c r="AL1034" s="106"/>
    </row>
    <row r="1035" spans="1:38" ht="15" customHeight="1">
      <c r="A1035" s="106"/>
      <c r="B1035" s="96">
        <v>286</v>
      </c>
      <c r="C1035" s="96">
        <v>9803</v>
      </c>
      <c r="D1035" s="96" t="s">
        <v>1302</v>
      </c>
      <c r="E1035" s="96">
        <v>513623314</v>
      </c>
      <c r="F1035" s="96" t="s">
        <v>308</v>
      </c>
      <c r="G1035" s="96" t="s">
        <v>1577</v>
      </c>
      <c r="H1035" s="96" t="s">
        <v>1578</v>
      </c>
      <c r="I1035" s="96" t="s">
        <v>320</v>
      </c>
      <c r="J1035" s="96" t="s">
        <v>753</v>
      </c>
      <c r="K1035" s="96" t="s">
        <v>203</v>
      </c>
      <c r="L1035" s="96" t="s">
        <v>203</v>
      </c>
      <c r="M1035" s="96" t="s">
        <v>324</v>
      </c>
      <c r="N1035" s="96" t="s">
        <v>339</v>
      </c>
      <c r="O1035" s="96" t="s">
        <v>463</v>
      </c>
      <c r="P1035" s="96" t="s">
        <v>337</v>
      </c>
      <c r="Q1035" s="96" t="s">
        <v>1313</v>
      </c>
      <c r="R1035" s="96" t="s">
        <v>412</v>
      </c>
      <c r="S1035" s="96" t="s">
        <v>406</v>
      </c>
      <c r="T1035" s="96" t="s">
        <v>1200</v>
      </c>
      <c r="U1035" s="97">
        <v>5.59</v>
      </c>
      <c r="V1035" s="100">
        <v>47667</v>
      </c>
      <c r="W1035" s="98">
        <v>2.5999999999999999E-2</v>
      </c>
      <c r="X1035" s="98">
        <v>3.1800000000000002E-2</v>
      </c>
      <c r="Y1035" s="96" t="s">
        <v>411</v>
      </c>
      <c r="Z1035" s="96"/>
      <c r="AA1035" s="97">
        <v>20652.917160000001</v>
      </c>
      <c r="AB1035" s="97">
        <v>1</v>
      </c>
      <c r="AC1035" s="97">
        <v>98.8</v>
      </c>
      <c r="AD1035" s="97"/>
      <c r="AE1035" s="97">
        <v>20.405082</v>
      </c>
      <c r="AF1035" s="96"/>
      <c r="AG1035" s="96"/>
      <c r="AH1035" s="96"/>
      <c r="AI1035" s="98">
        <v>3.8000000000000002E-5</v>
      </c>
      <c r="AJ1035" s="98">
        <v>3.173E-3</v>
      </c>
      <c r="AK1035" s="98">
        <v>1.2229999999999999E-3</v>
      </c>
      <c r="AL1035" s="106"/>
    </row>
    <row r="1036" spans="1:38" ht="15" customHeight="1">
      <c r="A1036" s="106"/>
      <c r="B1036" s="96">
        <v>286</v>
      </c>
      <c r="C1036" s="96">
        <v>9803</v>
      </c>
      <c r="D1036" s="96" t="s">
        <v>1414</v>
      </c>
      <c r="E1036" s="96">
        <v>520037789</v>
      </c>
      <c r="F1036" s="96" t="s">
        <v>308</v>
      </c>
      <c r="G1036" s="96" t="s">
        <v>1480</v>
      </c>
      <c r="H1036" s="96" t="s">
        <v>1481</v>
      </c>
      <c r="I1036" s="96" t="s">
        <v>320</v>
      </c>
      <c r="J1036" s="96" t="s">
        <v>753</v>
      </c>
      <c r="K1036" s="96" t="s">
        <v>203</v>
      </c>
      <c r="L1036" s="96" t="s">
        <v>203</v>
      </c>
      <c r="M1036" s="96" t="s">
        <v>324</v>
      </c>
      <c r="N1036" s="96" t="s">
        <v>339</v>
      </c>
      <c r="O1036" s="96" t="s">
        <v>463</v>
      </c>
      <c r="P1036" s="96" t="s">
        <v>337</v>
      </c>
      <c r="Q1036" s="96" t="s">
        <v>1313</v>
      </c>
      <c r="R1036" s="96" t="s">
        <v>412</v>
      </c>
      <c r="S1036" s="96" t="s">
        <v>406</v>
      </c>
      <c r="T1036" s="96" t="s">
        <v>1200</v>
      </c>
      <c r="U1036" s="97">
        <v>1.01</v>
      </c>
      <c r="V1036" s="100">
        <v>45848</v>
      </c>
      <c r="W1036" s="98">
        <v>1.7600000000000001E-2</v>
      </c>
      <c r="X1036" s="98">
        <v>2.5399999999999999E-2</v>
      </c>
      <c r="Y1036" s="96" t="s">
        <v>411</v>
      </c>
      <c r="Z1036" s="96"/>
      <c r="AA1036" s="97">
        <v>40456.907796</v>
      </c>
      <c r="AB1036" s="97">
        <v>1</v>
      </c>
      <c r="AC1036" s="97">
        <v>114.44</v>
      </c>
      <c r="AD1036" s="97">
        <v>0.56918000000000002</v>
      </c>
      <c r="AE1036" s="97">
        <v>46.868065000000001</v>
      </c>
      <c r="AF1036" s="96"/>
      <c r="AG1036" s="96"/>
      <c r="AH1036" s="96"/>
      <c r="AI1036" s="98">
        <v>5.1999999999999997E-5</v>
      </c>
      <c r="AJ1036" s="98">
        <v>7.2890000000000003E-3</v>
      </c>
      <c r="AK1036" s="98">
        <v>2.81E-3</v>
      </c>
      <c r="AL1036" s="106"/>
    </row>
    <row r="1037" spans="1:38" ht="15" customHeight="1">
      <c r="A1037" s="106"/>
      <c r="B1037" s="96">
        <v>286</v>
      </c>
      <c r="C1037" s="96">
        <v>9803</v>
      </c>
      <c r="D1037" s="96" t="s">
        <v>1987</v>
      </c>
      <c r="E1037" s="96">
        <v>516378643</v>
      </c>
      <c r="F1037" s="96" t="s">
        <v>308</v>
      </c>
      <c r="G1037" s="96" t="s">
        <v>1988</v>
      </c>
      <c r="H1037" s="96" t="s">
        <v>1989</v>
      </c>
      <c r="I1037" s="96" t="s">
        <v>320</v>
      </c>
      <c r="J1037" s="96" t="s">
        <v>753</v>
      </c>
      <c r="K1037" s="96" t="s">
        <v>203</v>
      </c>
      <c r="L1037" s="96" t="s">
        <v>203</v>
      </c>
      <c r="M1037" s="96" t="s">
        <v>324</v>
      </c>
      <c r="N1037" s="96" t="s">
        <v>339</v>
      </c>
      <c r="O1037" s="96" t="s">
        <v>463</v>
      </c>
      <c r="P1037" s="96" t="s">
        <v>338</v>
      </c>
      <c r="Q1037" s="96" t="s">
        <v>1328</v>
      </c>
      <c r="R1037" s="96" t="s">
        <v>412</v>
      </c>
      <c r="S1037" s="96" t="s">
        <v>406</v>
      </c>
      <c r="T1037" s="96" t="s">
        <v>1200</v>
      </c>
      <c r="U1037" s="97">
        <v>4.46</v>
      </c>
      <c r="V1037" s="100">
        <v>47756</v>
      </c>
      <c r="W1037" s="98">
        <v>4.3999999999999997E-2</v>
      </c>
      <c r="X1037" s="98">
        <v>3.6900000000000002E-2</v>
      </c>
      <c r="Y1037" s="96" t="s">
        <v>411</v>
      </c>
      <c r="Z1037" s="96"/>
      <c r="AA1037" s="97">
        <v>16591.187414</v>
      </c>
      <c r="AB1037" s="97">
        <v>1</v>
      </c>
      <c r="AC1037" s="97">
        <v>107.51</v>
      </c>
      <c r="AD1037" s="97"/>
      <c r="AE1037" s="97">
        <v>17.837185000000002</v>
      </c>
      <c r="AF1037" s="96"/>
      <c r="AG1037" s="96"/>
      <c r="AH1037" s="96"/>
      <c r="AI1037" s="98">
        <v>3.8999999999999999E-5</v>
      </c>
      <c r="AJ1037" s="98">
        <v>2.774E-3</v>
      </c>
      <c r="AK1037" s="98">
        <v>1.0690000000000001E-3</v>
      </c>
      <c r="AL1037" s="106"/>
    </row>
    <row r="1038" spans="1:38" ht="15" customHeight="1">
      <c r="A1038" s="106"/>
      <c r="B1038" s="96">
        <v>286</v>
      </c>
      <c r="C1038" s="96">
        <v>9803</v>
      </c>
      <c r="D1038" s="96" t="s">
        <v>1445</v>
      </c>
      <c r="E1038" s="96">
        <v>510381601</v>
      </c>
      <c r="F1038" s="96" t="s">
        <v>308</v>
      </c>
      <c r="G1038" s="96" t="s">
        <v>1892</v>
      </c>
      <c r="H1038" s="96" t="s">
        <v>1893</v>
      </c>
      <c r="I1038" s="96" t="s">
        <v>320</v>
      </c>
      <c r="J1038" s="96" t="s">
        <v>753</v>
      </c>
      <c r="K1038" s="96" t="s">
        <v>203</v>
      </c>
      <c r="L1038" s="96" t="s">
        <v>203</v>
      </c>
      <c r="M1038" s="96" t="s">
        <v>324</v>
      </c>
      <c r="N1038" s="96" t="s">
        <v>339</v>
      </c>
      <c r="O1038" s="96" t="s">
        <v>446</v>
      </c>
      <c r="P1038" s="96" t="s">
        <v>337</v>
      </c>
      <c r="Q1038" s="96" t="s">
        <v>1328</v>
      </c>
      <c r="R1038" s="96" t="s">
        <v>412</v>
      </c>
      <c r="S1038" s="96" t="s">
        <v>406</v>
      </c>
      <c r="T1038" s="96" t="s">
        <v>1200</v>
      </c>
      <c r="U1038" s="97">
        <v>3.5</v>
      </c>
      <c r="V1038" s="100">
        <v>47483</v>
      </c>
      <c r="W1038" s="98">
        <v>7.4999999999999997E-3</v>
      </c>
      <c r="X1038" s="98">
        <v>3.9E-2</v>
      </c>
      <c r="Y1038" s="96" t="s">
        <v>411</v>
      </c>
      <c r="Z1038" s="96"/>
      <c r="AA1038" s="97">
        <v>24568.962812000002</v>
      </c>
      <c r="AB1038" s="97">
        <v>1</v>
      </c>
      <c r="AC1038" s="97">
        <v>99.42</v>
      </c>
      <c r="AD1038" s="97"/>
      <c r="AE1038" s="97">
        <v>24.426462000000001</v>
      </c>
      <c r="AF1038" s="96"/>
      <c r="AG1038" s="96"/>
      <c r="AH1038" s="96"/>
      <c r="AI1038" s="98">
        <v>1.5E-5</v>
      </c>
      <c r="AJ1038" s="98">
        <v>3.7989999999999999E-3</v>
      </c>
      <c r="AK1038" s="98">
        <v>1.464E-3</v>
      </c>
      <c r="AL1038" s="106"/>
    </row>
    <row r="1039" spans="1:38" ht="15" customHeight="1">
      <c r="A1039" s="106"/>
      <c r="B1039" s="96">
        <v>286</v>
      </c>
      <c r="C1039" s="96">
        <v>9803</v>
      </c>
      <c r="D1039" s="96" t="s">
        <v>1800</v>
      </c>
      <c r="E1039" s="96">
        <v>514837111</v>
      </c>
      <c r="F1039" s="96" t="s">
        <v>308</v>
      </c>
      <c r="G1039" s="96" t="s">
        <v>1801</v>
      </c>
      <c r="H1039" s="96" t="s">
        <v>1802</v>
      </c>
      <c r="I1039" s="96" t="s">
        <v>320</v>
      </c>
      <c r="J1039" s="96" t="s">
        <v>754</v>
      </c>
      <c r="K1039" s="96" t="s">
        <v>203</v>
      </c>
      <c r="L1039" s="96" t="s">
        <v>203</v>
      </c>
      <c r="M1039" s="96" t="s">
        <v>324</v>
      </c>
      <c r="N1039" s="96" t="s">
        <v>339</v>
      </c>
      <c r="O1039" s="96" t="s">
        <v>453</v>
      </c>
      <c r="P1039" s="96" t="s">
        <v>338</v>
      </c>
      <c r="Q1039" s="96" t="s">
        <v>1305</v>
      </c>
      <c r="R1039" s="96" t="s">
        <v>414</v>
      </c>
      <c r="S1039" s="96" t="s">
        <v>406</v>
      </c>
      <c r="T1039" s="96" t="s">
        <v>1200</v>
      </c>
      <c r="U1039" s="97">
        <v>2.76</v>
      </c>
      <c r="V1039" s="100">
        <v>46995</v>
      </c>
      <c r="W1039" s="98">
        <v>5.4800000000000001E-2</v>
      </c>
      <c r="X1039" s="98">
        <v>6.6000000000000003E-2</v>
      </c>
      <c r="Y1039" s="96" t="s">
        <v>411</v>
      </c>
      <c r="Z1039" s="96"/>
      <c r="AA1039" s="97">
        <v>13515.752697</v>
      </c>
      <c r="AB1039" s="97">
        <v>1</v>
      </c>
      <c r="AC1039" s="97">
        <v>104.51</v>
      </c>
      <c r="AD1039" s="97"/>
      <c r="AE1039" s="97">
        <v>14.125313</v>
      </c>
      <c r="AF1039" s="96"/>
      <c r="AG1039" s="96"/>
      <c r="AH1039" s="96"/>
      <c r="AI1039" s="98">
        <v>4.6999999999999997E-5</v>
      </c>
      <c r="AJ1039" s="98">
        <v>2.196E-3</v>
      </c>
      <c r="AK1039" s="98">
        <v>8.4699999999999999E-4</v>
      </c>
      <c r="AL1039" s="106"/>
    </row>
    <row r="1040" spans="1:38" ht="15" customHeight="1">
      <c r="A1040" s="106"/>
      <c r="B1040" s="96">
        <v>286</v>
      </c>
      <c r="C1040" s="96">
        <v>9803</v>
      </c>
      <c r="D1040" s="96" t="s">
        <v>1354</v>
      </c>
      <c r="E1040" s="96">
        <v>513893123</v>
      </c>
      <c r="F1040" s="96" t="s">
        <v>308</v>
      </c>
      <c r="G1040" s="96" t="s">
        <v>1785</v>
      </c>
      <c r="H1040" s="96" t="s">
        <v>1786</v>
      </c>
      <c r="I1040" s="96" t="s">
        <v>320</v>
      </c>
      <c r="J1040" s="96" t="s">
        <v>753</v>
      </c>
      <c r="K1040" s="96" t="s">
        <v>203</v>
      </c>
      <c r="L1040" s="96" t="s">
        <v>203</v>
      </c>
      <c r="M1040" s="96" t="s">
        <v>326</v>
      </c>
      <c r="N1040" s="96" t="s">
        <v>339</v>
      </c>
      <c r="O1040" s="96" t="s">
        <v>442</v>
      </c>
      <c r="P1040" s="96" t="s">
        <v>338</v>
      </c>
      <c r="Q1040" s="96" t="s">
        <v>1357</v>
      </c>
      <c r="R1040" s="96" t="s">
        <v>414</v>
      </c>
      <c r="S1040" s="96" t="s">
        <v>406</v>
      </c>
      <c r="T1040" s="96" t="s">
        <v>1200</v>
      </c>
      <c r="U1040" s="97">
        <v>1.88</v>
      </c>
      <c r="V1040" s="100">
        <v>46477</v>
      </c>
      <c r="W1040" s="98">
        <v>3.5400000000000001E-2</v>
      </c>
      <c r="X1040" s="98">
        <v>3.9600000000000003E-2</v>
      </c>
      <c r="Y1040" s="96" t="s">
        <v>411</v>
      </c>
      <c r="Z1040" s="96"/>
      <c r="AA1040" s="97">
        <v>15909.848166</v>
      </c>
      <c r="AB1040" s="97">
        <v>1</v>
      </c>
      <c r="AC1040" s="97">
        <v>105.58280000000001</v>
      </c>
      <c r="AD1040" s="97"/>
      <c r="AE1040" s="97">
        <v>16.798062999999999</v>
      </c>
      <c r="AF1040" s="96"/>
      <c r="AG1040" s="96"/>
      <c r="AH1040" s="96"/>
      <c r="AI1040" s="98">
        <v>1.4E-5</v>
      </c>
      <c r="AJ1040" s="98">
        <v>2.6120000000000002E-3</v>
      </c>
      <c r="AK1040" s="98">
        <v>1.0070000000000001E-3</v>
      </c>
      <c r="AL1040" s="106"/>
    </row>
    <row r="1041" spans="1:38" ht="15" customHeight="1">
      <c r="A1041" s="106"/>
      <c r="B1041" s="96">
        <v>286</v>
      </c>
      <c r="C1041" s="96">
        <v>9803</v>
      </c>
      <c r="D1041" s="96" t="s">
        <v>1354</v>
      </c>
      <c r="E1041" s="96">
        <v>513893123</v>
      </c>
      <c r="F1041" s="96" t="s">
        <v>308</v>
      </c>
      <c r="G1041" s="96" t="s">
        <v>1884</v>
      </c>
      <c r="H1041" s="96" t="s">
        <v>1396</v>
      </c>
      <c r="I1041" s="96" t="s">
        <v>320</v>
      </c>
      <c r="J1041" s="96" t="s">
        <v>753</v>
      </c>
      <c r="K1041" s="96" t="s">
        <v>203</v>
      </c>
      <c r="L1041" s="96" t="s">
        <v>203</v>
      </c>
      <c r="M1041" s="96" t="s">
        <v>324</v>
      </c>
      <c r="N1041" s="96" t="s">
        <v>339</v>
      </c>
      <c r="O1041" s="96" t="s">
        <v>442</v>
      </c>
      <c r="P1041" s="96" t="s">
        <v>338</v>
      </c>
      <c r="Q1041" s="96" t="s">
        <v>1357</v>
      </c>
      <c r="R1041" s="96" t="s">
        <v>414</v>
      </c>
      <c r="S1041" s="96" t="s">
        <v>406</v>
      </c>
      <c r="T1041" s="96" t="s">
        <v>1200</v>
      </c>
      <c r="U1041" s="97">
        <v>3.22</v>
      </c>
      <c r="V1041" s="100">
        <v>48060</v>
      </c>
      <c r="W1041" s="98">
        <v>0.01</v>
      </c>
      <c r="X1041" s="98">
        <v>3.5700000000000003E-2</v>
      </c>
      <c r="Y1041" s="96" t="s">
        <v>411</v>
      </c>
      <c r="Z1041" s="96"/>
      <c r="AA1041" s="97">
        <v>1428.772379</v>
      </c>
      <c r="AB1041" s="97">
        <v>1</v>
      </c>
      <c r="AC1041" s="97">
        <v>102.46</v>
      </c>
      <c r="AD1041" s="97"/>
      <c r="AE1041" s="97">
        <v>1.4639200000000001</v>
      </c>
      <c r="AF1041" s="96"/>
      <c r="AG1041" s="96"/>
      <c r="AH1041" s="96"/>
      <c r="AI1041" s="98">
        <v>0</v>
      </c>
      <c r="AJ1041" s="98">
        <v>2.2699999999999999E-4</v>
      </c>
      <c r="AK1041" s="98">
        <v>8.7000000000000001E-5</v>
      </c>
      <c r="AL1041" s="106"/>
    </row>
    <row r="1042" spans="1:38" ht="15" customHeight="1">
      <c r="A1042" s="106"/>
      <c r="B1042" s="96">
        <v>286</v>
      </c>
      <c r="C1042" s="96">
        <v>9803</v>
      </c>
      <c r="D1042" s="96" t="s">
        <v>1511</v>
      </c>
      <c r="E1042" s="96">
        <v>513765859</v>
      </c>
      <c r="F1042" s="96" t="s">
        <v>308</v>
      </c>
      <c r="G1042" s="96" t="s">
        <v>1686</v>
      </c>
      <c r="H1042" s="96" t="s">
        <v>1687</v>
      </c>
      <c r="I1042" s="96" t="s">
        <v>320</v>
      </c>
      <c r="J1042" s="96" t="s">
        <v>753</v>
      </c>
      <c r="K1042" s="96" t="s">
        <v>203</v>
      </c>
      <c r="L1042" s="96" t="s">
        <v>203</v>
      </c>
      <c r="M1042" s="96" t="s">
        <v>324</v>
      </c>
      <c r="N1042" s="96" t="s">
        <v>339</v>
      </c>
      <c r="O1042" s="96" t="s">
        <v>463</v>
      </c>
      <c r="P1042" s="96" t="s">
        <v>337</v>
      </c>
      <c r="Q1042" s="96" t="s">
        <v>1313</v>
      </c>
      <c r="R1042" s="96" t="s">
        <v>412</v>
      </c>
      <c r="S1042" s="96" t="s">
        <v>406</v>
      </c>
      <c r="T1042" s="96" t="s">
        <v>1200</v>
      </c>
      <c r="U1042" s="97">
        <v>2.4900000000000002</v>
      </c>
      <c r="V1042" s="100">
        <v>47057</v>
      </c>
      <c r="W1042" s="98">
        <v>1.4200000000000001E-2</v>
      </c>
      <c r="X1042" s="98">
        <v>2.5100000000000001E-2</v>
      </c>
      <c r="Y1042" s="96" t="s">
        <v>411</v>
      </c>
      <c r="Z1042" s="96"/>
      <c r="AA1042" s="97">
        <v>25400.138079</v>
      </c>
      <c r="AB1042" s="97">
        <v>1</v>
      </c>
      <c r="AC1042" s="97">
        <v>110.8</v>
      </c>
      <c r="AD1042" s="97"/>
      <c r="AE1042" s="97">
        <v>28.143352</v>
      </c>
      <c r="AF1042" s="96"/>
      <c r="AG1042" s="96"/>
      <c r="AH1042" s="96"/>
      <c r="AI1042" s="98">
        <v>2.0999999999999999E-5</v>
      </c>
      <c r="AJ1042" s="98">
        <v>4.3769999999999998E-3</v>
      </c>
      <c r="AK1042" s="98">
        <v>1.6869999999999999E-3</v>
      </c>
      <c r="AL1042" s="106"/>
    </row>
    <row r="1043" spans="1:38" ht="15" customHeight="1">
      <c r="A1043" s="106"/>
      <c r="B1043" s="96">
        <v>286</v>
      </c>
      <c r="C1043" s="96">
        <v>9803</v>
      </c>
      <c r="D1043" s="96" t="s">
        <v>1551</v>
      </c>
      <c r="E1043" s="96">
        <v>511659401</v>
      </c>
      <c r="F1043" s="96" t="s">
        <v>308</v>
      </c>
      <c r="G1043" s="96" t="s">
        <v>1630</v>
      </c>
      <c r="H1043" s="96" t="s">
        <v>1631</v>
      </c>
      <c r="I1043" s="96" t="s">
        <v>320</v>
      </c>
      <c r="J1043" s="96" t="s">
        <v>753</v>
      </c>
      <c r="K1043" s="96" t="s">
        <v>203</v>
      </c>
      <c r="L1043" s="96" t="s">
        <v>203</v>
      </c>
      <c r="M1043" s="96" t="s">
        <v>324</v>
      </c>
      <c r="N1043" s="96" t="s">
        <v>339</v>
      </c>
      <c r="O1043" s="96" t="s">
        <v>463</v>
      </c>
      <c r="P1043" s="96" t="s">
        <v>338</v>
      </c>
      <c r="Q1043" s="96" t="s">
        <v>1313</v>
      </c>
      <c r="R1043" s="96" t="s">
        <v>412</v>
      </c>
      <c r="S1043" s="96" t="s">
        <v>406</v>
      </c>
      <c r="T1043" s="96" t="s">
        <v>1200</v>
      </c>
      <c r="U1043" s="97">
        <v>2.44</v>
      </c>
      <c r="V1043" s="100">
        <v>47177</v>
      </c>
      <c r="W1043" s="98">
        <v>2.3400000000000001E-2</v>
      </c>
      <c r="X1043" s="98">
        <v>2.75E-2</v>
      </c>
      <c r="Y1043" s="96" t="s">
        <v>411</v>
      </c>
      <c r="Z1043" s="96"/>
      <c r="AA1043" s="97">
        <v>43321.464721999997</v>
      </c>
      <c r="AB1043" s="97">
        <v>1</v>
      </c>
      <c r="AC1043" s="97">
        <v>113.08</v>
      </c>
      <c r="AD1043" s="97"/>
      <c r="AE1043" s="97">
        <v>48.987912000000001</v>
      </c>
      <c r="AF1043" s="96"/>
      <c r="AG1043" s="96"/>
      <c r="AH1043" s="96"/>
      <c r="AI1043" s="98">
        <v>2.0000000000000002E-5</v>
      </c>
      <c r="AJ1043" s="98">
        <v>7.6189999999999999E-3</v>
      </c>
      <c r="AK1043" s="98">
        <v>2.9369999999999999E-3</v>
      </c>
      <c r="AL1043" s="106"/>
    </row>
    <row r="1044" spans="1:38" ht="15" customHeight="1">
      <c r="A1044" s="106"/>
      <c r="B1044" s="96">
        <v>286</v>
      </c>
      <c r="C1044" s="96">
        <v>9803</v>
      </c>
      <c r="D1044" s="96" t="s">
        <v>1658</v>
      </c>
      <c r="E1044" s="96">
        <v>520038506</v>
      </c>
      <c r="F1044" s="96" t="s">
        <v>308</v>
      </c>
      <c r="G1044" s="96" t="s">
        <v>1751</v>
      </c>
      <c r="H1044" s="96" t="s">
        <v>1752</v>
      </c>
      <c r="I1044" s="96" t="s">
        <v>320</v>
      </c>
      <c r="J1044" s="96" t="s">
        <v>952</v>
      </c>
      <c r="K1044" s="96" t="s">
        <v>203</v>
      </c>
      <c r="L1044" s="96" t="s">
        <v>203</v>
      </c>
      <c r="M1044" s="96" t="s">
        <v>326</v>
      </c>
      <c r="N1044" s="96" t="s">
        <v>339</v>
      </c>
      <c r="O1044" s="96" t="s">
        <v>463</v>
      </c>
      <c r="P1044" s="96" t="s">
        <v>337</v>
      </c>
      <c r="Q1044" s="96" t="s">
        <v>1305</v>
      </c>
      <c r="R1044" s="96" t="s">
        <v>414</v>
      </c>
      <c r="S1044" s="96" t="s">
        <v>406</v>
      </c>
      <c r="T1044" s="96" t="s">
        <v>1200</v>
      </c>
      <c r="U1044" s="97">
        <v>4.58</v>
      </c>
      <c r="V1044" s="100">
        <v>47907</v>
      </c>
      <c r="W1044" s="98">
        <v>2.41E-2</v>
      </c>
      <c r="X1044" s="98">
        <v>6.5199999999999994E-2</v>
      </c>
      <c r="Y1044" s="96" t="s">
        <v>411</v>
      </c>
      <c r="Z1044" s="96"/>
      <c r="AA1044" s="97">
        <v>976.60686199999998</v>
      </c>
      <c r="AB1044" s="97">
        <v>1</v>
      </c>
      <c r="AC1044" s="97">
        <v>84.062799999999996</v>
      </c>
      <c r="AD1044" s="97"/>
      <c r="AE1044" s="97">
        <v>0.82096199999999997</v>
      </c>
      <c r="AF1044" s="96"/>
      <c r="AG1044" s="96"/>
      <c r="AH1044" s="96"/>
      <c r="AI1044" s="98">
        <v>0</v>
      </c>
      <c r="AJ1044" s="98">
        <v>1.27E-4</v>
      </c>
      <c r="AK1044" s="98">
        <v>4.8999999999999998E-5</v>
      </c>
      <c r="AL1044" s="106"/>
    </row>
    <row r="1045" spans="1:38" ht="15" customHeight="1">
      <c r="A1045" s="106"/>
      <c r="B1045" s="96">
        <v>286</v>
      </c>
      <c r="C1045" s="96">
        <v>9803</v>
      </c>
      <c r="D1045" s="96" t="s">
        <v>1735</v>
      </c>
      <c r="E1045" s="96">
        <v>550010003</v>
      </c>
      <c r="F1045" s="96" t="s">
        <v>309</v>
      </c>
      <c r="G1045" s="96" t="s">
        <v>1736</v>
      </c>
      <c r="H1045" s="96" t="s">
        <v>1737</v>
      </c>
      <c r="I1045" s="96" t="s">
        <v>320</v>
      </c>
      <c r="J1045" s="96" t="s">
        <v>952</v>
      </c>
      <c r="K1045" s="96" t="s">
        <v>203</v>
      </c>
      <c r="L1045" s="96" t="s">
        <v>203</v>
      </c>
      <c r="M1045" s="96" t="s">
        <v>324</v>
      </c>
      <c r="N1045" s="96" t="s">
        <v>339</v>
      </c>
      <c r="O1045" s="96" t="s">
        <v>453</v>
      </c>
      <c r="P1045" s="96" t="s">
        <v>338</v>
      </c>
      <c r="Q1045" s="96" t="s">
        <v>1313</v>
      </c>
      <c r="R1045" s="96" t="s">
        <v>412</v>
      </c>
      <c r="S1045" s="96" t="s">
        <v>406</v>
      </c>
      <c r="T1045" s="96" t="s">
        <v>1200</v>
      </c>
      <c r="U1045" s="97">
        <v>3.49</v>
      </c>
      <c r="V1045" s="100">
        <v>47766</v>
      </c>
      <c r="W1045" s="98">
        <v>2.24E-2</v>
      </c>
      <c r="X1045" s="98">
        <v>5.5199999999999999E-2</v>
      </c>
      <c r="Y1045" s="96" t="s">
        <v>411</v>
      </c>
      <c r="Z1045" s="96"/>
      <c r="AA1045" s="97">
        <v>12574.604281</v>
      </c>
      <c r="AB1045" s="97">
        <v>1</v>
      </c>
      <c r="AC1045" s="97">
        <v>89.89</v>
      </c>
      <c r="AD1045" s="97"/>
      <c r="AE1045" s="97">
        <v>11.303311000000001</v>
      </c>
      <c r="AF1045" s="96"/>
      <c r="AG1045" s="96"/>
      <c r="AH1045" s="96"/>
      <c r="AI1045" s="98">
        <v>2.0999999999999999E-5</v>
      </c>
      <c r="AJ1045" s="98">
        <v>1.758E-3</v>
      </c>
      <c r="AK1045" s="98">
        <v>6.7699999999999998E-4</v>
      </c>
      <c r="AL1045" s="106"/>
    </row>
    <row r="1046" spans="1:38" ht="15" customHeight="1">
      <c r="A1046" s="106"/>
      <c r="B1046" s="96">
        <v>286</v>
      </c>
      <c r="C1046" s="96">
        <v>9803</v>
      </c>
      <c r="D1046" s="96" t="s">
        <v>1760</v>
      </c>
      <c r="E1046" s="96">
        <v>520038894</v>
      </c>
      <c r="F1046" s="96" t="s">
        <v>308</v>
      </c>
      <c r="G1046" s="96" t="s">
        <v>1767</v>
      </c>
      <c r="H1046" s="96" t="s">
        <v>1768</v>
      </c>
      <c r="I1046" s="96" t="s">
        <v>320</v>
      </c>
      <c r="J1046" s="96" t="s">
        <v>753</v>
      </c>
      <c r="K1046" s="96" t="s">
        <v>203</v>
      </c>
      <c r="L1046" s="96" t="s">
        <v>203</v>
      </c>
      <c r="M1046" s="96" t="s">
        <v>324</v>
      </c>
      <c r="N1046" s="96" t="s">
        <v>339</v>
      </c>
      <c r="O1046" s="96" t="s">
        <v>464</v>
      </c>
      <c r="P1046" s="96" t="s">
        <v>338</v>
      </c>
      <c r="Q1046" s="96" t="s">
        <v>1332</v>
      </c>
      <c r="R1046" s="96" t="s">
        <v>412</v>
      </c>
      <c r="S1046" s="96" t="s">
        <v>406</v>
      </c>
      <c r="T1046" s="96" t="s">
        <v>1200</v>
      </c>
      <c r="U1046" s="97">
        <v>1.95</v>
      </c>
      <c r="V1046" s="100">
        <v>46752</v>
      </c>
      <c r="W1046" s="98">
        <v>1.4999999999999999E-2</v>
      </c>
      <c r="X1046" s="98">
        <v>2.9600000000000001E-2</v>
      </c>
      <c r="Y1046" s="96" t="s">
        <v>411</v>
      </c>
      <c r="Z1046" s="96"/>
      <c r="AA1046" s="97">
        <v>2593.7910900000002</v>
      </c>
      <c r="AB1046" s="97">
        <v>1</v>
      </c>
      <c r="AC1046" s="97">
        <v>109.35</v>
      </c>
      <c r="AD1046" s="97"/>
      <c r="AE1046" s="97">
        <v>2.8363100000000001</v>
      </c>
      <c r="AF1046" s="96"/>
      <c r="AG1046" s="96"/>
      <c r="AH1046" s="96"/>
      <c r="AI1046" s="98">
        <v>6.0000000000000002E-6</v>
      </c>
      <c r="AJ1046" s="98">
        <v>4.4099999999999999E-4</v>
      </c>
      <c r="AK1046" s="98">
        <v>1.7000000000000001E-4</v>
      </c>
      <c r="AL1046" s="106"/>
    </row>
    <row r="1047" spans="1:38" ht="15" customHeight="1">
      <c r="A1047" s="106"/>
      <c r="B1047" s="96">
        <v>286</v>
      </c>
      <c r="C1047" s="96">
        <v>9803</v>
      </c>
      <c r="D1047" s="96" t="s">
        <v>1565</v>
      </c>
      <c r="E1047" s="96">
        <v>520033234</v>
      </c>
      <c r="F1047" s="96" t="s">
        <v>308</v>
      </c>
      <c r="G1047" s="96" t="s">
        <v>1618</v>
      </c>
      <c r="H1047" s="96" t="s">
        <v>1619</v>
      </c>
      <c r="I1047" s="96" t="s">
        <v>320</v>
      </c>
      <c r="J1047" s="96" t="s">
        <v>753</v>
      </c>
      <c r="K1047" s="96" t="s">
        <v>203</v>
      </c>
      <c r="L1047" s="96" t="s">
        <v>203</v>
      </c>
      <c r="M1047" s="96" t="s">
        <v>324</v>
      </c>
      <c r="N1047" s="96" t="s">
        <v>339</v>
      </c>
      <c r="O1047" s="96" t="s">
        <v>464</v>
      </c>
      <c r="P1047" s="96" t="s">
        <v>337</v>
      </c>
      <c r="Q1047" s="96" t="s">
        <v>1520</v>
      </c>
      <c r="R1047" s="96" t="s">
        <v>414</v>
      </c>
      <c r="S1047" s="96" t="s">
        <v>406</v>
      </c>
      <c r="T1047" s="96" t="s">
        <v>1200</v>
      </c>
      <c r="U1047" s="97">
        <v>2.85</v>
      </c>
      <c r="V1047" s="100">
        <v>46843</v>
      </c>
      <c r="W1047" s="98">
        <v>1.3299999999999999E-2</v>
      </c>
      <c r="X1047" s="98">
        <v>3.0499999999999999E-2</v>
      </c>
      <c r="Y1047" s="96" t="s">
        <v>411</v>
      </c>
      <c r="Z1047" s="96"/>
      <c r="AA1047" s="97">
        <v>552.07303899999999</v>
      </c>
      <c r="AB1047" s="97">
        <v>1</v>
      </c>
      <c r="AC1047" s="97">
        <v>108.67</v>
      </c>
      <c r="AD1047" s="97"/>
      <c r="AE1047" s="97">
        <v>0.59993700000000005</v>
      </c>
      <c r="AF1047" s="96"/>
      <c r="AG1047" s="96"/>
      <c r="AH1047" s="96"/>
      <c r="AI1047" s="98">
        <v>9.9999999999999995E-7</v>
      </c>
      <c r="AJ1047" s="98">
        <v>9.2999999999999997E-5</v>
      </c>
      <c r="AK1047" s="98">
        <v>3.4999999999999997E-5</v>
      </c>
      <c r="AL1047" s="106"/>
    </row>
    <row r="1048" spans="1:38" ht="15" customHeight="1">
      <c r="A1048" s="106"/>
      <c r="B1048" s="96">
        <v>286</v>
      </c>
      <c r="C1048" s="96">
        <v>9803</v>
      </c>
      <c r="D1048" s="96" t="s">
        <v>1399</v>
      </c>
      <c r="E1048" s="96">
        <v>520032046</v>
      </c>
      <c r="F1048" s="96" t="s">
        <v>308</v>
      </c>
      <c r="G1048" s="96" t="s">
        <v>1595</v>
      </c>
      <c r="H1048" s="96" t="s">
        <v>1596</v>
      </c>
      <c r="I1048" s="96" t="s">
        <v>320</v>
      </c>
      <c r="J1048" s="96" t="s">
        <v>952</v>
      </c>
      <c r="K1048" s="96" t="s">
        <v>203</v>
      </c>
      <c r="L1048" s="96" t="s">
        <v>203</v>
      </c>
      <c r="M1048" s="96" t="s">
        <v>324</v>
      </c>
      <c r="N1048" s="96" t="s">
        <v>339</v>
      </c>
      <c r="O1048" s="96" t="s">
        <v>447</v>
      </c>
      <c r="P1048" s="96" t="s">
        <v>338</v>
      </c>
      <c r="Q1048" s="96" t="s">
        <v>1211</v>
      </c>
      <c r="R1048" s="96" t="s">
        <v>414</v>
      </c>
      <c r="S1048" s="96" t="s">
        <v>406</v>
      </c>
      <c r="T1048" s="96" t="s">
        <v>1200</v>
      </c>
      <c r="U1048" s="97">
        <v>3.49</v>
      </c>
      <c r="V1048" s="100">
        <v>47950</v>
      </c>
      <c r="W1048" s="98">
        <v>2.7400000000000001E-2</v>
      </c>
      <c r="X1048" s="98">
        <v>5.0200000000000002E-2</v>
      </c>
      <c r="Y1048" s="96" t="s">
        <v>411</v>
      </c>
      <c r="Z1048" s="96"/>
      <c r="AA1048" s="97">
        <v>31736.834996000001</v>
      </c>
      <c r="AB1048" s="97">
        <v>1</v>
      </c>
      <c r="AC1048" s="97">
        <v>93.09</v>
      </c>
      <c r="AD1048" s="97"/>
      <c r="AE1048" s="97">
        <v>29.543818999999999</v>
      </c>
      <c r="AF1048" s="96"/>
      <c r="AG1048" s="96"/>
      <c r="AH1048" s="96"/>
      <c r="AI1048" s="98">
        <v>2.0999999999999999E-5</v>
      </c>
      <c r="AJ1048" s="98">
        <v>4.5950000000000001E-3</v>
      </c>
      <c r="AK1048" s="98">
        <v>1.771E-3</v>
      </c>
      <c r="AL1048" s="106"/>
    </row>
    <row r="1049" spans="1:38" ht="15" customHeight="1">
      <c r="A1049" s="106"/>
      <c r="B1049" s="96">
        <v>286</v>
      </c>
      <c r="C1049" s="96">
        <v>9803</v>
      </c>
      <c r="D1049" s="96" t="s">
        <v>1699</v>
      </c>
      <c r="E1049" s="96">
        <v>511809071</v>
      </c>
      <c r="F1049" s="96" t="s">
        <v>308</v>
      </c>
      <c r="G1049" s="96" t="s">
        <v>1700</v>
      </c>
      <c r="H1049" s="96" t="s">
        <v>1701</v>
      </c>
      <c r="I1049" s="96" t="s">
        <v>320</v>
      </c>
      <c r="J1049" s="96" t="s">
        <v>952</v>
      </c>
      <c r="K1049" s="96" t="s">
        <v>203</v>
      </c>
      <c r="L1049" s="96" t="s">
        <v>203</v>
      </c>
      <c r="M1049" s="96" t="s">
        <v>324</v>
      </c>
      <c r="N1049" s="96" t="s">
        <v>339</v>
      </c>
      <c r="O1049" s="96" t="s">
        <v>461</v>
      </c>
      <c r="P1049" s="96" t="s">
        <v>338</v>
      </c>
      <c r="Q1049" s="96" t="s">
        <v>1332</v>
      </c>
      <c r="R1049" s="96" t="s">
        <v>412</v>
      </c>
      <c r="S1049" s="96" t="s">
        <v>406</v>
      </c>
      <c r="T1049" s="96" t="s">
        <v>1200</v>
      </c>
      <c r="U1049" s="97">
        <v>3</v>
      </c>
      <c r="V1049" s="100">
        <v>47889</v>
      </c>
      <c r="W1049" s="98">
        <v>4.6800000000000001E-2</v>
      </c>
      <c r="X1049" s="98">
        <v>5.7700000000000001E-2</v>
      </c>
      <c r="Y1049" s="96" t="s">
        <v>411</v>
      </c>
      <c r="Z1049" s="96"/>
      <c r="AA1049" s="97">
        <v>16931.623866999998</v>
      </c>
      <c r="AB1049" s="97">
        <v>1</v>
      </c>
      <c r="AC1049" s="97">
        <v>97.78</v>
      </c>
      <c r="AD1049" s="97"/>
      <c r="AE1049" s="97">
        <v>16.555741000000001</v>
      </c>
      <c r="AF1049" s="96"/>
      <c r="AG1049" s="96"/>
      <c r="AH1049" s="96"/>
      <c r="AI1049" s="98">
        <v>3.8000000000000002E-5</v>
      </c>
      <c r="AJ1049" s="98">
        <v>2.575E-3</v>
      </c>
      <c r="AK1049" s="98">
        <v>9.9200000000000004E-4</v>
      </c>
      <c r="AL1049" s="106"/>
    </row>
    <row r="1050" spans="1:38" ht="15" customHeight="1">
      <c r="A1050" s="106"/>
      <c r="B1050" s="96">
        <v>286</v>
      </c>
      <c r="C1050" s="96">
        <v>9803</v>
      </c>
      <c r="D1050" s="96" t="s">
        <v>1321</v>
      </c>
      <c r="E1050" s="96">
        <v>550263107</v>
      </c>
      <c r="F1050" s="96" t="s">
        <v>309</v>
      </c>
      <c r="G1050" s="96" t="s">
        <v>1322</v>
      </c>
      <c r="H1050" s="96" t="s">
        <v>1323</v>
      </c>
      <c r="I1050" s="96" t="s">
        <v>320</v>
      </c>
      <c r="J1050" s="96" t="s">
        <v>952</v>
      </c>
      <c r="K1050" s="96" t="s">
        <v>203</v>
      </c>
      <c r="L1050" s="96" t="s">
        <v>203</v>
      </c>
      <c r="M1050" s="96" t="s">
        <v>324</v>
      </c>
      <c r="N1050" s="96" t="s">
        <v>339</v>
      </c>
      <c r="O1050" s="96" t="s">
        <v>453</v>
      </c>
      <c r="P1050" s="96" t="s">
        <v>338</v>
      </c>
      <c r="Q1050" s="96" t="s">
        <v>1324</v>
      </c>
      <c r="R1050" s="96" t="s">
        <v>412</v>
      </c>
      <c r="S1050" s="96" t="s">
        <v>406</v>
      </c>
      <c r="T1050" s="96" t="s">
        <v>1200</v>
      </c>
      <c r="U1050" s="97">
        <v>3.87</v>
      </c>
      <c r="V1050" s="100">
        <v>47391</v>
      </c>
      <c r="W1050" s="98">
        <v>6.7000000000000004E-2</v>
      </c>
      <c r="X1050" s="98">
        <v>6.6000000000000003E-2</v>
      </c>
      <c r="Y1050" s="96" t="s">
        <v>411</v>
      </c>
      <c r="Z1050" s="96"/>
      <c r="AA1050" s="97">
        <v>17182.636020000002</v>
      </c>
      <c r="AB1050" s="97">
        <v>1</v>
      </c>
      <c r="AC1050" s="97">
        <v>102.81</v>
      </c>
      <c r="AD1050" s="97"/>
      <c r="AE1050" s="97">
        <v>17.665468000000001</v>
      </c>
      <c r="AF1050" s="96"/>
      <c r="AG1050" s="96"/>
      <c r="AH1050" s="96"/>
      <c r="AI1050" s="98">
        <v>1.8E-5</v>
      </c>
      <c r="AJ1050" s="98">
        <v>2.7469999999999999E-3</v>
      </c>
      <c r="AK1050" s="98">
        <v>1.059E-3</v>
      </c>
      <c r="AL1050" s="106"/>
    </row>
    <row r="1051" spans="1:38" ht="15" customHeight="1">
      <c r="A1051" s="106"/>
      <c r="B1051" s="96">
        <v>286</v>
      </c>
      <c r="C1051" s="96">
        <v>9803</v>
      </c>
      <c r="D1051" s="96" t="s">
        <v>1432</v>
      </c>
      <c r="E1051" s="96">
        <v>515327120</v>
      </c>
      <c r="F1051" s="96" t="s">
        <v>308</v>
      </c>
      <c r="G1051" s="96" t="s">
        <v>1433</v>
      </c>
      <c r="H1051" s="96" t="s">
        <v>1434</v>
      </c>
      <c r="I1051" s="96" t="s">
        <v>320</v>
      </c>
      <c r="J1051" s="96" t="s">
        <v>753</v>
      </c>
      <c r="K1051" s="96" t="s">
        <v>203</v>
      </c>
      <c r="L1051" s="96" t="s">
        <v>203</v>
      </c>
      <c r="M1051" s="96" t="s">
        <v>324</v>
      </c>
      <c r="N1051" s="96" t="s">
        <v>339</v>
      </c>
      <c r="O1051" s="96" t="s">
        <v>463</v>
      </c>
      <c r="P1051" s="96" t="s">
        <v>337</v>
      </c>
      <c r="Q1051" s="96" t="s">
        <v>1305</v>
      </c>
      <c r="R1051" s="96" t="s">
        <v>414</v>
      </c>
      <c r="S1051" s="96" t="s">
        <v>406</v>
      </c>
      <c r="T1051" s="96" t="s">
        <v>1200</v>
      </c>
      <c r="U1051" s="97">
        <v>3.02</v>
      </c>
      <c r="V1051" s="100">
        <v>46752</v>
      </c>
      <c r="W1051" s="98">
        <v>2.75E-2</v>
      </c>
      <c r="X1051" s="98">
        <v>3.2199999999999999E-2</v>
      </c>
      <c r="Y1051" s="96" t="s">
        <v>411</v>
      </c>
      <c r="Z1051" s="96"/>
      <c r="AA1051" s="97">
        <v>4438.8290159999997</v>
      </c>
      <c r="AB1051" s="97">
        <v>1</v>
      </c>
      <c r="AC1051" s="97">
        <v>111.38</v>
      </c>
      <c r="AD1051" s="97"/>
      <c r="AE1051" s="97">
        <v>4.9439669999999998</v>
      </c>
      <c r="AF1051" s="96"/>
      <c r="AG1051" s="96"/>
      <c r="AH1051" s="96"/>
      <c r="AI1051" s="98">
        <v>7.9999999999999996E-6</v>
      </c>
      <c r="AJ1051" s="98">
        <v>7.6800000000000002E-4</v>
      </c>
      <c r="AK1051" s="98">
        <v>2.9599999999999998E-4</v>
      </c>
      <c r="AL1051" s="106"/>
    </row>
    <row r="1052" spans="1:38" ht="15" customHeight="1">
      <c r="A1052" s="106"/>
      <c r="B1052" s="96">
        <v>286</v>
      </c>
      <c r="C1052" s="96">
        <v>9803</v>
      </c>
      <c r="D1052" s="96" t="s">
        <v>1474</v>
      </c>
      <c r="E1052" s="96">
        <v>1737</v>
      </c>
      <c r="F1052" s="96" t="s">
        <v>80</v>
      </c>
      <c r="G1052" s="96" t="s">
        <v>1723</v>
      </c>
      <c r="H1052" s="96" t="s">
        <v>1724</v>
      </c>
      <c r="I1052" s="96" t="s">
        <v>320</v>
      </c>
      <c r="J1052" s="96" t="s">
        <v>952</v>
      </c>
      <c r="K1052" s="96" t="s">
        <v>203</v>
      </c>
      <c r="L1052" s="96" t="s">
        <v>203</v>
      </c>
      <c r="M1052" s="96" t="s">
        <v>324</v>
      </c>
      <c r="N1052" s="96" t="s">
        <v>339</v>
      </c>
      <c r="O1052" s="96" t="s">
        <v>464</v>
      </c>
      <c r="P1052" s="96" t="s">
        <v>338</v>
      </c>
      <c r="Q1052" s="96" t="s">
        <v>1313</v>
      </c>
      <c r="R1052" s="96" t="s">
        <v>412</v>
      </c>
      <c r="S1052" s="96" t="s">
        <v>406</v>
      </c>
      <c r="T1052" s="96" t="s">
        <v>1200</v>
      </c>
      <c r="U1052" s="97">
        <v>2.38</v>
      </c>
      <c r="V1052" s="100">
        <v>46752</v>
      </c>
      <c r="W1052" s="98">
        <v>3.49E-2</v>
      </c>
      <c r="X1052" s="98">
        <v>6.9800000000000001E-2</v>
      </c>
      <c r="Y1052" s="96" t="s">
        <v>411</v>
      </c>
      <c r="Z1052" s="96"/>
      <c r="AA1052" s="97">
        <v>26804.521206000001</v>
      </c>
      <c r="AB1052" s="97">
        <v>1</v>
      </c>
      <c r="AC1052" s="97">
        <v>92.43</v>
      </c>
      <c r="AD1052" s="97"/>
      <c r="AE1052" s="97">
        <v>24.775417999999998</v>
      </c>
      <c r="AF1052" s="96"/>
      <c r="AG1052" s="96"/>
      <c r="AH1052" s="96"/>
      <c r="AI1052" s="98">
        <v>2.8E-5</v>
      </c>
      <c r="AJ1052" s="98">
        <v>3.8530000000000001E-3</v>
      </c>
      <c r="AK1052" s="98">
        <v>1.485E-3</v>
      </c>
      <c r="AL1052" s="106"/>
    </row>
    <row r="1053" spans="1:38" ht="15" customHeight="1">
      <c r="A1053" s="106"/>
      <c r="B1053" s="96">
        <v>286</v>
      </c>
      <c r="C1053" s="96">
        <v>9803</v>
      </c>
      <c r="D1053" s="96" t="s">
        <v>1417</v>
      </c>
      <c r="E1053" s="96">
        <v>513230029</v>
      </c>
      <c r="F1053" s="96" t="s">
        <v>308</v>
      </c>
      <c r="G1053" s="96" t="s">
        <v>1792</v>
      </c>
      <c r="H1053" s="96" t="s">
        <v>1793</v>
      </c>
      <c r="I1053" s="96" t="s">
        <v>320</v>
      </c>
      <c r="J1053" s="96" t="s">
        <v>952</v>
      </c>
      <c r="K1053" s="96" t="s">
        <v>203</v>
      </c>
      <c r="L1053" s="96" t="s">
        <v>203</v>
      </c>
      <c r="M1053" s="96" t="s">
        <v>324</v>
      </c>
      <c r="N1053" s="96" t="s">
        <v>339</v>
      </c>
      <c r="O1053" s="96" t="s">
        <v>444</v>
      </c>
      <c r="P1053" s="96" t="s">
        <v>338</v>
      </c>
      <c r="Q1053" s="96" t="s">
        <v>1357</v>
      </c>
      <c r="R1053" s="96" t="s">
        <v>414</v>
      </c>
      <c r="S1053" s="96" t="s">
        <v>406</v>
      </c>
      <c r="T1053" s="96" t="s">
        <v>1200</v>
      </c>
      <c r="U1053" s="97">
        <v>5.55</v>
      </c>
      <c r="V1053" s="100">
        <v>47848</v>
      </c>
      <c r="W1053" s="98">
        <v>5.3999999999999999E-2</v>
      </c>
      <c r="X1053" s="98">
        <v>6.1100000000000002E-2</v>
      </c>
      <c r="Y1053" s="96" t="s">
        <v>411</v>
      </c>
      <c r="Z1053" s="96"/>
      <c r="AA1053" s="97">
        <v>12633.387558</v>
      </c>
      <c r="AB1053" s="97">
        <v>1</v>
      </c>
      <c r="AC1053" s="97">
        <v>96.69</v>
      </c>
      <c r="AD1053" s="97"/>
      <c r="AE1053" s="97">
        <v>12.215222000000001</v>
      </c>
      <c r="AF1053" s="96"/>
      <c r="AG1053" s="96"/>
      <c r="AH1053" s="96"/>
      <c r="AI1053" s="98">
        <v>2.1999999999999999E-5</v>
      </c>
      <c r="AJ1053" s="98">
        <v>1.8990000000000001E-3</v>
      </c>
      <c r="AK1053" s="98">
        <v>7.3200000000000001E-4</v>
      </c>
      <c r="AL1053" s="106"/>
    </row>
    <row r="1054" spans="1:38" ht="15" customHeight="1">
      <c r="A1054" s="106"/>
      <c r="B1054" s="96">
        <v>286</v>
      </c>
      <c r="C1054" s="96">
        <v>9803</v>
      </c>
      <c r="D1054" s="96" t="s">
        <v>1298</v>
      </c>
      <c r="E1054" s="96">
        <v>510960719</v>
      </c>
      <c r="F1054" s="96" t="s">
        <v>308</v>
      </c>
      <c r="G1054" s="96" t="s">
        <v>1579</v>
      </c>
      <c r="H1054" s="96" t="s">
        <v>1580</v>
      </c>
      <c r="I1054" s="96" t="s">
        <v>320</v>
      </c>
      <c r="J1054" s="96" t="s">
        <v>753</v>
      </c>
      <c r="K1054" s="96" t="s">
        <v>203</v>
      </c>
      <c r="L1054" s="96" t="s">
        <v>203</v>
      </c>
      <c r="M1054" s="96" t="s">
        <v>324</v>
      </c>
      <c r="N1054" s="96" t="s">
        <v>339</v>
      </c>
      <c r="O1054" s="96" t="s">
        <v>463</v>
      </c>
      <c r="P1054" s="96" t="s">
        <v>338</v>
      </c>
      <c r="Q1054" s="96" t="s">
        <v>1439</v>
      </c>
      <c r="R1054" s="96" t="s">
        <v>412</v>
      </c>
      <c r="S1054" s="96" t="s">
        <v>406</v>
      </c>
      <c r="T1054" s="96" t="s">
        <v>1200</v>
      </c>
      <c r="U1054" s="97">
        <v>10.57</v>
      </c>
      <c r="V1054" s="100">
        <v>51503</v>
      </c>
      <c r="W1054" s="98">
        <v>1.6899999999999998E-2</v>
      </c>
      <c r="X1054" s="98">
        <v>3.7999999999999999E-2</v>
      </c>
      <c r="Y1054" s="96" t="s">
        <v>411</v>
      </c>
      <c r="Z1054" s="96"/>
      <c r="AA1054" s="97">
        <v>119323.86125</v>
      </c>
      <c r="AB1054" s="97">
        <v>1</v>
      </c>
      <c r="AC1054" s="97">
        <v>89.8</v>
      </c>
      <c r="AD1054" s="97"/>
      <c r="AE1054" s="97">
        <v>107.152827</v>
      </c>
      <c r="AF1054" s="96"/>
      <c r="AG1054" s="96"/>
      <c r="AH1054" s="96"/>
      <c r="AI1054" s="98">
        <v>2.6999999999999999E-5</v>
      </c>
      <c r="AJ1054" s="98">
        <v>1.6666E-2</v>
      </c>
      <c r="AK1054" s="98">
        <v>6.4260000000000003E-3</v>
      </c>
      <c r="AL1054" s="106"/>
    </row>
    <row r="1055" spans="1:38" ht="15" customHeight="1">
      <c r="A1055" s="106"/>
      <c r="B1055" s="96">
        <v>286</v>
      </c>
      <c r="C1055" s="96">
        <v>9803</v>
      </c>
      <c r="D1055" s="96" t="s">
        <v>1704</v>
      </c>
      <c r="E1055" s="96">
        <v>513834200</v>
      </c>
      <c r="F1055" s="96" t="s">
        <v>308</v>
      </c>
      <c r="G1055" s="96" t="s">
        <v>2031</v>
      </c>
      <c r="H1055" s="96" t="s">
        <v>2032</v>
      </c>
      <c r="I1055" s="96" t="s">
        <v>320</v>
      </c>
      <c r="J1055" s="96" t="s">
        <v>952</v>
      </c>
      <c r="K1055" s="96" t="s">
        <v>203</v>
      </c>
      <c r="L1055" s="96" t="s">
        <v>203</v>
      </c>
      <c r="M1055" s="96" t="s">
        <v>324</v>
      </c>
      <c r="N1055" s="96" t="s">
        <v>339</v>
      </c>
      <c r="O1055" s="96" t="s">
        <v>444</v>
      </c>
      <c r="P1055" s="96" t="s">
        <v>338</v>
      </c>
      <c r="Q1055" s="96" t="s">
        <v>1305</v>
      </c>
      <c r="R1055" s="96" t="s">
        <v>414</v>
      </c>
      <c r="S1055" s="96" t="s">
        <v>406</v>
      </c>
      <c r="T1055" s="96" t="s">
        <v>1200</v>
      </c>
      <c r="U1055" s="97">
        <v>5.89</v>
      </c>
      <c r="V1055" s="100">
        <v>47848</v>
      </c>
      <c r="W1055" s="98">
        <v>3.0499999999999999E-2</v>
      </c>
      <c r="X1055" s="98">
        <v>5.8900000000000001E-2</v>
      </c>
      <c r="Y1055" s="96" t="s">
        <v>411</v>
      </c>
      <c r="Z1055" s="96"/>
      <c r="AA1055" s="97">
        <v>17500.832983</v>
      </c>
      <c r="AB1055" s="97">
        <v>1</v>
      </c>
      <c r="AC1055" s="97">
        <v>85.24</v>
      </c>
      <c r="AD1055" s="97"/>
      <c r="AE1055" s="97">
        <v>14.91771</v>
      </c>
      <c r="AF1055" s="96"/>
      <c r="AG1055" s="96"/>
      <c r="AH1055" s="96"/>
      <c r="AI1055" s="98">
        <v>2.4000000000000001E-5</v>
      </c>
      <c r="AJ1055" s="98">
        <v>2.32E-3</v>
      </c>
      <c r="AK1055" s="98">
        <v>8.9400000000000005E-4</v>
      </c>
      <c r="AL1055" s="106"/>
    </row>
    <row r="1056" spans="1:38" ht="15" customHeight="1">
      <c r="A1056" s="106"/>
      <c r="B1056" s="96">
        <v>286</v>
      </c>
      <c r="C1056" s="96">
        <v>9803</v>
      </c>
      <c r="D1056" s="96" t="s">
        <v>1203</v>
      </c>
      <c r="E1056" s="96">
        <v>520000118</v>
      </c>
      <c r="F1056" s="96" t="s">
        <v>308</v>
      </c>
      <c r="G1056" s="96" t="s">
        <v>1397</v>
      </c>
      <c r="H1056" s="96" t="s">
        <v>1398</v>
      </c>
      <c r="I1056" s="96" t="s">
        <v>320</v>
      </c>
      <c r="J1056" s="96" t="s">
        <v>753</v>
      </c>
      <c r="K1056" s="96" t="s">
        <v>203</v>
      </c>
      <c r="L1056" s="96" t="s">
        <v>203</v>
      </c>
      <c r="M1056" s="96" t="s">
        <v>324</v>
      </c>
      <c r="N1056" s="96" t="s">
        <v>339</v>
      </c>
      <c r="O1056" s="96" t="s">
        <v>447</v>
      </c>
      <c r="P1056" s="96" t="s">
        <v>338</v>
      </c>
      <c r="Q1056" s="96" t="s">
        <v>1332</v>
      </c>
      <c r="R1056" s="96" t="s">
        <v>412</v>
      </c>
      <c r="S1056" s="96" t="s">
        <v>406</v>
      </c>
      <c r="T1056" s="96" t="s">
        <v>1200</v>
      </c>
      <c r="U1056" s="97">
        <v>1.85</v>
      </c>
      <c r="V1056" s="100">
        <v>46159</v>
      </c>
      <c r="W1056" s="98">
        <v>2.5899999999999999E-2</v>
      </c>
      <c r="X1056" s="98">
        <v>2.6499999999999999E-2</v>
      </c>
      <c r="Y1056" s="96" t="s">
        <v>410</v>
      </c>
      <c r="Z1056" s="96"/>
      <c r="AA1056" s="97">
        <v>29817.044194999999</v>
      </c>
      <c r="AB1056" s="97">
        <v>1</v>
      </c>
      <c r="AC1056" s="97">
        <v>113.54</v>
      </c>
      <c r="AD1056" s="97"/>
      <c r="AE1056" s="97">
        <v>33.854270999999997</v>
      </c>
      <c r="AF1056" s="96"/>
      <c r="AG1056" s="96"/>
      <c r="AH1056" s="96"/>
      <c r="AI1056" s="98">
        <v>2.8E-5</v>
      </c>
      <c r="AJ1056" s="98">
        <v>5.2649999999999997E-3</v>
      </c>
      <c r="AK1056" s="98">
        <v>2.0300000000000001E-3</v>
      </c>
      <c r="AL1056" s="106"/>
    </row>
    <row r="1057" spans="1:38" ht="15" customHeight="1">
      <c r="A1057" s="106"/>
      <c r="B1057" s="96">
        <v>286</v>
      </c>
      <c r="C1057" s="96">
        <v>9803</v>
      </c>
      <c r="D1057" s="96" t="s">
        <v>1710</v>
      </c>
      <c r="E1057" s="96">
        <v>520034372</v>
      </c>
      <c r="F1057" s="96" t="s">
        <v>308</v>
      </c>
      <c r="G1057" s="96" t="s">
        <v>1711</v>
      </c>
      <c r="H1057" s="96" t="s">
        <v>1712</v>
      </c>
      <c r="I1057" s="96" t="s">
        <v>320</v>
      </c>
      <c r="J1057" s="96" t="s">
        <v>952</v>
      </c>
      <c r="K1057" s="96" t="s">
        <v>203</v>
      </c>
      <c r="L1057" s="96" t="s">
        <v>203</v>
      </c>
      <c r="M1057" s="96" t="s">
        <v>324</v>
      </c>
      <c r="N1057" s="96" t="s">
        <v>339</v>
      </c>
      <c r="O1057" s="96" t="s">
        <v>476</v>
      </c>
      <c r="P1057" s="96" t="s">
        <v>338</v>
      </c>
      <c r="Q1057" s="96" t="s">
        <v>1313</v>
      </c>
      <c r="R1057" s="96" t="s">
        <v>412</v>
      </c>
      <c r="S1057" s="96" t="s">
        <v>406</v>
      </c>
      <c r="T1057" s="96" t="s">
        <v>1200</v>
      </c>
      <c r="U1057" s="97">
        <v>3.41</v>
      </c>
      <c r="V1057" s="100">
        <v>48202</v>
      </c>
      <c r="W1057" s="98">
        <v>4.5600000000000002E-2</v>
      </c>
      <c r="X1057" s="98">
        <v>5.7099999999999998E-2</v>
      </c>
      <c r="Y1057" s="96" t="s">
        <v>411</v>
      </c>
      <c r="Z1057" s="96"/>
      <c r="AA1057" s="97">
        <v>15979.807217</v>
      </c>
      <c r="AB1057" s="97">
        <v>1</v>
      </c>
      <c r="AC1057" s="97">
        <v>96.7</v>
      </c>
      <c r="AD1057" s="97"/>
      <c r="AE1057" s="97">
        <v>15.452472999999999</v>
      </c>
      <c r="AF1057" s="96"/>
      <c r="AG1057" s="96"/>
      <c r="AH1057" s="96"/>
      <c r="AI1057" s="98">
        <v>3.3000000000000003E-5</v>
      </c>
      <c r="AJ1057" s="98">
        <v>2.4030000000000002E-3</v>
      </c>
      <c r="AK1057" s="98">
        <v>9.2599999999999996E-4</v>
      </c>
      <c r="AL1057" s="106"/>
    </row>
    <row r="1058" spans="1:38" ht="15" customHeight="1">
      <c r="A1058" s="106"/>
      <c r="B1058" s="96">
        <v>286</v>
      </c>
      <c r="C1058" s="96">
        <v>9803</v>
      </c>
      <c r="D1058" s="96" t="s">
        <v>1467</v>
      </c>
      <c r="E1058" s="96">
        <v>515334662</v>
      </c>
      <c r="F1058" s="96" t="s">
        <v>308</v>
      </c>
      <c r="G1058" s="96" t="s">
        <v>1639</v>
      </c>
      <c r="H1058" s="96" t="s">
        <v>1640</v>
      </c>
      <c r="I1058" s="96" t="s">
        <v>320</v>
      </c>
      <c r="J1058" s="96" t="s">
        <v>754</v>
      </c>
      <c r="K1058" s="96" t="s">
        <v>203</v>
      </c>
      <c r="L1058" s="96" t="s">
        <v>203</v>
      </c>
      <c r="M1058" s="96" t="s">
        <v>324</v>
      </c>
      <c r="N1058" s="96" t="s">
        <v>339</v>
      </c>
      <c r="O1058" s="96" t="s">
        <v>453</v>
      </c>
      <c r="P1058" s="96" t="s">
        <v>337</v>
      </c>
      <c r="Q1058" s="96" t="s">
        <v>1357</v>
      </c>
      <c r="R1058" s="96" t="s">
        <v>414</v>
      </c>
      <c r="S1058" s="96" t="s">
        <v>406</v>
      </c>
      <c r="T1058" s="96" t="s">
        <v>1200</v>
      </c>
      <c r="U1058" s="97">
        <v>3.02</v>
      </c>
      <c r="V1058" s="100">
        <v>46995</v>
      </c>
      <c r="W1058" s="98">
        <v>4.6899999999999997E-2</v>
      </c>
      <c r="X1058" s="98">
        <v>7.7100000000000002E-2</v>
      </c>
      <c r="Y1058" s="96" t="s">
        <v>411</v>
      </c>
      <c r="Z1058" s="96"/>
      <c r="AA1058" s="97">
        <v>37187.296862000003</v>
      </c>
      <c r="AB1058" s="97">
        <v>1</v>
      </c>
      <c r="AC1058" s="97">
        <v>99.55</v>
      </c>
      <c r="AD1058" s="97"/>
      <c r="AE1058" s="97">
        <v>37.019953999999998</v>
      </c>
      <c r="AF1058" s="96"/>
      <c r="AG1058" s="96"/>
      <c r="AH1058" s="96"/>
      <c r="AI1058" s="98">
        <v>2.5999999999999998E-5</v>
      </c>
      <c r="AJ1058" s="98">
        <v>5.757E-3</v>
      </c>
      <c r="AK1058" s="98">
        <v>2.2200000000000002E-3</v>
      </c>
      <c r="AL1058" s="106"/>
    </row>
    <row r="1059" spans="1:38" ht="15" customHeight="1">
      <c r="A1059" s="106"/>
      <c r="B1059" s="96">
        <v>286</v>
      </c>
      <c r="C1059" s="96">
        <v>9803</v>
      </c>
      <c r="D1059" s="96" t="s">
        <v>1414</v>
      </c>
      <c r="E1059" s="96">
        <v>520037789</v>
      </c>
      <c r="F1059" s="96" t="s">
        <v>308</v>
      </c>
      <c r="G1059" s="96" t="s">
        <v>1606</v>
      </c>
      <c r="H1059" s="96" t="s">
        <v>1607</v>
      </c>
      <c r="I1059" s="96" t="s">
        <v>320</v>
      </c>
      <c r="J1059" s="96" t="s">
        <v>753</v>
      </c>
      <c r="K1059" s="96" t="s">
        <v>203</v>
      </c>
      <c r="L1059" s="96" t="s">
        <v>203</v>
      </c>
      <c r="M1059" s="96" t="s">
        <v>324</v>
      </c>
      <c r="N1059" s="96" t="s">
        <v>339</v>
      </c>
      <c r="O1059" s="96" t="s">
        <v>463</v>
      </c>
      <c r="P1059" s="96" t="s">
        <v>337</v>
      </c>
      <c r="Q1059" s="96" t="s">
        <v>1313</v>
      </c>
      <c r="R1059" s="96" t="s">
        <v>412</v>
      </c>
      <c r="S1059" s="96" t="s">
        <v>406</v>
      </c>
      <c r="T1059" s="96" t="s">
        <v>1200</v>
      </c>
      <c r="U1059" s="97">
        <v>2.58</v>
      </c>
      <c r="V1059" s="100">
        <v>46478</v>
      </c>
      <c r="W1059" s="98">
        <v>2.35E-2</v>
      </c>
      <c r="X1059" s="98">
        <v>2.5700000000000001E-2</v>
      </c>
      <c r="Y1059" s="96" t="s">
        <v>411</v>
      </c>
      <c r="Z1059" s="96"/>
      <c r="AA1059" s="97">
        <v>27257.876414999999</v>
      </c>
      <c r="AB1059" s="97">
        <v>1</v>
      </c>
      <c r="AC1059" s="97">
        <v>114.98</v>
      </c>
      <c r="AD1059" s="97"/>
      <c r="AE1059" s="97">
        <v>31.341106</v>
      </c>
      <c r="AF1059" s="96"/>
      <c r="AG1059" s="96"/>
      <c r="AH1059" s="96"/>
      <c r="AI1059" s="98">
        <v>2.9E-5</v>
      </c>
      <c r="AJ1059" s="98">
        <v>4.8739999999999999E-3</v>
      </c>
      <c r="AK1059" s="98">
        <v>1.879E-3</v>
      </c>
      <c r="AL1059" s="106"/>
    </row>
    <row r="1060" spans="1:38" ht="15" customHeight="1">
      <c r="A1060" s="106"/>
      <c r="B1060" s="96">
        <v>286</v>
      </c>
      <c r="C1060" s="96">
        <v>9803</v>
      </c>
      <c r="D1060" s="96" t="s">
        <v>1306</v>
      </c>
      <c r="E1060" s="96">
        <v>520044322</v>
      </c>
      <c r="F1060" s="96" t="s">
        <v>308</v>
      </c>
      <c r="G1060" s="96" t="s">
        <v>1732</v>
      </c>
      <c r="H1060" s="96" t="s">
        <v>1308</v>
      </c>
      <c r="I1060" s="96" t="s">
        <v>320</v>
      </c>
      <c r="J1060" s="96" t="s">
        <v>952</v>
      </c>
      <c r="K1060" s="96" t="s">
        <v>203</v>
      </c>
      <c r="L1060" s="96" t="s">
        <v>203</v>
      </c>
      <c r="M1060" s="96" t="s">
        <v>326</v>
      </c>
      <c r="N1060" s="96" t="s">
        <v>339</v>
      </c>
      <c r="O1060" s="96" t="s">
        <v>453</v>
      </c>
      <c r="P1060" s="96" t="s">
        <v>338</v>
      </c>
      <c r="Q1060" s="96" t="s">
        <v>1309</v>
      </c>
      <c r="R1060" s="96" t="s">
        <v>414</v>
      </c>
      <c r="S1060" s="96" t="s">
        <v>406</v>
      </c>
      <c r="T1060" s="96" t="s">
        <v>1200</v>
      </c>
      <c r="U1060" s="97">
        <v>4.07</v>
      </c>
      <c r="V1060" s="100">
        <v>48152</v>
      </c>
      <c r="W1060" s="98">
        <v>6.5199999999999994E-2</v>
      </c>
      <c r="X1060" s="98">
        <v>6.9199999999999998E-2</v>
      </c>
      <c r="Y1060" s="96" t="s">
        <v>411</v>
      </c>
      <c r="Z1060" s="96"/>
      <c r="AA1060" s="97">
        <v>22892.419604999999</v>
      </c>
      <c r="AB1060" s="97">
        <v>1</v>
      </c>
      <c r="AC1060" s="97">
        <v>99.921300000000002</v>
      </c>
      <c r="AD1060" s="97"/>
      <c r="AE1060" s="97">
        <v>22.874393000000001</v>
      </c>
      <c r="AF1060" s="96"/>
      <c r="AG1060" s="96"/>
      <c r="AH1060" s="96"/>
      <c r="AI1060" s="98">
        <v>1.7E-5</v>
      </c>
      <c r="AJ1060" s="98">
        <v>3.5569999999999998E-3</v>
      </c>
      <c r="AK1060" s="98">
        <v>1.371E-3</v>
      </c>
      <c r="AL1060" s="106"/>
    </row>
    <row r="1061" spans="1:38" ht="15" customHeight="1">
      <c r="A1061" s="106"/>
      <c r="B1061" s="96">
        <v>286</v>
      </c>
      <c r="C1061" s="96">
        <v>9803</v>
      </c>
      <c r="D1061" s="96" t="s">
        <v>1474</v>
      </c>
      <c r="E1061" s="96">
        <v>1737</v>
      </c>
      <c r="F1061" s="96" t="s">
        <v>80</v>
      </c>
      <c r="G1061" s="96" t="s">
        <v>1475</v>
      </c>
      <c r="H1061" s="96" t="s">
        <v>1476</v>
      </c>
      <c r="I1061" s="96" t="s">
        <v>320</v>
      </c>
      <c r="J1061" s="96" t="s">
        <v>952</v>
      </c>
      <c r="K1061" s="96" t="s">
        <v>203</v>
      </c>
      <c r="L1061" s="96" t="s">
        <v>203</v>
      </c>
      <c r="M1061" s="96" t="s">
        <v>324</v>
      </c>
      <c r="N1061" s="96" t="s">
        <v>339</v>
      </c>
      <c r="O1061" s="96" t="s">
        <v>464</v>
      </c>
      <c r="P1061" s="96" t="s">
        <v>338</v>
      </c>
      <c r="Q1061" s="96" t="s">
        <v>1313</v>
      </c>
      <c r="R1061" s="96" t="s">
        <v>412</v>
      </c>
      <c r="S1061" s="96" t="s">
        <v>406</v>
      </c>
      <c r="T1061" s="96" t="s">
        <v>1200</v>
      </c>
      <c r="U1061" s="97">
        <v>0.5</v>
      </c>
      <c r="V1061" s="100">
        <v>45657</v>
      </c>
      <c r="W1061" s="98">
        <v>3.3799999999999997E-2</v>
      </c>
      <c r="X1061" s="98">
        <v>5.79E-2</v>
      </c>
      <c r="Y1061" s="96" t="s">
        <v>411</v>
      </c>
      <c r="Z1061" s="96"/>
      <c r="AA1061" s="97">
        <v>8561.8483329999999</v>
      </c>
      <c r="AB1061" s="97">
        <v>1</v>
      </c>
      <c r="AC1061" s="97">
        <v>98.86</v>
      </c>
      <c r="AD1061" s="97"/>
      <c r="AE1061" s="97">
        <v>8.4642429999999997</v>
      </c>
      <c r="AF1061" s="96"/>
      <c r="AG1061" s="96"/>
      <c r="AH1061" s="96"/>
      <c r="AI1061" s="98">
        <v>4.1E-5</v>
      </c>
      <c r="AJ1061" s="98">
        <v>1.3159999999999999E-3</v>
      </c>
      <c r="AK1061" s="98">
        <v>5.0699999999999996E-4</v>
      </c>
      <c r="AL1061" s="106"/>
    </row>
    <row r="1062" spans="1:38" ht="15" customHeight="1">
      <c r="A1062" s="106"/>
      <c r="B1062" s="96">
        <v>286</v>
      </c>
      <c r="C1062" s="96">
        <v>9803</v>
      </c>
      <c r="D1062" s="96" t="s">
        <v>1317</v>
      </c>
      <c r="E1062" s="96">
        <v>520028911</v>
      </c>
      <c r="F1062" s="96" t="s">
        <v>308</v>
      </c>
      <c r="G1062" s="96" t="s">
        <v>1865</v>
      </c>
      <c r="H1062" s="96" t="s">
        <v>1866</v>
      </c>
      <c r="I1062" s="96" t="s">
        <v>320</v>
      </c>
      <c r="J1062" s="96" t="s">
        <v>952</v>
      </c>
      <c r="K1062" s="96" t="s">
        <v>203</v>
      </c>
      <c r="L1062" s="96" t="s">
        <v>203</v>
      </c>
      <c r="M1062" s="96" t="s">
        <v>324</v>
      </c>
      <c r="N1062" s="96" t="s">
        <v>339</v>
      </c>
      <c r="O1062" s="96" t="s">
        <v>450</v>
      </c>
      <c r="P1062" s="96" t="s">
        <v>337</v>
      </c>
      <c r="Q1062" s="96" t="s">
        <v>1320</v>
      </c>
      <c r="R1062" s="96" t="s">
        <v>412</v>
      </c>
      <c r="S1062" s="96" t="s">
        <v>406</v>
      </c>
      <c r="T1062" s="96" t="s">
        <v>1200</v>
      </c>
      <c r="U1062" s="97">
        <v>5.05</v>
      </c>
      <c r="V1062" s="100">
        <v>49653</v>
      </c>
      <c r="W1062" s="98">
        <v>2.07E-2</v>
      </c>
      <c r="X1062" s="98">
        <v>5.9499999999999997E-2</v>
      </c>
      <c r="Y1062" s="96" t="s">
        <v>411</v>
      </c>
      <c r="Z1062" s="96"/>
      <c r="AA1062" s="97">
        <v>12200.605879999999</v>
      </c>
      <c r="AB1062" s="97">
        <v>1</v>
      </c>
      <c r="AC1062" s="97">
        <v>82.34</v>
      </c>
      <c r="AD1062" s="97"/>
      <c r="AE1062" s="97">
        <v>10.045978</v>
      </c>
      <c r="AF1062" s="96"/>
      <c r="AG1062" s="96"/>
      <c r="AH1062" s="96"/>
      <c r="AI1062" s="98">
        <v>2.9E-5</v>
      </c>
      <c r="AJ1062" s="98">
        <v>1.562E-3</v>
      </c>
      <c r="AK1062" s="98">
        <v>6.02E-4</v>
      </c>
      <c r="AL1062" s="106"/>
    </row>
    <row r="1063" spans="1:38" ht="15" customHeight="1">
      <c r="A1063" s="106"/>
      <c r="B1063" s="96">
        <v>286</v>
      </c>
      <c r="C1063" s="96">
        <v>9803</v>
      </c>
      <c r="D1063" s="96" t="s">
        <v>1421</v>
      </c>
      <c r="E1063" s="96">
        <v>520026683</v>
      </c>
      <c r="F1063" s="96" t="s">
        <v>308</v>
      </c>
      <c r="G1063" s="96" t="s">
        <v>1874</v>
      </c>
      <c r="H1063" s="96" t="s">
        <v>1875</v>
      </c>
      <c r="I1063" s="96" t="s">
        <v>320</v>
      </c>
      <c r="J1063" s="96" t="s">
        <v>952</v>
      </c>
      <c r="K1063" s="96" t="s">
        <v>203</v>
      </c>
      <c r="L1063" s="96" t="s">
        <v>203</v>
      </c>
      <c r="M1063" s="96" t="s">
        <v>324</v>
      </c>
      <c r="N1063" s="96" t="s">
        <v>339</v>
      </c>
      <c r="O1063" s="96" t="s">
        <v>463</v>
      </c>
      <c r="P1063" s="96" t="s">
        <v>338</v>
      </c>
      <c r="Q1063" s="96" t="s">
        <v>1313</v>
      </c>
      <c r="R1063" s="96" t="s">
        <v>412</v>
      </c>
      <c r="S1063" s="96" t="s">
        <v>406</v>
      </c>
      <c r="T1063" s="96" t="s">
        <v>1200</v>
      </c>
      <c r="U1063" s="97">
        <v>0.99</v>
      </c>
      <c r="V1063" s="100">
        <v>46026</v>
      </c>
      <c r="W1063" s="98">
        <v>3.39E-2</v>
      </c>
      <c r="X1063" s="98">
        <v>4.9399999999999999E-2</v>
      </c>
      <c r="Y1063" s="96" t="s">
        <v>411</v>
      </c>
      <c r="Z1063" s="96"/>
      <c r="AA1063" s="97">
        <v>7253.6251270000002</v>
      </c>
      <c r="AB1063" s="97">
        <v>1</v>
      </c>
      <c r="AC1063" s="97">
        <v>100.14</v>
      </c>
      <c r="AD1063" s="97"/>
      <c r="AE1063" s="97">
        <v>7.2637799999999997</v>
      </c>
      <c r="AF1063" s="96"/>
      <c r="AG1063" s="96"/>
      <c r="AH1063" s="96"/>
      <c r="AI1063" s="98">
        <v>1.5999999999999999E-5</v>
      </c>
      <c r="AJ1063" s="98">
        <v>1.129E-3</v>
      </c>
      <c r="AK1063" s="98">
        <v>4.35E-4</v>
      </c>
      <c r="AL1063" s="106"/>
    </row>
    <row r="1064" spans="1:38" ht="15" customHeight="1">
      <c r="A1064" s="106"/>
      <c r="B1064" s="96">
        <v>286</v>
      </c>
      <c r="C1064" s="96">
        <v>9803</v>
      </c>
      <c r="D1064" s="96" t="s">
        <v>1399</v>
      </c>
      <c r="E1064" s="96">
        <v>520032046</v>
      </c>
      <c r="F1064" s="96" t="s">
        <v>308</v>
      </c>
      <c r="G1064" s="96" t="s">
        <v>1435</v>
      </c>
      <c r="H1064" s="96" t="s">
        <v>1436</v>
      </c>
      <c r="I1064" s="96" t="s">
        <v>320</v>
      </c>
      <c r="J1064" s="96" t="s">
        <v>753</v>
      </c>
      <c r="K1064" s="96" t="s">
        <v>203</v>
      </c>
      <c r="L1064" s="96" t="s">
        <v>203</v>
      </c>
      <c r="M1064" s="96" t="s">
        <v>324</v>
      </c>
      <c r="N1064" s="96" t="s">
        <v>339</v>
      </c>
      <c r="O1064" s="96" t="s">
        <v>447</v>
      </c>
      <c r="P1064" s="96" t="s">
        <v>338</v>
      </c>
      <c r="Q1064" s="96" t="s">
        <v>1211</v>
      </c>
      <c r="R1064" s="96" t="s">
        <v>414</v>
      </c>
      <c r="S1064" s="96" t="s">
        <v>406</v>
      </c>
      <c r="T1064" s="96" t="s">
        <v>1200</v>
      </c>
      <c r="U1064" s="97">
        <v>3.68</v>
      </c>
      <c r="V1064" s="100">
        <v>47950</v>
      </c>
      <c r="W1064" s="98">
        <v>1E-3</v>
      </c>
      <c r="X1064" s="98">
        <v>2.53E-2</v>
      </c>
      <c r="Y1064" s="96" t="s">
        <v>411</v>
      </c>
      <c r="Z1064" s="96"/>
      <c r="AA1064" s="97">
        <v>59661.930625000001</v>
      </c>
      <c r="AB1064" s="97">
        <v>1</v>
      </c>
      <c r="AC1064" s="97">
        <v>100.22</v>
      </c>
      <c r="AD1064" s="97"/>
      <c r="AE1064" s="97">
        <v>59.793185999999999</v>
      </c>
      <c r="AF1064" s="96"/>
      <c r="AG1064" s="96"/>
      <c r="AH1064" s="96"/>
      <c r="AI1064" s="98">
        <v>2.1999999999999999E-5</v>
      </c>
      <c r="AJ1064" s="98">
        <v>9.299E-3</v>
      </c>
      <c r="AK1064" s="98">
        <v>3.5850000000000001E-3</v>
      </c>
      <c r="AL1064" s="106"/>
    </row>
    <row r="1065" spans="1:38" ht="15" customHeight="1">
      <c r="A1065" s="106"/>
      <c r="B1065" s="96">
        <v>286</v>
      </c>
      <c r="C1065" s="96">
        <v>9803</v>
      </c>
      <c r="D1065" s="96" t="s">
        <v>2003</v>
      </c>
      <c r="E1065" s="96">
        <v>511396046</v>
      </c>
      <c r="F1065" s="96" t="s">
        <v>308</v>
      </c>
      <c r="G1065" s="96" t="s">
        <v>2004</v>
      </c>
      <c r="H1065" s="96" t="s">
        <v>2005</v>
      </c>
      <c r="I1065" s="96" t="s">
        <v>320</v>
      </c>
      <c r="J1065" s="96" t="s">
        <v>754</v>
      </c>
      <c r="K1065" s="96" t="s">
        <v>203</v>
      </c>
      <c r="L1065" s="96" t="s">
        <v>203</v>
      </c>
      <c r="M1065" s="96" t="s">
        <v>324</v>
      </c>
      <c r="N1065" s="96" t="s">
        <v>339</v>
      </c>
      <c r="O1065" s="96" t="s">
        <v>483</v>
      </c>
      <c r="P1065" s="96" t="s">
        <v>338</v>
      </c>
      <c r="Q1065" s="96" t="s">
        <v>409</v>
      </c>
      <c r="R1065" s="96" t="s">
        <v>409</v>
      </c>
      <c r="S1065" s="96" t="s">
        <v>409</v>
      </c>
      <c r="T1065" s="96" t="s">
        <v>1200</v>
      </c>
      <c r="U1065" s="97">
        <v>0.08</v>
      </c>
      <c r="V1065" s="100">
        <v>45533</v>
      </c>
      <c r="W1065" s="98">
        <v>6.4500000000000002E-2</v>
      </c>
      <c r="X1065" s="98">
        <v>9.99</v>
      </c>
      <c r="Y1065" s="96" t="s">
        <v>411</v>
      </c>
      <c r="Z1065" s="96"/>
      <c r="AA1065" s="97">
        <v>8517.9005440000001</v>
      </c>
      <c r="AB1065" s="97">
        <v>1</v>
      </c>
      <c r="AC1065" s="97">
        <v>81.599999999999994</v>
      </c>
      <c r="AD1065" s="97"/>
      <c r="AE1065" s="97">
        <v>6.9506059999999996</v>
      </c>
      <c r="AF1065" s="96"/>
      <c r="AG1065" s="96"/>
      <c r="AH1065" s="96"/>
      <c r="AI1065" s="98">
        <v>1.0000000000000001E-5</v>
      </c>
      <c r="AJ1065" s="98">
        <v>1.0809999999999999E-3</v>
      </c>
      <c r="AK1065" s="98">
        <v>4.1599999999999997E-4</v>
      </c>
      <c r="AL1065" s="106"/>
    </row>
    <row r="1066" spans="1:38" ht="15" customHeight="1">
      <c r="A1066" s="106"/>
      <c r="B1066" s="96">
        <v>286</v>
      </c>
      <c r="C1066" s="96">
        <v>9803</v>
      </c>
      <c r="D1066" s="96" t="s">
        <v>1440</v>
      </c>
      <c r="E1066" s="96">
        <v>513992529</v>
      </c>
      <c r="F1066" s="96" t="s">
        <v>308</v>
      </c>
      <c r="G1066" s="96" t="s">
        <v>1441</v>
      </c>
      <c r="H1066" s="96" t="s">
        <v>1442</v>
      </c>
      <c r="I1066" s="96" t="s">
        <v>320</v>
      </c>
      <c r="J1066" s="96" t="s">
        <v>753</v>
      </c>
      <c r="K1066" s="96" t="s">
        <v>203</v>
      </c>
      <c r="L1066" s="96" t="s">
        <v>203</v>
      </c>
      <c r="M1066" s="96" t="s">
        <v>324</v>
      </c>
      <c r="N1066" s="96" t="s">
        <v>339</v>
      </c>
      <c r="O1066" s="96" t="s">
        <v>463</v>
      </c>
      <c r="P1066" s="96" t="s">
        <v>338</v>
      </c>
      <c r="Q1066" s="96" t="s">
        <v>1313</v>
      </c>
      <c r="R1066" s="96" t="s">
        <v>412</v>
      </c>
      <c r="S1066" s="96" t="s">
        <v>406</v>
      </c>
      <c r="T1066" s="96" t="s">
        <v>1200</v>
      </c>
      <c r="U1066" s="97">
        <v>7.58</v>
      </c>
      <c r="V1066" s="100">
        <v>50140</v>
      </c>
      <c r="W1066" s="98">
        <v>0.03</v>
      </c>
      <c r="X1066" s="98">
        <v>3.7400000000000003E-2</v>
      </c>
      <c r="Y1066" s="96" t="s">
        <v>411</v>
      </c>
      <c r="Z1066" s="96"/>
      <c r="AA1066" s="97">
        <v>11055.30364</v>
      </c>
      <c r="AB1066" s="97">
        <v>1</v>
      </c>
      <c r="AC1066" s="97">
        <v>97.12</v>
      </c>
      <c r="AD1066" s="97"/>
      <c r="AE1066" s="97">
        <v>10.73691</v>
      </c>
      <c r="AF1066" s="96"/>
      <c r="AG1066" s="96"/>
      <c r="AH1066" s="96"/>
      <c r="AI1066" s="98">
        <v>5.0000000000000002E-5</v>
      </c>
      <c r="AJ1066" s="98">
        <v>1.6689999999999999E-3</v>
      </c>
      <c r="AK1066" s="98">
        <v>6.4300000000000002E-4</v>
      </c>
      <c r="AL1066" s="106"/>
    </row>
    <row r="1067" spans="1:38" ht="15" customHeight="1">
      <c r="A1067" s="106"/>
      <c r="B1067" s="96">
        <v>286</v>
      </c>
      <c r="C1067" s="96">
        <v>9803</v>
      </c>
      <c r="D1067" s="96" t="s">
        <v>1399</v>
      </c>
      <c r="E1067" s="96">
        <v>520032046</v>
      </c>
      <c r="F1067" s="96" t="s">
        <v>308</v>
      </c>
      <c r="G1067" s="96" t="s">
        <v>1620</v>
      </c>
      <c r="H1067" s="96" t="s">
        <v>1621</v>
      </c>
      <c r="I1067" s="96" t="s">
        <v>320</v>
      </c>
      <c r="J1067" s="96" t="s">
        <v>753</v>
      </c>
      <c r="K1067" s="96" t="s">
        <v>203</v>
      </c>
      <c r="L1067" s="96" t="s">
        <v>203</v>
      </c>
      <c r="M1067" s="96" t="s">
        <v>324</v>
      </c>
      <c r="N1067" s="96" t="s">
        <v>339</v>
      </c>
      <c r="O1067" s="96" t="s">
        <v>447</v>
      </c>
      <c r="P1067" s="96" t="s">
        <v>338</v>
      </c>
      <c r="Q1067" s="96" t="s">
        <v>1211</v>
      </c>
      <c r="R1067" s="96" t="s">
        <v>414</v>
      </c>
      <c r="S1067" s="96" t="s">
        <v>406</v>
      </c>
      <c r="T1067" s="96" t="s">
        <v>1200</v>
      </c>
      <c r="U1067" s="97">
        <v>4.66</v>
      </c>
      <c r="V1067" s="100">
        <v>48742</v>
      </c>
      <c r="W1067" s="98">
        <v>2.06E-2</v>
      </c>
      <c r="X1067" s="98">
        <v>2.58E-2</v>
      </c>
      <c r="Y1067" s="96" t="s">
        <v>411</v>
      </c>
      <c r="Z1067" s="96"/>
      <c r="AA1067" s="97">
        <v>86077.703481999997</v>
      </c>
      <c r="AB1067" s="97">
        <v>1</v>
      </c>
      <c r="AC1067" s="97">
        <v>100.67</v>
      </c>
      <c r="AD1067" s="97"/>
      <c r="AE1067" s="97">
        <v>86.654424000000006</v>
      </c>
      <c r="AF1067" s="96"/>
      <c r="AG1067" s="96"/>
      <c r="AH1067" s="96"/>
      <c r="AI1067" s="98">
        <v>4.6999999999999997E-5</v>
      </c>
      <c r="AJ1067" s="98">
        <v>1.3476999999999999E-2</v>
      </c>
      <c r="AK1067" s="98">
        <v>5.1960000000000001E-3</v>
      </c>
      <c r="AL1067" s="106"/>
    </row>
    <row r="1068" spans="1:38" ht="15" customHeight="1">
      <c r="A1068" s="106"/>
      <c r="B1068" s="96">
        <v>286</v>
      </c>
      <c r="C1068" s="96">
        <v>9803</v>
      </c>
      <c r="D1068" s="96" t="s">
        <v>1611</v>
      </c>
      <c r="E1068" s="96">
        <v>520001736</v>
      </c>
      <c r="F1068" s="96" t="s">
        <v>308</v>
      </c>
      <c r="G1068" s="96" t="s">
        <v>1612</v>
      </c>
      <c r="H1068" s="96" t="s">
        <v>1613</v>
      </c>
      <c r="I1068" s="96" t="s">
        <v>320</v>
      </c>
      <c r="J1068" s="96" t="s">
        <v>952</v>
      </c>
      <c r="K1068" s="96" t="s">
        <v>203</v>
      </c>
      <c r="L1068" s="96" t="s">
        <v>203</v>
      </c>
      <c r="M1068" s="96" t="s">
        <v>324</v>
      </c>
      <c r="N1068" s="96" t="s">
        <v>339</v>
      </c>
      <c r="O1068" s="96" t="s">
        <v>463</v>
      </c>
      <c r="P1068" s="96" t="s">
        <v>338</v>
      </c>
      <c r="Q1068" s="96" t="s">
        <v>1313</v>
      </c>
      <c r="R1068" s="96" t="s">
        <v>412</v>
      </c>
      <c r="S1068" s="96" t="s">
        <v>406</v>
      </c>
      <c r="T1068" s="96" t="s">
        <v>1200</v>
      </c>
      <c r="U1068" s="97">
        <v>5.38</v>
      </c>
      <c r="V1068" s="100">
        <v>49125</v>
      </c>
      <c r="W1068" s="98">
        <v>2.5499999999999998E-2</v>
      </c>
      <c r="X1068" s="98">
        <v>6.1400000000000003E-2</v>
      </c>
      <c r="Y1068" s="96" t="s">
        <v>411</v>
      </c>
      <c r="Z1068" s="96"/>
      <c r="AA1068" s="97">
        <v>41956.829661000003</v>
      </c>
      <c r="AB1068" s="97">
        <v>1</v>
      </c>
      <c r="AC1068" s="97">
        <v>82.82</v>
      </c>
      <c r="AD1068" s="97"/>
      <c r="AE1068" s="97">
        <v>34.748646000000001</v>
      </c>
      <c r="AF1068" s="96"/>
      <c r="AG1068" s="96"/>
      <c r="AH1068" s="96"/>
      <c r="AI1068" s="98">
        <v>2.4000000000000001E-5</v>
      </c>
      <c r="AJ1068" s="98">
        <v>5.4039999999999999E-3</v>
      </c>
      <c r="AK1068" s="98">
        <v>2.0830000000000002E-3</v>
      </c>
      <c r="AL1068" s="106"/>
    </row>
    <row r="1069" spans="1:38" ht="15" customHeight="1">
      <c r="A1069" s="106"/>
      <c r="B1069" s="96">
        <v>286</v>
      </c>
      <c r="C1069" s="96">
        <v>9803</v>
      </c>
      <c r="D1069" s="96" t="s">
        <v>1414</v>
      </c>
      <c r="E1069" s="96">
        <v>520037789</v>
      </c>
      <c r="F1069" s="96" t="s">
        <v>308</v>
      </c>
      <c r="G1069" s="96" t="s">
        <v>1415</v>
      </c>
      <c r="H1069" s="96" t="s">
        <v>1416</v>
      </c>
      <c r="I1069" s="96" t="s">
        <v>320</v>
      </c>
      <c r="J1069" s="96" t="s">
        <v>753</v>
      </c>
      <c r="K1069" s="96" t="s">
        <v>203</v>
      </c>
      <c r="L1069" s="96" t="s">
        <v>203</v>
      </c>
      <c r="M1069" s="96" t="s">
        <v>324</v>
      </c>
      <c r="N1069" s="96" t="s">
        <v>339</v>
      </c>
      <c r="O1069" s="96" t="s">
        <v>463</v>
      </c>
      <c r="P1069" s="96" t="s">
        <v>337</v>
      </c>
      <c r="Q1069" s="96" t="s">
        <v>1313</v>
      </c>
      <c r="R1069" s="96" t="s">
        <v>412</v>
      </c>
      <c r="S1069" s="96" t="s">
        <v>406</v>
      </c>
      <c r="T1069" s="96" t="s">
        <v>1200</v>
      </c>
      <c r="U1069" s="97">
        <v>4.1399999999999997</v>
      </c>
      <c r="V1069" s="100">
        <v>48214</v>
      </c>
      <c r="W1069" s="98">
        <v>2.2499999999999999E-2</v>
      </c>
      <c r="X1069" s="98">
        <v>3.1E-2</v>
      </c>
      <c r="Y1069" s="96" t="s">
        <v>411</v>
      </c>
      <c r="Z1069" s="96"/>
      <c r="AA1069" s="97">
        <v>19089.465262000002</v>
      </c>
      <c r="AB1069" s="97">
        <v>1</v>
      </c>
      <c r="AC1069" s="97">
        <v>111.19</v>
      </c>
      <c r="AD1069" s="97">
        <v>1.638442</v>
      </c>
      <c r="AE1069" s="97">
        <v>22.864018000000002</v>
      </c>
      <c r="AF1069" s="96"/>
      <c r="AG1069" s="96"/>
      <c r="AH1069" s="96"/>
      <c r="AI1069" s="98">
        <v>1.5999999999999999E-5</v>
      </c>
      <c r="AJ1069" s="98">
        <v>3.555E-3</v>
      </c>
      <c r="AK1069" s="98">
        <v>1.3699999999999999E-3</v>
      </c>
      <c r="AL1069" s="106"/>
    </row>
    <row r="1070" spans="1:38" ht="15" customHeight="1">
      <c r="A1070" s="106"/>
      <c r="B1070" s="96">
        <v>286</v>
      </c>
      <c r="C1070" s="96">
        <v>9803</v>
      </c>
      <c r="D1070" s="96" t="s">
        <v>1514</v>
      </c>
      <c r="E1070" s="96">
        <v>520043027</v>
      </c>
      <c r="F1070" s="96" t="s">
        <v>308</v>
      </c>
      <c r="G1070" s="96" t="s">
        <v>1515</v>
      </c>
      <c r="H1070" s="96" t="s">
        <v>1516</v>
      </c>
      <c r="I1070" s="96" t="s">
        <v>320</v>
      </c>
      <c r="J1070" s="96" t="s">
        <v>754</v>
      </c>
      <c r="K1070" s="96" t="s">
        <v>203</v>
      </c>
      <c r="L1070" s="96" t="s">
        <v>203</v>
      </c>
      <c r="M1070" s="96" t="s">
        <v>324</v>
      </c>
      <c r="N1070" s="96" t="s">
        <v>339</v>
      </c>
      <c r="O1070" s="96" t="s">
        <v>445</v>
      </c>
      <c r="P1070" s="96" t="s">
        <v>338</v>
      </c>
      <c r="Q1070" s="96" t="s">
        <v>1313</v>
      </c>
      <c r="R1070" s="96" t="s">
        <v>412</v>
      </c>
      <c r="S1070" s="96" t="s">
        <v>406</v>
      </c>
      <c r="T1070" s="96" t="s">
        <v>1200</v>
      </c>
      <c r="U1070" s="97">
        <v>5.16</v>
      </c>
      <c r="V1070" s="100">
        <v>49490</v>
      </c>
      <c r="W1070" s="98">
        <v>2.6700000000000002E-2</v>
      </c>
      <c r="X1070" s="98">
        <v>5.9900000000000002E-2</v>
      </c>
      <c r="Y1070" s="96" t="s">
        <v>411</v>
      </c>
      <c r="Z1070" s="96"/>
      <c r="AA1070" s="97">
        <v>7662.9010909999997</v>
      </c>
      <c r="AB1070" s="97">
        <v>1</v>
      </c>
      <c r="AC1070" s="97">
        <v>97.08</v>
      </c>
      <c r="AD1070" s="97"/>
      <c r="AE1070" s="97">
        <v>7.4391439999999998</v>
      </c>
      <c r="AF1070" s="96"/>
      <c r="AG1070" s="96"/>
      <c r="AH1070" s="96"/>
      <c r="AI1070" s="98">
        <v>4.8000000000000001E-5</v>
      </c>
      <c r="AJ1070" s="98">
        <v>1.157E-3</v>
      </c>
      <c r="AK1070" s="98">
        <v>4.46E-4</v>
      </c>
      <c r="AL1070" s="106"/>
    </row>
    <row r="1071" spans="1:38" ht="15" customHeight="1">
      <c r="A1071" s="106"/>
      <c r="B1071" s="96">
        <v>286</v>
      </c>
      <c r="C1071" s="96">
        <v>9803</v>
      </c>
      <c r="D1071" s="96" t="s">
        <v>1337</v>
      </c>
      <c r="E1071" s="96">
        <v>520028010</v>
      </c>
      <c r="F1071" s="96" t="s">
        <v>308</v>
      </c>
      <c r="G1071" s="96" t="s">
        <v>1765</v>
      </c>
      <c r="H1071" s="96" t="s">
        <v>1766</v>
      </c>
      <c r="I1071" s="96" t="s">
        <v>320</v>
      </c>
      <c r="J1071" s="96" t="s">
        <v>952</v>
      </c>
      <c r="K1071" s="96" t="s">
        <v>203</v>
      </c>
      <c r="L1071" s="96" t="s">
        <v>203</v>
      </c>
      <c r="M1071" s="96" t="s">
        <v>324</v>
      </c>
      <c r="N1071" s="96" t="s">
        <v>339</v>
      </c>
      <c r="O1071" s="96" t="s">
        <v>450</v>
      </c>
      <c r="P1071" s="96" t="s">
        <v>338</v>
      </c>
      <c r="Q1071" s="96" t="s">
        <v>1320</v>
      </c>
      <c r="R1071" s="96" t="s">
        <v>412</v>
      </c>
      <c r="S1071" s="96" t="s">
        <v>406</v>
      </c>
      <c r="T1071" s="96" t="s">
        <v>1200</v>
      </c>
      <c r="U1071" s="97">
        <v>2.58</v>
      </c>
      <c r="V1071" s="100">
        <v>46934</v>
      </c>
      <c r="W1071" s="98">
        <v>2.1999999999999999E-2</v>
      </c>
      <c r="X1071" s="98">
        <v>5.3800000000000001E-2</v>
      </c>
      <c r="Y1071" s="96" t="s">
        <v>411</v>
      </c>
      <c r="Z1071" s="96"/>
      <c r="AA1071" s="97">
        <v>27294.959049000001</v>
      </c>
      <c r="AB1071" s="97">
        <v>1</v>
      </c>
      <c r="AC1071" s="97">
        <v>92.37</v>
      </c>
      <c r="AD1071" s="97"/>
      <c r="AE1071" s="97">
        <v>25.212353</v>
      </c>
      <c r="AF1071" s="96"/>
      <c r="AG1071" s="96"/>
      <c r="AH1071" s="96"/>
      <c r="AI1071" s="98">
        <v>2.5000000000000001E-5</v>
      </c>
      <c r="AJ1071" s="98">
        <v>3.921E-3</v>
      </c>
      <c r="AK1071" s="98">
        <v>1.511E-3</v>
      </c>
      <c r="AL1071" s="106"/>
    </row>
    <row r="1072" spans="1:38" ht="15" customHeight="1">
      <c r="A1072" s="106"/>
      <c r="B1072" s="96">
        <v>286</v>
      </c>
      <c r="C1072" s="96">
        <v>9803</v>
      </c>
      <c r="D1072" s="96" t="s">
        <v>1477</v>
      </c>
      <c r="E1072" s="96">
        <v>520029935</v>
      </c>
      <c r="F1072" s="96" t="s">
        <v>308</v>
      </c>
      <c r="G1072" s="96" t="s">
        <v>1733</v>
      </c>
      <c r="H1072" s="96" t="s">
        <v>1734</v>
      </c>
      <c r="I1072" s="96" t="s">
        <v>320</v>
      </c>
      <c r="J1072" s="96" t="s">
        <v>753</v>
      </c>
      <c r="K1072" s="96" t="s">
        <v>203</v>
      </c>
      <c r="L1072" s="96" t="s">
        <v>203</v>
      </c>
      <c r="M1072" s="96" t="s">
        <v>324</v>
      </c>
      <c r="N1072" s="96" t="s">
        <v>339</v>
      </c>
      <c r="O1072" s="96" t="s">
        <v>447</v>
      </c>
      <c r="P1072" s="96" t="s">
        <v>338</v>
      </c>
      <c r="Q1072" s="96" t="s">
        <v>1305</v>
      </c>
      <c r="R1072" s="96" t="s">
        <v>414</v>
      </c>
      <c r="S1072" s="96" t="s">
        <v>406</v>
      </c>
      <c r="T1072" s="96" t="s">
        <v>1200</v>
      </c>
      <c r="U1072" s="97">
        <v>4.12</v>
      </c>
      <c r="V1072" s="100">
        <v>47087</v>
      </c>
      <c r="W1072" s="98">
        <v>3.1699999999999999E-2</v>
      </c>
      <c r="X1072" s="98">
        <v>3.5900000000000001E-2</v>
      </c>
      <c r="Y1072" s="96" t="s">
        <v>410</v>
      </c>
      <c r="Z1072" s="96"/>
      <c r="AA1072" s="97">
        <v>1480.411769</v>
      </c>
      <c r="AB1072" s="97">
        <v>1</v>
      </c>
      <c r="AC1072" s="97">
        <v>105.55</v>
      </c>
      <c r="AD1072" s="97"/>
      <c r="AE1072" s="97">
        <v>1.5625739999999999</v>
      </c>
      <c r="AF1072" s="96"/>
      <c r="AG1072" s="96"/>
      <c r="AH1072" s="96"/>
      <c r="AI1072" s="98">
        <v>9.9999999999999995E-7</v>
      </c>
      <c r="AJ1072" s="98">
        <v>2.43E-4</v>
      </c>
      <c r="AK1072" s="98">
        <v>9.2999999999999997E-5</v>
      </c>
      <c r="AL1072" s="106"/>
    </row>
    <row r="1073" spans="1:38" ht="15" customHeight="1">
      <c r="A1073" s="106"/>
      <c r="B1073" s="96">
        <v>286</v>
      </c>
      <c r="C1073" s="96">
        <v>9803</v>
      </c>
      <c r="D1073" s="96" t="s">
        <v>1658</v>
      </c>
      <c r="E1073" s="96">
        <v>520038506</v>
      </c>
      <c r="F1073" s="96" t="s">
        <v>308</v>
      </c>
      <c r="G1073" s="96" t="s">
        <v>1791</v>
      </c>
      <c r="H1073" s="96" t="s">
        <v>1752</v>
      </c>
      <c r="I1073" s="96" t="s">
        <v>320</v>
      </c>
      <c r="J1073" s="96" t="s">
        <v>952</v>
      </c>
      <c r="K1073" s="96" t="s">
        <v>203</v>
      </c>
      <c r="L1073" s="96" t="s">
        <v>203</v>
      </c>
      <c r="M1073" s="96" t="s">
        <v>324</v>
      </c>
      <c r="N1073" s="96" t="s">
        <v>339</v>
      </c>
      <c r="O1073" s="96" t="s">
        <v>463</v>
      </c>
      <c r="P1073" s="96" t="s">
        <v>337</v>
      </c>
      <c r="Q1073" s="96" t="s">
        <v>1305</v>
      </c>
      <c r="R1073" s="96" t="s">
        <v>414</v>
      </c>
      <c r="S1073" s="96" t="s">
        <v>406</v>
      </c>
      <c r="T1073" s="96" t="s">
        <v>1200</v>
      </c>
      <c r="U1073" s="97">
        <v>4.58</v>
      </c>
      <c r="V1073" s="100">
        <v>47907</v>
      </c>
      <c r="W1073" s="98">
        <v>2.41E-2</v>
      </c>
      <c r="X1073" s="98">
        <v>6.4899999999999999E-2</v>
      </c>
      <c r="Y1073" s="96" t="s">
        <v>411</v>
      </c>
      <c r="Z1073" s="96"/>
      <c r="AA1073" s="97">
        <v>23709.858138</v>
      </c>
      <c r="AB1073" s="97">
        <v>1</v>
      </c>
      <c r="AC1073" s="97">
        <v>84.18</v>
      </c>
      <c r="AD1073" s="97"/>
      <c r="AE1073" s="97">
        <v>19.958957999999999</v>
      </c>
      <c r="AF1073" s="96"/>
      <c r="AG1073" s="96"/>
      <c r="AH1073" s="96"/>
      <c r="AI1073" s="98">
        <v>1.2999999999999999E-5</v>
      </c>
      <c r="AJ1073" s="98">
        <v>3.104E-3</v>
      </c>
      <c r="AK1073" s="98">
        <v>1.196E-3</v>
      </c>
      <c r="AL1073" s="106"/>
    </row>
    <row r="1074" spans="1:38" ht="15" customHeight="1">
      <c r="A1074" s="106"/>
      <c r="B1074" s="96">
        <v>286</v>
      </c>
      <c r="C1074" s="96">
        <v>9803</v>
      </c>
      <c r="D1074" s="96" t="s">
        <v>1546</v>
      </c>
      <c r="E1074" s="96">
        <v>511930125</v>
      </c>
      <c r="F1074" s="96" t="s">
        <v>308</v>
      </c>
      <c r="G1074" s="96" t="s">
        <v>2001</v>
      </c>
      <c r="H1074" s="96" t="s">
        <v>2002</v>
      </c>
      <c r="I1074" s="96" t="s">
        <v>320</v>
      </c>
      <c r="J1074" s="96" t="s">
        <v>952</v>
      </c>
      <c r="K1074" s="96" t="s">
        <v>203</v>
      </c>
      <c r="L1074" s="96" t="s">
        <v>203</v>
      </c>
      <c r="M1074" s="96" t="s">
        <v>324</v>
      </c>
      <c r="N1074" s="96" t="s">
        <v>339</v>
      </c>
      <c r="O1074" s="96" t="s">
        <v>483</v>
      </c>
      <c r="P1074" s="96" t="s">
        <v>337</v>
      </c>
      <c r="Q1074" s="96" t="s">
        <v>1320</v>
      </c>
      <c r="R1074" s="96" t="s">
        <v>412</v>
      </c>
      <c r="S1074" s="96" t="s">
        <v>406</v>
      </c>
      <c r="T1074" s="96" t="s">
        <v>1200</v>
      </c>
      <c r="U1074" s="97">
        <v>2.06</v>
      </c>
      <c r="V1074" s="100">
        <v>46757</v>
      </c>
      <c r="W1074" s="98">
        <v>2.5000000000000001E-2</v>
      </c>
      <c r="X1074" s="98">
        <v>5.3900000000000003E-2</v>
      </c>
      <c r="Y1074" s="96" t="s">
        <v>411</v>
      </c>
      <c r="Z1074" s="96"/>
      <c r="AA1074" s="97">
        <v>11616.133253</v>
      </c>
      <c r="AB1074" s="97">
        <v>1</v>
      </c>
      <c r="AC1074" s="97">
        <v>95.53</v>
      </c>
      <c r="AD1074" s="97"/>
      <c r="AE1074" s="97">
        <v>11.096892</v>
      </c>
      <c r="AF1074" s="96"/>
      <c r="AG1074" s="96"/>
      <c r="AH1074" s="96"/>
      <c r="AI1074" s="98">
        <v>1.2E-5</v>
      </c>
      <c r="AJ1074" s="98">
        <v>1.725E-3</v>
      </c>
      <c r="AK1074" s="98">
        <v>6.6500000000000001E-4</v>
      </c>
      <c r="AL1074" s="106"/>
    </row>
    <row r="1075" spans="1:38" ht="15" customHeight="1">
      <c r="A1075" s="106"/>
      <c r="B1075" s="96">
        <v>286</v>
      </c>
      <c r="C1075" s="96">
        <v>9803</v>
      </c>
      <c r="D1075" s="96" t="s">
        <v>1364</v>
      </c>
      <c r="E1075" s="96">
        <v>513821488</v>
      </c>
      <c r="F1075" s="96" t="s">
        <v>308</v>
      </c>
      <c r="G1075" s="96" t="s">
        <v>1635</v>
      </c>
      <c r="H1075" s="96" t="s">
        <v>1636</v>
      </c>
      <c r="I1075" s="96" t="s">
        <v>320</v>
      </c>
      <c r="J1075" s="96" t="s">
        <v>753</v>
      </c>
      <c r="K1075" s="96" t="s">
        <v>203</v>
      </c>
      <c r="L1075" s="96" t="s">
        <v>203</v>
      </c>
      <c r="M1075" s="96" t="s">
        <v>324</v>
      </c>
      <c r="N1075" s="96" t="s">
        <v>339</v>
      </c>
      <c r="O1075" s="96" t="s">
        <v>463</v>
      </c>
      <c r="P1075" s="96" t="s">
        <v>337</v>
      </c>
      <c r="Q1075" s="96" t="s">
        <v>1313</v>
      </c>
      <c r="R1075" s="96" t="s">
        <v>412</v>
      </c>
      <c r="S1075" s="96" t="s">
        <v>406</v>
      </c>
      <c r="T1075" s="96" t="s">
        <v>1200</v>
      </c>
      <c r="U1075" s="97">
        <v>6.45</v>
      </c>
      <c r="V1075" s="100">
        <v>49207</v>
      </c>
      <c r="W1075" s="98">
        <v>2.5000000000000001E-2</v>
      </c>
      <c r="X1075" s="98">
        <v>3.5900000000000001E-2</v>
      </c>
      <c r="Y1075" s="96" t="s">
        <v>411</v>
      </c>
      <c r="Z1075" s="96"/>
      <c r="AA1075" s="97">
        <v>37453.171709000002</v>
      </c>
      <c r="AB1075" s="97">
        <v>1</v>
      </c>
      <c r="AC1075" s="97">
        <v>106.83</v>
      </c>
      <c r="AD1075" s="97"/>
      <c r="AE1075" s="97">
        <v>40.011223000000001</v>
      </c>
      <c r="AF1075" s="96"/>
      <c r="AG1075" s="96"/>
      <c r="AH1075" s="96"/>
      <c r="AI1075" s="98">
        <v>4.1E-5</v>
      </c>
      <c r="AJ1075" s="98">
        <v>6.2230000000000002E-3</v>
      </c>
      <c r="AK1075" s="98">
        <v>2.3990000000000001E-3</v>
      </c>
      <c r="AL1075" s="106"/>
    </row>
    <row r="1076" spans="1:38" ht="15" customHeight="1">
      <c r="A1076" s="106"/>
      <c r="B1076" s="96">
        <v>286</v>
      </c>
      <c r="C1076" s="96">
        <v>9803</v>
      </c>
      <c r="D1076" s="96" t="s">
        <v>1421</v>
      </c>
      <c r="E1076" s="96">
        <v>520026683</v>
      </c>
      <c r="F1076" s="96" t="s">
        <v>308</v>
      </c>
      <c r="G1076" s="96" t="s">
        <v>2007</v>
      </c>
      <c r="H1076" s="96" t="s">
        <v>2008</v>
      </c>
      <c r="I1076" s="96" t="s">
        <v>320</v>
      </c>
      <c r="J1076" s="96" t="s">
        <v>753</v>
      </c>
      <c r="K1076" s="96" t="s">
        <v>203</v>
      </c>
      <c r="L1076" s="96" t="s">
        <v>203</v>
      </c>
      <c r="M1076" s="96" t="s">
        <v>324</v>
      </c>
      <c r="N1076" s="96" t="s">
        <v>339</v>
      </c>
      <c r="O1076" s="96" t="s">
        <v>463</v>
      </c>
      <c r="P1076" s="96" t="s">
        <v>338</v>
      </c>
      <c r="Q1076" s="96" t="s">
        <v>1336</v>
      </c>
      <c r="R1076" s="96" t="s">
        <v>414</v>
      </c>
      <c r="S1076" s="96" t="s">
        <v>406</v>
      </c>
      <c r="T1076" s="96" t="s">
        <v>1200</v>
      </c>
      <c r="U1076" s="97">
        <v>3.54</v>
      </c>
      <c r="V1076" s="100">
        <v>47394</v>
      </c>
      <c r="W1076" s="98">
        <v>1.14E-2</v>
      </c>
      <c r="X1076" s="98">
        <v>3.15E-2</v>
      </c>
      <c r="Y1076" s="96" t="s">
        <v>411</v>
      </c>
      <c r="Z1076" s="96"/>
      <c r="AA1076" s="97">
        <v>79609.584501000005</v>
      </c>
      <c r="AB1076" s="97">
        <v>1</v>
      </c>
      <c r="AC1076" s="97">
        <v>105.17</v>
      </c>
      <c r="AD1076" s="97"/>
      <c r="AE1076" s="97">
        <v>83.725399999999993</v>
      </c>
      <c r="AF1076" s="96"/>
      <c r="AG1076" s="96"/>
      <c r="AH1076" s="96"/>
      <c r="AI1076" s="98">
        <v>3.3000000000000003E-5</v>
      </c>
      <c r="AJ1076" s="98">
        <v>1.3022000000000001E-2</v>
      </c>
      <c r="AK1076" s="98">
        <v>5.0210000000000003E-3</v>
      </c>
      <c r="AL1076" s="106"/>
    </row>
    <row r="1077" spans="1:38" ht="15" customHeight="1">
      <c r="A1077" s="106"/>
      <c r="B1077" s="96">
        <v>286</v>
      </c>
      <c r="C1077" s="96">
        <v>9803</v>
      </c>
      <c r="D1077" s="96" t="s">
        <v>1340</v>
      </c>
      <c r="E1077" s="96">
        <v>520036658</v>
      </c>
      <c r="F1077" s="96" t="s">
        <v>308</v>
      </c>
      <c r="G1077" s="96" t="s">
        <v>1626</v>
      </c>
      <c r="H1077" s="96" t="s">
        <v>1627</v>
      </c>
      <c r="I1077" s="96" t="s">
        <v>320</v>
      </c>
      <c r="J1077" s="96" t="s">
        <v>754</v>
      </c>
      <c r="K1077" s="96" t="s">
        <v>203</v>
      </c>
      <c r="L1077" s="96" t="s">
        <v>203</v>
      </c>
      <c r="M1077" s="96" t="s">
        <v>324</v>
      </c>
      <c r="N1077" s="96" t="s">
        <v>339</v>
      </c>
      <c r="O1077" s="96" t="s">
        <v>439</v>
      </c>
      <c r="P1077" s="96" t="s">
        <v>338</v>
      </c>
      <c r="Q1077" s="96" t="s">
        <v>1320</v>
      </c>
      <c r="R1077" s="96" t="s">
        <v>412</v>
      </c>
      <c r="S1077" s="96" t="s">
        <v>406</v>
      </c>
      <c r="T1077" s="96" t="s">
        <v>1200</v>
      </c>
      <c r="U1077" s="97">
        <v>0.73</v>
      </c>
      <c r="V1077" s="100">
        <v>45930</v>
      </c>
      <c r="W1077" s="98">
        <v>4.7E-2</v>
      </c>
      <c r="X1077" s="98">
        <v>7.8E-2</v>
      </c>
      <c r="Y1077" s="96" t="s">
        <v>411</v>
      </c>
      <c r="Z1077" s="96"/>
      <c r="AA1077" s="97">
        <v>19593.549319999998</v>
      </c>
      <c r="AB1077" s="97">
        <v>1</v>
      </c>
      <c r="AC1077" s="97">
        <v>102.06</v>
      </c>
      <c r="AD1077" s="97"/>
      <c r="AE1077" s="97">
        <v>19.997176</v>
      </c>
      <c r="AF1077" s="96"/>
      <c r="AG1077" s="96"/>
      <c r="AH1077" s="96"/>
      <c r="AI1077" s="98">
        <v>5.3000000000000001E-5</v>
      </c>
      <c r="AJ1077" s="98">
        <v>3.1099999999999999E-3</v>
      </c>
      <c r="AK1077" s="98">
        <v>1.199E-3</v>
      </c>
      <c r="AL1077" s="106"/>
    </row>
    <row r="1078" spans="1:38" ht="15" customHeight="1">
      <c r="A1078" s="106"/>
      <c r="B1078" s="96">
        <v>286</v>
      </c>
      <c r="C1078" s="96">
        <v>9803</v>
      </c>
      <c r="D1078" s="96" t="s">
        <v>1551</v>
      </c>
      <c r="E1078" s="96">
        <v>511659401</v>
      </c>
      <c r="F1078" s="96" t="s">
        <v>308</v>
      </c>
      <c r="G1078" s="96" t="s">
        <v>1552</v>
      </c>
      <c r="H1078" s="96" t="s">
        <v>1553</v>
      </c>
      <c r="I1078" s="96" t="s">
        <v>320</v>
      </c>
      <c r="J1078" s="96" t="s">
        <v>753</v>
      </c>
      <c r="K1078" s="96" t="s">
        <v>203</v>
      </c>
      <c r="L1078" s="96" t="s">
        <v>203</v>
      </c>
      <c r="M1078" s="96" t="s">
        <v>324</v>
      </c>
      <c r="N1078" s="96" t="s">
        <v>339</v>
      </c>
      <c r="O1078" s="96" t="s">
        <v>463</v>
      </c>
      <c r="P1078" s="96" t="s">
        <v>338</v>
      </c>
      <c r="Q1078" s="96" t="s">
        <v>1313</v>
      </c>
      <c r="R1078" s="96" t="s">
        <v>412</v>
      </c>
      <c r="S1078" s="96" t="s">
        <v>406</v>
      </c>
      <c r="T1078" s="96" t="s">
        <v>1200</v>
      </c>
      <c r="U1078" s="97">
        <v>5.13</v>
      </c>
      <c r="V1078" s="100">
        <v>49551</v>
      </c>
      <c r="W1078" s="98">
        <v>6.4999999999999997E-3</v>
      </c>
      <c r="X1078" s="98">
        <v>3.4000000000000002E-2</v>
      </c>
      <c r="Y1078" s="96" t="s">
        <v>411</v>
      </c>
      <c r="Z1078" s="96"/>
      <c r="AA1078" s="97">
        <v>746.50081499999999</v>
      </c>
      <c r="AB1078" s="97">
        <v>1</v>
      </c>
      <c r="AC1078" s="97">
        <v>98.12</v>
      </c>
      <c r="AD1078" s="97"/>
      <c r="AE1078" s="97">
        <v>0.73246599999999995</v>
      </c>
      <c r="AF1078" s="96"/>
      <c r="AG1078" s="96"/>
      <c r="AH1078" s="96"/>
      <c r="AI1078" s="98">
        <v>0</v>
      </c>
      <c r="AJ1078" s="98">
        <v>1.13E-4</v>
      </c>
      <c r="AK1078" s="98">
        <v>4.3000000000000002E-5</v>
      </c>
      <c r="AL1078" s="106"/>
    </row>
    <row r="1079" spans="1:38" ht="15" customHeight="1">
      <c r="A1079" s="106"/>
      <c r="B1079" s="96">
        <v>286</v>
      </c>
      <c r="C1079" s="96">
        <v>9803</v>
      </c>
      <c r="D1079" s="96" t="s">
        <v>1399</v>
      </c>
      <c r="E1079" s="96">
        <v>520032046</v>
      </c>
      <c r="F1079" s="96" t="s">
        <v>308</v>
      </c>
      <c r="G1079" s="96" t="s">
        <v>1400</v>
      </c>
      <c r="H1079" s="96" t="s">
        <v>1401</v>
      </c>
      <c r="I1079" s="96" t="s">
        <v>320</v>
      </c>
      <c r="J1079" s="96" t="s">
        <v>753</v>
      </c>
      <c r="K1079" s="96" t="s">
        <v>203</v>
      </c>
      <c r="L1079" s="96" t="s">
        <v>203</v>
      </c>
      <c r="M1079" s="96" t="s">
        <v>324</v>
      </c>
      <c r="N1079" s="96" t="s">
        <v>339</v>
      </c>
      <c r="O1079" s="96" t="s">
        <v>447</v>
      </c>
      <c r="P1079" s="96" t="s">
        <v>338</v>
      </c>
      <c r="Q1079" s="96" t="s">
        <v>1305</v>
      </c>
      <c r="R1079" s="96" t="s">
        <v>414</v>
      </c>
      <c r="S1079" s="96" t="s">
        <v>406</v>
      </c>
      <c r="T1079" s="96" t="s">
        <v>1200</v>
      </c>
      <c r="U1079" s="97">
        <v>0.48</v>
      </c>
      <c r="V1079" s="100">
        <v>45649</v>
      </c>
      <c r="W1079" s="98">
        <v>1.9E-2</v>
      </c>
      <c r="X1079" s="98">
        <v>4.4699999999999997E-2</v>
      </c>
      <c r="Y1079" s="96" t="s">
        <v>410</v>
      </c>
      <c r="Z1079" s="96"/>
      <c r="AA1079" s="97">
        <v>32452.492644999998</v>
      </c>
      <c r="AB1079" s="97">
        <v>1</v>
      </c>
      <c r="AC1079" s="97">
        <v>111.73</v>
      </c>
      <c r="AD1079" s="97"/>
      <c r="AE1079" s="97">
        <v>36.259169999999997</v>
      </c>
      <c r="AF1079" s="96"/>
      <c r="AG1079" s="96"/>
      <c r="AH1079" s="96"/>
      <c r="AI1079" s="98">
        <v>2.9E-5</v>
      </c>
      <c r="AJ1079" s="98">
        <v>5.6389999999999999E-3</v>
      </c>
      <c r="AK1079" s="98">
        <v>2.1740000000000002E-3</v>
      </c>
      <c r="AL1079" s="106"/>
    </row>
    <row r="1080" spans="1:38" ht="15" customHeight="1">
      <c r="A1080" s="106"/>
      <c r="B1080" s="96">
        <v>286</v>
      </c>
      <c r="C1080" s="96">
        <v>9803</v>
      </c>
      <c r="D1080" s="96" t="s">
        <v>1565</v>
      </c>
      <c r="E1080" s="96">
        <v>520033234</v>
      </c>
      <c r="F1080" s="96" t="s">
        <v>308</v>
      </c>
      <c r="G1080" s="96" t="s">
        <v>1857</v>
      </c>
      <c r="H1080" s="96" t="s">
        <v>1858</v>
      </c>
      <c r="I1080" s="96" t="s">
        <v>320</v>
      </c>
      <c r="J1080" s="96" t="s">
        <v>753</v>
      </c>
      <c r="K1080" s="96" t="s">
        <v>203</v>
      </c>
      <c r="L1080" s="96" t="s">
        <v>203</v>
      </c>
      <c r="M1080" s="96" t="s">
        <v>324</v>
      </c>
      <c r="N1080" s="96" t="s">
        <v>339</v>
      </c>
      <c r="O1080" s="96" t="s">
        <v>464</v>
      </c>
      <c r="P1080" s="96" t="s">
        <v>337</v>
      </c>
      <c r="Q1080" s="96" t="s">
        <v>1309</v>
      </c>
      <c r="R1080" s="96" t="s">
        <v>414</v>
      </c>
      <c r="S1080" s="96" t="s">
        <v>406</v>
      </c>
      <c r="T1080" s="96" t="s">
        <v>1200</v>
      </c>
      <c r="U1080" s="97">
        <v>0.25</v>
      </c>
      <c r="V1080" s="100">
        <v>45565</v>
      </c>
      <c r="W1080" s="98">
        <v>5.3499999999999999E-2</v>
      </c>
      <c r="X1080" s="98">
        <v>3.9E-2</v>
      </c>
      <c r="Y1080" s="96" t="s">
        <v>411</v>
      </c>
      <c r="Z1080" s="96"/>
      <c r="AA1080" s="97">
        <v>724.13077699999997</v>
      </c>
      <c r="AB1080" s="97">
        <v>1</v>
      </c>
      <c r="AC1080" s="97">
        <v>119.58</v>
      </c>
      <c r="AD1080" s="97"/>
      <c r="AE1080" s="97">
        <v>0.86591499999999999</v>
      </c>
      <c r="AF1080" s="96"/>
      <c r="AG1080" s="96"/>
      <c r="AH1080" s="96"/>
      <c r="AI1080" s="98">
        <v>1.9999999999999999E-6</v>
      </c>
      <c r="AJ1080" s="98">
        <v>1.34E-4</v>
      </c>
      <c r="AK1080" s="98">
        <v>5.1E-5</v>
      </c>
      <c r="AL1080" s="106"/>
    </row>
    <row r="1081" spans="1:38" ht="15" customHeight="1">
      <c r="A1081" s="106"/>
      <c r="B1081" s="96">
        <v>286</v>
      </c>
      <c r="C1081" s="96">
        <v>9803</v>
      </c>
      <c r="D1081" s="96" t="s">
        <v>1367</v>
      </c>
      <c r="E1081" s="96">
        <v>513141879</v>
      </c>
      <c r="F1081" s="96" t="s">
        <v>308</v>
      </c>
      <c r="G1081" s="96" t="s">
        <v>1368</v>
      </c>
      <c r="H1081" s="96" t="s">
        <v>1369</v>
      </c>
      <c r="I1081" s="96" t="s">
        <v>320</v>
      </c>
      <c r="J1081" s="96" t="s">
        <v>753</v>
      </c>
      <c r="K1081" s="96" t="s">
        <v>203</v>
      </c>
      <c r="L1081" s="96" t="s">
        <v>203</v>
      </c>
      <c r="M1081" s="96" t="s">
        <v>324</v>
      </c>
      <c r="N1081" s="96" t="s">
        <v>339</v>
      </c>
      <c r="O1081" s="96" t="s">
        <v>447</v>
      </c>
      <c r="P1081" s="96" t="s">
        <v>338</v>
      </c>
      <c r="Q1081" s="96" t="s">
        <v>1305</v>
      </c>
      <c r="R1081" s="96" t="s">
        <v>414</v>
      </c>
      <c r="S1081" s="96" t="s">
        <v>406</v>
      </c>
      <c r="T1081" s="96" t="s">
        <v>1200</v>
      </c>
      <c r="U1081" s="97">
        <v>3.68</v>
      </c>
      <c r="V1081" s="100">
        <v>46843</v>
      </c>
      <c r="W1081" s="98">
        <v>1.09E-2</v>
      </c>
      <c r="X1081" s="98">
        <v>3.3799999999999997E-2</v>
      </c>
      <c r="Y1081" s="96" t="s">
        <v>410</v>
      </c>
      <c r="Z1081" s="96"/>
      <c r="AA1081" s="97">
        <v>2652.8792790000002</v>
      </c>
      <c r="AB1081" s="97">
        <v>1</v>
      </c>
      <c r="AC1081" s="97">
        <v>101.16</v>
      </c>
      <c r="AD1081" s="97"/>
      <c r="AE1081" s="97">
        <v>2.6836519999999999</v>
      </c>
      <c r="AF1081" s="96"/>
      <c r="AG1081" s="96"/>
      <c r="AH1081" s="96"/>
      <c r="AI1081" s="98">
        <v>1.9999999999999999E-6</v>
      </c>
      <c r="AJ1081" s="98">
        <v>4.17E-4</v>
      </c>
      <c r="AK1081" s="98">
        <v>1.6000000000000001E-4</v>
      </c>
      <c r="AL1081" s="106"/>
    </row>
    <row r="1082" spans="1:38" ht="15" customHeight="1">
      <c r="A1082" s="106"/>
      <c r="B1082" s="96">
        <v>286</v>
      </c>
      <c r="C1082" s="96">
        <v>9803</v>
      </c>
      <c r="D1082" s="96" t="s">
        <v>1314</v>
      </c>
      <c r="E1082" s="96">
        <v>513754069</v>
      </c>
      <c r="F1082" s="96" t="s">
        <v>308</v>
      </c>
      <c r="G1082" s="96" t="s">
        <v>1494</v>
      </c>
      <c r="H1082" s="96" t="s">
        <v>1495</v>
      </c>
      <c r="I1082" s="96" t="s">
        <v>320</v>
      </c>
      <c r="J1082" s="96" t="s">
        <v>952</v>
      </c>
      <c r="K1082" s="96" t="s">
        <v>203</v>
      </c>
      <c r="L1082" s="96" t="s">
        <v>203</v>
      </c>
      <c r="M1082" s="96" t="s">
        <v>324</v>
      </c>
      <c r="N1082" s="96" t="s">
        <v>339</v>
      </c>
      <c r="O1082" s="96" t="s">
        <v>444</v>
      </c>
      <c r="P1082" s="96" t="s">
        <v>338</v>
      </c>
      <c r="Q1082" s="96" t="s">
        <v>1332</v>
      </c>
      <c r="R1082" s="96" t="s">
        <v>412</v>
      </c>
      <c r="S1082" s="96" t="s">
        <v>406</v>
      </c>
      <c r="T1082" s="96" t="s">
        <v>1200</v>
      </c>
      <c r="U1082" s="97">
        <v>5.29</v>
      </c>
      <c r="V1082" s="100">
        <v>47573</v>
      </c>
      <c r="W1082" s="98">
        <v>2.64E-2</v>
      </c>
      <c r="X1082" s="98">
        <v>5.8299999999999998E-2</v>
      </c>
      <c r="Y1082" s="96" t="s">
        <v>411</v>
      </c>
      <c r="Z1082" s="96"/>
      <c r="AA1082" s="97">
        <v>20088.597629</v>
      </c>
      <c r="AB1082" s="97">
        <v>1</v>
      </c>
      <c r="AC1082" s="97">
        <v>85.64</v>
      </c>
      <c r="AD1082" s="97"/>
      <c r="AE1082" s="97">
        <v>17.203875</v>
      </c>
      <c r="AF1082" s="96"/>
      <c r="AG1082" s="96"/>
      <c r="AH1082" s="96"/>
      <c r="AI1082" s="98">
        <v>1.2E-5</v>
      </c>
      <c r="AJ1082" s="98">
        <v>2.6749999999999999E-3</v>
      </c>
      <c r="AK1082" s="98">
        <v>1.031E-3</v>
      </c>
      <c r="AL1082" s="106"/>
    </row>
    <row r="1083" spans="1:38" ht="15" customHeight="1">
      <c r="A1083" s="106"/>
      <c r="B1083" s="96">
        <v>286</v>
      </c>
      <c r="C1083" s="96">
        <v>9803</v>
      </c>
      <c r="D1083" s="96" t="s">
        <v>1399</v>
      </c>
      <c r="E1083" s="96">
        <v>520032046</v>
      </c>
      <c r="F1083" s="96" t="s">
        <v>308</v>
      </c>
      <c r="G1083" s="96" t="s">
        <v>1878</v>
      </c>
      <c r="H1083" s="96" t="s">
        <v>1879</v>
      </c>
      <c r="I1083" s="96" t="s">
        <v>320</v>
      </c>
      <c r="J1083" s="96" t="s">
        <v>952</v>
      </c>
      <c r="K1083" s="96" t="s">
        <v>203</v>
      </c>
      <c r="L1083" s="96" t="s">
        <v>203</v>
      </c>
      <c r="M1083" s="96" t="s">
        <v>324</v>
      </c>
      <c r="N1083" s="96" t="s">
        <v>339</v>
      </c>
      <c r="O1083" s="96" t="s">
        <v>447</v>
      </c>
      <c r="P1083" s="96" t="s">
        <v>338</v>
      </c>
      <c r="Q1083" s="96" t="s">
        <v>1211</v>
      </c>
      <c r="R1083" s="96" t="s">
        <v>414</v>
      </c>
      <c r="S1083" s="96" t="s">
        <v>406</v>
      </c>
      <c r="T1083" s="96" t="s">
        <v>1200</v>
      </c>
      <c r="U1083" s="97">
        <v>0.94</v>
      </c>
      <c r="V1083" s="100">
        <v>45816</v>
      </c>
      <c r="W1083" s="98">
        <v>2.98E-2</v>
      </c>
      <c r="X1083" s="98">
        <v>4.4999999999999998E-2</v>
      </c>
      <c r="Y1083" s="96" t="s">
        <v>411</v>
      </c>
      <c r="Z1083" s="96"/>
      <c r="AA1083" s="97">
        <v>27046.741882999999</v>
      </c>
      <c r="AB1083" s="97">
        <v>1</v>
      </c>
      <c r="AC1083" s="97">
        <v>98.82</v>
      </c>
      <c r="AD1083" s="97"/>
      <c r="AE1083" s="97">
        <v>26.727589999999999</v>
      </c>
      <c r="AF1083" s="96"/>
      <c r="AG1083" s="96"/>
      <c r="AH1083" s="96"/>
      <c r="AI1083" s="98">
        <v>1.0000000000000001E-5</v>
      </c>
      <c r="AJ1083" s="98">
        <v>4.1570000000000001E-3</v>
      </c>
      <c r="AK1083" s="98">
        <v>1.6019999999999999E-3</v>
      </c>
      <c r="AL1083" s="106"/>
    </row>
    <row r="1084" spans="1:38" ht="15" customHeight="1">
      <c r="A1084" s="106"/>
      <c r="B1084" s="96">
        <v>286</v>
      </c>
      <c r="C1084" s="96">
        <v>9803</v>
      </c>
      <c r="D1084" s="96" t="s">
        <v>1699</v>
      </c>
      <c r="E1084" s="96">
        <v>511809071</v>
      </c>
      <c r="F1084" s="96" t="s">
        <v>308</v>
      </c>
      <c r="G1084" s="96" t="s">
        <v>1745</v>
      </c>
      <c r="H1084" s="96" t="s">
        <v>1746</v>
      </c>
      <c r="I1084" s="96" t="s">
        <v>320</v>
      </c>
      <c r="J1084" s="96" t="s">
        <v>753</v>
      </c>
      <c r="K1084" s="96" t="s">
        <v>203</v>
      </c>
      <c r="L1084" s="96" t="s">
        <v>203</v>
      </c>
      <c r="M1084" s="96" t="s">
        <v>324</v>
      </c>
      <c r="N1084" s="96" t="s">
        <v>339</v>
      </c>
      <c r="O1084" s="96" t="s">
        <v>461</v>
      </c>
      <c r="P1084" s="96" t="s">
        <v>338</v>
      </c>
      <c r="Q1084" s="96" t="s">
        <v>1332</v>
      </c>
      <c r="R1084" s="96" t="s">
        <v>412</v>
      </c>
      <c r="S1084" s="96" t="s">
        <v>406</v>
      </c>
      <c r="T1084" s="96" t="s">
        <v>1200</v>
      </c>
      <c r="U1084" s="97">
        <v>3.17</v>
      </c>
      <c r="V1084" s="100">
        <v>47889</v>
      </c>
      <c r="W1084" s="98">
        <v>2.1999999999999999E-2</v>
      </c>
      <c r="X1084" s="98">
        <v>3.1099999999999999E-2</v>
      </c>
      <c r="Y1084" s="96" t="s">
        <v>411</v>
      </c>
      <c r="Z1084" s="96"/>
      <c r="AA1084" s="97">
        <v>14767.247413999999</v>
      </c>
      <c r="AB1084" s="97">
        <v>1</v>
      </c>
      <c r="AC1084" s="97">
        <v>102.76</v>
      </c>
      <c r="AD1084" s="97"/>
      <c r="AE1084" s="97">
        <v>15.174823</v>
      </c>
      <c r="AF1084" s="96"/>
      <c r="AG1084" s="96"/>
      <c r="AH1084" s="96"/>
      <c r="AI1084" s="98">
        <v>4.1999999999999998E-5</v>
      </c>
      <c r="AJ1084" s="98">
        <v>2.3600000000000001E-3</v>
      </c>
      <c r="AK1084" s="98">
        <v>9.1E-4</v>
      </c>
      <c r="AL1084" s="106"/>
    </row>
    <row r="1085" spans="1:38" ht="15" customHeight="1">
      <c r="A1085" s="106"/>
      <c r="B1085" s="96">
        <v>286</v>
      </c>
      <c r="C1085" s="96">
        <v>9803</v>
      </c>
      <c r="D1085" s="96" t="s">
        <v>1432</v>
      </c>
      <c r="E1085" s="96">
        <v>515327120</v>
      </c>
      <c r="F1085" s="96" t="s">
        <v>308</v>
      </c>
      <c r="G1085" s="96" t="s">
        <v>1750</v>
      </c>
      <c r="H1085" s="96" t="s">
        <v>1666</v>
      </c>
      <c r="I1085" s="96" t="s">
        <v>320</v>
      </c>
      <c r="J1085" s="96" t="s">
        <v>753</v>
      </c>
      <c r="K1085" s="96" t="s">
        <v>203</v>
      </c>
      <c r="L1085" s="96" t="s">
        <v>203</v>
      </c>
      <c r="M1085" s="96" t="s">
        <v>324</v>
      </c>
      <c r="N1085" s="96" t="s">
        <v>339</v>
      </c>
      <c r="O1085" s="96" t="s">
        <v>463</v>
      </c>
      <c r="P1085" s="96" t="s">
        <v>337</v>
      </c>
      <c r="Q1085" s="96" t="s">
        <v>1305</v>
      </c>
      <c r="R1085" s="96" t="s">
        <v>414</v>
      </c>
      <c r="S1085" s="96" t="s">
        <v>406</v>
      </c>
      <c r="T1085" s="96" t="s">
        <v>1200</v>
      </c>
      <c r="U1085" s="97">
        <v>4.4400000000000004</v>
      </c>
      <c r="V1085" s="100">
        <v>47483</v>
      </c>
      <c r="W1085" s="98">
        <v>8.5000000000000006E-3</v>
      </c>
      <c r="X1085" s="98">
        <v>3.56E-2</v>
      </c>
      <c r="Y1085" s="96" t="s">
        <v>411</v>
      </c>
      <c r="Z1085" s="96"/>
      <c r="AA1085" s="97">
        <v>1265.309313</v>
      </c>
      <c r="AB1085" s="97">
        <v>1</v>
      </c>
      <c r="AC1085" s="97">
        <v>99.88</v>
      </c>
      <c r="AD1085" s="97"/>
      <c r="AE1085" s="97">
        <v>1.26379</v>
      </c>
      <c r="AF1085" s="96"/>
      <c r="AG1085" s="96"/>
      <c r="AH1085" s="96"/>
      <c r="AI1085" s="98">
        <v>9.9999999999999995E-7</v>
      </c>
      <c r="AJ1085" s="98">
        <v>1.9599999999999999E-4</v>
      </c>
      <c r="AK1085" s="98">
        <v>7.4999999999999993E-5</v>
      </c>
      <c r="AL1085" s="106"/>
    </row>
    <row r="1086" spans="1:38" ht="15" customHeight="1">
      <c r="A1086" s="106"/>
      <c r="B1086" s="96">
        <v>286</v>
      </c>
      <c r="C1086" s="96">
        <v>9803</v>
      </c>
      <c r="D1086" s="96" t="s">
        <v>1565</v>
      </c>
      <c r="E1086" s="96">
        <v>520033234</v>
      </c>
      <c r="F1086" s="96" t="s">
        <v>308</v>
      </c>
      <c r="G1086" s="96" t="s">
        <v>1916</v>
      </c>
      <c r="H1086" s="96" t="s">
        <v>1917</v>
      </c>
      <c r="I1086" s="96" t="s">
        <v>320</v>
      </c>
      <c r="J1086" s="96" t="s">
        <v>753</v>
      </c>
      <c r="K1086" s="96" t="s">
        <v>203</v>
      </c>
      <c r="L1086" s="96" t="s">
        <v>203</v>
      </c>
      <c r="M1086" s="96" t="s">
        <v>324</v>
      </c>
      <c r="N1086" s="96" t="s">
        <v>339</v>
      </c>
      <c r="O1086" s="96" t="s">
        <v>464</v>
      </c>
      <c r="P1086" s="96" t="s">
        <v>337</v>
      </c>
      <c r="Q1086" s="96" t="s">
        <v>1309</v>
      </c>
      <c r="R1086" s="96" t="s">
        <v>414</v>
      </c>
      <c r="S1086" s="96" t="s">
        <v>406</v>
      </c>
      <c r="T1086" s="96" t="s">
        <v>1200</v>
      </c>
      <c r="U1086" s="97">
        <v>5.93</v>
      </c>
      <c r="V1086" s="100">
        <v>48121</v>
      </c>
      <c r="W1086" s="98">
        <v>4.1500000000000002E-2</v>
      </c>
      <c r="X1086" s="98">
        <v>4.7600000000000003E-2</v>
      </c>
      <c r="Y1086" s="96" t="s">
        <v>411</v>
      </c>
      <c r="Z1086" s="96"/>
      <c r="AA1086" s="97">
        <v>19635.934606999999</v>
      </c>
      <c r="AB1086" s="97">
        <v>1</v>
      </c>
      <c r="AC1086" s="97">
        <v>99.32</v>
      </c>
      <c r="AD1086" s="97"/>
      <c r="AE1086" s="97">
        <v>19.502410000000001</v>
      </c>
      <c r="AF1086" s="96"/>
      <c r="AG1086" s="96"/>
      <c r="AH1086" s="96"/>
      <c r="AI1086" s="98">
        <v>3.8999999999999999E-5</v>
      </c>
      <c r="AJ1086" s="98">
        <v>3.0330000000000001E-3</v>
      </c>
      <c r="AK1086" s="98">
        <v>1.1689999999999999E-3</v>
      </c>
      <c r="AL1086" s="106"/>
    </row>
    <row r="1087" spans="1:38" ht="15" customHeight="1">
      <c r="A1087" s="106"/>
      <c r="B1087" s="96">
        <v>286</v>
      </c>
      <c r="C1087" s="96">
        <v>9803</v>
      </c>
      <c r="D1087" s="96" t="s">
        <v>1691</v>
      </c>
      <c r="E1087" s="96">
        <v>510706153</v>
      </c>
      <c r="F1087" s="96" t="s">
        <v>308</v>
      </c>
      <c r="G1087" s="96" t="s">
        <v>1692</v>
      </c>
      <c r="H1087" s="96" t="s">
        <v>1693</v>
      </c>
      <c r="I1087" s="96" t="s">
        <v>320</v>
      </c>
      <c r="J1087" s="96" t="s">
        <v>952</v>
      </c>
      <c r="K1087" s="96" t="s">
        <v>203</v>
      </c>
      <c r="L1087" s="96" t="s">
        <v>203</v>
      </c>
      <c r="M1087" s="96" t="s">
        <v>324</v>
      </c>
      <c r="N1087" s="96" t="s">
        <v>339</v>
      </c>
      <c r="O1087" s="96" t="s">
        <v>477</v>
      </c>
      <c r="P1087" s="96" t="s">
        <v>338</v>
      </c>
      <c r="Q1087" s="96" t="s">
        <v>1336</v>
      </c>
      <c r="R1087" s="96" t="s">
        <v>414</v>
      </c>
      <c r="S1087" s="96" t="s">
        <v>406</v>
      </c>
      <c r="T1087" s="96" t="s">
        <v>1200</v>
      </c>
      <c r="U1087" s="97">
        <v>2.75</v>
      </c>
      <c r="V1087" s="100">
        <v>46843</v>
      </c>
      <c r="W1087" s="98">
        <v>4.4499999999999998E-2</v>
      </c>
      <c r="X1087" s="98">
        <v>5.1499999999999997E-2</v>
      </c>
      <c r="Y1087" s="96" t="s">
        <v>411</v>
      </c>
      <c r="Z1087" s="96"/>
      <c r="AA1087" s="97">
        <v>19083.465129</v>
      </c>
      <c r="AB1087" s="97">
        <v>1</v>
      </c>
      <c r="AC1087" s="97">
        <v>99.43</v>
      </c>
      <c r="AD1087" s="97"/>
      <c r="AE1087" s="97">
        <v>18.974689000000001</v>
      </c>
      <c r="AF1087" s="96"/>
      <c r="AG1087" s="96"/>
      <c r="AH1087" s="96"/>
      <c r="AI1087" s="98">
        <v>6.7999999999999999E-5</v>
      </c>
      <c r="AJ1087" s="98">
        <v>2.9510000000000001E-3</v>
      </c>
      <c r="AK1087" s="98">
        <v>1.137E-3</v>
      </c>
      <c r="AL1087" s="106"/>
    </row>
    <row r="1088" spans="1:38" ht="15" customHeight="1">
      <c r="A1088" s="106"/>
      <c r="B1088" s="96">
        <v>286</v>
      </c>
      <c r="C1088" s="96">
        <v>9803</v>
      </c>
      <c r="D1088" s="96" t="s">
        <v>1197</v>
      </c>
      <c r="E1088" s="96">
        <v>520018078</v>
      </c>
      <c r="F1088" s="96" t="s">
        <v>308</v>
      </c>
      <c r="G1088" s="96" t="s">
        <v>1624</v>
      </c>
      <c r="H1088" s="96" t="s">
        <v>1625</v>
      </c>
      <c r="I1088" s="96" t="s">
        <v>320</v>
      </c>
      <c r="J1088" s="96" t="s">
        <v>952</v>
      </c>
      <c r="K1088" s="96" t="s">
        <v>203</v>
      </c>
      <c r="L1088" s="96" t="s">
        <v>203</v>
      </c>
      <c r="M1088" s="96" t="s">
        <v>324</v>
      </c>
      <c r="N1088" s="96" t="s">
        <v>339</v>
      </c>
      <c r="O1088" s="96" t="s">
        <v>447</v>
      </c>
      <c r="P1088" s="96" t="s">
        <v>338</v>
      </c>
      <c r="Q1088" s="96" t="s">
        <v>1211</v>
      </c>
      <c r="R1088" s="96" t="s">
        <v>414</v>
      </c>
      <c r="S1088" s="96" t="s">
        <v>406</v>
      </c>
      <c r="T1088" s="96" t="s">
        <v>1200</v>
      </c>
      <c r="U1088" s="97">
        <v>3.36</v>
      </c>
      <c r="V1088" s="100">
        <v>47608</v>
      </c>
      <c r="W1088" s="98">
        <v>2.76E-2</v>
      </c>
      <c r="X1088" s="98">
        <v>0.05</v>
      </c>
      <c r="Y1088" s="96" t="s">
        <v>411</v>
      </c>
      <c r="Z1088" s="96"/>
      <c r="AA1088" s="97">
        <v>23944.321489999998</v>
      </c>
      <c r="AB1088" s="97">
        <v>1</v>
      </c>
      <c r="AC1088" s="97">
        <v>93.41</v>
      </c>
      <c r="AD1088" s="97"/>
      <c r="AE1088" s="97">
        <v>22.366389999999999</v>
      </c>
      <c r="AF1088" s="96"/>
      <c r="AG1088" s="96"/>
      <c r="AH1088" s="96"/>
      <c r="AI1088" s="98">
        <v>1.7E-5</v>
      </c>
      <c r="AJ1088" s="98">
        <v>3.4780000000000002E-3</v>
      </c>
      <c r="AK1088" s="98">
        <v>1.341E-3</v>
      </c>
      <c r="AL1088" s="106"/>
    </row>
    <row r="1089" spans="1:38" ht="15" customHeight="1">
      <c r="A1089" s="106"/>
      <c r="B1089" s="96">
        <v>286</v>
      </c>
      <c r="C1089" s="96">
        <v>9803</v>
      </c>
      <c r="D1089" s="96" t="s">
        <v>1361</v>
      </c>
      <c r="E1089" s="96">
        <v>512764408</v>
      </c>
      <c r="F1089" s="96" t="s">
        <v>308</v>
      </c>
      <c r="G1089" s="96" t="s">
        <v>1715</v>
      </c>
      <c r="H1089" s="96" t="s">
        <v>1363</v>
      </c>
      <c r="I1089" s="96" t="s">
        <v>320</v>
      </c>
      <c r="J1089" s="96" t="s">
        <v>952</v>
      </c>
      <c r="K1089" s="96" t="s">
        <v>203</v>
      </c>
      <c r="L1089" s="96" t="s">
        <v>203</v>
      </c>
      <c r="M1089" s="96" t="s">
        <v>326</v>
      </c>
      <c r="N1089" s="96" t="s">
        <v>339</v>
      </c>
      <c r="O1089" s="96" t="s">
        <v>442</v>
      </c>
      <c r="P1089" s="96" t="s">
        <v>338</v>
      </c>
      <c r="Q1089" s="96" t="s">
        <v>1309</v>
      </c>
      <c r="R1089" s="96" t="s">
        <v>414</v>
      </c>
      <c r="S1089" s="96" t="s">
        <v>406</v>
      </c>
      <c r="T1089" s="96" t="s">
        <v>1200</v>
      </c>
      <c r="U1089" s="97">
        <v>1.19</v>
      </c>
      <c r="V1089" s="100">
        <v>46295</v>
      </c>
      <c r="W1089" s="98">
        <v>6.9000000000000006E-2</v>
      </c>
      <c r="X1089" s="98">
        <v>7.0499999999999993E-2</v>
      </c>
      <c r="Y1089" s="96" t="s">
        <v>411</v>
      </c>
      <c r="Z1089" s="96"/>
      <c r="AA1089" s="97">
        <v>632.65471400000001</v>
      </c>
      <c r="AB1089" s="97">
        <v>1</v>
      </c>
      <c r="AC1089" s="97">
        <v>101.87</v>
      </c>
      <c r="AD1089" s="97"/>
      <c r="AE1089" s="97">
        <v>0.64448499999999997</v>
      </c>
      <c r="AF1089" s="96"/>
      <c r="AG1089" s="96"/>
      <c r="AH1089" s="96"/>
      <c r="AI1089" s="98">
        <v>9.9999999999999995E-7</v>
      </c>
      <c r="AJ1089" s="98">
        <v>1E-4</v>
      </c>
      <c r="AK1089" s="98">
        <v>3.8000000000000002E-5</v>
      </c>
      <c r="AL1089" s="106"/>
    </row>
    <row r="1090" spans="1:38" ht="15" customHeight="1">
      <c r="A1090" s="106"/>
      <c r="B1090" s="96">
        <v>286</v>
      </c>
      <c r="C1090" s="96">
        <v>9803</v>
      </c>
      <c r="D1090" s="96" t="s">
        <v>1658</v>
      </c>
      <c r="E1090" s="96">
        <v>520038506</v>
      </c>
      <c r="F1090" s="96" t="s">
        <v>308</v>
      </c>
      <c r="G1090" s="96" t="s">
        <v>1763</v>
      </c>
      <c r="H1090" s="96" t="s">
        <v>1764</v>
      </c>
      <c r="I1090" s="96" t="s">
        <v>320</v>
      </c>
      <c r="J1090" s="96" t="s">
        <v>952</v>
      </c>
      <c r="K1090" s="96" t="s">
        <v>203</v>
      </c>
      <c r="L1090" s="96" t="s">
        <v>203</v>
      </c>
      <c r="M1090" s="96" t="s">
        <v>324</v>
      </c>
      <c r="N1090" s="96" t="s">
        <v>339</v>
      </c>
      <c r="O1090" s="96" t="s">
        <v>463</v>
      </c>
      <c r="P1090" s="96" t="s">
        <v>337</v>
      </c>
      <c r="Q1090" s="96" t="s">
        <v>1305</v>
      </c>
      <c r="R1090" s="96" t="s">
        <v>414</v>
      </c>
      <c r="S1090" s="96" t="s">
        <v>406</v>
      </c>
      <c r="T1090" s="96" t="s">
        <v>1200</v>
      </c>
      <c r="U1090" s="97">
        <v>6.47</v>
      </c>
      <c r="V1090" s="100">
        <v>50099</v>
      </c>
      <c r="W1090" s="98">
        <v>4.9399999999999999E-2</v>
      </c>
      <c r="X1090" s="98">
        <v>6.9400000000000003E-2</v>
      </c>
      <c r="Y1090" s="96" t="s">
        <v>411</v>
      </c>
      <c r="Z1090" s="96"/>
      <c r="AA1090" s="97">
        <v>30215.526626999999</v>
      </c>
      <c r="AB1090" s="97">
        <v>1</v>
      </c>
      <c r="AC1090" s="97">
        <v>89.76</v>
      </c>
      <c r="AD1090" s="97"/>
      <c r="AE1090" s="97">
        <v>27.121455999999998</v>
      </c>
      <c r="AF1090" s="96"/>
      <c r="AG1090" s="96"/>
      <c r="AH1090" s="96"/>
      <c r="AI1090" s="98">
        <v>3.3000000000000003E-5</v>
      </c>
      <c r="AJ1090" s="98">
        <v>4.2180000000000004E-3</v>
      </c>
      <c r="AK1090" s="98">
        <v>1.6260000000000001E-3</v>
      </c>
      <c r="AL1090" s="106"/>
    </row>
    <row r="1091" spans="1:38" ht="15" customHeight="1">
      <c r="A1091" s="106"/>
      <c r="B1091" s="96">
        <v>286</v>
      </c>
      <c r="C1091" s="96">
        <v>9803</v>
      </c>
      <c r="D1091" s="96" t="s">
        <v>1740</v>
      </c>
      <c r="E1091" s="96">
        <v>520042847</v>
      </c>
      <c r="F1091" s="96" t="s">
        <v>308</v>
      </c>
      <c r="G1091" s="96" t="s">
        <v>1741</v>
      </c>
      <c r="H1091" s="96" t="s">
        <v>1742</v>
      </c>
      <c r="I1091" s="96" t="s">
        <v>320</v>
      </c>
      <c r="J1091" s="96" t="s">
        <v>952</v>
      </c>
      <c r="K1091" s="96" t="s">
        <v>203</v>
      </c>
      <c r="L1091" s="96" t="s">
        <v>203</v>
      </c>
      <c r="M1091" s="96" t="s">
        <v>324</v>
      </c>
      <c r="N1091" s="96" t="s">
        <v>339</v>
      </c>
      <c r="O1091" s="96" t="s">
        <v>450</v>
      </c>
      <c r="P1091" s="96" t="s">
        <v>338</v>
      </c>
      <c r="Q1091" s="96" t="s">
        <v>1320</v>
      </c>
      <c r="R1091" s="96" t="s">
        <v>412</v>
      </c>
      <c r="S1091" s="96" t="s">
        <v>406</v>
      </c>
      <c r="T1091" s="96" t="s">
        <v>1200</v>
      </c>
      <c r="U1091" s="97">
        <v>1.32</v>
      </c>
      <c r="V1091" s="100">
        <v>46295</v>
      </c>
      <c r="W1091" s="98">
        <v>3.9E-2</v>
      </c>
      <c r="X1091" s="98">
        <v>5.5899999999999998E-2</v>
      </c>
      <c r="Y1091" s="96" t="s">
        <v>411</v>
      </c>
      <c r="Z1091" s="96"/>
      <c r="AA1091" s="97">
        <v>11860.072045999999</v>
      </c>
      <c r="AB1091" s="97">
        <v>1</v>
      </c>
      <c r="AC1091" s="97">
        <v>98.89</v>
      </c>
      <c r="AD1091" s="97"/>
      <c r="AE1091" s="97">
        <v>11.728425</v>
      </c>
      <c r="AF1091" s="96"/>
      <c r="AG1091" s="96"/>
      <c r="AH1091" s="96"/>
      <c r="AI1091" s="98">
        <v>1.5E-5</v>
      </c>
      <c r="AJ1091" s="98">
        <v>1.8240000000000001E-3</v>
      </c>
      <c r="AK1091" s="98">
        <v>7.0299999999999996E-4</v>
      </c>
      <c r="AL1091" s="106"/>
    </row>
    <row r="1092" spans="1:38" ht="15" customHeight="1">
      <c r="A1092" s="106"/>
      <c r="B1092" s="96">
        <v>286</v>
      </c>
      <c r="C1092" s="96">
        <v>9803</v>
      </c>
      <c r="D1092" s="96" t="s">
        <v>1440</v>
      </c>
      <c r="E1092" s="96">
        <v>513992529</v>
      </c>
      <c r="F1092" s="96" t="s">
        <v>308</v>
      </c>
      <c r="G1092" s="96" t="s">
        <v>1885</v>
      </c>
      <c r="H1092" s="96" t="s">
        <v>1886</v>
      </c>
      <c r="I1092" s="96" t="s">
        <v>320</v>
      </c>
      <c r="J1092" s="96" t="s">
        <v>753</v>
      </c>
      <c r="K1092" s="96" t="s">
        <v>203</v>
      </c>
      <c r="L1092" s="96" t="s">
        <v>203</v>
      </c>
      <c r="M1092" s="96" t="s">
        <v>324</v>
      </c>
      <c r="N1092" s="96" t="s">
        <v>339</v>
      </c>
      <c r="O1092" s="96" t="s">
        <v>463</v>
      </c>
      <c r="P1092" s="96" t="s">
        <v>338</v>
      </c>
      <c r="Q1092" s="96" t="s">
        <v>1305</v>
      </c>
      <c r="R1092" s="96" t="s">
        <v>414</v>
      </c>
      <c r="S1092" s="96" t="s">
        <v>406</v>
      </c>
      <c r="T1092" s="96" t="s">
        <v>1200</v>
      </c>
      <c r="U1092" s="97">
        <v>3.16</v>
      </c>
      <c r="V1092" s="100">
        <v>47221</v>
      </c>
      <c r="W1092" s="98">
        <v>1.9599999999999999E-2</v>
      </c>
      <c r="X1092" s="98">
        <v>2.9899999999999999E-2</v>
      </c>
      <c r="Y1092" s="96" t="s">
        <v>411</v>
      </c>
      <c r="Z1092" s="96"/>
      <c r="AA1092" s="97">
        <v>1868.713092</v>
      </c>
      <c r="AB1092" s="97">
        <v>1</v>
      </c>
      <c r="AC1092" s="97">
        <v>111.11</v>
      </c>
      <c r="AD1092" s="97"/>
      <c r="AE1092" s="97">
        <v>2.076327</v>
      </c>
      <c r="AF1092" s="96"/>
      <c r="AG1092" s="96"/>
      <c r="AH1092" s="96"/>
      <c r="AI1092" s="98">
        <v>9.9999999999999995E-7</v>
      </c>
      <c r="AJ1092" s="98">
        <v>3.2200000000000002E-4</v>
      </c>
      <c r="AK1092" s="98">
        <v>1.2400000000000001E-4</v>
      </c>
      <c r="AL1092" s="106"/>
    </row>
    <row r="1093" spans="1:38" ht="15" customHeight="1">
      <c r="A1093" s="106"/>
      <c r="B1093" s="96">
        <v>286</v>
      </c>
      <c r="C1093" s="96">
        <v>9803</v>
      </c>
      <c r="D1093" s="96" t="s">
        <v>1298</v>
      </c>
      <c r="E1093" s="96">
        <v>510960719</v>
      </c>
      <c r="F1093" s="96" t="s">
        <v>308</v>
      </c>
      <c r="G1093" s="96" t="s">
        <v>1833</v>
      </c>
      <c r="H1093" s="96" t="s">
        <v>1834</v>
      </c>
      <c r="I1093" s="96" t="s">
        <v>320</v>
      </c>
      <c r="J1093" s="96" t="s">
        <v>753</v>
      </c>
      <c r="K1093" s="96" t="s">
        <v>203</v>
      </c>
      <c r="L1093" s="96" t="s">
        <v>203</v>
      </c>
      <c r="M1093" s="96" t="s">
        <v>324</v>
      </c>
      <c r="N1093" s="96" t="s">
        <v>339</v>
      </c>
      <c r="O1093" s="96" t="s">
        <v>463</v>
      </c>
      <c r="P1093" s="96" t="s">
        <v>338</v>
      </c>
      <c r="Q1093" s="96" t="s">
        <v>1301</v>
      </c>
      <c r="R1093" s="96" t="s">
        <v>414</v>
      </c>
      <c r="S1093" s="96" t="s">
        <v>406</v>
      </c>
      <c r="T1093" s="96" t="s">
        <v>1200</v>
      </c>
      <c r="U1093" s="97">
        <v>2.8</v>
      </c>
      <c r="V1093" s="100">
        <v>46934</v>
      </c>
      <c r="W1093" s="98">
        <v>1.77E-2</v>
      </c>
      <c r="X1093" s="98">
        <v>2.6700000000000002E-2</v>
      </c>
      <c r="Y1093" s="96" t="s">
        <v>411</v>
      </c>
      <c r="Z1093" s="96"/>
      <c r="AA1093" s="97">
        <v>84294.609524</v>
      </c>
      <c r="AB1093" s="97">
        <v>1</v>
      </c>
      <c r="AC1093" s="97">
        <v>110.8</v>
      </c>
      <c r="AD1093" s="97"/>
      <c r="AE1093" s="97">
        <v>93.398426999999998</v>
      </c>
      <c r="AF1093" s="96"/>
      <c r="AG1093" s="96"/>
      <c r="AH1093" s="96"/>
      <c r="AI1093" s="98">
        <v>3.1999999999999999E-5</v>
      </c>
      <c r="AJ1093" s="98">
        <v>1.4526000000000001E-2</v>
      </c>
      <c r="AK1093" s="98">
        <v>5.6010000000000001E-3</v>
      </c>
      <c r="AL1093" s="106"/>
    </row>
    <row r="1094" spans="1:38" ht="15" customHeight="1">
      <c r="A1094" s="106"/>
      <c r="B1094" s="96">
        <v>286</v>
      </c>
      <c r="C1094" s="96">
        <v>9803</v>
      </c>
      <c r="D1094" s="96" t="s">
        <v>1382</v>
      </c>
      <c r="E1094" s="96">
        <v>520036690</v>
      </c>
      <c r="F1094" s="96" t="s">
        <v>308</v>
      </c>
      <c r="G1094" s="96" t="s">
        <v>1383</v>
      </c>
      <c r="H1094" s="96" t="s">
        <v>1384</v>
      </c>
      <c r="I1094" s="96" t="s">
        <v>320</v>
      </c>
      <c r="J1094" s="96" t="s">
        <v>952</v>
      </c>
      <c r="K1094" s="96" t="s">
        <v>203</v>
      </c>
      <c r="L1094" s="96" t="s">
        <v>203</v>
      </c>
      <c r="M1094" s="96" t="s">
        <v>324</v>
      </c>
      <c r="N1094" s="96" t="s">
        <v>339</v>
      </c>
      <c r="O1094" s="96" t="s">
        <v>475</v>
      </c>
      <c r="P1094" s="96" t="s">
        <v>337</v>
      </c>
      <c r="Q1094" s="96" t="s">
        <v>1305</v>
      </c>
      <c r="R1094" s="96" t="s">
        <v>414</v>
      </c>
      <c r="S1094" s="96" t="s">
        <v>406</v>
      </c>
      <c r="T1094" s="96" t="s">
        <v>1200</v>
      </c>
      <c r="U1094" s="97">
        <v>1.58</v>
      </c>
      <c r="V1094" s="100">
        <v>46357</v>
      </c>
      <c r="W1094" s="98">
        <v>2.29E-2</v>
      </c>
      <c r="X1094" s="98">
        <v>4.9099999999999998E-2</v>
      </c>
      <c r="Y1094" s="96" t="s">
        <v>411</v>
      </c>
      <c r="Z1094" s="96"/>
      <c r="AA1094" s="97">
        <v>5561.9963449999996</v>
      </c>
      <c r="AB1094" s="97">
        <v>1</v>
      </c>
      <c r="AC1094" s="97">
        <v>96.26</v>
      </c>
      <c r="AD1094" s="97"/>
      <c r="AE1094" s="97">
        <v>5.3539770000000004</v>
      </c>
      <c r="AF1094" s="96"/>
      <c r="AG1094" s="96"/>
      <c r="AH1094" s="96"/>
      <c r="AI1094" s="98">
        <v>1.2999999999999999E-5</v>
      </c>
      <c r="AJ1094" s="98">
        <v>8.3199999999999995E-4</v>
      </c>
      <c r="AK1094" s="98">
        <v>3.21E-4</v>
      </c>
      <c r="AL1094" s="106"/>
    </row>
    <row r="1095" spans="1:38" ht="15" customHeight="1">
      <c r="A1095" s="106"/>
      <c r="B1095" s="96">
        <v>286</v>
      </c>
      <c r="C1095" s="96">
        <v>9803</v>
      </c>
      <c r="D1095" s="96" t="s">
        <v>1406</v>
      </c>
      <c r="E1095" s="96">
        <v>520025586</v>
      </c>
      <c r="F1095" s="96" t="s">
        <v>308</v>
      </c>
      <c r="G1095" s="96" t="s">
        <v>2009</v>
      </c>
      <c r="H1095" s="96" t="s">
        <v>2010</v>
      </c>
      <c r="I1095" s="96" t="s">
        <v>320</v>
      </c>
      <c r="J1095" s="96" t="s">
        <v>952</v>
      </c>
      <c r="K1095" s="96" t="s">
        <v>203</v>
      </c>
      <c r="L1095" s="96" t="s">
        <v>203</v>
      </c>
      <c r="M1095" s="96" t="s">
        <v>324</v>
      </c>
      <c r="N1095" s="96" t="s">
        <v>339</v>
      </c>
      <c r="O1095" s="96" t="s">
        <v>450</v>
      </c>
      <c r="P1095" s="96" t="s">
        <v>338</v>
      </c>
      <c r="Q1095" s="96" t="s">
        <v>409</v>
      </c>
      <c r="R1095" s="96" t="s">
        <v>409</v>
      </c>
      <c r="S1095" s="96" t="s">
        <v>409</v>
      </c>
      <c r="T1095" s="96" t="s">
        <v>1200</v>
      </c>
      <c r="U1095" s="97">
        <v>6.34</v>
      </c>
      <c r="V1095" s="100">
        <v>49490</v>
      </c>
      <c r="W1095" s="98">
        <v>7.5999999999999998E-2</v>
      </c>
      <c r="X1095" s="98">
        <v>7.5700000000000003E-2</v>
      </c>
      <c r="Y1095" s="96" t="s">
        <v>411</v>
      </c>
      <c r="Z1095" s="96"/>
      <c r="AA1095" s="97">
        <v>4580.8430330000001</v>
      </c>
      <c r="AB1095" s="97">
        <v>1</v>
      </c>
      <c r="AC1095" s="97">
        <v>102.6</v>
      </c>
      <c r="AD1095" s="97"/>
      <c r="AE1095" s="97">
        <v>4.6999440000000003</v>
      </c>
      <c r="AF1095" s="96"/>
      <c r="AG1095" s="96"/>
      <c r="AH1095" s="96"/>
      <c r="AI1095" s="98">
        <v>3.8000000000000002E-5</v>
      </c>
      <c r="AJ1095" s="98">
        <v>7.3099999999999999E-4</v>
      </c>
      <c r="AK1095" s="98">
        <v>2.81E-4</v>
      </c>
      <c r="AL1095" s="106"/>
    </row>
    <row r="1096" spans="1:38" ht="15" customHeight="1">
      <c r="A1096" s="106"/>
      <c r="B1096" s="96">
        <v>286</v>
      </c>
      <c r="C1096" s="96">
        <v>9803</v>
      </c>
      <c r="D1096" s="96" t="s">
        <v>1411</v>
      </c>
      <c r="E1096" s="96">
        <v>512025891</v>
      </c>
      <c r="F1096" s="96" t="s">
        <v>308</v>
      </c>
      <c r="G1096" s="96" t="s">
        <v>1779</v>
      </c>
      <c r="H1096" s="96" t="s">
        <v>1780</v>
      </c>
      <c r="I1096" s="96" t="s">
        <v>320</v>
      </c>
      <c r="J1096" s="96" t="s">
        <v>952</v>
      </c>
      <c r="K1096" s="96" t="s">
        <v>203</v>
      </c>
      <c r="L1096" s="96" t="s">
        <v>203</v>
      </c>
      <c r="M1096" s="96" t="s">
        <v>324</v>
      </c>
      <c r="N1096" s="96" t="s">
        <v>339</v>
      </c>
      <c r="O1096" s="96" t="s">
        <v>476</v>
      </c>
      <c r="P1096" s="96" t="s">
        <v>338</v>
      </c>
      <c r="Q1096" s="96" t="s">
        <v>1320</v>
      </c>
      <c r="R1096" s="96" t="s">
        <v>412</v>
      </c>
      <c r="S1096" s="96" t="s">
        <v>406</v>
      </c>
      <c r="T1096" s="96" t="s">
        <v>1200</v>
      </c>
      <c r="U1096" s="97">
        <v>1.95</v>
      </c>
      <c r="V1096" s="100">
        <v>46924</v>
      </c>
      <c r="W1096" s="98">
        <v>5.7000000000000002E-2</v>
      </c>
      <c r="X1096" s="98">
        <v>5.8500000000000003E-2</v>
      </c>
      <c r="Y1096" s="96" t="s">
        <v>411</v>
      </c>
      <c r="Z1096" s="96"/>
      <c r="AA1096" s="97">
        <v>21436.186644000001</v>
      </c>
      <c r="AB1096" s="97">
        <v>1</v>
      </c>
      <c r="AC1096" s="97">
        <v>100.12</v>
      </c>
      <c r="AD1096" s="97"/>
      <c r="AE1096" s="97">
        <v>21.46191</v>
      </c>
      <c r="AF1096" s="96"/>
      <c r="AG1096" s="96"/>
      <c r="AH1096" s="96"/>
      <c r="AI1096" s="98">
        <v>3.1000000000000001E-5</v>
      </c>
      <c r="AJ1096" s="98">
        <v>3.3379999999999998E-3</v>
      </c>
      <c r="AK1096" s="98">
        <v>1.2869999999999999E-3</v>
      </c>
      <c r="AL1096" s="106"/>
    </row>
    <row r="1097" spans="1:38" ht="15" customHeight="1">
      <c r="A1097" s="106"/>
      <c r="B1097" s="96">
        <v>286</v>
      </c>
      <c r="C1097" s="96">
        <v>9803</v>
      </c>
      <c r="D1097" s="96" t="s">
        <v>1427</v>
      </c>
      <c r="E1097" s="96">
        <v>520031931</v>
      </c>
      <c r="F1097" s="96" t="s">
        <v>308</v>
      </c>
      <c r="G1097" s="96" t="s">
        <v>1457</v>
      </c>
      <c r="H1097" s="96" t="s">
        <v>1458</v>
      </c>
      <c r="I1097" s="96" t="s">
        <v>320</v>
      </c>
      <c r="J1097" s="96" t="s">
        <v>952</v>
      </c>
      <c r="K1097" s="96" t="s">
        <v>203</v>
      </c>
      <c r="L1097" s="96" t="s">
        <v>203</v>
      </c>
      <c r="M1097" s="96" t="s">
        <v>324</v>
      </c>
      <c r="N1097" s="96" t="s">
        <v>339</v>
      </c>
      <c r="O1097" s="96" t="s">
        <v>483</v>
      </c>
      <c r="P1097" s="96" t="s">
        <v>338</v>
      </c>
      <c r="Q1097" s="96" t="s">
        <v>1336</v>
      </c>
      <c r="R1097" s="96" t="s">
        <v>414</v>
      </c>
      <c r="S1097" s="96" t="s">
        <v>406</v>
      </c>
      <c r="T1097" s="96" t="s">
        <v>1200</v>
      </c>
      <c r="U1097" s="97">
        <v>0.9</v>
      </c>
      <c r="V1097" s="100">
        <v>45992</v>
      </c>
      <c r="W1097" s="98">
        <v>3.6499999999999998E-2</v>
      </c>
      <c r="X1097" s="98">
        <v>4.87E-2</v>
      </c>
      <c r="Y1097" s="96" t="s">
        <v>411</v>
      </c>
      <c r="Z1097" s="96"/>
      <c r="AA1097" s="97">
        <v>9518.7961400000004</v>
      </c>
      <c r="AB1097" s="97">
        <v>1</v>
      </c>
      <c r="AC1097" s="97">
        <v>99.27</v>
      </c>
      <c r="AD1097" s="97"/>
      <c r="AE1097" s="97">
        <v>9.4493080000000003</v>
      </c>
      <c r="AF1097" s="96"/>
      <c r="AG1097" s="96"/>
      <c r="AH1097" s="96"/>
      <c r="AI1097" s="98">
        <v>7.9999999999999996E-6</v>
      </c>
      <c r="AJ1097" s="98">
        <v>1.469E-3</v>
      </c>
      <c r="AK1097" s="98">
        <v>5.6599999999999999E-4</v>
      </c>
      <c r="AL1097" s="106"/>
    </row>
    <row r="1098" spans="1:38" ht="15" customHeight="1">
      <c r="A1098" s="106"/>
      <c r="B1098" s="96">
        <v>286</v>
      </c>
      <c r="C1098" s="96">
        <v>9803</v>
      </c>
      <c r="D1098" s="96" t="s">
        <v>1302</v>
      </c>
      <c r="E1098" s="96">
        <v>513623314</v>
      </c>
      <c r="F1098" s="96" t="s">
        <v>308</v>
      </c>
      <c r="G1098" s="96" t="s">
        <v>1303</v>
      </c>
      <c r="H1098" s="96" t="s">
        <v>1304</v>
      </c>
      <c r="I1098" s="96" t="s">
        <v>320</v>
      </c>
      <c r="J1098" s="96" t="s">
        <v>753</v>
      </c>
      <c r="K1098" s="96" t="s">
        <v>203</v>
      </c>
      <c r="L1098" s="96" t="s">
        <v>203</v>
      </c>
      <c r="M1098" s="96" t="s">
        <v>324</v>
      </c>
      <c r="N1098" s="96" t="s">
        <v>339</v>
      </c>
      <c r="O1098" s="96" t="s">
        <v>463</v>
      </c>
      <c r="P1098" s="96" t="s">
        <v>337</v>
      </c>
      <c r="Q1098" s="96" t="s">
        <v>1305</v>
      </c>
      <c r="R1098" s="96" t="s">
        <v>414</v>
      </c>
      <c r="S1098" s="96" t="s">
        <v>406</v>
      </c>
      <c r="T1098" s="96" t="s">
        <v>1200</v>
      </c>
      <c r="U1098" s="97">
        <v>4.45</v>
      </c>
      <c r="V1098" s="100">
        <v>47937</v>
      </c>
      <c r="W1098" s="98">
        <v>1.3299999999999999E-2</v>
      </c>
      <c r="X1098" s="98">
        <v>3.5499999999999997E-2</v>
      </c>
      <c r="Y1098" s="96" t="s">
        <v>411</v>
      </c>
      <c r="Z1098" s="96"/>
      <c r="AA1098" s="97">
        <v>1218.7293709999999</v>
      </c>
      <c r="AB1098" s="97">
        <v>1</v>
      </c>
      <c r="AC1098" s="97">
        <v>103.22</v>
      </c>
      <c r="AD1098" s="97"/>
      <c r="AE1098" s="97">
        <v>1.2579720000000001</v>
      </c>
      <c r="AF1098" s="96"/>
      <c r="AG1098" s="96"/>
      <c r="AH1098" s="96"/>
      <c r="AI1098" s="98">
        <v>9.9999999999999995E-7</v>
      </c>
      <c r="AJ1098" s="98">
        <v>1.95E-4</v>
      </c>
      <c r="AK1098" s="98">
        <v>7.4999999999999993E-5</v>
      </c>
      <c r="AL1098" s="106"/>
    </row>
    <row r="1099" spans="1:38" ht="15" customHeight="1">
      <c r="A1099" s="106"/>
      <c r="B1099" s="96">
        <v>286</v>
      </c>
      <c r="C1099" s="96">
        <v>9803</v>
      </c>
      <c r="D1099" s="96" t="s">
        <v>1707</v>
      </c>
      <c r="E1099" s="96">
        <v>512096793</v>
      </c>
      <c r="F1099" s="96" t="s">
        <v>308</v>
      </c>
      <c r="G1099" s="96" t="s">
        <v>1904</v>
      </c>
      <c r="H1099" s="96" t="s">
        <v>1905</v>
      </c>
      <c r="I1099" s="96" t="s">
        <v>320</v>
      </c>
      <c r="J1099" s="96" t="s">
        <v>753</v>
      </c>
      <c r="K1099" s="96" t="s">
        <v>203</v>
      </c>
      <c r="L1099" s="96" t="s">
        <v>203</v>
      </c>
      <c r="M1099" s="96" t="s">
        <v>324</v>
      </c>
      <c r="N1099" s="96" t="s">
        <v>339</v>
      </c>
      <c r="O1099" s="96" t="s">
        <v>463</v>
      </c>
      <c r="P1099" s="96" t="s">
        <v>338</v>
      </c>
      <c r="Q1099" s="96" t="s">
        <v>1520</v>
      </c>
      <c r="R1099" s="96" t="s">
        <v>414</v>
      </c>
      <c r="S1099" s="96" t="s">
        <v>406</v>
      </c>
      <c r="T1099" s="96" t="s">
        <v>1200</v>
      </c>
      <c r="U1099" s="97">
        <v>3.78</v>
      </c>
      <c r="V1099" s="100">
        <v>47483</v>
      </c>
      <c r="W1099" s="98">
        <v>2.8899999999999999E-2</v>
      </c>
      <c r="X1099" s="98">
        <v>3.5000000000000003E-2</v>
      </c>
      <c r="Y1099" s="96" t="s">
        <v>411</v>
      </c>
      <c r="Z1099" s="96"/>
      <c r="AA1099" s="97">
        <v>4080.4783080000002</v>
      </c>
      <c r="AB1099" s="97">
        <v>1</v>
      </c>
      <c r="AC1099" s="97">
        <v>102.78</v>
      </c>
      <c r="AD1099" s="97"/>
      <c r="AE1099" s="97">
        <v>4.1939149999999996</v>
      </c>
      <c r="AF1099" s="96"/>
      <c r="AG1099" s="96"/>
      <c r="AH1099" s="96"/>
      <c r="AI1099" s="98">
        <v>1.2999999999999999E-5</v>
      </c>
      <c r="AJ1099" s="98">
        <v>6.5200000000000002E-4</v>
      </c>
      <c r="AK1099" s="98">
        <v>2.5099999999999998E-4</v>
      </c>
      <c r="AL1099" s="106"/>
    </row>
    <row r="1100" spans="1:38" ht="15" customHeight="1">
      <c r="A1100" s="106"/>
      <c r="B1100" s="96">
        <v>286</v>
      </c>
      <c r="C1100" s="96">
        <v>9803</v>
      </c>
      <c r="D1100" s="96" t="s">
        <v>1929</v>
      </c>
      <c r="E1100" s="96">
        <v>520044314</v>
      </c>
      <c r="F1100" s="96" t="s">
        <v>308</v>
      </c>
      <c r="G1100" s="96" t="s">
        <v>1970</v>
      </c>
      <c r="H1100" s="96" t="s">
        <v>1971</v>
      </c>
      <c r="I1100" s="96" t="s">
        <v>320</v>
      </c>
      <c r="J1100" s="96" t="s">
        <v>952</v>
      </c>
      <c r="K1100" s="96" t="s">
        <v>203</v>
      </c>
      <c r="L1100" s="96" t="s">
        <v>203</v>
      </c>
      <c r="M1100" s="96" t="s">
        <v>324</v>
      </c>
      <c r="N1100" s="96" t="s">
        <v>339</v>
      </c>
      <c r="O1100" s="96" t="s">
        <v>483</v>
      </c>
      <c r="P1100" s="96" t="s">
        <v>337</v>
      </c>
      <c r="Q1100" s="96" t="s">
        <v>1332</v>
      </c>
      <c r="R1100" s="96" t="s">
        <v>412</v>
      </c>
      <c r="S1100" s="96" t="s">
        <v>406</v>
      </c>
      <c r="T1100" s="96" t="s">
        <v>1200</v>
      </c>
      <c r="U1100" s="97">
        <v>2.33</v>
      </c>
      <c r="V1100" s="100">
        <v>46563</v>
      </c>
      <c r="W1100" s="98">
        <v>0.04</v>
      </c>
      <c r="X1100" s="98">
        <v>5.28E-2</v>
      </c>
      <c r="Y1100" s="96" t="s">
        <v>411</v>
      </c>
      <c r="Z1100" s="96"/>
      <c r="AA1100" s="97">
        <v>16357.263572</v>
      </c>
      <c r="AB1100" s="97">
        <v>1</v>
      </c>
      <c r="AC1100" s="97">
        <v>97.24</v>
      </c>
      <c r="AD1100" s="97"/>
      <c r="AE1100" s="97">
        <v>15.905803000000001</v>
      </c>
      <c r="AF1100" s="96"/>
      <c r="AG1100" s="96"/>
      <c r="AH1100" s="96"/>
      <c r="AI1100" s="98">
        <v>2.6999999999999999E-5</v>
      </c>
      <c r="AJ1100" s="98">
        <v>2.4729999999999999E-3</v>
      </c>
      <c r="AK1100" s="98">
        <v>9.5299999999999996E-4</v>
      </c>
      <c r="AL1100" s="106"/>
    </row>
    <row r="1101" spans="1:38" ht="15" customHeight="1">
      <c r="A1101" s="106"/>
      <c r="B1101" s="96">
        <v>286</v>
      </c>
      <c r="C1101" s="96">
        <v>9803</v>
      </c>
      <c r="D1101" s="96" t="s">
        <v>1385</v>
      </c>
      <c r="E1101" s="96">
        <v>520017807</v>
      </c>
      <c r="F1101" s="96" t="s">
        <v>308</v>
      </c>
      <c r="G1101" s="96" t="s">
        <v>1716</v>
      </c>
      <c r="H1101" s="96" t="s">
        <v>1717</v>
      </c>
      <c r="I1101" s="96" t="s">
        <v>320</v>
      </c>
      <c r="J1101" s="96" t="s">
        <v>753</v>
      </c>
      <c r="K1101" s="96" t="s">
        <v>203</v>
      </c>
      <c r="L1101" s="96" t="s">
        <v>203</v>
      </c>
      <c r="M1101" s="96" t="s">
        <v>324</v>
      </c>
      <c r="N1101" s="96" t="s">
        <v>339</v>
      </c>
      <c r="O1101" s="96" t="s">
        <v>463</v>
      </c>
      <c r="P1101" s="96" t="s">
        <v>337</v>
      </c>
      <c r="Q1101" s="96" t="s">
        <v>1305</v>
      </c>
      <c r="R1101" s="96" t="s">
        <v>414</v>
      </c>
      <c r="S1101" s="96" t="s">
        <v>406</v>
      </c>
      <c r="T1101" s="96" t="s">
        <v>1200</v>
      </c>
      <c r="U1101" s="97">
        <v>5.98</v>
      </c>
      <c r="V1101" s="100">
        <v>49765</v>
      </c>
      <c r="W1101" s="98">
        <v>1.4999999999999999E-2</v>
      </c>
      <c r="X1101" s="98">
        <v>3.6600000000000001E-2</v>
      </c>
      <c r="Y1101" s="96" t="s">
        <v>411</v>
      </c>
      <c r="Z1101" s="96"/>
      <c r="AA1101" s="97">
        <v>891.05602899999997</v>
      </c>
      <c r="AB1101" s="97">
        <v>1</v>
      </c>
      <c r="AC1101" s="97">
        <v>96.78</v>
      </c>
      <c r="AD1101" s="97"/>
      <c r="AE1101" s="97">
        <v>0.86236400000000002</v>
      </c>
      <c r="AF1101" s="96"/>
      <c r="AG1101" s="96"/>
      <c r="AH1101" s="96"/>
      <c r="AI1101" s="98">
        <v>3.0000000000000001E-6</v>
      </c>
      <c r="AJ1101" s="98">
        <v>1.34E-4</v>
      </c>
      <c r="AK1101" s="98">
        <v>5.1E-5</v>
      </c>
      <c r="AL1101" s="106"/>
    </row>
    <row r="1102" spans="1:38" ht="15" customHeight="1">
      <c r="A1102" s="106"/>
      <c r="B1102" s="96">
        <v>286</v>
      </c>
      <c r="C1102" s="96">
        <v>9803</v>
      </c>
      <c r="D1102" s="96" t="s">
        <v>1354</v>
      </c>
      <c r="E1102" s="96">
        <v>513893123</v>
      </c>
      <c r="F1102" s="96" t="s">
        <v>308</v>
      </c>
      <c r="G1102" s="96" t="s">
        <v>1523</v>
      </c>
      <c r="H1102" s="96" t="s">
        <v>1396</v>
      </c>
      <c r="I1102" s="96" t="s">
        <v>320</v>
      </c>
      <c r="J1102" s="96" t="s">
        <v>753</v>
      </c>
      <c r="K1102" s="96" t="s">
        <v>203</v>
      </c>
      <c r="L1102" s="96" t="s">
        <v>203</v>
      </c>
      <c r="M1102" s="96" t="s">
        <v>326</v>
      </c>
      <c r="N1102" s="96" t="s">
        <v>339</v>
      </c>
      <c r="O1102" s="96" t="s">
        <v>442</v>
      </c>
      <c r="P1102" s="96" t="s">
        <v>338</v>
      </c>
      <c r="Q1102" s="96" t="s">
        <v>1357</v>
      </c>
      <c r="R1102" s="96" t="s">
        <v>414</v>
      </c>
      <c r="S1102" s="96" t="s">
        <v>406</v>
      </c>
      <c r="T1102" s="96" t="s">
        <v>1200</v>
      </c>
      <c r="U1102" s="97">
        <v>3.22</v>
      </c>
      <c r="V1102" s="100">
        <v>48060</v>
      </c>
      <c r="W1102" s="98">
        <v>0.01</v>
      </c>
      <c r="X1102" s="98">
        <v>3.6200000000000003E-2</v>
      </c>
      <c r="Y1102" s="96" t="s">
        <v>411</v>
      </c>
      <c r="Z1102" s="96"/>
      <c r="AA1102" s="97">
        <v>1344.391318</v>
      </c>
      <c r="AB1102" s="97">
        <v>1</v>
      </c>
      <c r="AC1102" s="97">
        <v>102.3857</v>
      </c>
      <c r="AD1102" s="97"/>
      <c r="AE1102" s="97">
        <v>1.3764639999999999</v>
      </c>
      <c r="AF1102" s="96"/>
      <c r="AG1102" s="96"/>
      <c r="AH1102" s="96"/>
      <c r="AI1102" s="98">
        <v>0</v>
      </c>
      <c r="AJ1102" s="98">
        <v>2.14E-4</v>
      </c>
      <c r="AK1102" s="98">
        <v>8.2000000000000001E-5</v>
      </c>
      <c r="AL1102" s="106"/>
    </row>
    <row r="1103" spans="1:38" ht="15" customHeight="1">
      <c r="A1103" s="106"/>
      <c r="B1103" s="96">
        <v>286</v>
      </c>
      <c r="C1103" s="96">
        <v>9803</v>
      </c>
      <c r="D1103" s="96" t="s">
        <v>1704</v>
      </c>
      <c r="E1103" s="96">
        <v>513834200</v>
      </c>
      <c r="F1103" s="96" t="s">
        <v>308</v>
      </c>
      <c r="G1103" s="96" t="s">
        <v>1996</v>
      </c>
      <c r="H1103" s="96" t="s">
        <v>1997</v>
      </c>
      <c r="I1103" s="96" t="s">
        <v>320</v>
      </c>
      <c r="J1103" s="96" t="s">
        <v>952</v>
      </c>
      <c r="K1103" s="96" t="s">
        <v>203</v>
      </c>
      <c r="L1103" s="96" t="s">
        <v>203</v>
      </c>
      <c r="M1103" s="96" t="s">
        <v>324</v>
      </c>
      <c r="N1103" s="96" t="s">
        <v>339</v>
      </c>
      <c r="O1103" s="96" t="s">
        <v>444</v>
      </c>
      <c r="P1103" s="96" t="s">
        <v>338</v>
      </c>
      <c r="Q1103" s="96" t="s">
        <v>1332</v>
      </c>
      <c r="R1103" s="96" t="s">
        <v>412</v>
      </c>
      <c r="S1103" s="96" t="s">
        <v>406</v>
      </c>
      <c r="T1103" s="96" t="s">
        <v>1200</v>
      </c>
      <c r="U1103" s="97">
        <v>7.37</v>
      </c>
      <c r="V1103" s="100">
        <v>48944</v>
      </c>
      <c r="W1103" s="98">
        <v>6.0199999999999997E-2</v>
      </c>
      <c r="X1103" s="98">
        <v>6.2100000000000002E-2</v>
      </c>
      <c r="Y1103" s="96" t="s">
        <v>411</v>
      </c>
      <c r="Z1103" s="96"/>
      <c r="AA1103" s="97">
        <v>19880.946269</v>
      </c>
      <c r="AB1103" s="97">
        <v>1</v>
      </c>
      <c r="AC1103" s="97">
        <v>99.249799999999993</v>
      </c>
      <c r="AD1103" s="97"/>
      <c r="AE1103" s="97">
        <v>19.731791000000001</v>
      </c>
      <c r="AF1103" s="96"/>
      <c r="AG1103" s="96"/>
      <c r="AH1103" s="96"/>
      <c r="AI1103" s="98">
        <v>3.8999999999999999E-5</v>
      </c>
      <c r="AJ1103" s="98">
        <v>3.068E-3</v>
      </c>
      <c r="AK1103" s="98">
        <v>1.183E-3</v>
      </c>
      <c r="AL1103" s="106"/>
    </row>
    <row r="1104" spans="1:38" ht="15" customHeight="1">
      <c r="A1104" s="106"/>
      <c r="B1104" s="96">
        <v>286</v>
      </c>
      <c r="C1104" s="96">
        <v>9803</v>
      </c>
      <c r="D1104" s="96" t="s">
        <v>1913</v>
      </c>
      <c r="E1104" s="96">
        <v>516117181</v>
      </c>
      <c r="F1104" s="96" t="s">
        <v>308</v>
      </c>
      <c r="G1104" s="96" t="s">
        <v>1914</v>
      </c>
      <c r="H1104" s="96" t="s">
        <v>1915</v>
      </c>
      <c r="I1104" s="96" t="s">
        <v>320</v>
      </c>
      <c r="J1104" s="96" t="s">
        <v>952</v>
      </c>
      <c r="K1104" s="96" t="s">
        <v>203</v>
      </c>
      <c r="L1104" s="96" t="s">
        <v>203</v>
      </c>
      <c r="M1104" s="96" t="s">
        <v>324</v>
      </c>
      <c r="N1104" s="96" t="s">
        <v>339</v>
      </c>
      <c r="O1104" s="96" t="s">
        <v>463</v>
      </c>
      <c r="P1104" s="96" t="s">
        <v>338</v>
      </c>
      <c r="Q1104" s="96" t="s">
        <v>409</v>
      </c>
      <c r="R1104" s="96" t="s">
        <v>409</v>
      </c>
      <c r="S1104" s="96" t="s">
        <v>409</v>
      </c>
      <c r="T1104" s="96" t="s">
        <v>1200</v>
      </c>
      <c r="U1104" s="97">
        <v>1.49</v>
      </c>
      <c r="V1104" s="100">
        <v>46022</v>
      </c>
      <c r="W1104" s="98">
        <v>0.01</v>
      </c>
      <c r="X1104" s="98">
        <v>5.9400000000000001E-2</v>
      </c>
      <c r="Y1104" s="96" t="s">
        <v>411</v>
      </c>
      <c r="Z1104" s="96"/>
      <c r="AA1104" s="97">
        <v>7315.5267750000003</v>
      </c>
      <c r="AB1104" s="97">
        <v>1</v>
      </c>
      <c r="AC1104" s="97">
        <v>93.1</v>
      </c>
      <c r="AD1104" s="97"/>
      <c r="AE1104" s="97">
        <v>6.8107550000000003</v>
      </c>
      <c r="AF1104" s="96"/>
      <c r="AG1104" s="96"/>
      <c r="AH1104" s="96"/>
      <c r="AI1104" s="98">
        <v>3.0000000000000001E-5</v>
      </c>
      <c r="AJ1104" s="98">
        <v>1.059E-3</v>
      </c>
      <c r="AK1104" s="98">
        <v>4.08E-4</v>
      </c>
      <c r="AL1104" s="106"/>
    </row>
    <row r="1105" spans="1:38" ht="15" customHeight="1">
      <c r="A1105" s="106"/>
      <c r="B1105" s="96">
        <v>286</v>
      </c>
      <c r="C1105" s="96">
        <v>9803</v>
      </c>
      <c r="D1105" s="96" t="s">
        <v>1597</v>
      </c>
      <c r="E1105" s="96">
        <v>520020116</v>
      </c>
      <c r="F1105" s="96" t="s">
        <v>308</v>
      </c>
      <c r="G1105" s="96" t="s">
        <v>1738</v>
      </c>
      <c r="H1105" s="96" t="s">
        <v>1739</v>
      </c>
      <c r="I1105" s="96" t="s">
        <v>320</v>
      </c>
      <c r="J1105" s="96" t="s">
        <v>753</v>
      </c>
      <c r="K1105" s="96" t="s">
        <v>203</v>
      </c>
      <c r="L1105" s="96" t="s">
        <v>203</v>
      </c>
      <c r="M1105" s="96" t="s">
        <v>324</v>
      </c>
      <c r="N1105" s="96" t="s">
        <v>339</v>
      </c>
      <c r="O1105" s="96" t="s">
        <v>463</v>
      </c>
      <c r="P1105" s="96" t="s">
        <v>337</v>
      </c>
      <c r="Q1105" s="96" t="s">
        <v>1324</v>
      </c>
      <c r="R1105" s="96" t="s">
        <v>412</v>
      </c>
      <c r="S1105" s="96" t="s">
        <v>406</v>
      </c>
      <c r="T1105" s="96" t="s">
        <v>1200</v>
      </c>
      <c r="U1105" s="97">
        <v>4.97</v>
      </c>
      <c r="V1105" s="100">
        <v>48029</v>
      </c>
      <c r="W1105" s="98">
        <v>4.4499999999999998E-2</v>
      </c>
      <c r="X1105" s="98">
        <v>4.7600000000000003E-2</v>
      </c>
      <c r="Y1105" s="96" t="s">
        <v>411</v>
      </c>
      <c r="Z1105" s="96"/>
      <c r="AA1105" s="97">
        <v>16714.488737</v>
      </c>
      <c r="AB1105" s="97">
        <v>1</v>
      </c>
      <c r="AC1105" s="97">
        <v>101.38</v>
      </c>
      <c r="AD1105" s="97"/>
      <c r="AE1105" s="97">
        <v>16.945148</v>
      </c>
      <c r="AF1105" s="96"/>
      <c r="AG1105" s="96"/>
      <c r="AH1105" s="96"/>
      <c r="AI1105" s="98">
        <v>3.6999999999999998E-5</v>
      </c>
      <c r="AJ1105" s="98">
        <v>2.6350000000000002E-3</v>
      </c>
      <c r="AK1105" s="98">
        <v>1.016E-3</v>
      </c>
      <c r="AL1105" s="106"/>
    </row>
    <row r="1106" spans="1:38" ht="15" customHeight="1">
      <c r="A1106" s="106"/>
      <c r="B1106" s="96">
        <v>286</v>
      </c>
      <c r="C1106" s="96">
        <v>9803</v>
      </c>
      <c r="D1106" s="96" t="s">
        <v>1333</v>
      </c>
      <c r="E1106" s="96">
        <v>520024126</v>
      </c>
      <c r="F1106" s="96" t="s">
        <v>308</v>
      </c>
      <c r="G1106" s="96" t="s">
        <v>1402</v>
      </c>
      <c r="H1106" s="96" t="s">
        <v>1403</v>
      </c>
      <c r="I1106" s="96" t="s">
        <v>320</v>
      </c>
      <c r="J1106" s="96" t="s">
        <v>753</v>
      </c>
      <c r="K1106" s="96" t="s">
        <v>203</v>
      </c>
      <c r="L1106" s="96" t="s">
        <v>203</v>
      </c>
      <c r="M1106" s="96" t="s">
        <v>324</v>
      </c>
      <c r="N1106" s="96" t="s">
        <v>339</v>
      </c>
      <c r="O1106" s="96" t="s">
        <v>463</v>
      </c>
      <c r="P1106" s="96" t="s">
        <v>337</v>
      </c>
      <c r="Q1106" s="96" t="s">
        <v>1313</v>
      </c>
      <c r="R1106" s="96" t="s">
        <v>412</v>
      </c>
      <c r="S1106" s="96" t="s">
        <v>406</v>
      </c>
      <c r="T1106" s="96" t="s">
        <v>1200</v>
      </c>
      <c r="U1106" s="97">
        <v>2.4700000000000002</v>
      </c>
      <c r="V1106" s="100">
        <v>46477</v>
      </c>
      <c r="W1106" s="98">
        <v>2.5999999999999999E-2</v>
      </c>
      <c r="X1106" s="98">
        <v>2.69E-2</v>
      </c>
      <c r="Y1106" s="96" t="s">
        <v>411</v>
      </c>
      <c r="Z1106" s="96"/>
      <c r="AA1106" s="97">
        <v>803.21902599999999</v>
      </c>
      <c r="AB1106" s="97">
        <v>1</v>
      </c>
      <c r="AC1106" s="97">
        <v>115.09</v>
      </c>
      <c r="AD1106" s="97"/>
      <c r="AE1106" s="97">
        <v>0.92442400000000002</v>
      </c>
      <c r="AF1106" s="96"/>
      <c r="AG1106" s="96"/>
      <c r="AH1106" s="96"/>
      <c r="AI1106" s="98">
        <v>1.9999999999999999E-6</v>
      </c>
      <c r="AJ1106" s="98">
        <v>1.4300000000000001E-4</v>
      </c>
      <c r="AK1106" s="98">
        <v>5.5000000000000002E-5</v>
      </c>
      <c r="AL1106" s="106"/>
    </row>
    <row r="1107" spans="1:38" ht="15" customHeight="1">
      <c r="A1107" s="106"/>
      <c r="B1107" s="96">
        <v>286</v>
      </c>
      <c r="C1107" s="96">
        <v>9803</v>
      </c>
      <c r="D1107" s="96" t="s">
        <v>1373</v>
      </c>
      <c r="E1107" s="96">
        <v>1476</v>
      </c>
      <c r="F1107" s="96" t="s">
        <v>80</v>
      </c>
      <c r="G1107" s="96" t="s">
        <v>1443</v>
      </c>
      <c r="H1107" s="96" t="s">
        <v>1444</v>
      </c>
      <c r="I1107" s="96" t="s">
        <v>320</v>
      </c>
      <c r="J1107" s="96" t="s">
        <v>753</v>
      </c>
      <c r="K1107" s="96" t="s">
        <v>203</v>
      </c>
      <c r="L1107" s="96" t="s">
        <v>298</v>
      </c>
      <c r="M1107" s="96" t="s">
        <v>324</v>
      </c>
      <c r="N1107" s="96" t="s">
        <v>339</v>
      </c>
      <c r="O1107" s="96" t="s">
        <v>446</v>
      </c>
      <c r="P1107" s="96" t="s">
        <v>338</v>
      </c>
      <c r="Q1107" s="96" t="s">
        <v>409</v>
      </c>
      <c r="R1107" s="96" t="s">
        <v>409</v>
      </c>
      <c r="S1107" s="96" t="s">
        <v>409</v>
      </c>
      <c r="T1107" s="96" t="s">
        <v>1200</v>
      </c>
      <c r="U1107" s="97">
        <v>2.35</v>
      </c>
      <c r="V1107" s="100">
        <v>45658</v>
      </c>
      <c r="W1107" s="98">
        <v>0.06</v>
      </c>
      <c r="X1107" s="98">
        <v>9.99</v>
      </c>
      <c r="Y1107" s="96" t="s">
        <v>411</v>
      </c>
      <c r="Z1107" s="96"/>
      <c r="AA1107" s="97">
        <v>1332.6240319999999</v>
      </c>
      <c r="AB1107" s="97">
        <v>1</v>
      </c>
      <c r="AC1107" s="97">
        <v>12.55</v>
      </c>
      <c r="AD1107" s="97"/>
      <c r="AE1107" s="97">
        <v>0.167244</v>
      </c>
      <c r="AF1107" s="96"/>
      <c r="AG1107" s="96"/>
      <c r="AH1107" s="96"/>
      <c r="AI1107" s="98">
        <v>1.1E-5</v>
      </c>
      <c r="AJ1107" s="98">
        <v>2.5999999999999998E-5</v>
      </c>
      <c r="AK1107" s="98">
        <v>1.0000000000000001E-5</v>
      </c>
      <c r="AL1107" s="106"/>
    </row>
    <row r="1108" spans="1:38" ht="15" customHeight="1">
      <c r="A1108" s="106"/>
      <c r="B1108" s="96">
        <v>286</v>
      </c>
      <c r="C1108" s="96">
        <v>9803</v>
      </c>
      <c r="D1108" s="96" t="s">
        <v>1926</v>
      </c>
      <c r="E1108" s="96">
        <v>520030859</v>
      </c>
      <c r="F1108" s="96" t="s">
        <v>308</v>
      </c>
      <c r="G1108" s="96" t="s">
        <v>1927</v>
      </c>
      <c r="H1108" s="96" t="s">
        <v>1928</v>
      </c>
      <c r="I1108" s="96" t="s">
        <v>320</v>
      </c>
      <c r="J1108" s="96" t="s">
        <v>952</v>
      </c>
      <c r="K1108" s="96" t="s">
        <v>203</v>
      </c>
      <c r="L1108" s="96" t="s">
        <v>203</v>
      </c>
      <c r="M1108" s="96" t="s">
        <v>324</v>
      </c>
      <c r="N1108" s="96" t="s">
        <v>339</v>
      </c>
      <c r="O1108" s="96" t="s">
        <v>450</v>
      </c>
      <c r="P1108" s="96" t="s">
        <v>337</v>
      </c>
      <c r="Q1108" s="96" t="s">
        <v>1313</v>
      </c>
      <c r="R1108" s="96" t="s">
        <v>412</v>
      </c>
      <c r="S1108" s="96" t="s">
        <v>406</v>
      </c>
      <c r="T1108" s="96" t="s">
        <v>1200</v>
      </c>
      <c r="U1108" s="97">
        <v>6.36</v>
      </c>
      <c r="V1108" s="100">
        <v>49881</v>
      </c>
      <c r="W1108" s="98">
        <v>5.3100000000000001E-2</v>
      </c>
      <c r="X1108" s="98">
        <v>6.13E-2</v>
      </c>
      <c r="Y1108" s="96" t="s">
        <v>411</v>
      </c>
      <c r="Z1108" s="96"/>
      <c r="AA1108" s="97">
        <v>15233.679619</v>
      </c>
      <c r="AB1108" s="97">
        <v>1</v>
      </c>
      <c r="AC1108" s="97">
        <v>97.75</v>
      </c>
      <c r="AD1108" s="97"/>
      <c r="AE1108" s="97">
        <v>14.890921000000001</v>
      </c>
      <c r="AF1108" s="96"/>
      <c r="AG1108" s="96"/>
      <c r="AH1108" s="96"/>
      <c r="AI1108" s="98">
        <v>9.3999999999999994E-5</v>
      </c>
      <c r="AJ1108" s="98">
        <v>2.3159999999999999E-3</v>
      </c>
      <c r="AK1108" s="98">
        <v>8.9300000000000002E-4</v>
      </c>
      <c r="AL1108" s="106"/>
    </row>
    <row r="1109" spans="1:38" ht="15" customHeight="1">
      <c r="A1109" s="106"/>
      <c r="B1109" s="96">
        <v>286</v>
      </c>
      <c r="C1109" s="96">
        <v>9803</v>
      </c>
      <c r="D1109" s="96" t="s">
        <v>1462</v>
      </c>
      <c r="E1109" s="96">
        <v>520000472</v>
      </c>
      <c r="F1109" s="96" t="s">
        <v>308</v>
      </c>
      <c r="G1109" s="96" t="s">
        <v>1932</v>
      </c>
      <c r="H1109" s="96" t="s">
        <v>1933</v>
      </c>
      <c r="I1109" s="96" t="s">
        <v>320</v>
      </c>
      <c r="J1109" s="96" t="s">
        <v>753</v>
      </c>
      <c r="K1109" s="96" t="s">
        <v>203</v>
      </c>
      <c r="L1109" s="96" t="s">
        <v>203</v>
      </c>
      <c r="M1109" s="96" t="s">
        <v>324</v>
      </c>
      <c r="N1109" s="96" t="s">
        <v>339</v>
      </c>
      <c r="O1109" s="96" t="s">
        <v>439</v>
      </c>
      <c r="P1109" s="96" t="s">
        <v>338</v>
      </c>
      <c r="Q1109" s="96" t="s">
        <v>1301</v>
      </c>
      <c r="R1109" s="96" t="s">
        <v>414</v>
      </c>
      <c r="S1109" s="96" t="s">
        <v>406</v>
      </c>
      <c r="T1109" s="96" t="s">
        <v>1200</v>
      </c>
      <c r="U1109" s="97">
        <v>7.89</v>
      </c>
      <c r="V1109" s="100">
        <v>48742</v>
      </c>
      <c r="W1109" s="98">
        <v>0.03</v>
      </c>
      <c r="X1109" s="98">
        <v>3.3599999999999998E-2</v>
      </c>
      <c r="Y1109" s="96" t="s">
        <v>411</v>
      </c>
      <c r="Z1109" s="96"/>
      <c r="AA1109" s="97">
        <v>39774.620415999998</v>
      </c>
      <c r="AB1109" s="97">
        <v>1</v>
      </c>
      <c r="AC1109" s="97">
        <v>100.46</v>
      </c>
      <c r="AD1109" s="97"/>
      <c r="AE1109" s="97">
        <v>39.957583</v>
      </c>
      <c r="AF1109" s="96"/>
      <c r="AG1109" s="96"/>
      <c r="AH1109" s="96"/>
      <c r="AI1109" s="98">
        <v>1.5E-5</v>
      </c>
      <c r="AJ1109" s="98">
        <v>6.2139999999999999E-3</v>
      </c>
      <c r="AK1109" s="98">
        <v>2.3960000000000001E-3</v>
      </c>
      <c r="AL1109" s="106"/>
    </row>
    <row r="1110" spans="1:38" ht="15" customHeight="1">
      <c r="A1110" s="106"/>
      <c r="B1110" s="96">
        <v>286</v>
      </c>
      <c r="C1110" s="96">
        <v>9803</v>
      </c>
      <c r="D1110" s="96" t="s">
        <v>1565</v>
      </c>
      <c r="E1110" s="96">
        <v>520033234</v>
      </c>
      <c r="F1110" s="96" t="s">
        <v>308</v>
      </c>
      <c r="G1110" s="96" t="s">
        <v>1688</v>
      </c>
      <c r="H1110" s="96" t="s">
        <v>1689</v>
      </c>
      <c r="I1110" s="96" t="s">
        <v>320</v>
      </c>
      <c r="J1110" s="96" t="s">
        <v>753</v>
      </c>
      <c r="K1110" s="96" t="s">
        <v>203</v>
      </c>
      <c r="L1110" s="96" t="s">
        <v>203</v>
      </c>
      <c r="M1110" s="96" t="s">
        <v>324</v>
      </c>
      <c r="N1110" s="96" t="s">
        <v>339</v>
      </c>
      <c r="O1110" s="96" t="s">
        <v>464</v>
      </c>
      <c r="P1110" s="96" t="s">
        <v>337</v>
      </c>
      <c r="Q1110" s="96" t="s">
        <v>1309</v>
      </c>
      <c r="R1110" s="96" t="s">
        <v>414</v>
      </c>
      <c r="S1110" s="96" t="s">
        <v>406</v>
      </c>
      <c r="T1110" s="96" t="s">
        <v>1200</v>
      </c>
      <c r="U1110" s="97">
        <v>2.46</v>
      </c>
      <c r="V1110" s="100">
        <v>46934</v>
      </c>
      <c r="W1110" s="98">
        <v>3.2800000000000003E-2</v>
      </c>
      <c r="X1110" s="98">
        <v>5.8000000000000003E-2</v>
      </c>
      <c r="Y1110" s="96" t="s">
        <v>411</v>
      </c>
      <c r="Z1110" s="96"/>
      <c r="AA1110" s="97">
        <v>31280.863011000001</v>
      </c>
      <c r="AB1110" s="97">
        <v>1</v>
      </c>
      <c r="AC1110" s="97">
        <v>108.4</v>
      </c>
      <c r="AD1110" s="97"/>
      <c r="AE1110" s="97">
        <v>33.908454999999996</v>
      </c>
      <c r="AF1110" s="96"/>
      <c r="AG1110" s="96"/>
      <c r="AH1110" s="96"/>
      <c r="AI1110" s="98">
        <v>2.1999999999999999E-5</v>
      </c>
      <c r="AJ1110" s="98">
        <v>5.2729999999999999E-3</v>
      </c>
      <c r="AK1110" s="98">
        <v>2.0330000000000001E-3</v>
      </c>
      <c r="AL1110" s="106"/>
    </row>
    <row r="1111" spans="1:38" ht="15" customHeight="1">
      <c r="A1111" s="106"/>
      <c r="B1111" s="96">
        <v>286</v>
      </c>
      <c r="C1111" s="96">
        <v>9803</v>
      </c>
      <c r="D1111" s="96" t="s">
        <v>1565</v>
      </c>
      <c r="E1111" s="96">
        <v>520033234</v>
      </c>
      <c r="F1111" s="96" t="s">
        <v>308</v>
      </c>
      <c r="G1111" s="96" t="s">
        <v>1566</v>
      </c>
      <c r="H1111" s="96" t="s">
        <v>1567</v>
      </c>
      <c r="I1111" s="96" t="s">
        <v>320</v>
      </c>
      <c r="J1111" s="96" t="s">
        <v>753</v>
      </c>
      <c r="K1111" s="96" t="s">
        <v>203</v>
      </c>
      <c r="L1111" s="96" t="s">
        <v>203</v>
      </c>
      <c r="M1111" s="96" t="s">
        <v>324</v>
      </c>
      <c r="N1111" s="96" t="s">
        <v>339</v>
      </c>
      <c r="O1111" s="96" t="s">
        <v>464</v>
      </c>
      <c r="P1111" s="96" t="s">
        <v>337</v>
      </c>
      <c r="Q1111" s="96" t="s">
        <v>1309</v>
      </c>
      <c r="R1111" s="96" t="s">
        <v>414</v>
      </c>
      <c r="S1111" s="96" t="s">
        <v>406</v>
      </c>
      <c r="T1111" s="96" t="s">
        <v>1200</v>
      </c>
      <c r="U1111" s="97">
        <v>4.32</v>
      </c>
      <c r="V1111" s="100">
        <v>48121</v>
      </c>
      <c r="W1111" s="98">
        <v>1.7899999999999999E-2</v>
      </c>
      <c r="X1111" s="98">
        <v>6.0499999999999998E-2</v>
      </c>
      <c r="Y1111" s="96" t="s">
        <v>411</v>
      </c>
      <c r="Z1111" s="96"/>
      <c r="AA1111" s="97">
        <v>15850.560718000001</v>
      </c>
      <c r="AB1111" s="97">
        <v>1</v>
      </c>
      <c r="AC1111" s="97">
        <v>94.42</v>
      </c>
      <c r="AD1111" s="97"/>
      <c r="AE1111" s="97">
        <v>14.966099</v>
      </c>
      <c r="AF1111" s="96"/>
      <c r="AG1111" s="96"/>
      <c r="AH1111" s="96"/>
      <c r="AI1111" s="98">
        <v>2.1999999999999999E-5</v>
      </c>
      <c r="AJ1111" s="98">
        <v>2.3270000000000001E-3</v>
      </c>
      <c r="AK1111" s="98">
        <v>8.9700000000000001E-4</v>
      </c>
      <c r="AL1111" s="106"/>
    </row>
    <row r="1112" spans="1:38" ht="15" customHeight="1">
      <c r="A1112" s="106"/>
      <c r="B1112" s="96">
        <v>286</v>
      </c>
      <c r="C1112" s="96">
        <v>9803</v>
      </c>
      <c r="D1112" s="96" t="s">
        <v>1343</v>
      </c>
      <c r="E1112" s="96">
        <v>514290345</v>
      </c>
      <c r="F1112" s="96" t="s">
        <v>308</v>
      </c>
      <c r="G1112" s="96" t="s">
        <v>1835</v>
      </c>
      <c r="H1112" s="96" t="s">
        <v>1836</v>
      </c>
      <c r="I1112" s="96" t="s">
        <v>320</v>
      </c>
      <c r="J1112" s="96" t="s">
        <v>952</v>
      </c>
      <c r="K1112" s="96" t="s">
        <v>203</v>
      </c>
      <c r="L1112" s="96" t="s">
        <v>203</v>
      </c>
      <c r="M1112" s="96" t="s">
        <v>324</v>
      </c>
      <c r="N1112" s="96" t="s">
        <v>339</v>
      </c>
      <c r="O1112" s="96" t="s">
        <v>444</v>
      </c>
      <c r="P1112" s="96" t="s">
        <v>338</v>
      </c>
      <c r="Q1112" s="96" t="s">
        <v>1305</v>
      </c>
      <c r="R1112" s="96" t="s">
        <v>414</v>
      </c>
      <c r="S1112" s="96" t="s">
        <v>406</v>
      </c>
      <c r="T1112" s="96" t="s">
        <v>1200</v>
      </c>
      <c r="U1112" s="97">
        <v>4.53</v>
      </c>
      <c r="V1112" s="100">
        <v>47238</v>
      </c>
      <c r="W1112" s="98">
        <v>2.6200000000000001E-2</v>
      </c>
      <c r="X1112" s="98">
        <v>5.5399999999999998E-2</v>
      </c>
      <c r="Y1112" s="96" t="s">
        <v>411</v>
      </c>
      <c r="Z1112" s="96"/>
      <c r="AA1112" s="97">
        <v>39774.620415999998</v>
      </c>
      <c r="AB1112" s="97">
        <v>1</v>
      </c>
      <c r="AC1112" s="97">
        <v>88.48</v>
      </c>
      <c r="AD1112" s="97"/>
      <c r="AE1112" s="97">
        <v>35.192583999999997</v>
      </c>
      <c r="AF1112" s="96"/>
      <c r="AG1112" s="96"/>
      <c r="AH1112" s="96"/>
      <c r="AI1112" s="98">
        <v>3.0000000000000001E-5</v>
      </c>
      <c r="AJ1112" s="98">
        <v>5.4730000000000004E-3</v>
      </c>
      <c r="AK1112" s="98">
        <v>2.1099999999999999E-3</v>
      </c>
      <c r="AL1112" s="106"/>
    </row>
    <row r="1113" spans="1:38" ht="15" customHeight="1">
      <c r="A1113" s="106"/>
      <c r="B1113" s="96">
        <v>286</v>
      </c>
      <c r="C1113" s="96">
        <v>9803</v>
      </c>
      <c r="D1113" s="96" t="s">
        <v>1707</v>
      </c>
      <c r="E1113" s="96">
        <v>512096793</v>
      </c>
      <c r="F1113" s="96" t="s">
        <v>308</v>
      </c>
      <c r="G1113" s="96" t="s">
        <v>1708</v>
      </c>
      <c r="H1113" s="96" t="s">
        <v>1709</v>
      </c>
      <c r="I1113" s="96" t="s">
        <v>320</v>
      </c>
      <c r="J1113" s="96" t="s">
        <v>753</v>
      </c>
      <c r="K1113" s="96" t="s">
        <v>203</v>
      </c>
      <c r="L1113" s="96" t="s">
        <v>203</v>
      </c>
      <c r="M1113" s="96" t="s">
        <v>324</v>
      </c>
      <c r="N1113" s="96" t="s">
        <v>339</v>
      </c>
      <c r="O1113" s="96" t="s">
        <v>463</v>
      </c>
      <c r="P1113" s="96" t="s">
        <v>338</v>
      </c>
      <c r="Q1113" s="96" t="s">
        <v>1520</v>
      </c>
      <c r="R1113" s="96" t="s">
        <v>414</v>
      </c>
      <c r="S1113" s="96" t="s">
        <v>406</v>
      </c>
      <c r="T1113" s="96" t="s">
        <v>1200</v>
      </c>
      <c r="U1113" s="97">
        <v>1.95</v>
      </c>
      <c r="V1113" s="100">
        <v>46568</v>
      </c>
      <c r="W1113" s="98">
        <v>2.8500000000000001E-2</v>
      </c>
      <c r="X1113" s="98">
        <v>2.7900000000000001E-2</v>
      </c>
      <c r="Y1113" s="96" t="s">
        <v>411</v>
      </c>
      <c r="Z1113" s="96"/>
      <c r="AA1113" s="97">
        <v>404.20480700000002</v>
      </c>
      <c r="AB1113" s="97">
        <v>1</v>
      </c>
      <c r="AC1113" s="97">
        <v>113.71</v>
      </c>
      <c r="AD1113" s="97"/>
      <c r="AE1113" s="97">
        <v>0.459621</v>
      </c>
      <c r="AF1113" s="96"/>
      <c r="AG1113" s="96"/>
      <c r="AH1113" s="96"/>
      <c r="AI1113" s="98">
        <v>1.9999999999999999E-6</v>
      </c>
      <c r="AJ1113" s="98">
        <v>7.1000000000000005E-5</v>
      </c>
      <c r="AK1113" s="98">
        <v>2.6999999999999999E-5</v>
      </c>
      <c r="AL1113" s="106"/>
    </row>
    <row r="1114" spans="1:38" ht="15" customHeight="1">
      <c r="A1114" s="106"/>
      <c r="B1114" s="96">
        <v>286</v>
      </c>
      <c r="C1114" s="96">
        <v>9803</v>
      </c>
      <c r="D1114" s="96" t="s">
        <v>1306</v>
      </c>
      <c r="E1114" s="96">
        <v>520044322</v>
      </c>
      <c r="F1114" s="96" t="s">
        <v>308</v>
      </c>
      <c r="G1114" s="96" t="s">
        <v>1939</v>
      </c>
      <c r="H1114" s="96" t="s">
        <v>1940</v>
      </c>
      <c r="I1114" s="96" t="s">
        <v>320</v>
      </c>
      <c r="J1114" s="96" t="s">
        <v>952</v>
      </c>
      <c r="K1114" s="96" t="s">
        <v>203</v>
      </c>
      <c r="L1114" s="96" t="s">
        <v>203</v>
      </c>
      <c r="M1114" s="96" t="s">
        <v>324</v>
      </c>
      <c r="N1114" s="96" t="s">
        <v>339</v>
      </c>
      <c r="O1114" s="96" t="s">
        <v>453</v>
      </c>
      <c r="P1114" s="96" t="s">
        <v>338</v>
      </c>
      <c r="Q1114" s="96" t="s">
        <v>1309</v>
      </c>
      <c r="R1114" s="96" t="s">
        <v>414</v>
      </c>
      <c r="S1114" s="96" t="s">
        <v>406</v>
      </c>
      <c r="T1114" s="96" t="s">
        <v>1200</v>
      </c>
      <c r="U1114" s="97">
        <v>2.88</v>
      </c>
      <c r="V1114" s="100">
        <v>47149</v>
      </c>
      <c r="W1114" s="98">
        <v>6.7500000000000004E-2</v>
      </c>
      <c r="X1114" s="98">
        <v>6.2600000000000003E-2</v>
      </c>
      <c r="Y1114" s="96" t="s">
        <v>411</v>
      </c>
      <c r="Z1114" s="96"/>
      <c r="AA1114" s="97">
        <v>18881.213913</v>
      </c>
      <c r="AB1114" s="97">
        <v>1</v>
      </c>
      <c r="AC1114" s="97">
        <v>104.46</v>
      </c>
      <c r="AD1114" s="97"/>
      <c r="AE1114" s="97">
        <v>19.723316000000001</v>
      </c>
      <c r="AF1114" s="96"/>
      <c r="AG1114" s="96"/>
      <c r="AH1114" s="96"/>
      <c r="AI1114" s="98">
        <v>1.0000000000000001E-5</v>
      </c>
      <c r="AJ1114" s="98">
        <v>3.0669999999999998E-3</v>
      </c>
      <c r="AK1114" s="98">
        <v>1.1820000000000001E-3</v>
      </c>
      <c r="AL1114" s="106"/>
    </row>
    <row r="1115" spans="1:38" ht="15" customHeight="1">
      <c r="A1115" s="106"/>
      <c r="B1115" s="96">
        <v>286</v>
      </c>
      <c r="C1115" s="96">
        <v>9803</v>
      </c>
      <c r="D1115" s="96" t="s">
        <v>1452</v>
      </c>
      <c r="E1115" s="96">
        <v>514065283</v>
      </c>
      <c r="F1115" s="96" t="s">
        <v>308</v>
      </c>
      <c r="G1115" s="96" t="s">
        <v>1538</v>
      </c>
      <c r="H1115" s="96" t="s">
        <v>1539</v>
      </c>
      <c r="I1115" s="96" t="s">
        <v>320</v>
      </c>
      <c r="J1115" s="96" t="s">
        <v>952</v>
      </c>
      <c r="K1115" s="96" t="s">
        <v>203</v>
      </c>
      <c r="L1115" s="96" t="s">
        <v>203</v>
      </c>
      <c r="M1115" s="96" t="s">
        <v>324</v>
      </c>
      <c r="N1115" s="96" t="s">
        <v>339</v>
      </c>
      <c r="O1115" s="96" t="s">
        <v>461</v>
      </c>
      <c r="P1115" s="96" t="s">
        <v>337</v>
      </c>
      <c r="Q1115" s="96" t="s">
        <v>1332</v>
      </c>
      <c r="R1115" s="96" t="s">
        <v>412</v>
      </c>
      <c r="S1115" s="96" t="s">
        <v>406</v>
      </c>
      <c r="T1115" s="96" t="s">
        <v>1200</v>
      </c>
      <c r="U1115" s="97">
        <v>1.81</v>
      </c>
      <c r="V1115" s="100">
        <v>46631</v>
      </c>
      <c r="W1115" s="98">
        <v>2.3E-2</v>
      </c>
      <c r="X1115" s="98">
        <v>5.3199999999999997E-2</v>
      </c>
      <c r="Y1115" s="96" t="s">
        <v>411</v>
      </c>
      <c r="Z1115" s="96"/>
      <c r="AA1115" s="97">
        <v>24362.265565000002</v>
      </c>
      <c r="AB1115" s="97">
        <v>1</v>
      </c>
      <c r="AC1115" s="97">
        <v>95.57</v>
      </c>
      <c r="AD1115" s="97"/>
      <c r="AE1115" s="97">
        <v>23.283017000000001</v>
      </c>
      <c r="AF1115" s="96"/>
      <c r="AG1115" s="96"/>
      <c r="AH1115" s="96"/>
      <c r="AI1115" s="98">
        <v>2.9E-5</v>
      </c>
      <c r="AJ1115" s="98">
        <v>3.6210000000000001E-3</v>
      </c>
      <c r="AK1115" s="98">
        <v>1.3960000000000001E-3</v>
      </c>
      <c r="AL1115" s="106"/>
    </row>
    <row r="1116" spans="1:38" ht="15" customHeight="1">
      <c r="A1116" s="106"/>
      <c r="B1116" s="96">
        <v>286</v>
      </c>
      <c r="C1116" s="96">
        <v>9803</v>
      </c>
      <c r="D1116" s="96" t="s">
        <v>1385</v>
      </c>
      <c r="E1116" s="96">
        <v>520017807</v>
      </c>
      <c r="F1116" s="96" t="s">
        <v>308</v>
      </c>
      <c r="G1116" s="96" t="s">
        <v>1430</v>
      </c>
      <c r="H1116" s="96" t="s">
        <v>1431</v>
      </c>
      <c r="I1116" s="96" t="s">
        <v>320</v>
      </c>
      <c r="J1116" s="96" t="s">
        <v>952</v>
      </c>
      <c r="K1116" s="96" t="s">
        <v>203</v>
      </c>
      <c r="L1116" s="96" t="s">
        <v>203</v>
      </c>
      <c r="M1116" s="96" t="s">
        <v>324</v>
      </c>
      <c r="N1116" s="96" t="s">
        <v>339</v>
      </c>
      <c r="O1116" s="96" t="s">
        <v>463</v>
      </c>
      <c r="P1116" s="96" t="s">
        <v>337</v>
      </c>
      <c r="Q1116" s="96" t="s">
        <v>1305</v>
      </c>
      <c r="R1116" s="96" t="s">
        <v>414</v>
      </c>
      <c r="S1116" s="96" t="s">
        <v>406</v>
      </c>
      <c r="T1116" s="96" t="s">
        <v>1200</v>
      </c>
      <c r="U1116" s="97">
        <v>1.58</v>
      </c>
      <c r="V1116" s="100">
        <v>46447</v>
      </c>
      <c r="W1116" s="98">
        <v>5.0500000000000003E-2</v>
      </c>
      <c r="X1116" s="98">
        <v>5.1799999999999999E-2</v>
      </c>
      <c r="Y1116" s="96" t="s">
        <v>411</v>
      </c>
      <c r="Z1116" s="96"/>
      <c r="AA1116" s="97">
        <v>4250.0078270000004</v>
      </c>
      <c r="AB1116" s="97">
        <v>1</v>
      </c>
      <c r="AC1116" s="97">
        <v>101.58</v>
      </c>
      <c r="AD1116" s="97"/>
      <c r="AE1116" s="97">
        <v>4.3171569999999999</v>
      </c>
      <c r="AF1116" s="96"/>
      <c r="AG1116" s="96"/>
      <c r="AH1116" s="96"/>
      <c r="AI1116" s="98">
        <v>1.5E-5</v>
      </c>
      <c r="AJ1116" s="98">
        <v>6.7100000000000005E-4</v>
      </c>
      <c r="AK1116" s="98">
        <v>2.5799999999999998E-4</v>
      </c>
      <c r="AL1116" s="106"/>
    </row>
    <row r="1117" spans="1:38" ht="15" customHeight="1">
      <c r="A1117" s="106"/>
      <c r="B1117" s="96">
        <v>286</v>
      </c>
      <c r="C1117" s="96">
        <v>9803</v>
      </c>
      <c r="D1117" s="96" t="s">
        <v>1558</v>
      </c>
      <c r="E1117" s="96">
        <v>510459928</v>
      </c>
      <c r="F1117" s="96" t="s">
        <v>308</v>
      </c>
      <c r="G1117" s="96" t="s">
        <v>1559</v>
      </c>
      <c r="H1117" s="96" t="s">
        <v>1560</v>
      </c>
      <c r="I1117" s="96" t="s">
        <v>320</v>
      </c>
      <c r="J1117" s="96" t="s">
        <v>952</v>
      </c>
      <c r="K1117" s="96" t="s">
        <v>203</v>
      </c>
      <c r="L1117" s="96" t="s">
        <v>203</v>
      </c>
      <c r="M1117" s="96" t="s">
        <v>324</v>
      </c>
      <c r="N1117" s="96" t="s">
        <v>339</v>
      </c>
      <c r="O1117" s="96" t="s">
        <v>439</v>
      </c>
      <c r="P1117" s="96" t="s">
        <v>337</v>
      </c>
      <c r="Q1117" s="96" t="s">
        <v>1309</v>
      </c>
      <c r="R1117" s="96" t="s">
        <v>414</v>
      </c>
      <c r="S1117" s="96" t="s">
        <v>406</v>
      </c>
      <c r="T1117" s="96" t="s">
        <v>1200</v>
      </c>
      <c r="U1117" s="97">
        <v>4.5199999999999996</v>
      </c>
      <c r="V1117" s="100">
        <v>49125</v>
      </c>
      <c r="W1117" s="98">
        <v>6.7699999999999996E-2</v>
      </c>
      <c r="X1117" s="98">
        <v>6.5000000000000002E-2</v>
      </c>
      <c r="Y1117" s="96" t="s">
        <v>411</v>
      </c>
      <c r="Z1117" s="96"/>
      <c r="AA1117" s="97">
        <v>26259.949377000001</v>
      </c>
      <c r="AB1117" s="97">
        <v>1</v>
      </c>
      <c r="AC1117" s="97">
        <v>101.65</v>
      </c>
      <c r="AD1117" s="97"/>
      <c r="AE1117" s="97">
        <v>26.693238000000001</v>
      </c>
      <c r="AF1117" s="96"/>
      <c r="AG1117" s="96"/>
      <c r="AH1117" s="96"/>
      <c r="AI1117" s="98">
        <v>3.4999999999999997E-5</v>
      </c>
      <c r="AJ1117" s="98">
        <v>4.1510000000000002E-3</v>
      </c>
      <c r="AK1117" s="98">
        <v>1.6000000000000001E-3</v>
      </c>
      <c r="AL1117" s="106"/>
    </row>
    <row r="1118" spans="1:38" ht="15" customHeight="1">
      <c r="A1118" s="106"/>
      <c r="B1118" s="96">
        <v>286</v>
      </c>
      <c r="C1118" s="96">
        <v>9803</v>
      </c>
      <c r="D1118" s="96" t="s">
        <v>1427</v>
      </c>
      <c r="E1118" s="96">
        <v>520031931</v>
      </c>
      <c r="F1118" s="96" t="s">
        <v>308</v>
      </c>
      <c r="G1118" s="96" t="s">
        <v>1428</v>
      </c>
      <c r="H1118" s="96" t="s">
        <v>1429</v>
      </c>
      <c r="I1118" s="96" t="s">
        <v>320</v>
      </c>
      <c r="J1118" s="96" t="s">
        <v>753</v>
      </c>
      <c r="K1118" s="96" t="s">
        <v>203</v>
      </c>
      <c r="L1118" s="96" t="s">
        <v>203</v>
      </c>
      <c r="M1118" s="96" t="s">
        <v>324</v>
      </c>
      <c r="N1118" s="96" t="s">
        <v>339</v>
      </c>
      <c r="O1118" s="96" t="s">
        <v>483</v>
      </c>
      <c r="P1118" s="96" t="s">
        <v>338</v>
      </c>
      <c r="Q1118" s="96" t="s">
        <v>1336</v>
      </c>
      <c r="R1118" s="96" t="s">
        <v>414</v>
      </c>
      <c r="S1118" s="96" t="s">
        <v>406</v>
      </c>
      <c r="T1118" s="96" t="s">
        <v>1200</v>
      </c>
      <c r="U1118" s="97">
        <v>3.77</v>
      </c>
      <c r="V1118" s="100">
        <v>47635</v>
      </c>
      <c r="W1118" s="98">
        <v>1.7000000000000001E-2</v>
      </c>
      <c r="X1118" s="98">
        <v>2.5999999999999999E-2</v>
      </c>
      <c r="Y1118" s="96" t="s">
        <v>411</v>
      </c>
      <c r="Z1118" s="96"/>
      <c r="AA1118" s="97">
        <v>10071.520957999999</v>
      </c>
      <c r="AB1118" s="97">
        <v>1</v>
      </c>
      <c r="AC1118" s="97">
        <v>108.38</v>
      </c>
      <c r="AD1118" s="97"/>
      <c r="AE1118" s="97">
        <v>10.915514</v>
      </c>
      <c r="AF1118" s="96"/>
      <c r="AG1118" s="96"/>
      <c r="AH1118" s="96"/>
      <c r="AI1118" s="98">
        <v>6.9999999999999999E-6</v>
      </c>
      <c r="AJ1118" s="98">
        <v>1.6969999999999999E-3</v>
      </c>
      <c r="AK1118" s="98">
        <v>6.5399999999999996E-4</v>
      </c>
      <c r="AL1118" s="106"/>
    </row>
    <row r="1119" spans="1:38" ht="15" customHeight="1">
      <c r="A1119" s="106"/>
      <c r="B1119" s="96">
        <v>286</v>
      </c>
      <c r="C1119" s="96">
        <v>9803</v>
      </c>
      <c r="D1119" s="96" t="s">
        <v>1445</v>
      </c>
      <c r="E1119" s="96">
        <v>510381601</v>
      </c>
      <c r="F1119" s="96" t="s">
        <v>308</v>
      </c>
      <c r="G1119" s="96" t="s">
        <v>1446</v>
      </c>
      <c r="H1119" s="96" t="s">
        <v>1447</v>
      </c>
      <c r="I1119" s="96" t="s">
        <v>320</v>
      </c>
      <c r="J1119" s="96" t="s">
        <v>753</v>
      </c>
      <c r="K1119" s="96" t="s">
        <v>203</v>
      </c>
      <c r="L1119" s="96" t="s">
        <v>203</v>
      </c>
      <c r="M1119" s="96" t="s">
        <v>324</v>
      </c>
      <c r="N1119" s="96" t="s">
        <v>339</v>
      </c>
      <c r="O1119" s="96" t="s">
        <v>446</v>
      </c>
      <c r="P1119" s="96" t="s">
        <v>337</v>
      </c>
      <c r="Q1119" s="96" t="s">
        <v>1328</v>
      </c>
      <c r="R1119" s="96" t="s">
        <v>412</v>
      </c>
      <c r="S1119" s="96" t="s">
        <v>406</v>
      </c>
      <c r="T1119" s="96" t="s">
        <v>1200</v>
      </c>
      <c r="U1119" s="97">
        <v>5.7</v>
      </c>
      <c r="V1119" s="100">
        <v>48579</v>
      </c>
      <c r="W1119" s="98">
        <v>4.0800000000000003E-2</v>
      </c>
      <c r="X1119" s="98">
        <v>4.2999999999999997E-2</v>
      </c>
      <c r="Y1119" s="96" t="s">
        <v>411</v>
      </c>
      <c r="Z1119" s="96"/>
      <c r="AA1119" s="97">
        <v>1244.4293439999999</v>
      </c>
      <c r="AB1119" s="97">
        <v>1</v>
      </c>
      <c r="AC1119" s="97">
        <v>101.46</v>
      </c>
      <c r="AD1119" s="97"/>
      <c r="AE1119" s="97">
        <v>1.2625980000000001</v>
      </c>
      <c r="AF1119" s="96"/>
      <c r="AG1119" s="96"/>
      <c r="AH1119" s="96"/>
      <c r="AI1119" s="98">
        <v>3.0000000000000001E-6</v>
      </c>
      <c r="AJ1119" s="98">
        <v>1.9599999999999999E-4</v>
      </c>
      <c r="AK1119" s="98">
        <v>7.4999999999999993E-5</v>
      </c>
      <c r="AL1119" s="106"/>
    </row>
    <row r="1120" spans="1:38" ht="15" customHeight="1">
      <c r="A1120" s="106"/>
      <c r="B1120" s="96">
        <v>286</v>
      </c>
      <c r="C1120" s="96">
        <v>9803</v>
      </c>
      <c r="D1120" s="96" t="s">
        <v>1203</v>
      </c>
      <c r="E1120" s="96">
        <v>520000118</v>
      </c>
      <c r="F1120" s="96" t="s">
        <v>308</v>
      </c>
      <c r="G1120" s="96" t="s">
        <v>2015</v>
      </c>
      <c r="H1120" s="96" t="s">
        <v>2016</v>
      </c>
      <c r="I1120" s="96" t="s">
        <v>320</v>
      </c>
      <c r="J1120" s="96" t="s">
        <v>753</v>
      </c>
      <c r="K1120" s="96" t="s">
        <v>203</v>
      </c>
      <c r="L1120" s="96" t="s">
        <v>203</v>
      </c>
      <c r="M1120" s="96" t="s">
        <v>324</v>
      </c>
      <c r="N1120" s="96" t="s">
        <v>339</v>
      </c>
      <c r="O1120" s="96" t="s">
        <v>447</v>
      </c>
      <c r="P1120" s="96" t="s">
        <v>338</v>
      </c>
      <c r="Q1120" s="96" t="s">
        <v>1332</v>
      </c>
      <c r="R1120" s="96" t="s">
        <v>412</v>
      </c>
      <c r="S1120" s="96" t="s">
        <v>406</v>
      </c>
      <c r="T1120" s="96" t="s">
        <v>1200</v>
      </c>
      <c r="U1120" s="97">
        <v>0.76</v>
      </c>
      <c r="V1120" s="100">
        <v>45750</v>
      </c>
      <c r="W1120" s="98">
        <v>2.0199999999999999E-2</v>
      </c>
      <c r="X1120" s="98">
        <v>3.5499999999999997E-2</v>
      </c>
      <c r="Y1120" s="96" t="s">
        <v>410</v>
      </c>
      <c r="Z1120" s="96"/>
      <c r="AA1120" s="97">
        <v>47288.768519999998</v>
      </c>
      <c r="AB1120" s="97">
        <v>1</v>
      </c>
      <c r="AC1120" s="97">
        <v>112.81</v>
      </c>
      <c r="AD1120" s="97"/>
      <c r="AE1120" s="97">
        <v>53.346459000000003</v>
      </c>
      <c r="AF1120" s="96"/>
      <c r="AG1120" s="96"/>
      <c r="AH1120" s="96"/>
      <c r="AI1120" s="98">
        <v>4.3999999999999999E-5</v>
      </c>
      <c r="AJ1120" s="98">
        <v>8.2970000000000006E-3</v>
      </c>
      <c r="AK1120" s="98">
        <v>3.199E-3</v>
      </c>
      <c r="AL1120" s="106"/>
    </row>
    <row r="1121" spans="1:38" ht="15" customHeight="1">
      <c r="A1121" s="106"/>
      <c r="B1121" s="96">
        <v>286</v>
      </c>
      <c r="C1121" s="96">
        <v>9803</v>
      </c>
      <c r="D1121" s="96" t="s">
        <v>1484</v>
      </c>
      <c r="E1121" s="96">
        <v>520036617</v>
      </c>
      <c r="F1121" s="96" t="s">
        <v>308</v>
      </c>
      <c r="G1121" s="96" t="s">
        <v>1810</v>
      </c>
      <c r="H1121" s="96" t="s">
        <v>1811</v>
      </c>
      <c r="I1121" s="96" t="s">
        <v>320</v>
      </c>
      <c r="J1121" s="96" t="s">
        <v>753</v>
      </c>
      <c r="K1121" s="96" t="s">
        <v>203</v>
      </c>
      <c r="L1121" s="96" t="s">
        <v>203</v>
      </c>
      <c r="M1121" s="96" t="s">
        <v>324</v>
      </c>
      <c r="N1121" s="96" t="s">
        <v>339</v>
      </c>
      <c r="O1121" s="96" t="s">
        <v>463</v>
      </c>
      <c r="P1121" s="96" t="s">
        <v>338</v>
      </c>
      <c r="Q1121" s="96" t="s">
        <v>1320</v>
      </c>
      <c r="R1121" s="96" t="s">
        <v>412</v>
      </c>
      <c r="S1121" s="96" t="s">
        <v>406</v>
      </c>
      <c r="T1121" s="96" t="s">
        <v>1200</v>
      </c>
      <c r="U1121" s="97">
        <v>3.68</v>
      </c>
      <c r="V1121" s="100">
        <v>47056</v>
      </c>
      <c r="W1121" s="98">
        <v>1.83E-2</v>
      </c>
      <c r="X1121" s="98">
        <v>3.1600000000000003E-2</v>
      </c>
      <c r="Y1121" s="96" t="s">
        <v>411</v>
      </c>
      <c r="Z1121" s="96"/>
      <c r="AA1121" s="97">
        <v>1050.2860169999999</v>
      </c>
      <c r="AB1121" s="97">
        <v>1</v>
      </c>
      <c r="AC1121" s="97">
        <v>108.49</v>
      </c>
      <c r="AD1121" s="97"/>
      <c r="AE1121" s="97">
        <v>1.1394550000000001</v>
      </c>
      <c r="AF1121" s="96"/>
      <c r="AG1121" s="96"/>
      <c r="AH1121" s="96"/>
      <c r="AI1121" s="98">
        <v>5.0000000000000004E-6</v>
      </c>
      <c r="AJ1121" s="98">
        <v>1.7699999999999999E-4</v>
      </c>
      <c r="AK1121" s="98">
        <v>6.7999999999999999E-5</v>
      </c>
      <c r="AL1121" s="106"/>
    </row>
    <row r="1122" spans="1:38" ht="15" customHeight="1">
      <c r="A1122" s="106"/>
      <c r="B1122" s="96">
        <v>286</v>
      </c>
      <c r="C1122" s="96">
        <v>9803</v>
      </c>
      <c r="D1122" s="96" t="s">
        <v>1901</v>
      </c>
      <c r="E1122" s="96">
        <v>520038688</v>
      </c>
      <c r="F1122" s="96" t="s">
        <v>308</v>
      </c>
      <c r="G1122" s="96" t="s">
        <v>1902</v>
      </c>
      <c r="H1122" s="96" t="s">
        <v>1903</v>
      </c>
      <c r="I1122" s="96" t="s">
        <v>320</v>
      </c>
      <c r="J1122" s="96" t="s">
        <v>952</v>
      </c>
      <c r="K1122" s="96" t="s">
        <v>203</v>
      </c>
      <c r="L1122" s="96" t="s">
        <v>203</v>
      </c>
      <c r="M1122" s="96" t="s">
        <v>324</v>
      </c>
      <c r="N1122" s="96" t="s">
        <v>339</v>
      </c>
      <c r="O1122" s="96" t="s">
        <v>446</v>
      </c>
      <c r="P1122" s="96" t="s">
        <v>338</v>
      </c>
      <c r="Q1122" s="96" t="s">
        <v>409</v>
      </c>
      <c r="R1122" s="96" t="s">
        <v>409</v>
      </c>
      <c r="S1122" s="96" t="s">
        <v>409</v>
      </c>
      <c r="T1122" s="96" t="s">
        <v>1200</v>
      </c>
      <c r="U1122" s="97">
        <v>0.17</v>
      </c>
      <c r="V1122" s="100">
        <v>45536</v>
      </c>
      <c r="W1122" s="98">
        <v>9.4E-2</v>
      </c>
      <c r="X1122" s="98">
        <v>5.8599999999999999E-2</v>
      </c>
      <c r="Y1122" s="96" t="s">
        <v>411</v>
      </c>
      <c r="Z1122" s="96"/>
      <c r="AA1122" s="97">
        <v>5395.9841040000001</v>
      </c>
      <c r="AB1122" s="97">
        <v>1</v>
      </c>
      <c r="AC1122" s="97">
        <v>102.14</v>
      </c>
      <c r="AD1122" s="97"/>
      <c r="AE1122" s="97">
        <v>5.5114580000000002</v>
      </c>
      <c r="AF1122" s="96"/>
      <c r="AG1122" s="96"/>
      <c r="AH1122" s="96"/>
      <c r="AI1122" s="98">
        <v>3.1999999999999999E-5</v>
      </c>
      <c r="AJ1122" s="98">
        <v>8.5700000000000001E-4</v>
      </c>
      <c r="AK1122" s="98">
        <v>3.3E-4</v>
      </c>
      <c r="AL1122" s="106"/>
    </row>
    <row r="1123" spans="1:38" ht="15" customHeight="1">
      <c r="A1123" s="106"/>
      <c r="B1123" s="96">
        <v>286</v>
      </c>
      <c r="C1123" s="96">
        <v>9803</v>
      </c>
      <c r="D1123" s="96" t="s">
        <v>1658</v>
      </c>
      <c r="E1123" s="96">
        <v>520038506</v>
      </c>
      <c r="F1123" s="96" t="s">
        <v>308</v>
      </c>
      <c r="G1123" s="96" t="s">
        <v>1659</v>
      </c>
      <c r="H1123" s="96" t="s">
        <v>1660</v>
      </c>
      <c r="I1123" s="96" t="s">
        <v>320</v>
      </c>
      <c r="J1123" s="96" t="s">
        <v>952</v>
      </c>
      <c r="K1123" s="96" t="s">
        <v>203</v>
      </c>
      <c r="L1123" s="96" t="s">
        <v>203</v>
      </c>
      <c r="M1123" s="96" t="s">
        <v>324</v>
      </c>
      <c r="N1123" s="96" t="s">
        <v>339</v>
      </c>
      <c r="O1123" s="96" t="s">
        <v>463</v>
      </c>
      <c r="P1123" s="96" t="s">
        <v>337</v>
      </c>
      <c r="Q1123" s="96" t="s">
        <v>1305</v>
      </c>
      <c r="R1123" s="96" t="s">
        <v>414</v>
      </c>
      <c r="S1123" s="96" t="s">
        <v>406</v>
      </c>
      <c r="T1123" s="96" t="s">
        <v>1200</v>
      </c>
      <c r="U1123" s="97">
        <v>1.56</v>
      </c>
      <c r="V1123" s="100">
        <v>46446</v>
      </c>
      <c r="W1123" s="98">
        <v>6.7400000000000002E-2</v>
      </c>
      <c r="X1123" s="98">
        <v>6.4100000000000004E-2</v>
      </c>
      <c r="Y1123" s="96" t="s">
        <v>411</v>
      </c>
      <c r="Z1123" s="96"/>
      <c r="AA1123" s="97">
        <v>2497.0001560000001</v>
      </c>
      <c r="AB1123" s="97">
        <v>1</v>
      </c>
      <c r="AC1123" s="97">
        <v>101.32</v>
      </c>
      <c r="AD1123" s="97"/>
      <c r="AE1123" s="97">
        <v>2.52996</v>
      </c>
      <c r="AF1123" s="96"/>
      <c r="AG1123" s="96"/>
      <c r="AH1123" s="96"/>
      <c r="AI1123" s="98">
        <v>1.9999999999999999E-6</v>
      </c>
      <c r="AJ1123" s="98">
        <v>3.9300000000000001E-4</v>
      </c>
      <c r="AK1123" s="98">
        <v>1.5100000000000001E-4</v>
      </c>
      <c r="AL1123" s="106"/>
    </row>
    <row r="1124" spans="1:38" ht="15" customHeight="1">
      <c r="A1124" s="106"/>
      <c r="B1124" s="96">
        <v>286</v>
      </c>
      <c r="C1124" s="96">
        <v>9803</v>
      </c>
      <c r="D1124" s="96" t="s">
        <v>1203</v>
      </c>
      <c r="E1124" s="96">
        <v>520000118</v>
      </c>
      <c r="F1124" s="96" t="s">
        <v>308</v>
      </c>
      <c r="G1124" s="96" t="s">
        <v>1470</v>
      </c>
      <c r="H1124" s="96" t="s">
        <v>1471</v>
      </c>
      <c r="I1124" s="96" t="s">
        <v>320</v>
      </c>
      <c r="J1124" s="96" t="s">
        <v>753</v>
      </c>
      <c r="K1124" s="96" t="s">
        <v>203</v>
      </c>
      <c r="L1124" s="96" t="s">
        <v>203</v>
      </c>
      <c r="M1124" s="96" t="s">
        <v>324</v>
      </c>
      <c r="N1124" s="96" t="s">
        <v>339</v>
      </c>
      <c r="O1124" s="96" t="s">
        <v>447</v>
      </c>
      <c r="P1124" s="96" t="s">
        <v>338</v>
      </c>
      <c r="Q1124" s="96" t="s">
        <v>1211</v>
      </c>
      <c r="R1124" s="96" t="s">
        <v>414</v>
      </c>
      <c r="S1124" s="96" t="s">
        <v>406</v>
      </c>
      <c r="T1124" s="96" t="s">
        <v>1200</v>
      </c>
      <c r="U1124" s="97">
        <v>4.16</v>
      </c>
      <c r="V1124" s="100">
        <v>48547</v>
      </c>
      <c r="W1124" s="98">
        <v>1.3899999999999999E-2</v>
      </c>
      <c r="X1124" s="98">
        <v>2.5100000000000001E-2</v>
      </c>
      <c r="Y1124" s="96" t="s">
        <v>411</v>
      </c>
      <c r="Z1124" s="96"/>
      <c r="AA1124" s="97">
        <v>20951.113852999999</v>
      </c>
      <c r="AB1124" s="97">
        <v>1</v>
      </c>
      <c r="AC1124" s="97">
        <v>101.46</v>
      </c>
      <c r="AD1124" s="97"/>
      <c r="AE1124" s="97">
        <v>21.257000000000001</v>
      </c>
      <c r="AF1124" s="96"/>
      <c r="AG1124" s="96"/>
      <c r="AH1124" s="96"/>
      <c r="AI1124" s="98">
        <v>1.1E-5</v>
      </c>
      <c r="AJ1124" s="98">
        <v>3.3059999999999999E-3</v>
      </c>
      <c r="AK1124" s="98">
        <v>1.274E-3</v>
      </c>
      <c r="AL1124" s="106"/>
    </row>
    <row r="1125" spans="1:38" ht="15" customHeight="1">
      <c r="A1125" s="106"/>
      <c r="B1125" s="96">
        <v>286</v>
      </c>
      <c r="C1125" s="96">
        <v>9803</v>
      </c>
      <c r="D1125" s="96" t="s">
        <v>1340</v>
      </c>
      <c r="E1125" s="96">
        <v>520036658</v>
      </c>
      <c r="F1125" s="96" t="s">
        <v>308</v>
      </c>
      <c r="G1125" s="96" t="s">
        <v>1341</v>
      </c>
      <c r="H1125" s="96" t="s">
        <v>1342</v>
      </c>
      <c r="I1125" s="96" t="s">
        <v>320</v>
      </c>
      <c r="J1125" s="96" t="s">
        <v>952</v>
      </c>
      <c r="K1125" s="96" t="s">
        <v>203</v>
      </c>
      <c r="L1125" s="96" t="s">
        <v>203</v>
      </c>
      <c r="M1125" s="96" t="s">
        <v>324</v>
      </c>
      <c r="N1125" s="96" t="s">
        <v>339</v>
      </c>
      <c r="O1125" s="96" t="s">
        <v>439</v>
      </c>
      <c r="P1125" s="96" t="s">
        <v>338</v>
      </c>
      <c r="Q1125" s="96" t="s">
        <v>1320</v>
      </c>
      <c r="R1125" s="96" t="s">
        <v>412</v>
      </c>
      <c r="S1125" s="96" t="s">
        <v>406</v>
      </c>
      <c r="T1125" s="96" t="s">
        <v>1200</v>
      </c>
      <c r="U1125" s="97">
        <v>3.35</v>
      </c>
      <c r="V1125" s="100">
        <v>47386</v>
      </c>
      <c r="W1125" s="98">
        <v>0.05</v>
      </c>
      <c r="X1125" s="98">
        <v>6.3E-2</v>
      </c>
      <c r="Y1125" s="96" t="s">
        <v>411</v>
      </c>
      <c r="Z1125" s="96"/>
      <c r="AA1125" s="97">
        <v>2995.896401</v>
      </c>
      <c r="AB1125" s="97">
        <v>1</v>
      </c>
      <c r="AC1125" s="97">
        <v>97.4</v>
      </c>
      <c r="AD1125" s="97"/>
      <c r="AE1125" s="97">
        <v>2.9180030000000001</v>
      </c>
      <c r="AF1125" s="96"/>
      <c r="AG1125" s="96"/>
      <c r="AH1125" s="96"/>
      <c r="AI1125" s="98">
        <v>1.9999999999999999E-6</v>
      </c>
      <c r="AJ1125" s="98">
        <v>4.5300000000000001E-4</v>
      </c>
      <c r="AK1125" s="98">
        <v>1.74E-4</v>
      </c>
      <c r="AL1125" s="106"/>
    </row>
    <row r="1126" spans="1:38" ht="15" customHeight="1">
      <c r="A1126" s="106"/>
      <c r="B1126" s="96">
        <v>286</v>
      </c>
      <c r="C1126" s="96">
        <v>9803</v>
      </c>
      <c r="D1126" s="96" t="s">
        <v>1648</v>
      </c>
      <c r="E1126" s="96">
        <v>515846558</v>
      </c>
      <c r="F1126" s="96" t="s">
        <v>308</v>
      </c>
      <c r="G1126" s="96" t="s">
        <v>1853</v>
      </c>
      <c r="H1126" s="96" t="s">
        <v>1650</v>
      </c>
      <c r="I1126" s="96" t="s">
        <v>320</v>
      </c>
      <c r="J1126" s="96" t="s">
        <v>753</v>
      </c>
      <c r="K1126" s="96" t="s">
        <v>203</v>
      </c>
      <c r="L1126" s="96" t="s">
        <v>203</v>
      </c>
      <c r="M1126" s="96" t="s">
        <v>326</v>
      </c>
      <c r="N1126" s="96" t="s">
        <v>339</v>
      </c>
      <c r="O1126" s="96" t="s">
        <v>450</v>
      </c>
      <c r="P1126" s="96" t="s">
        <v>337</v>
      </c>
      <c r="Q1126" s="96" t="s">
        <v>1320</v>
      </c>
      <c r="R1126" s="96" t="s">
        <v>412</v>
      </c>
      <c r="S1126" s="96" t="s">
        <v>406</v>
      </c>
      <c r="T1126" s="96" t="s">
        <v>1200</v>
      </c>
      <c r="U1126" s="97">
        <v>4.38</v>
      </c>
      <c r="V1126" s="100">
        <v>48852</v>
      </c>
      <c r="W1126" s="98">
        <v>7.4999999999999997E-3</v>
      </c>
      <c r="X1126" s="98">
        <v>4.0099999999999997E-2</v>
      </c>
      <c r="Y1126" s="96" t="s">
        <v>411</v>
      </c>
      <c r="Z1126" s="96"/>
      <c r="AA1126" s="97">
        <v>1107.145655</v>
      </c>
      <c r="AB1126" s="97">
        <v>1</v>
      </c>
      <c r="AC1126" s="97">
        <v>95.738699999999994</v>
      </c>
      <c r="AD1126" s="97"/>
      <c r="AE1126" s="97">
        <v>1.0599670000000001</v>
      </c>
      <c r="AF1126" s="96"/>
      <c r="AG1126" s="96"/>
      <c r="AH1126" s="96"/>
      <c r="AI1126" s="98">
        <v>9.9999999999999995E-7</v>
      </c>
      <c r="AJ1126" s="98">
        <v>1.64E-4</v>
      </c>
      <c r="AK1126" s="98">
        <v>6.3E-5</v>
      </c>
      <c r="AL1126" s="106"/>
    </row>
    <row r="1127" spans="1:38" ht="15" customHeight="1">
      <c r="A1127" s="106"/>
      <c r="B1127" s="96">
        <v>286</v>
      </c>
      <c r="C1127" s="96">
        <v>9803</v>
      </c>
      <c r="D1127" s="96" t="s">
        <v>1710</v>
      </c>
      <c r="E1127" s="96">
        <v>520034372</v>
      </c>
      <c r="F1127" s="96" t="s">
        <v>308</v>
      </c>
      <c r="G1127" s="96" t="s">
        <v>1807</v>
      </c>
      <c r="H1127" s="96" t="s">
        <v>1808</v>
      </c>
      <c r="I1127" s="96" t="s">
        <v>320</v>
      </c>
      <c r="J1127" s="96" t="s">
        <v>753</v>
      </c>
      <c r="K1127" s="96" t="s">
        <v>203</v>
      </c>
      <c r="L1127" s="96" t="s">
        <v>203</v>
      </c>
      <c r="M1127" s="96" t="s">
        <v>324</v>
      </c>
      <c r="N1127" s="96" t="s">
        <v>339</v>
      </c>
      <c r="O1127" s="96" t="s">
        <v>476</v>
      </c>
      <c r="P1127" s="96" t="s">
        <v>338</v>
      </c>
      <c r="Q1127" s="96" t="s">
        <v>1313</v>
      </c>
      <c r="R1127" s="96" t="s">
        <v>412</v>
      </c>
      <c r="S1127" s="96" t="s">
        <v>406</v>
      </c>
      <c r="T1127" s="96" t="s">
        <v>1200</v>
      </c>
      <c r="U1127" s="97">
        <v>1.08</v>
      </c>
      <c r="V1127" s="100">
        <v>46193</v>
      </c>
      <c r="W1127" s="98">
        <v>1.7999999999999999E-2</v>
      </c>
      <c r="X1127" s="98">
        <v>3.09E-2</v>
      </c>
      <c r="Y1127" s="96" t="s">
        <v>411</v>
      </c>
      <c r="Z1127" s="96"/>
      <c r="AA1127" s="97">
        <v>27725.950786000001</v>
      </c>
      <c r="AB1127" s="97">
        <v>1</v>
      </c>
      <c r="AC1127" s="97">
        <v>112.65</v>
      </c>
      <c r="AD1127" s="97"/>
      <c r="AE1127" s="97">
        <v>31.233283</v>
      </c>
      <c r="AF1127" s="96"/>
      <c r="AG1127" s="96"/>
      <c r="AH1127" s="96"/>
      <c r="AI1127" s="98">
        <v>4.1999999999999998E-5</v>
      </c>
      <c r="AJ1127" s="98">
        <v>4.8570000000000002E-3</v>
      </c>
      <c r="AK1127" s="98">
        <v>1.8730000000000001E-3</v>
      </c>
      <c r="AL1127" s="106"/>
    </row>
    <row r="1128" spans="1:38" ht="15" customHeight="1">
      <c r="A1128" s="106"/>
      <c r="B1128" s="96">
        <v>286</v>
      </c>
      <c r="C1128" s="96">
        <v>9803</v>
      </c>
      <c r="D1128" s="96" t="s">
        <v>1298</v>
      </c>
      <c r="E1128" s="96">
        <v>510960719</v>
      </c>
      <c r="F1128" s="96" t="s">
        <v>308</v>
      </c>
      <c r="G1128" s="96" t="s">
        <v>1299</v>
      </c>
      <c r="H1128" s="96" t="s">
        <v>1300</v>
      </c>
      <c r="I1128" s="96" t="s">
        <v>320</v>
      </c>
      <c r="J1128" s="96" t="s">
        <v>753</v>
      </c>
      <c r="K1128" s="96" t="s">
        <v>203</v>
      </c>
      <c r="L1128" s="96" t="s">
        <v>203</v>
      </c>
      <c r="M1128" s="96" t="s">
        <v>324</v>
      </c>
      <c r="N1128" s="96" t="s">
        <v>339</v>
      </c>
      <c r="O1128" s="96" t="s">
        <v>463</v>
      </c>
      <c r="P1128" s="96" t="s">
        <v>338</v>
      </c>
      <c r="Q1128" s="96" t="s">
        <v>1301</v>
      </c>
      <c r="R1128" s="96" t="s">
        <v>414</v>
      </c>
      <c r="S1128" s="96" t="s">
        <v>406</v>
      </c>
      <c r="T1128" s="96" t="s">
        <v>1200</v>
      </c>
      <c r="U1128" s="97">
        <v>3.14</v>
      </c>
      <c r="V1128" s="100">
        <v>47669</v>
      </c>
      <c r="W1128" s="98">
        <v>1.34E-2</v>
      </c>
      <c r="X1128" s="98">
        <v>2.7799999999999998E-2</v>
      </c>
      <c r="Y1128" s="96" t="s">
        <v>411</v>
      </c>
      <c r="Z1128" s="96"/>
      <c r="AA1128" s="97">
        <v>61975.834329999998</v>
      </c>
      <c r="AB1128" s="97">
        <v>1</v>
      </c>
      <c r="AC1128" s="97">
        <v>110</v>
      </c>
      <c r="AD1128" s="97">
        <v>5.9400219999999999</v>
      </c>
      <c r="AE1128" s="97">
        <v>74.113439</v>
      </c>
      <c r="AF1128" s="96"/>
      <c r="AG1128" s="96"/>
      <c r="AH1128" s="96"/>
      <c r="AI1128" s="98">
        <v>2.3E-5</v>
      </c>
      <c r="AJ1128" s="98">
        <v>1.1526E-2</v>
      </c>
      <c r="AK1128" s="98">
        <v>4.444E-3</v>
      </c>
      <c r="AL1128" s="106"/>
    </row>
    <row r="1129" spans="1:38" ht="15" customHeight="1">
      <c r="A1129" s="106"/>
      <c r="B1129" s="96">
        <v>286</v>
      </c>
      <c r="C1129" s="96">
        <v>9803</v>
      </c>
      <c r="D1129" s="96" t="s">
        <v>1585</v>
      </c>
      <c r="E1129" s="96"/>
      <c r="F1129" s="96" t="s">
        <v>308</v>
      </c>
      <c r="G1129" s="96" t="s">
        <v>1586</v>
      </c>
      <c r="H1129" s="96" t="s">
        <v>1587</v>
      </c>
      <c r="I1129" s="96" t="s">
        <v>320</v>
      </c>
      <c r="J1129" s="96" t="s">
        <v>753</v>
      </c>
      <c r="K1129" s="96" t="s">
        <v>203</v>
      </c>
      <c r="L1129" s="96" t="s">
        <v>203</v>
      </c>
      <c r="M1129" s="96" t="s">
        <v>324</v>
      </c>
      <c r="N1129" s="96" t="s">
        <v>339</v>
      </c>
      <c r="O1129" s="96" t="s">
        <v>464</v>
      </c>
      <c r="P1129" s="96" t="s">
        <v>338</v>
      </c>
      <c r="Q1129" s="96" t="s">
        <v>1520</v>
      </c>
      <c r="R1129" s="96" t="s">
        <v>414</v>
      </c>
      <c r="S1129" s="96" t="s">
        <v>406</v>
      </c>
      <c r="T1129" s="96" t="s">
        <v>1200</v>
      </c>
      <c r="U1129" s="97">
        <v>4.28</v>
      </c>
      <c r="V1129" s="100">
        <v>47938</v>
      </c>
      <c r="W1129" s="98">
        <v>4.3E-3</v>
      </c>
      <c r="X1129" s="98">
        <v>4.48E-2</v>
      </c>
      <c r="Y1129" s="96" t="s">
        <v>411</v>
      </c>
      <c r="Z1129" s="96"/>
      <c r="AA1129" s="97">
        <v>878.59697100000005</v>
      </c>
      <c r="AB1129" s="97">
        <v>1</v>
      </c>
      <c r="AC1129" s="97">
        <v>93.5</v>
      </c>
      <c r="AD1129" s="97"/>
      <c r="AE1129" s="97">
        <v>0.821488</v>
      </c>
      <c r="AF1129" s="96"/>
      <c r="AG1129" s="96"/>
      <c r="AH1129" s="96"/>
      <c r="AI1129" s="98">
        <v>9.9999999999999995E-7</v>
      </c>
      <c r="AJ1129" s="98">
        <v>1.27E-4</v>
      </c>
      <c r="AK1129" s="98">
        <v>4.8999999999999998E-5</v>
      </c>
      <c r="AL1129" s="106"/>
    </row>
    <row r="1130" spans="1:38" ht="15" customHeight="1">
      <c r="A1130" s="106"/>
      <c r="B1130" s="96">
        <v>286</v>
      </c>
      <c r="C1130" s="96">
        <v>9803</v>
      </c>
      <c r="D1130" s="96" t="s">
        <v>1343</v>
      </c>
      <c r="E1130" s="96">
        <v>514290345</v>
      </c>
      <c r="F1130" s="96" t="s">
        <v>308</v>
      </c>
      <c r="G1130" s="96" t="s">
        <v>1849</v>
      </c>
      <c r="H1130" s="96" t="s">
        <v>1850</v>
      </c>
      <c r="I1130" s="96" t="s">
        <v>320</v>
      </c>
      <c r="J1130" s="96" t="s">
        <v>952</v>
      </c>
      <c r="K1130" s="96" t="s">
        <v>203</v>
      </c>
      <c r="L1130" s="96" t="s">
        <v>203</v>
      </c>
      <c r="M1130" s="96" t="s">
        <v>324</v>
      </c>
      <c r="N1130" s="96" t="s">
        <v>339</v>
      </c>
      <c r="O1130" s="96" t="s">
        <v>444</v>
      </c>
      <c r="P1130" s="96" t="s">
        <v>338</v>
      </c>
      <c r="Q1130" s="96" t="s">
        <v>1305</v>
      </c>
      <c r="R1130" s="96" t="s">
        <v>414</v>
      </c>
      <c r="S1130" s="96" t="s">
        <v>406</v>
      </c>
      <c r="T1130" s="96" t="s">
        <v>1200</v>
      </c>
      <c r="U1130" s="97">
        <v>1.06</v>
      </c>
      <c r="V1130" s="100">
        <v>45869</v>
      </c>
      <c r="W1130" s="98">
        <v>3.61E-2</v>
      </c>
      <c r="X1130" s="98">
        <v>5.11E-2</v>
      </c>
      <c r="Y1130" s="96" t="s">
        <v>411</v>
      </c>
      <c r="Z1130" s="96"/>
      <c r="AA1130" s="97">
        <v>646.79260299999999</v>
      </c>
      <c r="AB1130" s="97">
        <v>1</v>
      </c>
      <c r="AC1130" s="97">
        <v>100.01</v>
      </c>
      <c r="AD1130" s="97"/>
      <c r="AE1130" s="97">
        <v>0.64685700000000002</v>
      </c>
      <c r="AF1130" s="96"/>
      <c r="AG1130" s="96"/>
      <c r="AH1130" s="96"/>
      <c r="AI1130" s="98">
        <v>0</v>
      </c>
      <c r="AJ1130" s="98">
        <v>1E-4</v>
      </c>
      <c r="AK1130" s="98">
        <v>3.8000000000000002E-5</v>
      </c>
      <c r="AL1130" s="106"/>
    </row>
    <row r="1131" spans="1:38" ht="15" customHeight="1">
      <c r="A1131" s="106"/>
      <c r="B1131" s="96">
        <v>286</v>
      </c>
      <c r="C1131" s="96">
        <v>9803</v>
      </c>
      <c r="D1131" s="96" t="s">
        <v>1406</v>
      </c>
      <c r="E1131" s="96">
        <v>520025586</v>
      </c>
      <c r="F1131" s="96" t="s">
        <v>308</v>
      </c>
      <c r="G1131" s="96" t="s">
        <v>1407</v>
      </c>
      <c r="H1131" s="96" t="s">
        <v>1408</v>
      </c>
      <c r="I1131" s="96" t="s">
        <v>320</v>
      </c>
      <c r="J1131" s="96" t="s">
        <v>753</v>
      </c>
      <c r="K1131" s="96" t="s">
        <v>203</v>
      </c>
      <c r="L1131" s="96" t="s">
        <v>203</v>
      </c>
      <c r="M1131" s="96" t="s">
        <v>332</v>
      </c>
      <c r="N1131" s="96" t="s">
        <v>339</v>
      </c>
      <c r="O1131" s="96" t="s">
        <v>450</v>
      </c>
      <c r="P1131" s="96" t="s">
        <v>338</v>
      </c>
      <c r="Q1131" s="96" t="s">
        <v>409</v>
      </c>
      <c r="R1131" s="96" t="s">
        <v>409</v>
      </c>
      <c r="S1131" s="96" t="s">
        <v>409</v>
      </c>
      <c r="T1131" s="96" t="s">
        <v>1200</v>
      </c>
      <c r="U1131" s="97">
        <v>3.02</v>
      </c>
      <c r="V1131" s="100">
        <v>46934</v>
      </c>
      <c r="W1131" s="98">
        <v>3.6999999999999998E-2</v>
      </c>
      <c r="X1131" s="98">
        <v>4.7500000000000001E-2</v>
      </c>
      <c r="Y1131" s="96" t="s">
        <v>411</v>
      </c>
      <c r="Z1131" s="96"/>
      <c r="AA1131" s="97">
        <v>676.16854699999999</v>
      </c>
      <c r="AB1131" s="97">
        <v>1</v>
      </c>
      <c r="AC1131" s="97">
        <v>110.24</v>
      </c>
      <c r="AD1131" s="97"/>
      <c r="AE1131" s="97">
        <v>0.74540799999999996</v>
      </c>
      <c r="AF1131" s="96"/>
      <c r="AG1131" s="96"/>
      <c r="AH1131" s="96"/>
      <c r="AI1131" s="98">
        <v>0</v>
      </c>
      <c r="AJ1131" s="98">
        <v>1.15E-4</v>
      </c>
      <c r="AK1131" s="98">
        <v>4.3999999999999999E-5</v>
      </c>
      <c r="AL1131" s="106"/>
    </row>
    <row r="1132" spans="1:38" ht="15" customHeight="1">
      <c r="A1132" s="106"/>
      <c r="B1132" s="96">
        <v>286</v>
      </c>
      <c r="C1132" s="96">
        <v>9803</v>
      </c>
      <c r="D1132" s="96" t="s">
        <v>1414</v>
      </c>
      <c r="E1132" s="96">
        <v>520037789</v>
      </c>
      <c r="F1132" s="96" t="s">
        <v>308</v>
      </c>
      <c r="G1132" s="96" t="s">
        <v>1753</v>
      </c>
      <c r="H1132" s="96" t="s">
        <v>1754</v>
      </c>
      <c r="I1132" s="96" t="s">
        <v>320</v>
      </c>
      <c r="J1132" s="96" t="s">
        <v>753</v>
      </c>
      <c r="K1132" s="96" t="s">
        <v>203</v>
      </c>
      <c r="L1132" s="96" t="s">
        <v>203</v>
      </c>
      <c r="M1132" s="96" t="s">
        <v>324</v>
      </c>
      <c r="N1132" s="96" t="s">
        <v>339</v>
      </c>
      <c r="O1132" s="96" t="s">
        <v>463</v>
      </c>
      <c r="P1132" s="96" t="s">
        <v>337</v>
      </c>
      <c r="Q1132" s="96" t="s">
        <v>1313</v>
      </c>
      <c r="R1132" s="96" t="s">
        <v>412</v>
      </c>
      <c r="S1132" s="96" t="s">
        <v>406</v>
      </c>
      <c r="T1132" s="96" t="s">
        <v>1200</v>
      </c>
      <c r="U1132" s="97">
        <v>3.8</v>
      </c>
      <c r="V1132" s="100">
        <v>46935</v>
      </c>
      <c r="W1132" s="98">
        <v>6.4999999999999997E-3</v>
      </c>
      <c r="X1132" s="98">
        <v>2.75E-2</v>
      </c>
      <c r="Y1132" s="96" t="s">
        <v>411</v>
      </c>
      <c r="Z1132" s="96"/>
      <c r="AA1132" s="97">
        <v>19214.250612</v>
      </c>
      <c r="AB1132" s="97">
        <v>1</v>
      </c>
      <c r="AC1132" s="97">
        <v>104.76</v>
      </c>
      <c r="AD1132" s="97">
        <v>0.23924000000000001</v>
      </c>
      <c r="AE1132" s="97">
        <v>20.368088</v>
      </c>
      <c r="AF1132" s="96"/>
      <c r="AG1132" s="96"/>
      <c r="AH1132" s="96"/>
      <c r="AI1132" s="98">
        <v>3.8000000000000002E-5</v>
      </c>
      <c r="AJ1132" s="98">
        <v>3.1670000000000001E-3</v>
      </c>
      <c r="AK1132" s="98">
        <v>1.2210000000000001E-3</v>
      </c>
      <c r="AL1132" s="106"/>
    </row>
    <row r="1133" spans="1:38" ht="15" customHeight="1">
      <c r="A1133" s="106"/>
      <c r="B1133" s="96">
        <v>286</v>
      </c>
      <c r="C1133" s="96">
        <v>9803</v>
      </c>
      <c r="D1133" s="96" t="s">
        <v>1477</v>
      </c>
      <c r="E1133" s="96">
        <v>520029935</v>
      </c>
      <c r="F1133" s="96" t="s">
        <v>308</v>
      </c>
      <c r="G1133" s="96" t="s">
        <v>2035</v>
      </c>
      <c r="H1133" s="96" t="s">
        <v>2036</v>
      </c>
      <c r="I1133" s="96" t="s">
        <v>320</v>
      </c>
      <c r="J1133" s="96" t="s">
        <v>753</v>
      </c>
      <c r="K1133" s="96" t="s">
        <v>203</v>
      </c>
      <c r="L1133" s="96" t="s">
        <v>203</v>
      </c>
      <c r="M1133" s="96" t="s">
        <v>324</v>
      </c>
      <c r="N1133" s="96" t="s">
        <v>339</v>
      </c>
      <c r="O1133" s="96" t="s">
        <v>447</v>
      </c>
      <c r="P1133" s="96" t="s">
        <v>338</v>
      </c>
      <c r="Q1133" s="96" t="s">
        <v>1211</v>
      </c>
      <c r="R1133" s="96" t="s">
        <v>414</v>
      </c>
      <c r="S1133" s="96" t="s">
        <v>406</v>
      </c>
      <c r="T1133" s="96" t="s">
        <v>1200</v>
      </c>
      <c r="U1133" s="97">
        <v>3.96</v>
      </c>
      <c r="V1133" s="100">
        <v>48441</v>
      </c>
      <c r="W1133" s="98">
        <v>2E-3</v>
      </c>
      <c r="X1133" s="98">
        <v>2.58E-2</v>
      </c>
      <c r="Y1133" s="96" t="s">
        <v>411</v>
      </c>
      <c r="Z1133" s="96"/>
      <c r="AA1133" s="97">
        <v>75437.277889999998</v>
      </c>
      <c r="AB1133" s="97">
        <v>1</v>
      </c>
      <c r="AC1133" s="97">
        <v>100.85</v>
      </c>
      <c r="AD1133" s="97"/>
      <c r="AE1133" s="97">
        <v>76.078494000000006</v>
      </c>
      <c r="AF1133" s="96"/>
      <c r="AG1133" s="96"/>
      <c r="AH1133" s="96"/>
      <c r="AI1133" s="98">
        <v>1.9000000000000001E-5</v>
      </c>
      <c r="AJ1133" s="98">
        <v>1.1832000000000001E-2</v>
      </c>
      <c r="AK1133" s="98">
        <v>4.5620000000000001E-3</v>
      </c>
      <c r="AL1133" s="106"/>
    </row>
    <row r="1134" spans="1:38" ht="15" customHeight="1">
      <c r="A1134" s="106"/>
      <c r="B1134" s="96">
        <v>286</v>
      </c>
      <c r="C1134" s="96">
        <v>9803</v>
      </c>
      <c r="D1134" s="96" t="s">
        <v>1302</v>
      </c>
      <c r="E1134" s="96">
        <v>513623314</v>
      </c>
      <c r="F1134" s="96" t="s">
        <v>308</v>
      </c>
      <c r="G1134" s="96" t="s">
        <v>1953</v>
      </c>
      <c r="H1134" s="96" t="s">
        <v>1954</v>
      </c>
      <c r="I1134" s="96" t="s">
        <v>320</v>
      </c>
      <c r="J1134" s="96" t="s">
        <v>753</v>
      </c>
      <c r="K1134" s="96" t="s">
        <v>203</v>
      </c>
      <c r="L1134" s="96" t="s">
        <v>203</v>
      </c>
      <c r="M1134" s="96" t="s">
        <v>324</v>
      </c>
      <c r="N1134" s="96" t="s">
        <v>339</v>
      </c>
      <c r="O1134" s="96" t="s">
        <v>463</v>
      </c>
      <c r="P1134" s="96" t="s">
        <v>337</v>
      </c>
      <c r="Q1134" s="96" t="s">
        <v>1313</v>
      </c>
      <c r="R1134" s="96" t="s">
        <v>412</v>
      </c>
      <c r="S1134" s="96" t="s">
        <v>406</v>
      </c>
      <c r="T1134" s="96" t="s">
        <v>1200</v>
      </c>
      <c r="U1134" s="97">
        <v>3.63</v>
      </c>
      <c r="V1134" s="100">
        <v>46993</v>
      </c>
      <c r="W1134" s="98">
        <v>6.8999999999999999E-3</v>
      </c>
      <c r="X1134" s="98">
        <v>2.87E-2</v>
      </c>
      <c r="Y1134" s="96" t="s">
        <v>411</v>
      </c>
      <c r="Z1134" s="96"/>
      <c r="AA1134" s="97">
        <v>10020.409398</v>
      </c>
      <c r="AB1134" s="97">
        <v>1</v>
      </c>
      <c r="AC1134" s="97">
        <v>105.27</v>
      </c>
      <c r="AD1134" s="97"/>
      <c r="AE1134" s="97">
        <v>10.548484</v>
      </c>
      <c r="AF1134" s="96"/>
      <c r="AG1134" s="96"/>
      <c r="AH1134" s="96"/>
      <c r="AI1134" s="98">
        <v>5.1E-5</v>
      </c>
      <c r="AJ1134" s="98">
        <v>1.64E-3</v>
      </c>
      <c r="AK1134" s="98">
        <v>6.3199999999999997E-4</v>
      </c>
      <c r="AL1134" s="106"/>
    </row>
    <row r="1135" spans="1:38" ht="15" customHeight="1">
      <c r="A1135" s="106"/>
      <c r="B1135" s="96">
        <v>286</v>
      </c>
      <c r="C1135" s="96">
        <v>9803</v>
      </c>
      <c r="D1135" s="96" t="s">
        <v>1302</v>
      </c>
      <c r="E1135" s="96">
        <v>513623314</v>
      </c>
      <c r="F1135" s="96" t="s">
        <v>308</v>
      </c>
      <c r="G1135" s="96" t="s">
        <v>1583</v>
      </c>
      <c r="H1135" s="96" t="s">
        <v>1584</v>
      </c>
      <c r="I1135" s="96" t="s">
        <v>320</v>
      </c>
      <c r="J1135" s="96" t="s">
        <v>952</v>
      </c>
      <c r="K1135" s="96" t="s">
        <v>203</v>
      </c>
      <c r="L1135" s="96" t="s">
        <v>203</v>
      </c>
      <c r="M1135" s="96" t="s">
        <v>324</v>
      </c>
      <c r="N1135" s="96" t="s">
        <v>339</v>
      </c>
      <c r="O1135" s="96" t="s">
        <v>463</v>
      </c>
      <c r="P1135" s="96" t="s">
        <v>337</v>
      </c>
      <c r="Q1135" s="96" t="s">
        <v>1332</v>
      </c>
      <c r="R1135" s="96" t="s">
        <v>412</v>
      </c>
      <c r="S1135" s="96" t="s">
        <v>406</v>
      </c>
      <c r="T1135" s="96" t="s">
        <v>1200</v>
      </c>
      <c r="U1135" s="97">
        <v>4.54</v>
      </c>
      <c r="V1135" s="100">
        <v>47421</v>
      </c>
      <c r="W1135" s="98">
        <v>2.0899999999999998E-2</v>
      </c>
      <c r="X1135" s="98">
        <v>5.5399999999999998E-2</v>
      </c>
      <c r="Y1135" s="96" t="s">
        <v>411</v>
      </c>
      <c r="Z1135" s="96"/>
      <c r="AA1135" s="97">
        <v>9145.3725140000006</v>
      </c>
      <c r="AB1135" s="97">
        <v>1</v>
      </c>
      <c r="AC1135" s="97">
        <v>86.21</v>
      </c>
      <c r="AD1135" s="97"/>
      <c r="AE1135" s="97">
        <v>7.8842249999999998</v>
      </c>
      <c r="AF1135" s="96"/>
      <c r="AG1135" s="96"/>
      <c r="AH1135" s="96"/>
      <c r="AI1135" s="98">
        <v>4.8000000000000001E-5</v>
      </c>
      <c r="AJ1135" s="98">
        <v>1.2260000000000001E-3</v>
      </c>
      <c r="AK1135" s="98">
        <v>4.7199999999999998E-4</v>
      </c>
      <c r="AL1135" s="106"/>
    </row>
    <row r="1136" spans="1:38" ht="15" customHeight="1">
      <c r="A1136" s="106"/>
      <c r="B1136" s="96">
        <v>286</v>
      </c>
      <c r="C1136" s="96">
        <v>9803</v>
      </c>
      <c r="D1136" s="96" t="s">
        <v>1333</v>
      </c>
      <c r="E1136" s="96">
        <v>520024126</v>
      </c>
      <c r="F1136" s="96" t="s">
        <v>308</v>
      </c>
      <c r="G1136" s="96" t="s">
        <v>1334</v>
      </c>
      <c r="H1136" s="96" t="s">
        <v>1335</v>
      </c>
      <c r="I1136" s="96" t="s">
        <v>320</v>
      </c>
      <c r="J1136" s="96" t="s">
        <v>952</v>
      </c>
      <c r="K1136" s="96" t="s">
        <v>203</v>
      </c>
      <c r="L1136" s="96" t="s">
        <v>203</v>
      </c>
      <c r="M1136" s="96" t="s">
        <v>324</v>
      </c>
      <c r="N1136" s="96" t="s">
        <v>339</v>
      </c>
      <c r="O1136" s="96" t="s">
        <v>463</v>
      </c>
      <c r="P1136" s="96" t="s">
        <v>337</v>
      </c>
      <c r="Q1136" s="96" t="s">
        <v>1336</v>
      </c>
      <c r="R1136" s="96" t="s">
        <v>414</v>
      </c>
      <c r="S1136" s="96" t="s">
        <v>406</v>
      </c>
      <c r="T1136" s="96" t="s">
        <v>1200</v>
      </c>
      <c r="U1136" s="97">
        <v>2.34</v>
      </c>
      <c r="V1136" s="100">
        <v>46934</v>
      </c>
      <c r="W1136" s="98">
        <v>5.6500000000000002E-2</v>
      </c>
      <c r="X1136" s="98">
        <v>5.2400000000000002E-2</v>
      </c>
      <c r="Y1136" s="96" t="s">
        <v>411</v>
      </c>
      <c r="Z1136" s="96"/>
      <c r="AA1136" s="97">
        <v>3409.253209</v>
      </c>
      <c r="AB1136" s="97">
        <v>1</v>
      </c>
      <c r="AC1136" s="97">
        <v>101.11</v>
      </c>
      <c r="AD1136" s="97"/>
      <c r="AE1136" s="97">
        <v>3.447095</v>
      </c>
      <c r="AF1136" s="96"/>
      <c r="AG1136" s="96"/>
      <c r="AH1136" s="96"/>
      <c r="AI1136" s="98">
        <v>2.0999999999999999E-5</v>
      </c>
      <c r="AJ1136" s="98">
        <v>5.3600000000000002E-4</v>
      </c>
      <c r="AK1136" s="98">
        <v>2.0599999999999999E-4</v>
      </c>
      <c r="AL1136" s="106"/>
    </row>
    <row r="1137" spans="1:38" ht="15" customHeight="1">
      <c r="A1137" s="106"/>
      <c r="B1137" s="96">
        <v>286</v>
      </c>
      <c r="C1137" s="96">
        <v>9803</v>
      </c>
      <c r="D1137" s="96" t="s">
        <v>1197</v>
      </c>
      <c r="E1137" s="96">
        <v>520018078</v>
      </c>
      <c r="F1137" s="96" t="s">
        <v>308</v>
      </c>
      <c r="G1137" s="96" t="s">
        <v>1349</v>
      </c>
      <c r="H1137" s="96" t="s">
        <v>1350</v>
      </c>
      <c r="I1137" s="96" t="s">
        <v>320</v>
      </c>
      <c r="J1137" s="96" t="s">
        <v>753</v>
      </c>
      <c r="K1137" s="96" t="s">
        <v>203</v>
      </c>
      <c r="L1137" s="96" t="s">
        <v>203</v>
      </c>
      <c r="M1137" s="96" t="s">
        <v>324</v>
      </c>
      <c r="N1137" s="96" t="s">
        <v>339</v>
      </c>
      <c r="O1137" s="96" t="s">
        <v>447</v>
      </c>
      <c r="P1137" s="96" t="s">
        <v>338</v>
      </c>
      <c r="Q1137" s="96" t="s">
        <v>1199</v>
      </c>
      <c r="R1137" s="96" t="s">
        <v>412</v>
      </c>
      <c r="S1137" s="96" t="s">
        <v>406</v>
      </c>
      <c r="T1137" s="96" t="s">
        <v>1200</v>
      </c>
      <c r="U1137" s="97">
        <v>2.81</v>
      </c>
      <c r="V1137" s="100">
        <v>47361</v>
      </c>
      <c r="W1137" s="98">
        <v>1.8599999999999998E-2</v>
      </c>
      <c r="X1137" s="98">
        <v>2.3E-2</v>
      </c>
      <c r="Y1137" s="96" t="s">
        <v>411</v>
      </c>
      <c r="Z1137" s="96"/>
      <c r="AA1137" s="97">
        <v>7492.7931099999996</v>
      </c>
      <c r="AB1137" s="97">
        <v>1</v>
      </c>
      <c r="AC1137" s="97">
        <v>101.33</v>
      </c>
      <c r="AD1137" s="97"/>
      <c r="AE1137" s="97">
        <v>7.5924469999999999</v>
      </c>
      <c r="AF1137" s="96"/>
      <c r="AG1137" s="96"/>
      <c r="AH1137" s="96"/>
      <c r="AI1137" s="98">
        <v>6.0000000000000002E-6</v>
      </c>
      <c r="AJ1137" s="98">
        <v>1.1800000000000001E-3</v>
      </c>
      <c r="AK1137" s="98">
        <v>4.55E-4</v>
      </c>
      <c r="AL1137" s="106"/>
    </row>
    <row r="1138" spans="1:38" ht="15" customHeight="1">
      <c r="A1138" s="106"/>
      <c r="B1138" s="96">
        <v>286</v>
      </c>
      <c r="C1138" s="96">
        <v>9803</v>
      </c>
      <c r="D1138" s="96" t="s">
        <v>1310</v>
      </c>
      <c r="E1138" s="96">
        <v>520017450</v>
      </c>
      <c r="F1138" s="96" t="s">
        <v>308</v>
      </c>
      <c r="G1138" s="96" t="s">
        <v>1448</v>
      </c>
      <c r="H1138" s="96" t="s">
        <v>1449</v>
      </c>
      <c r="I1138" s="96" t="s">
        <v>320</v>
      </c>
      <c r="J1138" s="96" t="s">
        <v>952</v>
      </c>
      <c r="K1138" s="96" t="s">
        <v>203</v>
      </c>
      <c r="L1138" s="96" t="s">
        <v>203</v>
      </c>
      <c r="M1138" s="96" t="s">
        <v>324</v>
      </c>
      <c r="N1138" s="96" t="s">
        <v>339</v>
      </c>
      <c r="O1138" s="96" t="s">
        <v>444</v>
      </c>
      <c r="P1138" s="96" t="s">
        <v>338</v>
      </c>
      <c r="Q1138" s="96" t="s">
        <v>1313</v>
      </c>
      <c r="R1138" s="96" t="s">
        <v>412</v>
      </c>
      <c r="S1138" s="96" t="s">
        <v>406</v>
      </c>
      <c r="T1138" s="96" t="s">
        <v>1200</v>
      </c>
      <c r="U1138" s="97">
        <v>4.49</v>
      </c>
      <c r="V1138" s="100">
        <v>48579</v>
      </c>
      <c r="W1138" s="98">
        <v>1.9400000000000001E-2</v>
      </c>
      <c r="X1138" s="98">
        <v>5.5E-2</v>
      </c>
      <c r="Y1138" s="96" t="s">
        <v>411</v>
      </c>
      <c r="Z1138" s="96"/>
      <c r="AA1138" s="97">
        <v>9943.6551039999995</v>
      </c>
      <c r="AB1138" s="97">
        <v>1</v>
      </c>
      <c r="AC1138" s="97">
        <v>85.41</v>
      </c>
      <c r="AD1138" s="97"/>
      <c r="AE1138" s="97">
        <v>8.4928749999999997</v>
      </c>
      <c r="AF1138" s="96"/>
      <c r="AG1138" s="96"/>
      <c r="AH1138" s="96"/>
      <c r="AI1138" s="98">
        <v>1.5999999999999999E-5</v>
      </c>
      <c r="AJ1138" s="98">
        <v>1.32E-3</v>
      </c>
      <c r="AK1138" s="98">
        <v>5.0900000000000001E-4</v>
      </c>
      <c r="AL1138" s="106"/>
    </row>
    <row r="1139" spans="1:38" ht="15" customHeight="1">
      <c r="A1139" s="106"/>
      <c r="B1139" s="96">
        <v>286</v>
      </c>
      <c r="C1139" s="96">
        <v>9803</v>
      </c>
      <c r="D1139" s="96" t="s">
        <v>1343</v>
      </c>
      <c r="E1139" s="96">
        <v>514290345</v>
      </c>
      <c r="F1139" s="96" t="s">
        <v>308</v>
      </c>
      <c r="G1139" s="96" t="s">
        <v>1882</v>
      </c>
      <c r="H1139" s="96" t="s">
        <v>1883</v>
      </c>
      <c r="I1139" s="96" t="s">
        <v>320</v>
      </c>
      <c r="J1139" s="96" t="s">
        <v>753</v>
      </c>
      <c r="K1139" s="96" t="s">
        <v>203</v>
      </c>
      <c r="L1139" s="96" t="s">
        <v>203</v>
      </c>
      <c r="M1139" s="96" t="s">
        <v>324</v>
      </c>
      <c r="N1139" s="96" t="s">
        <v>339</v>
      </c>
      <c r="O1139" s="96" t="s">
        <v>444</v>
      </c>
      <c r="P1139" s="96" t="s">
        <v>338</v>
      </c>
      <c r="Q1139" s="96" t="s">
        <v>1305</v>
      </c>
      <c r="R1139" s="96" t="s">
        <v>414</v>
      </c>
      <c r="S1139" s="96" t="s">
        <v>406</v>
      </c>
      <c r="T1139" s="96" t="s">
        <v>1200</v>
      </c>
      <c r="U1139" s="97">
        <v>5.31</v>
      </c>
      <c r="V1139" s="100">
        <v>47542</v>
      </c>
      <c r="W1139" s="98">
        <v>2.3099999999999999E-2</v>
      </c>
      <c r="X1139" s="98">
        <v>3.04E-2</v>
      </c>
      <c r="Y1139" s="96" t="s">
        <v>411</v>
      </c>
      <c r="Z1139" s="96"/>
      <c r="AA1139" s="97">
        <v>14070.452151</v>
      </c>
      <c r="AB1139" s="97">
        <v>1</v>
      </c>
      <c r="AC1139" s="97">
        <v>98.41</v>
      </c>
      <c r="AD1139" s="97"/>
      <c r="AE1139" s="97">
        <v>13.846731</v>
      </c>
      <c r="AF1139" s="96"/>
      <c r="AG1139" s="96"/>
      <c r="AH1139" s="96"/>
      <c r="AI1139" s="98">
        <v>4.6E-5</v>
      </c>
      <c r="AJ1139" s="98">
        <v>2.153E-3</v>
      </c>
      <c r="AK1139" s="98">
        <v>8.3000000000000001E-4</v>
      </c>
      <c r="AL1139" s="106"/>
    </row>
    <row r="1140" spans="1:38" ht="15" customHeight="1">
      <c r="A1140" s="106"/>
      <c r="B1140" s="96">
        <v>286</v>
      </c>
      <c r="C1140" s="96">
        <v>9803</v>
      </c>
      <c r="D1140" s="96" t="s">
        <v>1333</v>
      </c>
      <c r="E1140" s="96">
        <v>520024126</v>
      </c>
      <c r="F1140" s="96" t="s">
        <v>308</v>
      </c>
      <c r="G1140" s="96" t="s">
        <v>1713</v>
      </c>
      <c r="H1140" s="96" t="s">
        <v>1714</v>
      </c>
      <c r="I1140" s="96" t="s">
        <v>320</v>
      </c>
      <c r="J1140" s="96" t="s">
        <v>753</v>
      </c>
      <c r="K1140" s="96" t="s">
        <v>203</v>
      </c>
      <c r="L1140" s="96" t="s">
        <v>203</v>
      </c>
      <c r="M1140" s="96" t="s">
        <v>324</v>
      </c>
      <c r="N1140" s="96" t="s">
        <v>339</v>
      </c>
      <c r="O1140" s="96" t="s">
        <v>463</v>
      </c>
      <c r="P1140" s="96" t="s">
        <v>337</v>
      </c>
      <c r="Q1140" s="96" t="s">
        <v>1313</v>
      </c>
      <c r="R1140" s="96" t="s">
        <v>412</v>
      </c>
      <c r="S1140" s="96" t="s">
        <v>406</v>
      </c>
      <c r="T1140" s="96" t="s">
        <v>1200</v>
      </c>
      <c r="U1140" s="97">
        <v>3.69</v>
      </c>
      <c r="V1140" s="100">
        <v>47483</v>
      </c>
      <c r="W1140" s="98">
        <v>2.81E-2</v>
      </c>
      <c r="X1140" s="98">
        <v>3.0599999999999999E-2</v>
      </c>
      <c r="Y1140" s="96" t="s">
        <v>411</v>
      </c>
      <c r="Z1140" s="96"/>
      <c r="AA1140" s="97">
        <v>42316.175148000002</v>
      </c>
      <c r="AB1140" s="97">
        <v>1</v>
      </c>
      <c r="AC1140" s="97">
        <v>113.93</v>
      </c>
      <c r="AD1140" s="97"/>
      <c r="AE1140" s="97">
        <v>48.210818000000003</v>
      </c>
      <c r="AF1140" s="96"/>
      <c r="AG1140" s="96"/>
      <c r="AH1140" s="96"/>
      <c r="AI1140" s="98">
        <v>3.0000000000000001E-5</v>
      </c>
      <c r="AJ1140" s="98">
        <v>7.4980000000000003E-3</v>
      </c>
      <c r="AK1140" s="98">
        <v>2.8909999999999999E-3</v>
      </c>
      <c r="AL1140" s="106"/>
    </row>
    <row r="1141" spans="1:38" ht="15" customHeight="1">
      <c r="A1141" s="106"/>
      <c r="B1141" s="96">
        <v>286</v>
      </c>
      <c r="C1141" s="96">
        <v>9803</v>
      </c>
      <c r="D1141" s="96" t="s">
        <v>1505</v>
      </c>
      <c r="E1141" s="96">
        <v>520010869</v>
      </c>
      <c r="F1141" s="96" t="s">
        <v>308</v>
      </c>
      <c r="G1141" s="96" t="s">
        <v>1506</v>
      </c>
      <c r="H1141" s="96" t="s">
        <v>1507</v>
      </c>
      <c r="I1141" s="96" t="s">
        <v>320</v>
      </c>
      <c r="J1141" s="96" t="s">
        <v>753</v>
      </c>
      <c r="K1141" s="96" t="s">
        <v>203</v>
      </c>
      <c r="L1141" s="96" t="s">
        <v>203</v>
      </c>
      <c r="M1141" s="96" t="s">
        <v>324</v>
      </c>
      <c r="N1141" s="96" t="s">
        <v>339</v>
      </c>
      <c r="O1141" s="96" t="s">
        <v>476</v>
      </c>
      <c r="P1141" s="96" t="s">
        <v>338</v>
      </c>
      <c r="Q1141" s="96" t="s">
        <v>1199</v>
      </c>
      <c r="R1141" s="96" t="s">
        <v>412</v>
      </c>
      <c r="S1141" s="96" t="s">
        <v>406</v>
      </c>
      <c r="T1141" s="96" t="s">
        <v>1200</v>
      </c>
      <c r="U1141" s="97">
        <v>11.71</v>
      </c>
      <c r="V1141" s="100">
        <v>56249</v>
      </c>
      <c r="W1141" s="98">
        <v>2.07E-2</v>
      </c>
      <c r="X1141" s="98">
        <v>3.2599999999999997E-2</v>
      </c>
      <c r="Y1141" s="96" t="s">
        <v>411</v>
      </c>
      <c r="Z1141" s="96"/>
      <c r="AA1141" s="97">
        <v>131179.77693600001</v>
      </c>
      <c r="AB1141" s="97">
        <v>1</v>
      </c>
      <c r="AC1141" s="97">
        <v>97.32</v>
      </c>
      <c r="AD1141" s="97"/>
      <c r="AE1141" s="97">
        <v>127.664158</v>
      </c>
      <c r="AF1141" s="96"/>
      <c r="AG1141" s="96"/>
      <c r="AH1141" s="96"/>
      <c r="AI1141" s="98">
        <v>2.8E-5</v>
      </c>
      <c r="AJ1141" s="98">
        <v>1.9855999999999999E-2</v>
      </c>
      <c r="AK1141" s="98">
        <v>7.6559999999999996E-3</v>
      </c>
      <c r="AL1141" s="106"/>
    </row>
    <row r="1142" spans="1:38" ht="15" customHeight="1">
      <c r="A1142" s="106"/>
      <c r="B1142" s="96">
        <v>286</v>
      </c>
      <c r="C1142" s="96">
        <v>9803</v>
      </c>
      <c r="D1142" s="96" t="s">
        <v>1411</v>
      </c>
      <c r="E1142" s="96">
        <v>512025891</v>
      </c>
      <c r="F1142" s="96" t="s">
        <v>308</v>
      </c>
      <c r="G1142" s="96" t="s">
        <v>1556</v>
      </c>
      <c r="H1142" s="96" t="s">
        <v>1557</v>
      </c>
      <c r="I1142" s="96" t="s">
        <v>320</v>
      </c>
      <c r="J1142" s="96" t="s">
        <v>753</v>
      </c>
      <c r="K1142" s="96" t="s">
        <v>203</v>
      </c>
      <c r="L1142" s="96" t="s">
        <v>203</v>
      </c>
      <c r="M1142" s="96" t="s">
        <v>324</v>
      </c>
      <c r="N1142" s="96" t="s">
        <v>339</v>
      </c>
      <c r="O1142" s="96" t="s">
        <v>476</v>
      </c>
      <c r="P1142" s="96" t="s">
        <v>338</v>
      </c>
      <c r="Q1142" s="96" t="s">
        <v>1320</v>
      </c>
      <c r="R1142" s="96" t="s">
        <v>412</v>
      </c>
      <c r="S1142" s="96" t="s">
        <v>406</v>
      </c>
      <c r="T1142" s="96" t="s">
        <v>1200</v>
      </c>
      <c r="U1142" s="97">
        <v>1.28</v>
      </c>
      <c r="V1142" s="100">
        <v>46407</v>
      </c>
      <c r="W1142" s="98">
        <v>1.8499999999999999E-2</v>
      </c>
      <c r="X1142" s="98">
        <v>2.9600000000000001E-2</v>
      </c>
      <c r="Y1142" s="96" t="s">
        <v>411</v>
      </c>
      <c r="Z1142" s="96"/>
      <c r="AA1142" s="97">
        <v>13540.385362000001</v>
      </c>
      <c r="AB1142" s="97">
        <v>1</v>
      </c>
      <c r="AC1142" s="97">
        <v>110.73</v>
      </c>
      <c r="AD1142" s="97"/>
      <c r="AE1142" s="97">
        <v>14.993268</v>
      </c>
      <c r="AF1142" s="96"/>
      <c r="AG1142" s="96"/>
      <c r="AH1142" s="96"/>
      <c r="AI1142" s="98">
        <v>2.1999999999999999E-5</v>
      </c>
      <c r="AJ1142" s="98">
        <v>2.3310000000000002E-3</v>
      </c>
      <c r="AK1142" s="98">
        <v>8.9899999999999995E-4</v>
      </c>
      <c r="AL1142" s="106"/>
    </row>
    <row r="1143" spans="1:38" ht="15" customHeight="1">
      <c r="A1143" s="106"/>
      <c r="B1143" s="96">
        <v>286</v>
      </c>
      <c r="C1143" s="96">
        <v>9803</v>
      </c>
      <c r="D1143" s="96" t="s">
        <v>1462</v>
      </c>
      <c r="E1143" s="96">
        <v>520000472</v>
      </c>
      <c r="F1143" s="96" t="s">
        <v>308</v>
      </c>
      <c r="G1143" s="96" t="s">
        <v>1482</v>
      </c>
      <c r="H1143" s="96" t="s">
        <v>1483</v>
      </c>
      <c r="I1143" s="96" t="s">
        <v>320</v>
      </c>
      <c r="J1143" s="96" t="s">
        <v>753</v>
      </c>
      <c r="K1143" s="96" t="s">
        <v>203</v>
      </c>
      <c r="L1143" s="96" t="s">
        <v>203</v>
      </c>
      <c r="M1143" s="96" t="s">
        <v>324</v>
      </c>
      <c r="N1143" s="96" t="s">
        <v>339</v>
      </c>
      <c r="O1143" s="96" t="s">
        <v>439</v>
      </c>
      <c r="P1143" s="96" t="s">
        <v>338</v>
      </c>
      <c r="Q1143" s="96" t="s">
        <v>1301</v>
      </c>
      <c r="R1143" s="96" t="s">
        <v>414</v>
      </c>
      <c r="S1143" s="96" t="s">
        <v>406</v>
      </c>
      <c r="T1143" s="96" t="s">
        <v>1200</v>
      </c>
      <c r="U1143" s="97">
        <v>10.65</v>
      </c>
      <c r="V1143" s="100">
        <v>50203</v>
      </c>
      <c r="W1143" s="98">
        <v>3.2000000000000001E-2</v>
      </c>
      <c r="X1143" s="98">
        <v>3.5200000000000002E-2</v>
      </c>
      <c r="Y1143" s="96" t="s">
        <v>411</v>
      </c>
      <c r="Z1143" s="96"/>
      <c r="AA1143" s="97">
        <v>33837.441348</v>
      </c>
      <c r="AB1143" s="97">
        <v>1</v>
      </c>
      <c r="AC1143" s="97">
        <v>100</v>
      </c>
      <c r="AD1143" s="97"/>
      <c r="AE1143" s="97">
        <v>33.837440999999998</v>
      </c>
      <c r="AF1143" s="96"/>
      <c r="AG1143" s="96"/>
      <c r="AH1143" s="96"/>
      <c r="AI1143" s="98">
        <v>1.0000000000000001E-5</v>
      </c>
      <c r="AJ1143" s="98">
        <v>5.2620000000000002E-3</v>
      </c>
      <c r="AK1143" s="98">
        <v>2.029E-3</v>
      </c>
      <c r="AL1143" s="106"/>
    </row>
    <row r="1144" spans="1:38" ht="15" customHeight="1">
      <c r="A1144" s="106"/>
      <c r="B1144" s="96">
        <v>286</v>
      </c>
      <c r="C1144" s="96">
        <v>9803</v>
      </c>
      <c r="D1144" s="96" t="s">
        <v>1797</v>
      </c>
      <c r="E1144" s="96">
        <v>512607888</v>
      </c>
      <c r="F1144" s="96" t="s">
        <v>308</v>
      </c>
      <c r="G1144" s="96" t="s">
        <v>1821</v>
      </c>
      <c r="H1144" s="96" t="s">
        <v>1822</v>
      </c>
      <c r="I1144" s="96" t="s">
        <v>320</v>
      </c>
      <c r="J1144" s="96" t="s">
        <v>952</v>
      </c>
      <c r="K1144" s="96" t="s">
        <v>203</v>
      </c>
      <c r="L1144" s="96" t="s">
        <v>203</v>
      </c>
      <c r="M1144" s="96" t="s">
        <v>324</v>
      </c>
      <c r="N1144" s="96" t="s">
        <v>339</v>
      </c>
      <c r="O1144" s="96" t="s">
        <v>460</v>
      </c>
      <c r="P1144" s="96" t="s">
        <v>338</v>
      </c>
      <c r="Q1144" s="96" t="s">
        <v>1520</v>
      </c>
      <c r="R1144" s="96" t="s">
        <v>414</v>
      </c>
      <c r="S1144" s="96" t="s">
        <v>406</v>
      </c>
      <c r="T1144" s="96" t="s">
        <v>1200</v>
      </c>
      <c r="U1144" s="97">
        <v>4.5599999999999996</v>
      </c>
      <c r="V1144" s="100">
        <v>48457</v>
      </c>
      <c r="W1144" s="98">
        <v>6.3299999999999995E-2</v>
      </c>
      <c r="X1144" s="98">
        <v>6.6199999999999995E-2</v>
      </c>
      <c r="Y1144" s="96" t="s">
        <v>411</v>
      </c>
      <c r="Z1144" s="96"/>
      <c r="AA1144" s="97">
        <v>12171.431592999999</v>
      </c>
      <c r="AB1144" s="97">
        <v>1</v>
      </c>
      <c r="AC1144" s="97">
        <v>101.61</v>
      </c>
      <c r="AD1144" s="97"/>
      <c r="AE1144" s="97">
        <v>12.367391</v>
      </c>
      <c r="AF1144" s="96"/>
      <c r="AG1144" s="96"/>
      <c r="AH1144" s="96"/>
      <c r="AI1144" s="98">
        <v>5.7000000000000003E-5</v>
      </c>
      <c r="AJ1144" s="98">
        <v>1.923E-3</v>
      </c>
      <c r="AK1144" s="98">
        <v>7.4100000000000001E-4</v>
      </c>
      <c r="AL1144" s="106"/>
    </row>
    <row r="1145" spans="1:38" ht="15" customHeight="1">
      <c r="A1145" s="106"/>
      <c r="B1145" s="96">
        <v>286</v>
      </c>
      <c r="C1145" s="96">
        <v>9803</v>
      </c>
      <c r="D1145" s="96" t="s">
        <v>1337</v>
      </c>
      <c r="E1145" s="96">
        <v>520028010</v>
      </c>
      <c r="F1145" s="96" t="s">
        <v>308</v>
      </c>
      <c r="G1145" s="96" t="s">
        <v>1338</v>
      </c>
      <c r="H1145" s="96" t="s">
        <v>1339</v>
      </c>
      <c r="I1145" s="96" t="s">
        <v>320</v>
      </c>
      <c r="J1145" s="96" t="s">
        <v>754</v>
      </c>
      <c r="K1145" s="96" t="s">
        <v>203</v>
      </c>
      <c r="L1145" s="96" t="s">
        <v>203</v>
      </c>
      <c r="M1145" s="96" t="s">
        <v>324</v>
      </c>
      <c r="N1145" s="96" t="s">
        <v>339</v>
      </c>
      <c r="O1145" s="96" t="s">
        <v>450</v>
      </c>
      <c r="P1145" s="96" t="s">
        <v>338</v>
      </c>
      <c r="Q1145" s="96" t="s">
        <v>1320</v>
      </c>
      <c r="R1145" s="96" t="s">
        <v>412</v>
      </c>
      <c r="S1145" s="96" t="s">
        <v>406</v>
      </c>
      <c r="T1145" s="96" t="s">
        <v>1200</v>
      </c>
      <c r="U1145" s="97">
        <v>1.23</v>
      </c>
      <c r="V1145" s="100">
        <v>46295</v>
      </c>
      <c r="W1145" s="98">
        <v>5.8500000000000003E-2</v>
      </c>
      <c r="X1145" s="98">
        <v>5.8099999999999999E-2</v>
      </c>
      <c r="Y1145" s="96" t="s">
        <v>411</v>
      </c>
      <c r="Z1145" s="96"/>
      <c r="AA1145" s="97">
        <v>5850.1240299999999</v>
      </c>
      <c r="AB1145" s="97">
        <v>1</v>
      </c>
      <c r="AC1145" s="97">
        <v>109.4</v>
      </c>
      <c r="AD1145" s="97"/>
      <c r="AE1145" s="97">
        <v>6.4000349999999999</v>
      </c>
      <c r="AF1145" s="96"/>
      <c r="AG1145" s="96"/>
      <c r="AH1145" s="96"/>
      <c r="AI1145" s="98">
        <v>3.6999999999999998E-5</v>
      </c>
      <c r="AJ1145" s="98">
        <v>9.9500000000000001E-4</v>
      </c>
      <c r="AK1145" s="98">
        <v>3.8299999999999999E-4</v>
      </c>
      <c r="AL1145" s="106"/>
    </row>
    <row r="1146" spans="1:38" ht="15" customHeight="1">
      <c r="A1146" s="106"/>
      <c r="B1146" s="96">
        <v>286</v>
      </c>
      <c r="C1146" s="96">
        <v>9803</v>
      </c>
      <c r="D1146" s="96" t="s">
        <v>1484</v>
      </c>
      <c r="E1146" s="96">
        <v>520036617</v>
      </c>
      <c r="F1146" s="96" t="s">
        <v>308</v>
      </c>
      <c r="G1146" s="96" t="s">
        <v>1485</v>
      </c>
      <c r="H1146" s="96" t="s">
        <v>1486</v>
      </c>
      <c r="I1146" s="96" t="s">
        <v>320</v>
      </c>
      <c r="J1146" s="96" t="s">
        <v>753</v>
      </c>
      <c r="K1146" s="96" t="s">
        <v>203</v>
      </c>
      <c r="L1146" s="96" t="s">
        <v>203</v>
      </c>
      <c r="M1146" s="96" t="s">
        <v>324</v>
      </c>
      <c r="N1146" s="96" t="s">
        <v>339</v>
      </c>
      <c r="O1146" s="96" t="s">
        <v>463</v>
      </c>
      <c r="P1146" s="96" t="s">
        <v>338</v>
      </c>
      <c r="Q1146" s="96" t="s">
        <v>1320</v>
      </c>
      <c r="R1146" s="96" t="s">
        <v>412</v>
      </c>
      <c r="S1146" s="96" t="s">
        <v>406</v>
      </c>
      <c r="T1146" s="96" t="s">
        <v>1200</v>
      </c>
      <c r="U1146" s="97">
        <v>4.1399999999999997</v>
      </c>
      <c r="V1146" s="100">
        <v>47300</v>
      </c>
      <c r="W1146" s="98">
        <v>1.5299999999999999E-2</v>
      </c>
      <c r="X1146" s="98">
        <v>3.27E-2</v>
      </c>
      <c r="Y1146" s="96" t="s">
        <v>411</v>
      </c>
      <c r="Z1146" s="96"/>
      <c r="AA1146" s="97">
        <v>9664.9485669999995</v>
      </c>
      <c r="AB1146" s="97">
        <v>1</v>
      </c>
      <c r="AC1146" s="97">
        <v>105.9</v>
      </c>
      <c r="AD1146" s="97">
        <v>0.328241</v>
      </c>
      <c r="AE1146" s="97">
        <v>10.563421</v>
      </c>
      <c r="AF1146" s="96"/>
      <c r="AG1146" s="96"/>
      <c r="AH1146" s="96"/>
      <c r="AI1146" s="98">
        <v>2.5000000000000001E-5</v>
      </c>
      <c r="AJ1146" s="98">
        <v>1.642E-3</v>
      </c>
      <c r="AK1146" s="98">
        <v>6.3199999999999997E-4</v>
      </c>
      <c r="AL1146" s="106"/>
    </row>
    <row r="1147" spans="1:38" ht="15" customHeight="1">
      <c r="A1147" s="106"/>
      <c r="B1147" s="96">
        <v>286</v>
      </c>
      <c r="C1147" s="96">
        <v>9803</v>
      </c>
      <c r="D1147" s="96" t="s">
        <v>1333</v>
      </c>
      <c r="E1147" s="96">
        <v>520024126</v>
      </c>
      <c r="F1147" s="96" t="s">
        <v>308</v>
      </c>
      <c r="G1147" s="96" t="s">
        <v>1540</v>
      </c>
      <c r="H1147" s="96" t="s">
        <v>1541</v>
      </c>
      <c r="I1147" s="96" t="s">
        <v>320</v>
      </c>
      <c r="J1147" s="96" t="s">
        <v>753</v>
      </c>
      <c r="K1147" s="96" t="s">
        <v>203</v>
      </c>
      <c r="L1147" s="96" t="s">
        <v>203</v>
      </c>
      <c r="M1147" s="96" t="s">
        <v>324</v>
      </c>
      <c r="N1147" s="96" t="s">
        <v>339</v>
      </c>
      <c r="O1147" s="96" t="s">
        <v>463</v>
      </c>
      <c r="P1147" s="96" t="s">
        <v>337</v>
      </c>
      <c r="Q1147" s="96" t="s">
        <v>1313</v>
      </c>
      <c r="R1147" s="96" t="s">
        <v>412</v>
      </c>
      <c r="S1147" s="96" t="s">
        <v>406</v>
      </c>
      <c r="T1147" s="96" t="s">
        <v>1200</v>
      </c>
      <c r="U1147" s="97">
        <v>2.4</v>
      </c>
      <c r="V1147" s="100">
        <v>46934</v>
      </c>
      <c r="W1147" s="98">
        <v>3.6999999999999998E-2</v>
      </c>
      <c r="X1147" s="98">
        <v>2.7900000000000001E-2</v>
      </c>
      <c r="Y1147" s="96" t="s">
        <v>411</v>
      </c>
      <c r="Z1147" s="96"/>
      <c r="AA1147" s="97">
        <v>1527.924021</v>
      </c>
      <c r="AB1147" s="97">
        <v>1</v>
      </c>
      <c r="AC1147" s="97">
        <v>116.16</v>
      </c>
      <c r="AD1147" s="97"/>
      <c r="AE1147" s="97">
        <v>1.7748360000000001</v>
      </c>
      <c r="AF1147" s="96"/>
      <c r="AG1147" s="96"/>
      <c r="AH1147" s="96"/>
      <c r="AI1147" s="98">
        <v>5.0000000000000004E-6</v>
      </c>
      <c r="AJ1147" s="98">
        <v>2.7599999999999999E-4</v>
      </c>
      <c r="AK1147" s="98">
        <v>1.06E-4</v>
      </c>
      <c r="AL1147" s="106"/>
    </row>
    <row r="1148" spans="1:38" ht="15" customHeight="1">
      <c r="A1148" s="106"/>
      <c r="B1148" s="96">
        <v>286</v>
      </c>
      <c r="C1148" s="96">
        <v>9803</v>
      </c>
      <c r="D1148" s="96" t="s">
        <v>1950</v>
      </c>
      <c r="E1148" s="96">
        <v>520043605</v>
      </c>
      <c r="F1148" s="96" t="s">
        <v>308</v>
      </c>
      <c r="G1148" s="96" t="s">
        <v>1951</v>
      </c>
      <c r="H1148" s="96" t="s">
        <v>1952</v>
      </c>
      <c r="I1148" s="96" t="s">
        <v>320</v>
      </c>
      <c r="J1148" s="96" t="s">
        <v>753</v>
      </c>
      <c r="K1148" s="96" t="s">
        <v>203</v>
      </c>
      <c r="L1148" s="96" t="s">
        <v>203</v>
      </c>
      <c r="M1148" s="96" t="s">
        <v>324</v>
      </c>
      <c r="N1148" s="96" t="s">
        <v>339</v>
      </c>
      <c r="O1148" s="96" t="s">
        <v>455</v>
      </c>
      <c r="P1148" s="96" t="s">
        <v>338</v>
      </c>
      <c r="Q1148" s="96" t="s">
        <v>1332</v>
      </c>
      <c r="R1148" s="96" t="s">
        <v>412</v>
      </c>
      <c r="S1148" s="96" t="s">
        <v>406</v>
      </c>
      <c r="T1148" s="96" t="s">
        <v>1200</v>
      </c>
      <c r="U1148" s="97">
        <v>5.43</v>
      </c>
      <c r="V1148" s="100">
        <v>50009</v>
      </c>
      <c r="W1148" s="98">
        <v>5.1499999999999997E-2</v>
      </c>
      <c r="X1148" s="98">
        <v>3.8899999999999997E-2</v>
      </c>
      <c r="Y1148" s="96" t="s">
        <v>411</v>
      </c>
      <c r="Z1148" s="96"/>
      <c r="AA1148" s="97">
        <v>67616.854728000006</v>
      </c>
      <c r="AB1148" s="97">
        <v>1</v>
      </c>
      <c r="AC1148" s="97">
        <v>147.13</v>
      </c>
      <c r="AD1148" s="97"/>
      <c r="AE1148" s="97">
        <v>99.484678000000002</v>
      </c>
      <c r="AF1148" s="96"/>
      <c r="AG1148" s="96"/>
      <c r="AH1148" s="96"/>
      <c r="AI1148" s="98">
        <v>2.3E-5</v>
      </c>
      <c r="AJ1148" s="98">
        <v>1.5473000000000001E-2</v>
      </c>
      <c r="AK1148" s="98">
        <v>5.9659999999999999E-3</v>
      </c>
      <c r="AL1148" s="106"/>
    </row>
    <row r="1149" spans="1:38" ht="15" customHeight="1">
      <c r="A1149" s="106"/>
      <c r="B1149" s="96">
        <v>286</v>
      </c>
      <c r="C1149" s="96">
        <v>9803</v>
      </c>
      <c r="D1149" s="96" t="s">
        <v>1421</v>
      </c>
      <c r="E1149" s="96">
        <v>520026683</v>
      </c>
      <c r="F1149" s="96" t="s">
        <v>308</v>
      </c>
      <c r="G1149" s="96" t="s">
        <v>1661</v>
      </c>
      <c r="H1149" s="96" t="s">
        <v>1662</v>
      </c>
      <c r="I1149" s="96" t="s">
        <v>320</v>
      </c>
      <c r="J1149" s="96" t="s">
        <v>753</v>
      </c>
      <c r="K1149" s="96" t="s">
        <v>203</v>
      </c>
      <c r="L1149" s="96" t="s">
        <v>203</v>
      </c>
      <c r="M1149" s="96" t="s">
        <v>324</v>
      </c>
      <c r="N1149" s="96" t="s">
        <v>339</v>
      </c>
      <c r="O1149" s="96" t="s">
        <v>463</v>
      </c>
      <c r="P1149" s="96" t="s">
        <v>338</v>
      </c>
      <c r="Q1149" s="96" t="s">
        <v>1336</v>
      </c>
      <c r="R1149" s="96" t="s">
        <v>414</v>
      </c>
      <c r="S1149" s="96" t="s">
        <v>406</v>
      </c>
      <c r="T1149" s="96" t="s">
        <v>1200</v>
      </c>
      <c r="U1149" s="97">
        <v>2.4300000000000002</v>
      </c>
      <c r="V1149" s="100">
        <v>46936</v>
      </c>
      <c r="W1149" s="98">
        <v>3.2000000000000001E-2</v>
      </c>
      <c r="X1149" s="98">
        <v>2.81E-2</v>
      </c>
      <c r="Y1149" s="96" t="s">
        <v>411</v>
      </c>
      <c r="Z1149" s="96"/>
      <c r="AA1149" s="97">
        <v>42102.558448999996</v>
      </c>
      <c r="AB1149" s="97">
        <v>1</v>
      </c>
      <c r="AC1149" s="97">
        <v>114.34</v>
      </c>
      <c r="AD1149" s="97">
        <v>15.900683000000001</v>
      </c>
      <c r="AE1149" s="97">
        <v>64.040747999999994</v>
      </c>
      <c r="AF1149" s="96"/>
      <c r="AG1149" s="96"/>
      <c r="AH1149" s="96"/>
      <c r="AI1149" s="98">
        <v>4.0000000000000003E-5</v>
      </c>
      <c r="AJ1149" s="98">
        <v>9.9600000000000001E-3</v>
      </c>
      <c r="AK1149" s="98">
        <v>3.839E-3</v>
      </c>
      <c r="AL1149" s="106"/>
    </row>
    <row r="1150" spans="1:38" ht="15" customHeight="1">
      <c r="A1150" s="106"/>
      <c r="B1150" s="96">
        <v>286</v>
      </c>
      <c r="C1150" s="96">
        <v>9803</v>
      </c>
      <c r="D1150" s="96" t="s">
        <v>1337</v>
      </c>
      <c r="E1150" s="96">
        <v>520028010</v>
      </c>
      <c r="F1150" s="96" t="s">
        <v>308</v>
      </c>
      <c r="G1150" s="96" t="s">
        <v>1880</v>
      </c>
      <c r="H1150" s="96" t="s">
        <v>1881</v>
      </c>
      <c r="I1150" s="96" t="s">
        <v>320</v>
      </c>
      <c r="J1150" s="96" t="s">
        <v>952</v>
      </c>
      <c r="K1150" s="96" t="s">
        <v>203</v>
      </c>
      <c r="L1150" s="96" t="s">
        <v>203</v>
      </c>
      <c r="M1150" s="96" t="s">
        <v>324</v>
      </c>
      <c r="N1150" s="96" t="s">
        <v>339</v>
      </c>
      <c r="O1150" s="96" t="s">
        <v>450</v>
      </c>
      <c r="P1150" s="96" t="s">
        <v>338</v>
      </c>
      <c r="Q1150" s="96" t="s">
        <v>1320</v>
      </c>
      <c r="R1150" s="96" t="s">
        <v>412</v>
      </c>
      <c r="S1150" s="96" t="s">
        <v>406</v>
      </c>
      <c r="T1150" s="96" t="s">
        <v>1200</v>
      </c>
      <c r="U1150" s="97">
        <v>3.82</v>
      </c>
      <c r="V1150" s="100">
        <v>47695</v>
      </c>
      <c r="W1150" s="98">
        <v>2.7400000000000001E-2</v>
      </c>
      <c r="X1150" s="98">
        <v>5.5599999999999997E-2</v>
      </c>
      <c r="Y1150" s="96" t="s">
        <v>411</v>
      </c>
      <c r="Z1150" s="96"/>
      <c r="AA1150" s="97">
        <v>9231.7824710000004</v>
      </c>
      <c r="AB1150" s="97">
        <v>1</v>
      </c>
      <c r="AC1150" s="97">
        <v>91.17</v>
      </c>
      <c r="AD1150" s="97"/>
      <c r="AE1150" s="97">
        <v>8.4166159999999994</v>
      </c>
      <c r="AF1150" s="96"/>
      <c r="AG1150" s="96"/>
      <c r="AH1150" s="96"/>
      <c r="AI1150" s="98">
        <v>1.2E-5</v>
      </c>
      <c r="AJ1150" s="98">
        <v>1.3090000000000001E-3</v>
      </c>
      <c r="AK1150" s="98">
        <v>5.04E-4</v>
      </c>
      <c r="AL1150" s="106"/>
    </row>
    <row r="1151" spans="1:38" ht="15" customHeight="1">
      <c r="A1151" s="106"/>
      <c r="B1151" s="96">
        <v>286</v>
      </c>
      <c r="C1151" s="96">
        <v>9803</v>
      </c>
      <c r="D1151" s="96" t="s">
        <v>1203</v>
      </c>
      <c r="E1151" s="96">
        <v>520000118</v>
      </c>
      <c r="F1151" s="96" t="s">
        <v>308</v>
      </c>
      <c r="G1151" s="96" t="s">
        <v>1789</v>
      </c>
      <c r="H1151" s="96" t="s">
        <v>1790</v>
      </c>
      <c r="I1151" s="96" t="s">
        <v>320</v>
      </c>
      <c r="J1151" s="96" t="s">
        <v>952</v>
      </c>
      <c r="K1151" s="96" t="s">
        <v>203</v>
      </c>
      <c r="L1151" s="96" t="s">
        <v>203</v>
      </c>
      <c r="M1151" s="96" t="s">
        <v>324</v>
      </c>
      <c r="N1151" s="96" t="s">
        <v>339</v>
      </c>
      <c r="O1151" s="96" t="s">
        <v>447</v>
      </c>
      <c r="P1151" s="96" t="s">
        <v>338</v>
      </c>
      <c r="Q1151" s="96" t="s">
        <v>1211</v>
      </c>
      <c r="R1151" s="96" t="s">
        <v>414</v>
      </c>
      <c r="S1151" s="96" t="s">
        <v>406</v>
      </c>
      <c r="T1151" s="96" t="s">
        <v>1200</v>
      </c>
      <c r="U1151" s="97">
        <v>3.57</v>
      </c>
      <c r="V1151" s="100">
        <v>48191</v>
      </c>
      <c r="W1151" s="98">
        <v>2.5000000000000001E-2</v>
      </c>
      <c r="X1151" s="98">
        <v>5.0900000000000001E-2</v>
      </c>
      <c r="Y1151" s="96" t="s">
        <v>411</v>
      </c>
      <c r="Z1151" s="96"/>
      <c r="AA1151" s="97">
        <v>94186.301158000002</v>
      </c>
      <c r="AB1151" s="97">
        <v>1</v>
      </c>
      <c r="AC1151" s="97">
        <v>92.62</v>
      </c>
      <c r="AD1151" s="97"/>
      <c r="AE1151" s="97">
        <v>87.235352000000006</v>
      </c>
      <c r="AF1151" s="96"/>
      <c r="AG1151" s="96"/>
      <c r="AH1151" s="96"/>
      <c r="AI1151" s="98">
        <v>4.0000000000000003E-5</v>
      </c>
      <c r="AJ1151" s="98">
        <v>1.3568E-2</v>
      </c>
      <c r="AK1151" s="98">
        <v>5.2310000000000004E-3</v>
      </c>
      <c r="AL1151" s="106"/>
    </row>
    <row r="1152" spans="1:38" ht="15" customHeight="1">
      <c r="A1152" s="106"/>
      <c r="B1152" s="96">
        <v>286</v>
      </c>
      <c r="C1152" s="96">
        <v>9803</v>
      </c>
      <c r="D1152" s="96" t="s">
        <v>1948</v>
      </c>
      <c r="E1152" s="96">
        <v>516269248</v>
      </c>
      <c r="F1152" s="96" t="s">
        <v>308</v>
      </c>
      <c r="G1152" s="96" t="s">
        <v>1949</v>
      </c>
      <c r="H1152" s="96" t="s">
        <v>1394</v>
      </c>
      <c r="I1152" s="96" t="s">
        <v>320</v>
      </c>
      <c r="J1152" s="96" t="s">
        <v>753</v>
      </c>
      <c r="K1152" s="96" t="s">
        <v>203</v>
      </c>
      <c r="L1152" s="96" t="s">
        <v>203</v>
      </c>
      <c r="M1152" s="96" t="s">
        <v>324</v>
      </c>
      <c r="N1152" s="96" t="s">
        <v>339</v>
      </c>
      <c r="O1152" s="96" t="s">
        <v>439</v>
      </c>
      <c r="P1152" s="96" t="s">
        <v>338</v>
      </c>
      <c r="Q1152" s="96" t="s">
        <v>1309</v>
      </c>
      <c r="R1152" s="96" t="s">
        <v>414</v>
      </c>
      <c r="S1152" s="96" t="s">
        <v>406</v>
      </c>
      <c r="T1152" s="96" t="s">
        <v>1200</v>
      </c>
      <c r="U1152" s="97">
        <v>5.97</v>
      </c>
      <c r="V1152" s="100">
        <v>49217</v>
      </c>
      <c r="W1152" s="98">
        <v>3.3000000000000002E-2</v>
      </c>
      <c r="X1152" s="98">
        <v>4.19E-2</v>
      </c>
      <c r="Y1152" s="96" t="s">
        <v>411</v>
      </c>
      <c r="Z1152" s="96"/>
      <c r="AA1152" s="97">
        <v>23314.483080999998</v>
      </c>
      <c r="AB1152" s="97">
        <v>1</v>
      </c>
      <c r="AC1152" s="97">
        <v>100.71</v>
      </c>
      <c r="AD1152" s="97"/>
      <c r="AE1152" s="97">
        <v>23.480015000000002</v>
      </c>
      <c r="AF1152" s="96"/>
      <c r="AG1152" s="96"/>
      <c r="AH1152" s="96"/>
      <c r="AI1152" s="98">
        <v>1.8E-5</v>
      </c>
      <c r="AJ1152" s="98">
        <v>3.6510000000000002E-3</v>
      </c>
      <c r="AK1152" s="98">
        <v>1.408E-3</v>
      </c>
      <c r="AL1152" s="106"/>
    </row>
    <row r="1153" spans="1:38" ht="15" customHeight="1">
      <c r="A1153" s="106"/>
      <c r="B1153" s="96">
        <v>286</v>
      </c>
      <c r="C1153" s="96">
        <v>9803</v>
      </c>
      <c r="D1153" s="96" t="s">
        <v>1197</v>
      </c>
      <c r="E1153" s="96">
        <v>520018078</v>
      </c>
      <c r="F1153" s="96" t="s">
        <v>308</v>
      </c>
      <c r="G1153" s="96" t="s">
        <v>1872</v>
      </c>
      <c r="H1153" s="96" t="s">
        <v>1873</v>
      </c>
      <c r="I1153" s="96" t="s">
        <v>320</v>
      </c>
      <c r="J1153" s="96" t="s">
        <v>753</v>
      </c>
      <c r="K1153" s="96" t="s">
        <v>203</v>
      </c>
      <c r="L1153" s="96" t="s">
        <v>203</v>
      </c>
      <c r="M1153" s="96" t="s">
        <v>324</v>
      </c>
      <c r="N1153" s="96" t="s">
        <v>339</v>
      </c>
      <c r="O1153" s="96" t="s">
        <v>447</v>
      </c>
      <c r="P1153" s="96" t="s">
        <v>338</v>
      </c>
      <c r="Q1153" s="96" t="s">
        <v>1332</v>
      </c>
      <c r="R1153" s="96" t="s">
        <v>412</v>
      </c>
      <c r="S1153" s="96" t="s">
        <v>406</v>
      </c>
      <c r="T1153" s="96" t="s">
        <v>1200</v>
      </c>
      <c r="U1153" s="97">
        <v>0.66</v>
      </c>
      <c r="V1153" s="100">
        <v>45716</v>
      </c>
      <c r="W1153" s="98">
        <v>2.4199999999999999E-2</v>
      </c>
      <c r="X1153" s="98">
        <v>3.39E-2</v>
      </c>
      <c r="Y1153" s="96" t="s">
        <v>410</v>
      </c>
      <c r="Z1153" s="96"/>
      <c r="AA1153" s="97">
        <v>37859.982752000004</v>
      </c>
      <c r="AB1153" s="97">
        <v>1</v>
      </c>
      <c r="AC1153" s="97">
        <v>113.74</v>
      </c>
      <c r="AD1153" s="97"/>
      <c r="AE1153" s="97">
        <v>43.061943999999997</v>
      </c>
      <c r="AF1153" s="96"/>
      <c r="AG1153" s="96"/>
      <c r="AH1153" s="96"/>
      <c r="AI1153" s="98">
        <v>2.5999999999999998E-5</v>
      </c>
      <c r="AJ1153" s="98">
        <v>6.6969999999999998E-3</v>
      </c>
      <c r="AK1153" s="98">
        <v>2.5820000000000001E-3</v>
      </c>
      <c r="AL1153" s="106"/>
    </row>
    <row r="1154" spans="1:38" ht="15" customHeight="1">
      <c r="A1154" s="106"/>
      <c r="B1154" s="96">
        <v>286</v>
      </c>
      <c r="C1154" s="96">
        <v>9803</v>
      </c>
      <c r="D1154" s="96" t="s">
        <v>1710</v>
      </c>
      <c r="E1154" s="96">
        <v>520034372</v>
      </c>
      <c r="F1154" s="96" t="s">
        <v>308</v>
      </c>
      <c r="G1154" s="96" t="s">
        <v>1876</v>
      </c>
      <c r="H1154" s="96" t="s">
        <v>1877</v>
      </c>
      <c r="I1154" s="96" t="s">
        <v>320</v>
      </c>
      <c r="J1154" s="96" t="s">
        <v>753</v>
      </c>
      <c r="K1154" s="96" t="s">
        <v>203</v>
      </c>
      <c r="L1154" s="96" t="s">
        <v>203</v>
      </c>
      <c r="M1154" s="96" t="s">
        <v>324</v>
      </c>
      <c r="N1154" s="96" t="s">
        <v>339</v>
      </c>
      <c r="O1154" s="96" t="s">
        <v>476</v>
      </c>
      <c r="P1154" s="96" t="s">
        <v>338</v>
      </c>
      <c r="Q1154" s="96" t="s">
        <v>1313</v>
      </c>
      <c r="R1154" s="96" t="s">
        <v>412</v>
      </c>
      <c r="S1154" s="96" t="s">
        <v>406</v>
      </c>
      <c r="T1154" s="96" t="s">
        <v>1200</v>
      </c>
      <c r="U1154" s="97">
        <v>3.61</v>
      </c>
      <c r="V1154" s="100">
        <v>48202</v>
      </c>
      <c r="W1154" s="98">
        <v>2.1999999999999999E-2</v>
      </c>
      <c r="X1154" s="98">
        <v>3.0499999999999999E-2</v>
      </c>
      <c r="Y1154" s="96" t="s">
        <v>411</v>
      </c>
      <c r="Z1154" s="96"/>
      <c r="AA1154" s="97">
        <v>16054.684933</v>
      </c>
      <c r="AB1154" s="97">
        <v>1</v>
      </c>
      <c r="AC1154" s="97">
        <v>102.03</v>
      </c>
      <c r="AD1154" s="97"/>
      <c r="AE1154" s="97">
        <v>16.380595</v>
      </c>
      <c r="AF1154" s="96"/>
      <c r="AG1154" s="96"/>
      <c r="AH1154" s="96"/>
      <c r="AI1154" s="98">
        <v>3.3000000000000003E-5</v>
      </c>
      <c r="AJ1154" s="98">
        <v>2.5469999999999998E-3</v>
      </c>
      <c r="AK1154" s="98">
        <v>9.8200000000000002E-4</v>
      </c>
      <c r="AL1154" s="106"/>
    </row>
    <row r="1155" spans="1:38" ht="15" customHeight="1">
      <c r="A1155" s="106"/>
      <c r="B1155" s="96">
        <v>286</v>
      </c>
      <c r="C1155" s="96">
        <v>9803</v>
      </c>
      <c r="D1155" s="96" t="s">
        <v>1565</v>
      </c>
      <c r="E1155" s="96">
        <v>520033234</v>
      </c>
      <c r="F1155" s="96" t="s">
        <v>308</v>
      </c>
      <c r="G1155" s="96" t="s">
        <v>1978</v>
      </c>
      <c r="H1155" s="96" t="s">
        <v>1979</v>
      </c>
      <c r="I1155" s="96" t="s">
        <v>320</v>
      </c>
      <c r="J1155" s="96" t="s">
        <v>753</v>
      </c>
      <c r="K1155" s="96" t="s">
        <v>203</v>
      </c>
      <c r="L1155" s="96" t="s">
        <v>203</v>
      </c>
      <c r="M1155" s="96" t="s">
        <v>324</v>
      </c>
      <c r="N1155" s="96" t="s">
        <v>339</v>
      </c>
      <c r="O1155" s="96" t="s">
        <v>464</v>
      </c>
      <c r="P1155" s="96" t="s">
        <v>337</v>
      </c>
      <c r="Q1155" s="96" t="s">
        <v>1309</v>
      </c>
      <c r="R1155" s="96" t="s">
        <v>414</v>
      </c>
      <c r="S1155" s="96" t="s">
        <v>406</v>
      </c>
      <c r="T1155" s="96" t="s">
        <v>1200</v>
      </c>
      <c r="U1155" s="97">
        <v>3.77</v>
      </c>
      <c r="V1155" s="100">
        <v>47208</v>
      </c>
      <c r="W1155" s="98">
        <v>1.7500000000000002E-2</v>
      </c>
      <c r="X1155" s="98">
        <v>6.0100000000000001E-2</v>
      </c>
      <c r="Y1155" s="96" t="s">
        <v>411</v>
      </c>
      <c r="Z1155" s="96"/>
      <c r="AA1155" s="97">
        <v>11926.554469000001</v>
      </c>
      <c r="AB1155" s="97">
        <v>1</v>
      </c>
      <c r="AC1155" s="97">
        <v>95.82</v>
      </c>
      <c r="AD1155" s="97"/>
      <c r="AE1155" s="97">
        <v>11.428024000000001</v>
      </c>
      <c r="AF1155" s="96"/>
      <c r="AG1155" s="96"/>
      <c r="AH1155" s="96"/>
      <c r="AI1155" s="98">
        <v>1.0000000000000001E-5</v>
      </c>
      <c r="AJ1155" s="98">
        <v>1.7769999999999999E-3</v>
      </c>
      <c r="AK1155" s="98">
        <v>6.8499999999999995E-4</v>
      </c>
      <c r="AL1155" s="106"/>
    </row>
    <row r="1156" spans="1:38" ht="15" customHeight="1">
      <c r="A1156" s="106"/>
      <c r="B1156" s="96">
        <v>286</v>
      </c>
      <c r="C1156" s="96">
        <v>9803</v>
      </c>
      <c r="D1156" s="96" t="s">
        <v>1529</v>
      </c>
      <c r="E1156" s="96">
        <v>520003781</v>
      </c>
      <c r="F1156" s="96" t="s">
        <v>308</v>
      </c>
      <c r="G1156" s="96" t="s">
        <v>1542</v>
      </c>
      <c r="H1156" s="96" t="s">
        <v>1543</v>
      </c>
      <c r="I1156" s="96" t="s">
        <v>320</v>
      </c>
      <c r="J1156" s="96" t="s">
        <v>952</v>
      </c>
      <c r="K1156" s="96" t="s">
        <v>203</v>
      </c>
      <c r="L1156" s="96" t="s">
        <v>203</v>
      </c>
      <c r="M1156" s="96" t="s">
        <v>324</v>
      </c>
      <c r="N1156" s="96" t="s">
        <v>339</v>
      </c>
      <c r="O1156" s="96" t="s">
        <v>458</v>
      </c>
      <c r="P1156" s="96" t="s">
        <v>338</v>
      </c>
      <c r="Q1156" s="96" t="s">
        <v>1301</v>
      </c>
      <c r="R1156" s="96" t="s">
        <v>414</v>
      </c>
      <c r="S1156" s="96" t="s">
        <v>406</v>
      </c>
      <c r="T1156" s="96" t="s">
        <v>1200</v>
      </c>
      <c r="U1156" s="97">
        <v>1.94</v>
      </c>
      <c r="V1156" s="100">
        <v>46568</v>
      </c>
      <c r="W1156" s="98">
        <v>2.6100000000000002E-2</v>
      </c>
      <c r="X1156" s="98">
        <v>4.8099999999999997E-2</v>
      </c>
      <c r="Y1156" s="96" t="s">
        <v>411</v>
      </c>
      <c r="Z1156" s="96"/>
      <c r="AA1156" s="97">
        <v>23459.994068</v>
      </c>
      <c r="AB1156" s="97">
        <v>1</v>
      </c>
      <c r="AC1156" s="97">
        <v>95.99</v>
      </c>
      <c r="AD1156" s="97"/>
      <c r="AE1156" s="97">
        <v>22.519248000000001</v>
      </c>
      <c r="AF1156" s="96"/>
      <c r="AG1156" s="96"/>
      <c r="AH1156" s="96"/>
      <c r="AI1156" s="98">
        <v>6.3999999999999997E-5</v>
      </c>
      <c r="AJ1156" s="98">
        <v>3.5019999999999999E-3</v>
      </c>
      <c r="AK1156" s="98">
        <v>1.3500000000000001E-3</v>
      </c>
      <c r="AL1156" s="106"/>
    </row>
    <row r="1157" spans="1:38" ht="15" customHeight="1">
      <c r="A1157" s="106"/>
      <c r="B1157" s="96">
        <v>286</v>
      </c>
      <c r="C1157" s="96">
        <v>9803</v>
      </c>
      <c r="D1157" s="96" t="s">
        <v>1597</v>
      </c>
      <c r="E1157" s="96">
        <v>520020116</v>
      </c>
      <c r="F1157" s="96" t="s">
        <v>308</v>
      </c>
      <c r="G1157" s="96" t="s">
        <v>1643</v>
      </c>
      <c r="H1157" s="96" t="s">
        <v>1644</v>
      </c>
      <c r="I1157" s="96" t="s">
        <v>320</v>
      </c>
      <c r="J1157" s="96" t="s">
        <v>753</v>
      </c>
      <c r="K1157" s="96" t="s">
        <v>203</v>
      </c>
      <c r="L1157" s="96" t="s">
        <v>203</v>
      </c>
      <c r="M1157" s="96" t="s">
        <v>326</v>
      </c>
      <c r="N1157" s="96" t="s">
        <v>339</v>
      </c>
      <c r="O1157" s="96" t="s">
        <v>463</v>
      </c>
      <c r="P1157" s="96" t="s">
        <v>337</v>
      </c>
      <c r="Q1157" s="96" t="s">
        <v>1324</v>
      </c>
      <c r="R1157" s="96" t="s">
        <v>412</v>
      </c>
      <c r="S1157" s="96" t="s">
        <v>406</v>
      </c>
      <c r="T1157" s="96" t="s">
        <v>1200</v>
      </c>
      <c r="U1157" s="97">
        <v>2.25</v>
      </c>
      <c r="V1157" s="100">
        <v>47118</v>
      </c>
      <c r="W1157" s="98">
        <v>3.3000000000000002E-2</v>
      </c>
      <c r="X1157" s="98">
        <v>4.1300000000000003E-2</v>
      </c>
      <c r="Y1157" s="96" t="s">
        <v>411</v>
      </c>
      <c r="Z1157" s="96"/>
      <c r="AA1157" s="97">
        <v>8711.0539360000002</v>
      </c>
      <c r="AB1157" s="97">
        <v>1</v>
      </c>
      <c r="AC1157" s="97">
        <v>111.5496</v>
      </c>
      <c r="AD1157" s="97"/>
      <c r="AE1157" s="97">
        <v>9.7171439999999993</v>
      </c>
      <c r="AF1157" s="96"/>
      <c r="AG1157" s="96"/>
      <c r="AH1157" s="96"/>
      <c r="AI1157" s="98">
        <v>1.4E-5</v>
      </c>
      <c r="AJ1157" s="98">
        <v>1.511E-3</v>
      </c>
      <c r="AK1157" s="98">
        <v>5.8200000000000005E-4</v>
      </c>
      <c r="AL1157" s="106"/>
    </row>
    <row r="1158" spans="1:38" ht="15" customHeight="1">
      <c r="A1158" s="106"/>
      <c r="B1158" s="96">
        <v>286</v>
      </c>
      <c r="C1158" s="96">
        <v>9803</v>
      </c>
      <c r="D1158" s="96" t="s">
        <v>1517</v>
      </c>
      <c r="E1158" s="96">
        <v>510560188</v>
      </c>
      <c r="F1158" s="96" t="s">
        <v>308</v>
      </c>
      <c r="G1158" s="96" t="s">
        <v>1985</v>
      </c>
      <c r="H1158" s="96" t="s">
        <v>1986</v>
      </c>
      <c r="I1158" s="96" t="s">
        <v>320</v>
      </c>
      <c r="J1158" s="96" t="s">
        <v>753</v>
      </c>
      <c r="K1158" s="96" t="s">
        <v>203</v>
      </c>
      <c r="L1158" s="96" t="s">
        <v>203</v>
      </c>
      <c r="M1158" s="96" t="s">
        <v>324</v>
      </c>
      <c r="N1158" s="96" t="s">
        <v>339</v>
      </c>
      <c r="O1158" s="96" t="s">
        <v>464</v>
      </c>
      <c r="P1158" s="96" t="s">
        <v>338</v>
      </c>
      <c r="Q1158" s="96" t="s">
        <v>1520</v>
      </c>
      <c r="R1158" s="96" t="s">
        <v>414</v>
      </c>
      <c r="S1158" s="96" t="s">
        <v>406</v>
      </c>
      <c r="T1158" s="96" t="s">
        <v>1200</v>
      </c>
      <c r="U1158" s="97">
        <v>4.3899999999999997</v>
      </c>
      <c r="V1158" s="100">
        <v>47299</v>
      </c>
      <c r="W1158" s="98">
        <v>1.09E-2</v>
      </c>
      <c r="X1158" s="98">
        <v>3.7699999999999997E-2</v>
      </c>
      <c r="Y1158" s="96" t="s">
        <v>411</v>
      </c>
      <c r="Z1158" s="96"/>
      <c r="AA1158" s="97">
        <v>12811.629166999999</v>
      </c>
      <c r="AB1158" s="97">
        <v>1</v>
      </c>
      <c r="AC1158" s="97">
        <v>99.8</v>
      </c>
      <c r="AD1158" s="97"/>
      <c r="AE1158" s="97">
        <v>12.786004999999999</v>
      </c>
      <c r="AF1158" s="96"/>
      <c r="AG1158" s="96"/>
      <c r="AH1158" s="96"/>
      <c r="AI1158" s="98">
        <v>1.8E-5</v>
      </c>
      <c r="AJ1158" s="98">
        <v>1.9880000000000002E-3</v>
      </c>
      <c r="AK1158" s="98">
        <v>7.6599999999999997E-4</v>
      </c>
      <c r="AL1158" s="106"/>
    </row>
    <row r="1159" spans="1:38" ht="15" customHeight="1">
      <c r="A1159" s="106"/>
      <c r="B1159" s="96">
        <v>286</v>
      </c>
      <c r="C1159" s="96">
        <v>9803</v>
      </c>
      <c r="D1159" s="96" t="s">
        <v>1417</v>
      </c>
      <c r="E1159" s="96">
        <v>513230029</v>
      </c>
      <c r="F1159" s="96" t="s">
        <v>308</v>
      </c>
      <c r="G1159" s="96" t="s">
        <v>1728</v>
      </c>
      <c r="H1159" s="96" t="s">
        <v>1729</v>
      </c>
      <c r="I1159" s="96" t="s">
        <v>320</v>
      </c>
      <c r="J1159" s="96" t="s">
        <v>952</v>
      </c>
      <c r="K1159" s="96" t="s">
        <v>203</v>
      </c>
      <c r="L1159" s="96" t="s">
        <v>203</v>
      </c>
      <c r="M1159" s="96" t="s">
        <v>324</v>
      </c>
      <c r="N1159" s="96" t="s">
        <v>339</v>
      </c>
      <c r="O1159" s="96" t="s">
        <v>444</v>
      </c>
      <c r="P1159" s="96" t="s">
        <v>338</v>
      </c>
      <c r="Q1159" s="96" t="s">
        <v>1357</v>
      </c>
      <c r="R1159" s="96" t="s">
        <v>414</v>
      </c>
      <c r="S1159" s="96" t="s">
        <v>406</v>
      </c>
      <c r="T1159" s="96" t="s">
        <v>1200</v>
      </c>
      <c r="U1159" s="97">
        <v>2.38</v>
      </c>
      <c r="V1159" s="100">
        <v>46387</v>
      </c>
      <c r="W1159" s="98">
        <v>4.1000000000000002E-2</v>
      </c>
      <c r="X1159" s="98">
        <v>5.4699999999999999E-2</v>
      </c>
      <c r="Y1159" s="96" t="s">
        <v>411</v>
      </c>
      <c r="Z1159" s="96"/>
      <c r="AA1159" s="97">
        <v>21893.205568000001</v>
      </c>
      <c r="AB1159" s="97">
        <v>1</v>
      </c>
      <c r="AC1159" s="97">
        <v>98.89</v>
      </c>
      <c r="AD1159" s="97"/>
      <c r="AE1159" s="97">
        <v>21.650189999999998</v>
      </c>
      <c r="AF1159" s="96"/>
      <c r="AG1159" s="96"/>
      <c r="AH1159" s="96"/>
      <c r="AI1159" s="98">
        <v>3.0000000000000001E-5</v>
      </c>
      <c r="AJ1159" s="98">
        <v>3.3670000000000002E-3</v>
      </c>
      <c r="AK1159" s="98">
        <v>1.2979999999999999E-3</v>
      </c>
      <c r="AL1159" s="106"/>
    </row>
    <row r="1160" spans="1:38" ht="15" customHeight="1">
      <c r="A1160" s="106"/>
      <c r="B1160" s="96">
        <v>286</v>
      </c>
      <c r="C1160" s="96">
        <v>9803</v>
      </c>
      <c r="D1160" s="96" t="s">
        <v>1440</v>
      </c>
      <c r="E1160" s="96">
        <v>513992529</v>
      </c>
      <c r="F1160" s="96" t="s">
        <v>308</v>
      </c>
      <c r="G1160" s="96" t="s">
        <v>1968</v>
      </c>
      <c r="H1160" s="96" t="s">
        <v>1969</v>
      </c>
      <c r="I1160" s="96" t="s">
        <v>320</v>
      </c>
      <c r="J1160" s="96" t="s">
        <v>753</v>
      </c>
      <c r="K1160" s="96" t="s">
        <v>203</v>
      </c>
      <c r="L1160" s="96" t="s">
        <v>203</v>
      </c>
      <c r="M1160" s="96" t="s">
        <v>324</v>
      </c>
      <c r="N1160" s="96" t="s">
        <v>339</v>
      </c>
      <c r="O1160" s="96" t="s">
        <v>463</v>
      </c>
      <c r="P1160" s="96" t="s">
        <v>338</v>
      </c>
      <c r="Q1160" s="96" t="s">
        <v>1305</v>
      </c>
      <c r="R1160" s="96" t="s">
        <v>414</v>
      </c>
      <c r="S1160" s="96" t="s">
        <v>406</v>
      </c>
      <c r="T1160" s="96" t="s">
        <v>1200</v>
      </c>
      <c r="U1160" s="97">
        <v>6.03</v>
      </c>
      <c r="V1160" s="100">
        <v>48665</v>
      </c>
      <c r="W1160" s="98">
        <v>1.5800000000000002E-2</v>
      </c>
      <c r="X1160" s="98">
        <v>3.5499999999999997E-2</v>
      </c>
      <c r="Y1160" s="96" t="s">
        <v>411</v>
      </c>
      <c r="Z1160" s="96"/>
      <c r="AA1160" s="97">
        <v>10868.699818999999</v>
      </c>
      <c r="AB1160" s="97">
        <v>1</v>
      </c>
      <c r="AC1160" s="97">
        <v>101.56</v>
      </c>
      <c r="AD1160" s="97"/>
      <c r="AE1160" s="97">
        <v>11.038251000000001</v>
      </c>
      <c r="AF1160" s="96"/>
      <c r="AG1160" s="96"/>
      <c r="AH1160" s="96"/>
      <c r="AI1160" s="98">
        <v>7.9999999999999996E-6</v>
      </c>
      <c r="AJ1160" s="98">
        <v>1.7160000000000001E-3</v>
      </c>
      <c r="AK1160" s="98">
        <v>6.6100000000000002E-4</v>
      </c>
      <c r="AL1160" s="106"/>
    </row>
    <row r="1161" spans="1:38" ht="15" customHeight="1">
      <c r="A1161" s="106"/>
      <c r="B1161" s="96">
        <v>286</v>
      </c>
      <c r="C1161" s="96">
        <v>9803</v>
      </c>
      <c r="D1161" s="96" t="s">
        <v>1358</v>
      </c>
      <c r="E1161" s="96">
        <v>520022732</v>
      </c>
      <c r="F1161" s="96" t="s">
        <v>308</v>
      </c>
      <c r="G1161" s="96" t="s">
        <v>1887</v>
      </c>
      <c r="H1161" s="96" t="s">
        <v>1888</v>
      </c>
      <c r="I1161" s="96" t="s">
        <v>320</v>
      </c>
      <c r="J1161" s="96" t="s">
        <v>753</v>
      </c>
      <c r="K1161" s="96" t="s">
        <v>203</v>
      </c>
      <c r="L1161" s="96" t="s">
        <v>203</v>
      </c>
      <c r="M1161" s="96" t="s">
        <v>324</v>
      </c>
      <c r="N1161" s="96" t="s">
        <v>339</v>
      </c>
      <c r="O1161" s="96" t="s">
        <v>474</v>
      </c>
      <c r="P1161" s="96" t="s">
        <v>337</v>
      </c>
      <c r="Q1161" s="96" t="s">
        <v>1313</v>
      </c>
      <c r="R1161" s="96" t="s">
        <v>412</v>
      </c>
      <c r="S1161" s="96" t="s">
        <v>406</v>
      </c>
      <c r="T1161" s="96" t="s">
        <v>1200</v>
      </c>
      <c r="U1161" s="97">
        <v>2.15</v>
      </c>
      <c r="V1161" s="100">
        <v>47034</v>
      </c>
      <c r="W1161" s="98">
        <v>4.2999999999999997E-2</v>
      </c>
      <c r="X1161" s="98">
        <v>2.3699999999999999E-2</v>
      </c>
      <c r="Y1161" s="96" t="s">
        <v>411</v>
      </c>
      <c r="Z1161" s="96"/>
      <c r="AA1161" s="97">
        <v>8351.7735759999996</v>
      </c>
      <c r="AB1161" s="97">
        <v>1</v>
      </c>
      <c r="AC1161" s="97">
        <v>121.81</v>
      </c>
      <c r="AD1161" s="97"/>
      <c r="AE1161" s="97">
        <v>10.173295</v>
      </c>
      <c r="AF1161" s="96"/>
      <c r="AG1161" s="96"/>
      <c r="AH1161" s="96"/>
      <c r="AI1161" s="98">
        <v>1.5999999999999999E-5</v>
      </c>
      <c r="AJ1161" s="98">
        <v>1.5820000000000001E-3</v>
      </c>
      <c r="AK1161" s="98">
        <v>6.0999999999999997E-4</v>
      </c>
      <c r="AL1161" s="106"/>
    </row>
    <row r="1162" spans="1:38" ht="15" customHeight="1">
      <c r="A1162" s="106"/>
      <c r="B1162" s="96">
        <v>286</v>
      </c>
      <c r="C1162" s="96">
        <v>9803</v>
      </c>
      <c r="D1162" s="96" t="s">
        <v>1524</v>
      </c>
      <c r="E1162" s="96">
        <v>513257873</v>
      </c>
      <c r="F1162" s="96" t="s">
        <v>308</v>
      </c>
      <c r="G1162" s="96" t="s">
        <v>1922</v>
      </c>
      <c r="H1162" s="96" t="s">
        <v>1923</v>
      </c>
      <c r="I1162" s="96" t="s">
        <v>320</v>
      </c>
      <c r="J1162" s="96" t="s">
        <v>753</v>
      </c>
      <c r="K1162" s="96" t="s">
        <v>203</v>
      </c>
      <c r="L1162" s="96" t="s">
        <v>203</v>
      </c>
      <c r="M1162" s="96" t="s">
        <v>324</v>
      </c>
      <c r="N1162" s="96" t="s">
        <v>339</v>
      </c>
      <c r="O1162" s="96" t="s">
        <v>463</v>
      </c>
      <c r="P1162" s="96" t="s">
        <v>338</v>
      </c>
      <c r="Q1162" s="96" t="s">
        <v>1320</v>
      </c>
      <c r="R1162" s="96" t="s">
        <v>412</v>
      </c>
      <c r="S1162" s="96" t="s">
        <v>406</v>
      </c>
      <c r="T1162" s="96" t="s">
        <v>1200</v>
      </c>
      <c r="U1162" s="97">
        <v>4.54</v>
      </c>
      <c r="V1162" s="100">
        <v>47542</v>
      </c>
      <c r="W1162" s="98">
        <v>8.3999999999999995E-3</v>
      </c>
      <c r="X1162" s="98">
        <v>3.5799999999999998E-2</v>
      </c>
      <c r="Y1162" s="96" t="s">
        <v>411</v>
      </c>
      <c r="Z1162" s="96"/>
      <c r="AA1162" s="97">
        <v>1345.074646</v>
      </c>
      <c r="AB1162" s="97">
        <v>1</v>
      </c>
      <c r="AC1162" s="97">
        <v>100.58</v>
      </c>
      <c r="AD1162" s="97"/>
      <c r="AE1162" s="97">
        <v>1.352876</v>
      </c>
      <c r="AF1162" s="96"/>
      <c r="AG1162" s="96"/>
      <c r="AH1162" s="96"/>
      <c r="AI1162" s="98">
        <v>9.9999999999999995E-7</v>
      </c>
      <c r="AJ1162" s="98">
        <v>2.1000000000000001E-4</v>
      </c>
      <c r="AK1162" s="98">
        <v>8.1000000000000004E-5</v>
      </c>
      <c r="AL1162" s="106"/>
    </row>
    <row r="1163" spans="1:38" ht="15" customHeight="1">
      <c r="A1163" s="106"/>
      <c r="B1163" s="96">
        <v>286</v>
      </c>
      <c r="C1163" s="96">
        <v>9803</v>
      </c>
      <c r="D1163" s="96" t="s">
        <v>1529</v>
      </c>
      <c r="E1163" s="96">
        <v>520003781</v>
      </c>
      <c r="F1163" s="96" t="s">
        <v>308</v>
      </c>
      <c r="G1163" s="96" t="s">
        <v>1530</v>
      </c>
      <c r="H1163" s="96" t="s">
        <v>1531</v>
      </c>
      <c r="I1163" s="96" t="s">
        <v>320</v>
      </c>
      <c r="J1163" s="96" t="s">
        <v>952</v>
      </c>
      <c r="K1163" s="96" t="s">
        <v>203</v>
      </c>
      <c r="L1163" s="96" t="s">
        <v>203</v>
      </c>
      <c r="M1163" s="96" t="s">
        <v>324</v>
      </c>
      <c r="N1163" s="96" t="s">
        <v>339</v>
      </c>
      <c r="O1163" s="96" t="s">
        <v>458</v>
      </c>
      <c r="P1163" s="96" t="s">
        <v>338</v>
      </c>
      <c r="Q1163" s="96" t="s">
        <v>1301</v>
      </c>
      <c r="R1163" s="96" t="s">
        <v>414</v>
      </c>
      <c r="S1163" s="96" t="s">
        <v>406</v>
      </c>
      <c r="T1163" s="96" t="s">
        <v>1200</v>
      </c>
      <c r="U1163" s="97">
        <v>6.44</v>
      </c>
      <c r="V1163" s="100">
        <v>50221</v>
      </c>
      <c r="W1163" s="98">
        <v>1.9E-2</v>
      </c>
      <c r="X1163" s="98">
        <v>5.5800000000000002E-2</v>
      </c>
      <c r="Y1163" s="96" t="s">
        <v>411</v>
      </c>
      <c r="Z1163" s="96"/>
      <c r="AA1163" s="97">
        <v>29655.216558</v>
      </c>
      <c r="AB1163" s="97">
        <v>1</v>
      </c>
      <c r="AC1163" s="97">
        <v>78.97</v>
      </c>
      <c r="AD1163" s="97"/>
      <c r="AE1163" s="97">
        <v>23.418724000000001</v>
      </c>
      <c r="AF1163" s="96"/>
      <c r="AG1163" s="96"/>
      <c r="AH1163" s="96"/>
      <c r="AI1163" s="98">
        <v>2.9E-5</v>
      </c>
      <c r="AJ1163" s="98">
        <v>3.6419999999999998E-3</v>
      </c>
      <c r="AK1163" s="98">
        <v>1.4040000000000001E-3</v>
      </c>
      <c r="AL1163" s="106"/>
    </row>
    <row r="1164" spans="1:38" ht="15" customHeight="1">
      <c r="A1164" s="106"/>
      <c r="B1164" s="96">
        <v>286</v>
      </c>
      <c r="C1164" s="96">
        <v>9803</v>
      </c>
      <c r="D1164" s="96" t="s">
        <v>1364</v>
      </c>
      <c r="E1164" s="96">
        <v>513821488</v>
      </c>
      <c r="F1164" s="96" t="s">
        <v>308</v>
      </c>
      <c r="G1164" s="96" t="s">
        <v>1365</v>
      </c>
      <c r="H1164" s="96" t="s">
        <v>1366</v>
      </c>
      <c r="I1164" s="96" t="s">
        <v>320</v>
      </c>
      <c r="J1164" s="96" t="s">
        <v>753</v>
      </c>
      <c r="K1164" s="96" t="s">
        <v>203</v>
      </c>
      <c r="L1164" s="96" t="s">
        <v>203</v>
      </c>
      <c r="M1164" s="96" t="s">
        <v>324</v>
      </c>
      <c r="N1164" s="96" t="s">
        <v>339</v>
      </c>
      <c r="O1164" s="96" t="s">
        <v>463</v>
      </c>
      <c r="P1164" s="96" t="s">
        <v>337</v>
      </c>
      <c r="Q1164" s="96" t="s">
        <v>1313</v>
      </c>
      <c r="R1164" s="96" t="s">
        <v>412</v>
      </c>
      <c r="S1164" s="96" t="s">
        <v>406</v>
      </c>
      <c r="T1164" s="96" t="s">
        <v>1200</v>
      </c>
      <c r="U1164" s="97">
        <v>3.62</v>
      </c>
      <c r="V1164" s="100">
        <v>48111</v>
      </c>
      <c r="W1164" s="98">
        <v>3.5000000000000003E-2</v>
      </c>
      <c r="X1164" s="98">
        <v>3.15E-2</v>
      </c>
      <c r="Y1164" s="96" t="s">
        <v>411</v>
      </c>
      <c r="Z1164" s="96"/>
      <c r="AA1164" s="97">
        <v>12351.669399</v>
      </c>
      <c r="AB1164" s="97">
        <v>1</v>
      </c>
      <c r="AC1164" s="97">
        <v>118.06</v>
      </c>
      <c r="AD1164" s="97"/>
      <c r="AE1164" s="97">
        <v>14.582380000000001</v>
      </c>
      <c r="AF1164" s="96"/>
      <c r="AG1164" s="96"/>
      <c r="AH1164" s="96"/>
      <c r="AI1164" s="98">
        <v>1.4E-5</v>
      </c>
      <c r="AJ1164" s="98">
        <v>2.2680000000000001E-3</v>
      </c>
      <c r="AK1164" s="98">
        <v>8.7399999999999999E-4</v>
      </c>
      <c r="AL1164" s="106"/>
    </row>
    <row r="1165" spans="1:38" ht="15" customHeight="1">
      <c r="A1165" s="106"/>
      <c r="B1165" s="96">
        <v>286</v>
      </c>
      <c r="C1165" s="96">
        <v>9803</v>
      </c>
      <c r="D1165" s="96" t="s">
        <v>1364</v>
      </c>
      <c r="E1165" s="96">
        <v>513821488</v>
      </c>
      <c r="F1165" s="96" t="s">
        <v>308</v>
      </c>
      <c r="G1165" s="96" t="s">
        <v>1388</v>
      </c>
      <c r="H1165" s="96" t="s">
        <v>1389</v>
      </c>
      <c r="I1165" s="96" t="s">
        <v>320</v>
      </c>
      <c r="J1165" s="96" t="s">
        <v>753</v>
      </c>
      <c r="K1165" s="96" t="s">
        <v>203</v>
      </c>
      <c r="L1165" s="96" t="s">
        <v>203</v>
      </c>
      <c r="M1165" s="96" t="s">
        <v>324</v>
      </c>
      <c r="N1165" s="96" t="s">
        <v>339</v>
      </c>
      <c r="O1165" s="96" t="s">
        <v>463</v>
      </c>
      <c r="P1165" s="96" t="s">
        <v>337</v>
      </c>
      <c r="Q1165" s="96" t="s">
        <v>1313</v>
      </c>
      <c r="R1165" s="96" t="s">
        <v>412</v>
      </c>
      <c r="S1165" s="96" t="s">
        <v>406</v>
      </c>
      <c r="T1165" s="96" t="s">
        <v>1200</v>
      </c>
      <c r="U1165" s="97">
        <v>2.29</v>
      </c>
      <c r="V1165" s="100">
        <v>47016</v>
      </c>
      <c r="W1165" s="98">
        <v>0.04</v>
      </c>
      <c r="X1165" s="98">
        <v>2.8000000000000001E-2</v>
      </c>
      <c r="Y1165" s="96" t="s">
        <v>411</v>
      </c>
      <c r="Z1165" s="96"/>
      <c r="AA1165" s="97">
        <v>34175.824957999997</v>
      </c>
      <c r="AB1165" s="97">
        <v>1</v>
      </c>
      <c r="AC1165" s="97">
        <v>118.66</v>
      </c>
      <c r="AD1165" s="97"/>
      <c r="AE1165" s="97">
        <v>40.553032999999999</v>
      </c>
      <c r="AF1165" s="96"/>
      <c r="AG1165" s="96"/>
      <c r="AH1165" s="96"/>
      <c r="AI1165" s="98">
        <v>3.4E-5</v>
      </c>
      <c r="AJ1165" s="98">
        <v>6.3070000000000001E-3</v>
      </c>
      <c r="AK1165" s="98">
        <v>2.431E-3</v>
      </c>
      <c r="AL1165" s="106"/>
    </row>
    <row r="1166" spans="1:38" ht="15" customHeight="1">
      <c r="A1166" s="106"/>
      <c r="B1166" s="96">
        <v>286</v>
      </c>
      <c r="C1166" s="96">
        <v>9803</v>
      </c>
      <c r="D1166" s="96" t="s">
        <v>1385</v>
      </c>
      <c r="E1166" s="96">
        <v>520017807</v>
      </c>
      <c r="F1166" s="96" t="s">
        <v>308</v>
      </c>
      <c r="G1166" s="96" t="s">
        <v>1622</v>
      </c>
      <c r="H1166" s="96" t="s">
        <v>1623</v>
      </c>
      <c r="I1166" s="96" t="s">
        <v>320</v>
      </c>
      <c r="J1166" s="96" t="s">
        <v>753</v>
      </c>
      <c r="K1166" s="96" t="s">
        <v>203</v>
      </c>
      <c r="L1166" s="96" t="s">
        <v>203</v>
      </c>
      <c r="M1166" s="96" t="s">
        <v>324</v>
      </c>
      <c r="N1166" s="96" t="s">
        <v>339</v>
      </c>
      <c r="O1166" s="96" t="s">
        <v>463</v>
      </c>
      <c r="P1166" s="96" t="s">
        <v>337</v>
      </c>
      <c r="Q1166" s="96" t="s">
        <v>1336</v>
      </c>
      <c r="R1166" s="96" t="s">
        <v>414</v>
      </c>
      <c r="S1166" s="96" t="s">
        <v>406</v>
      </c>
      <c r="T1166" s="96" t="s">
        <v>1200</v>
      </c>
      <c r="U1166" s="97">
        <v>2.57</v>
      </c>
      <c r="V1166" s="100">
        <v>46522</v>
      </c>
      <c r="W1166" s="98">
        <v>1.5800000000000002E-2</v>
      </c>
      <c r="X1166" s="98">
        <v>2.6100000000000002E-2</v>
      </c>
      <c r="Y1166" s="96" t="s">
        <v>411</v>
      </c>
      <c r="Z1166" s="96"/>
      <c r="AA1166" s="97">
        <v>26056.163827</v>
      </c>
      <c r="AB1166" s="97">
        <v>1</v>
      </c>
      <c r="AC1166" s="97">
        <v>111.97</v>
      </c>
      <c r="AD1166" s="97"/>
      <c r="AE1166" s="97">
        <v>29.175086</v>
      </c>
      <c r="AF1166" s="96"/>
      <c r="AG1166" s="96"/>
      <c r="AH1166" s="96"/>
      <c r="AI1166" s="98">
        <v>6.0000000000000002E-5</v>
      </c>
      <c r="AJ1166" s="98">
        <v>4.5370000000000002E-3</v>
      </c>
      <c r="AK1166" s="98">
        <v>1.7489999999999999E-3</v>
      </c>
      <c r="AL1166" s="106"/>
    </row>
    <row r="1167" spans="1:38" ht="15" customHeight="1">
      <c r="A1167" s="106"/>
      <c r="B1167" s="96">
        <v>286</v>
      </c>
      <c r="C1167" s="96">
        <v>9803</v>
      </c>
      <c r="D1167" s="96" t="s">
        <v>2011</v>
      </c>
      <c r="E1167" s="96">
        <v>514892801</v>
      </c>
      <c r="F1167" s="96" t="s">
        <v>308</v>
      </c>
      <c r="G1167" s="96" t="s">
        <v>2012</v>
      </c>
      <c r="H1167" s="96" t="s">
        <v>2013</v>
      </c>
      <c r="I1167" s="96" t="s">
        <v>320</v>
      </c>
      <c r="J1167" s="96" t="s">
        <v>952</v>
      </c>
      <c r="K1167" s="96" t="s">
        <v>203</v>
      </c>
      <c r="L1167" s="96" t="s">
        <v>203</v>
      </c>
      <c r="M1167" s="96" t="s">
        <v>324</v>
      </c>
      <c r="N1167" s="96" t="s">
        <v>339</v>
      </c>
      <c r="O1167" s="96" t="s">
        <v>462</v>
      </c>
      <c r="P1167" s="96" t="s">
        <v>338</v>
      </c>
      <c r="Q1167" s="96" t="s">
        <v>1320</v>
      </c>
      <c r="R1167" s="96" t="s">
        <v>412</v>
      </c>
      <c r="S1167" s="96" t="s">
        <v>406</v>
      </c>
      <c r="T1167" s="96" t="s">
        <v>1200</v>
      </c>
      <c r="U1167" s="97">
        <v>5.69</v>
      </c>
      <c r="V1167" s="100">
        <v>50374</v>
      </c>
      <c r="W1167" s="98">
        <v>2.3400000000000001E-2</v>
      </c>
      <c r="X1167" s="98">
        <v>6.13E-2</v>
      </c>
      <c r="Y1167" s="96" t="s">
        <v>411</v>
      </c>
      <c r="Z1167" s="96"/>
      <c r="AA1167" s="97">
        <v>21309.831664000001</v>
      </c>
      <c r="AB1167" s="97">
        <v>1</v>
      </c>
      <c r="AC1167" s="97">
        <v>80.680000000000007</v>
      </c>
      <c r="AD1167" s="97"/>
      <c r="AE1167" s="97">
        <v>17.192772000000001</v>
      </c>
      <c r="AF1167" s="96"/>
      <c r="AG1167" s="96"/>
      <c r="AH1167" s="96"/>
      <c r="AI1167" s="98">
        <v>2.0999999999999999E-5</v>
      </c>
      <c r="AJ1167" s="98">
        <v>2.6740000000000002E-3</v>
      </c>
      <c r="AK1167" s="98">
        <v>1.031E-3</v>
      </c>
      <c r="AL1167" s="106"/>
    </row>
    <row r="1168" spans="1:38" ht="15" customHeight="1">
      <c r="A1168" s="106"/>
      <c r="B1168" s="96">
        <v>286</v>
      </c>
      <c r="C1168" s="96">
        <v>9803</v>
      </c>
      <c r="D1168" s="96" t="s">
        <v>1511</v>
      </c>
      <c r="E1168" s="96">
        <v>513765859</v>
      </c>
      <c r="F1168" s="96" t="s">
        <v>308</v>
      </c>
      <c r="G1168" s="96" t="s">
        <v>1910</v>
      </c>
      <c r="H1168" s="96" t="s">
        <v>1911</v>
      </c>
      <c r="I1168" s="96" t="s">
        <v>320</v>
      </c>
      <c r="J1168" s="96" t="s">
        <v>753</v>
      </c>
      <c r="K1168" s="96" t="s">
        <v>203</v>
      </c>
      <c r="L1168" s="96" t="s">
        <v>203</v>
      </c>
      <c r="M1168" s="96" t="s">
        <v>324</v>
      </c>
      <c r="N1168" s="96" t="s">
        <v>339</v>
      </c>
      <c r="O1168" s="96" t="s">
        <v>463</v>
      </c>
      <c r="P1168" s="96" t="s">
        <v>337</v>
      </c>
      <c r="Q1168" s="96" t="s">
        <v>1332</v>
      </c>
      <c r="R1168" s="96" t="s">
        <v>412</v>
      </c>
      <c r="S1168" s="96" t="s">
        <v>406</v>
      </c>
      <c r="T1168" s="96" t="s">
        <v>1200</v>
      </c>
      <c r="U1168" s="97">
        <v>1.46</v>
      </c>
      <c r="V1168" s="100">
        <v>46356</v>
      </c>
      <c r="W1168" s="98">
        <v>2.1499999999999998E-2</v>
      </c>
      <c r="X1168" s="98">
        <v>2.69E-2</v>
      </c>
      <c r="Y1168" s="96" t="s">
        <v>411</v>
      </c>
      <c r="Z1168" s="96"/>
      <c r="AA1168" s="97">
        <v>9409.3347849999991</v>
      </c>
      <c r="AB1168" s="97">
        <v>1</v>
      </c>
      <c r="AC1168" s="97">
        <v>114.49</v>
      </c>
      <c r="AD1168" s="97"/>
      <c r="AE1168" s="97">
        <v>10.772747000000001</v>
      </c>
      <c r="AF1168" s="96"/>
      <c r="AG1168" s="96"/>
      <c r="AH1168" s="96"/>
      <c r="AI1168" s="98">
        <v>3.9999999999999998E-6</v>
      </c>
      <c r="AJ1168" s="98">
        <v>1.6750000000000001E-3</v>
      </c>
      <c r="AK1168" s="98">
        <v>6.4599999999999998E-4</v>
      </c>
      <c r="AL1168" s="106"/>
    </row>
    <row r="1169" spans="1:38" ht="15" customHeight="1">
      <c r="A1169" s="106"/>
      <c r="B1169" s="96">
        <v>286</v>
      </c>
      <c r="C1169" s="96">
        <v>9803</v>
      </c>
      <c r="D1169" s="96" t="s">
        <v>1771</v>
      </c>
      <c r="E1169" s="96">
        <v>515364891</v>
      </c>
      <c r="F1169" s="96" t="s">
        <v>308</v>
      </c>
      <c r="G1169" s="96" t="s">
        <v>1772</v>
      </c>
      <c r="H1169" s="96" t="s">
        <v>1773</v>
      </c>
      <c r="I1169" s="96" t="s">
        <v>320</v>
      </c>
      <c r="J1169" s="96" t="s">
        <v>753</v>
      </c>
      <c r="K1169" s="96" t="s">
        <v>203</v>
      </c>
      <c r="L1169" s="96" t="s">
        <v>203</v>
      </c>
      <c r="M1169" s="96" t="s">
        <v>326</v>
      </c>
      <c r="N1169" s="96" t="s">
        <v>339</v>
      </c>
      <c r="O1169" s="96" t="s">
        <v>440</v>
      </c>
      <c r="P1169" s="96" t="s">
        <v>338</v>
      </c>
      <c r="Q1169" s="96" t="s">
        <v>409</v>
      </c>
      <c r="R1169" s="96" t="s">
        <v>409</v>
      </c>
      <c r="S1169" s="96" t="s">
        <v>409</v>
      </c>
      <c r="T1169" s="96" t="s">
        <v>1200</v>
      </c>
      <c r="U1169" s="97">
        <v>2.96</v>
      </c>
      <c r="V1169" s="100">
        <v>46934</v>
      </c>
      <c r="W1169" s="98">
        <v>1.5800000000000002E-2</v>
      </c>
      <c r="X1169" s="98">
        <v>4.6199999999999998E-2</v>
      </c>
      <c r="Y1169" s="96" t="s">
        <v>411</v>
      </c>
      <c r="Z1169" s="96"/>
      <c r="AA1169" s="97">
        <v>1040.32718</v>
      </c>
      <c r="AB1169" s="97">
        <v>1</v>
      </c>
      <c r="AC1169" s="97">
        <v>102.4538</v>
      </c>
      <c r="AD1169" s="97"/>
      <c r="AE1169" s="97">
        <v>1.0658540000000001</v>
      </c>
      <c r="AF1169" s="96"/>
      <c r="AG1169" s="96"/>
      <c r="AH1169" s="96"/>
      <c r="AI1169" s="98">
        <v>1.9999999999999999E-6</v>
      </c>
      <c r="AJ1169" s="98">
        <v>1.65E-4</v>
      </c>
      <c r="AK1169" s="98">
        <v>6.3E-5</v>
      </c>
      <c r="AL1169" s="106"/>
    </row>
    <row r="1170" spans="1:38" ht="15" customHeight="1">
      <c r="A1170" s="106"/>
      <c r="B1170" s="96">
        <v>286</v>
      </c>
      <c r="C1170" s="96">
        <v>9803</v>
      </c>
      <c r="D1170" s="96" t="s">
        <v>1814</v>
      </c>
      <c r="E1170" s="96">
        <v>514599943</v>
      </c>
      <c r="F1170" s="96" t="s">
        <v>308</v>
      </c>
      <c r="G1170" s="96" t="s">
        <v>1815</v>
      </c>
      <c r="H1170" s="96" t="s">
        <v>1816</v>
      </c>
      <c r="I1170" s="96" t="s">
        <v>320</v>
      </c>
      <c r="J1170" s="96" t="s">
        <v>753</v>
      </c>
      <c r="K1170" s="96" t="s">
        <v>203</v>
      </c>
      <c r="L1170" s="96" t="s">
        <v>203</v>
      </c>
      <c r="M1170" s="96" t="s">
        <v>324</v>
      </c>
      <c r="N1170" s="96" t="s">
        <v>339</v>
      </c>
      <c r="O1170" s="96" t="s">
        <v>440</v>
      </c>
      <c r="P1170" s="96" t="s">
        <v>338</v>
      </c>
      <c r="Q1170" s="96" t="s">
        <v>409</v>
      </c>
      <c r="R1170" s="96" t="s">
        <v>409</v>
      </c>
      <c r="S1170" s="96" t="s">
        <v>409</v>
      </c>
      <c r="T1170" s="96" t="s">
        <v>1200</v>
      </c>
      <c r="U1170" s="97">
        <v>2.73</v>
      </c>
      <c r="V1170" s="100">
        <v>46752</v>
      </c>
      <c r="W1170" s="98">
        <v>1.4800000000000001E-2</v>
      </c>
      <c r="X1170" s="98">
        <v>4.2799999999999998E-2</v>
      </c>
      <c r="Y1170" s="96" t="s">
        <v>411</v>
      </c>
      <c r="Z1170" s="96"/>
      <c r="AA1170" s="97">
        <v>2142.9696840000001</v>
      </c>
      <c r="AB1170" s="97">
        <v>1</v>
      </c>
      <c r="AC1170" s="97">
        <v>103.41</v>
      </c>
      <c r="AD1170" s="97"/>
      <c r="AE1170" s="97">
        <v>2.2160440000000001</v>
      </c>
      <c r="AF1170" s="96"/>
      <c r="AG1170" s="96"/>
      <c r="AH1170" s="96"/>
      <c r="AI1170" s="98">
        <v>1.9999999999999999E-6</v>
      </c>
      <c r="AJ1170" s="98">
        <v>3.4400000000000001E-4</v>
      </c>
      <c r="AK1170" s="98">
        <v>1.3200000000000001E-4</v>
      </c>
      <c r="AL1170" s="106"/>
    </row>
    <row r="1171" spans="1:38" ht="15" customHeight="1">
      <c r="A1171" s="106"/>
      <c r="B1171" s="96">
        <v>286</v>
      </c>
      <c r="C1171" s="96">
        <v>9803</v>
      </c>
      <c r="D1171" s="96" t="s">
        <v>1459</v>
      </c>
      <c r="E1171" s="96">
        <v>520033424</v>
      </c>
      <c r="F1171" s="96" t="s">
        <v>308</v>
      </c>
      <c r="G1171" s="96" t="s">
        <v>2014</v>
      </c>
      <c r="H1171" s="96" t="s">
        <v>1461</v>
      </c>
      <c r="I1171" s="96" t="s">
        <v>320</v>
      </c>
      <c r="J1171" s="96" t="s">
        <v>952</v>
      </c>
      <c r="K1171" s="96" t="s">
        <v>203</v>
      </c>
      <c r="L1171" s="96" t="s">
        <v>203</v>
      </c>
      <c r="M1171" s="96" t="s">
        <v>326</v>
      </c>
      <c r="N1171" s="96" t="s">
        <v>339</v>
      </c>
      <c r="O1171" s="96" t="s">
        <v>446</v>
      </c>
      <c r="P1171" s="96" t="s">
        <v>338</v>
      </c>
      <c r="Q1171" s="96" t="s">
        <v>1320</v>
      </c>
      <c r="R1171" s="96" t="s">
        <v>412</v>
      </c>
      <c r="S1171" s="96" t="s">
        <v>406</v>
      </c>
      <c r="T1171" s="96" t="s">
        <v>1200</v>
      </c>
      <c r="U1171" s="97">
        <v>3.48</v>
      </c>
      <c r="V1171" s="100">
        <v>48029</v>
      </c>
      <c r="W1171" s="98">
        <v>0.05</v>
      </c>
      <c r="X1171" s="98">
        <v>6.3500000000000001E-2</v>
      </c>
      <c r="Y1171" s="96" t="s">
        <v>411</v>
      </c>
      <c r="Z1171" s="96"/>
      <c r="AA1171" s="97">
        <v>3579.7158370000002</v>
      </c>
      <c r="AB1171" s="97">
        <v>1</v>
      </c>
      <c r="AC1171" s="97">
        <v>95.834400000000002</v>
      </c>
      <c r="AD1171" s="97"/>
      <c r="AE1171" s="97">
        <v>3.4305979999999998</v>
      </c>
      <c r="AF1171" s="96"/>
      <c r="AG1171" s="96"/>
      <c r="AH1171" s="96"/>
      <c r="AI1171" s="98">
        <v>1.2999999999999999E-5</v>
      </c>
      <c r="AJ1171" s="98">
        <v>5.3300000000000005E-4</v>
      </c>
      <c r="AK1171" s="98">
        <v>2.05E-4</v>
      </c>
      <c r="AL1171" s="106"/>
    </row>
    <row r="1172" spans="1:38" ht="15" customHeight="1">
      <c r="A1172" s="106"/>
      <c r="B1172" s="96">
        <v>286</v>
      </c>
      <c r="C1172" s="96">
        <v>9803</v>
      </c>
      <c r="D1172" s="96" t="s">
        <v>1358</v>
      </c>
      <c r="E1172" s="96">
        <v>520022732</v>
      </c>
      <c r="F1172" s="96" t="s">
        <v>308</v>
      </c>
      <c r="G1172" s="96" t="s">
        <v>1614</v>
      </c>
      <c r="H1172" s="96" t="s">
        <v>1615</v>
      </c>
      <c r="I1172" s="96" t="s">
        <v>320</v>
      </c>
      <c r="J1172" s="96" t="s">
        <v>952</v>
      </c>
      <c r="K1172" s="96" t="s">
        <v>203</v>
      </c>
      <c r="L1172" s="96" t="s">
        <v>203</v>
      </c>
      <c r="M1172" s="96" t="s">
        <v>324</v>
      </c>
      <c r="N1172" s="96" t="s">
        <v>339</v>
      </c>
      <c r="O1172" s="96" t="s">
        <v>474</v>
      </c>
      <c r="P1172" s="96" t="s">
        <v>337</v>
      </c>
      <c r="Q1172" s="96" t="s">
        <v>1313</v>
      </c>
      <c r="R1172" s="96" t="s">
        <v>412</v>
      </c>
      <c r="S1172" s="96" t="s">
        <v>406</v>
      </c>
      <c r="T1172" s="96" t="s">
        <v>1200</v>
      </c>
      <c r="U1172" s="97">
        <v>3.47</v>
      </c>
      <c r="V1172" s="100">
        <v>47715</v>
      </c>
      <c r="W1172" s="98">
        <v>3.5200000000000002E-2</v>
      </c>
      <c r="X1172" s="98">
        <v>5.4399999999999997E-2</v>
      </c>
      <c r="Y1172" s="96" t="s">
        <v>411</v>
      </c>
      <c r="Z1172" s="96"/>
      <c r="AA1172" s="97">
        <v>33099.349420999999</v>
      </c>
      <c r="AB1172" s="97">
        <v>1</v>
      </c>
      <c r="AC1172" s="97">
        <v>95.05</v>
      </c>
      <c r="AD1172" s="97"/>
      <c r="AE1172" s="97">
        <v>31.460930999999999</v>
      </c>
      <c r="AF1172" s="96"/>
      <c r="AG1172" s="96"/>
      <c r="AH1172" s="96"/>
      <c r="AI1172" s="98">
        <v>4.3000000000000002E-5</v>
      </c>
      <c r="AJ1172" s="98">
        <v>4.8929999999999998E-3</v>
      </c>
      <c r="AK1172" s="98">
        <v>1.8860000000000001E-3</v>
      </c>
      <c r="AL1172" s="106"/>
    </row>
    <row r="1173" spans="1:38" ht="15" customHeight="1">
      <c r="A1173" s="106"/>
      <c r="B1173" s="96">
        <v>286</v>
      </c>
      <c r="C1173" s="96">
        <v>9803</v>
      </c>
      <c r="D1173" s="96" t="s">
        <v>1517</v>
      </c>
      <c r="E1173" s="96">
        <v>510560188</v>
      </c>
      <c r="F1173" s="96" t="s">
        <v>308</v>
      </c>
      <c r="G1173" s="96" t="s">
        <v>1518</v>
      </c>
      <c r="H1173" s="96" t="s">
        <v>1519</v>
      </c>
      <c r="I1173" s="96" t="s">
        <v>320</v>
      </c>
      <c r="J1173" s="96" t="s">
        <v>952</v>
      </c>
      <c r="K1173" s="96" t="s">
        <v>203</v>
      </c>
      <c r="L1173" s="96" t="s">
        <v>203</v>
      </c>
      <c r="M1173" s="96" t="s">
        <v>324</v>
      </c>
      <c r="N1173" s="96" t="s">
        <v>339</v>
      </c>
      <c r="O1173" s="96" t="s">
        <v>464</v>
      </c>
      <c r="P1173" s="96" t="s">
        <v>338</v>
      </c>
      <c r="Q1173" s="96" t="s">
        <v>1520</v>
      </c>
      <c r="R1173" s="96" t="s">
        <v>414</v>
      </c>
      <c r="S1173" s="96" t="s">
        <v>406</v>
      </c>
      <c r="T1173" s="96" t="s">
        <v>1200</v>
      </c>
      <c r="U1173" s="97">
        <v>2.79</v>
      </c>
      <c r="V1173" s="100">
        <v>46645</v>
      </c>
      <c r="W1173" s="98">
        <v>2.3E-2</v>
      </c>
      <c r="X1173" s="98">
        <v>5.6500000000000002E-2</v>
      </c>
      <c r="Y1173" s="96" t="s">
        <v>411</v>
      </c>
      <c r="Z1173" s="96"/>
      <c r="AA1173" s="97">
        <v>27167.952015999999</v>
      </c>
      <c r="AB1173" s="97">
        <v>1</v>
      </c>
      <c r="AC1173" s="97">
        <v>92.02</v>
      </c>
      <c r="AD1173" s="97"/>
      <c r="AE1173" s="97">
        <v>24.999949000000001</v>
      </c>
      <c r="AF1173" s="96"/>
      <c r="AG1173" s="96"/>
      <c r="AH1173" s="96"/>
      <c r="AI1173" s="98">
        <v>3.4999999999999997E-5</v>
      </c>
      <c r="AJ1173" s="98">
        <v>3.888E-3</v>
      </c>
      <c r="AK1173" s="98">
        <v>1.4989999999999999E-3</v>
      </c>
      <c r="AL1173" s="106"/>
    </row>
    <row r="1174" spans="1:38" ht="15" customHeight="1">
      <c r="A1174" s="106"/>
      <c r="B1174" s="96">
        <v>286</v>
      </c>
      <c r="C1174" s="96">
        <v>9803</v>
      </c>
      <c r="D1174" s="96" t="s">
        <v>1385</v>
      </c>
      <c r="E1174" s="96">
        <v>520017807</v>
      </c>
      <c r="F1174" s="96" t="s">
        <v>308</v>
      </c>
      <c r="G1174" s="96" t="s">
        <v>1386</v>
      </c>
      <c r="H1174" s="96" t="s">
        <v>1387</v>
      </c>
      <c r="I1174" s="96" t="s">
        <v>320</v>
      </c>
      <c r="J1174" s="96" t="s">
        <v>753</v>
      </c>
      <c r="K1174" s="96" t="s">
        <v>203</v>
      </c>
      <c r="L1174" s="96" t="s">
        <v>203</v>
      </c>
      <c r="M1174" s="96" t="s">
        <v>324</v>
      </c>
      <c r="N1174" s="96" t="s">
        <v>339</v>
      </c>
      <c r="O1174" s="96" t="s">
        <v>463</v>
      </c>
      <c r="P1174" s="96" t="s">
        <v>337</v>
      </c>
      <c r="Q1174" s="96" t="s">
        <v>1305</v>
      </c>
      <c r="R1174" s="96" t="s">
        <v>414</v>
      </c>
      <c r="S1174" s="96" t="s">
        <v>406</v>
      </c>
      <c r="T1174" s="96" t="s">
        <v>1200</v>
      </c>
      <c r="U1174" s="97">
        <v>3.43</v>
      </c>
      <c r="V1174" s="100">
        <v>48059</v>
      </c>
      <c r="W1174" s="98">
        <v>2.4E-2</v>
      </c>
      <c r="X1174" s="98">
        <v>3.0499999999999999E-2</v>
      </c>
      <c r="Y1174" s="96" t="s">
        <v>411</v>
      </c>
      <c r="Z1174" s="96"/>
      <c r="AA1174" s="97">
        <v>11736.411001</v>
      </c>
      <c r="AB1174" s="97">
        <v>1</v>
      </c>
      <c r="AC1174" s="97">
        <v>113.28</v>
      </c>
      <c r="AD1174" s="97"/>
      <c r="AE1174" s="97">
        <v>13.295006000000001</v>
      </c>
      <c r="AF1174" s="96"/>
      <c r="AG1174" s="96"/>
      <c r="AH1174" s="96"/>
      <c r="AI1174" s="98">
        <v>7.9999999999999996E-6</v>
      </c>
      <c r="AJ1174" s="98">
        <v>2.0669999999999998E-3</v>
      </c>
      <c r="AK1174" s="98">
        <v>7.9699999999999997E-4</v>
      </c>
      <c r="AL1174" s="106"/>
    </row>
    <row r="1175" spans="1:38" ht="15" customHeight="1">
      <c r="A1175" s="106"/>
      <c r="B1175" s="96">
        <v>286</v>
      </c>
      <c r="C1175" s="96">
        <v>9803</v>
      </c>
      <c r="D1175" s="96" t="s">
        <v>1757</v>
      </c>
      <c r="E1175" s="96">
        <v>520041146</v>
      </c>
      <c r="F1175" s="96" t="s">
        <v>308</v>
      </c>
      <c r="G1175" s="96" t="s">
        <v>1758</v>
      </c>
      <c r="H1175" s="96" t="s">
        <v>1759</v>
      </c>
      <c r="I1175" s="96" t="s">
        <v>320</v>
      </c>
      <c r="J1175" s="96" t="s">
        <v>952</v>
      </c>
      <c r="K1175" s="96" t="s">
        <v>203</v>
      </c>
      <c r="L1175" s="96" t="s">
        <v>203</v>
      </c>
      <c r="M1175" s="96" t="s">
        <v>324</v>
      </c>
      <c r="N1175" s="96" t="s">
        <v>339</v>
      </c>
      <c r="O1175" s="96" t="s">
        <v>440</v>
      </c>
      <c r="P1175" s="96" t="s">
        <v>337</v>
      </c>
      <c r="Q1175" s="96" t="s">
        <v>1520</v>
      </c>
      <c r="R1175" s="96" t="s">
        <v>414</v>
      </c>
      <c r="S1175" s="96" t="s">
        <v>406</v>
      </c>
      <c r="T1175" s="96" t="s">
        <v>1200</v>
      </c>
      <c r="U1175" s="97">
        <v>4.0999999999999996</v>
      </c>
      <c r="V1175" s="100">
        <v>46997</v>
      </c>
      <c r="W1175" s="98">
        <v>7.4999999999999997E-3</v>
      </c>
      <c r="X1175" s="98">
        <v>0.06</v>
      </c>
      <c r="Y1175" s="96" t="s">
        <v>411</v>
      </c>
      <c r="Z1175" s="96"/>
      <c r="AA1175" s="97">
        <v>2109.8888889999998</v>
      </c>
      <c r="AB1175" s="97">
        <v>1</v>
      </c>
      <c r="AC1175" s="97">
        <v>81.400000000000006</v>
      </c>
      <c r="AD1175" s="97"/>
      <c r="AE1175" s="97">
        <v>1.717449</v>
      </c>
      <c r="AF1175" s="96"/>
      <c r="AG1175" s="96"/>
      <c r="AH1175" s="96"/>
      <c r="AI1175" s="98">
        <v>3.0000000000000001E-6</v>
      </c>
      <c r="AJ1175" s="98">
        <v>2.6699999999999998E-4</v>
      </c>
      <c r="AK1175" s="98">
        <v>1.02E-4</v>
      </c>
      <c r="AL1175" s="106"/>
    </row>
    <row r="1176" spans="1:38" ht="15" customHeight="1">
      <c r="A1176" s="106"/>
      <c r="B1176" s="96">
        <v>286</v>
      </c>
      <c r="C1176" s="96">
        <v>9803</v>
      </c>
      <c r="D1176" s="96" t="s">
        <v>1608</v>
      </c>
      <c r="E1176" s="96">
        <v>510609761</v>
      </c>
      <c r="F1176" s="96" t="s">
        <v>308</v>
      </c>
      <c r="G1176" s="96" t="s">
        <v>1609</v>
      </c>
      <c r="H1176" s="96" t="s">
        <v>1610</v>
      </c>
      <c r="I1176" s="96" t="s">
        <v>320</v>
      </c>
      <c r="J1176" s="96" t="s">
        <v>952</v>
      </c>
      <c r="K1176" s="96" t="s">
        <v>203</v>
      </c>
      <c r="L1176" s="96" t="s">
        <v>203</v>
      </c>
      <c r="M1176" s="96" t="s">
        <v>324</v>
      </c>
      <c r="N1176" s="96" t="s">
        <v>339</v>
      </c>
      <c r="O1176" s="96" t="s">
        <v>446</v>
      </c>
      <c r="P1176" s="96" t="s">
        <v>338</v>
      </c>
      <c r="Q1176" s="96" t="s">
        <v>1328</v>
      </c>
      <c r="R1176" s="96" t="s">
        <v>412</v>
      </c>
      <c r="S1176" s="96" t="s">
        <v>406</v>
      </c>
      <c r="T1176" s="96" t="s">
        <v>1200</v>
      </c>
      <c r="U1176" s="97">
        <v>0.08</v>
      </c>
      <c r="V1176" s="100">
        <v>45505</v>
      </c>
      <c r="W1176" s="98">
        <v>3.4200000000000001E-2</v>
      </c>
      <c r="X1176" s="98">
        <v>6.3399999999999998E-2</v>
      </c>
      <c r="Y1176" s="96" t="s">
        <v>411</v>
      </c>
      <c r="Z1176" s="96"/>
      <c r="AA1176" s="97">
        <v>3102.420392</v>
      </c>
      <c r="AB1176" s="97">
        <v>1</v>
      </c>
      <c r="AC1176" s="97">
        <v>101.18</v>
      </c>
      <c r="AD1176" s="97"/>
      <c r="AE1176" s="97">
        <v>3.1390280000000002</v>
      </c>
      <c r="AF1176" s="96"/>
      <c r="AG1176" s="96"/>
      <c r="AH1176" s="96"/>
      <c r="AI1176" s="98">
        <v>1.2999999999999999E-5</v>
      </c>
      <c r="AJ1176" s="98">
        <v>4.8799999999999999E-4</v>
      </c>
      <c r="AK1176" s="98">
        <v>1.8799999999999999E-4</v>
      </c>
      <c r="AL1176" s="106"/>
    </row>
    <row r="1177" spans="1:38" ht="15" customHeight="1">
      <c r="A1177" s="106"/>
      <c r="B1177" s="96">
        <v>286</v>
      </c>
      <c r="C1177" s="96">
        <v>9803</v>
      </c>
      <c r="D1177" s="96" t="s">
        <v>1343</v>
      </c>
      <c r="E1177" s="96">
        <v>514290345</v>
      </c>
      <c r="F1177" s="96" t="s">
        <v>308</v>
      </c>
      <c r="G1177" s="96" t="s">
        <v>1844</v>
      </c>
      <c r="H1177" s="96" t="s">
        <v>1845</v>
      </c>
      <c r="I1177" s="96" t="s">
        <v>320</v>
      </c>
      <c r="J1177" s="96" t="s">
        <v>753</v>
      </c>
      <c r="K1177" s="96" t="s">
        <v>203</v>
      </c>
      <c r="L1177" s="96" t="s">
        <v>203</v>
      </c>
      <c r="M1177" s="96" t="s">
        <v>324</v>
      </c>
      <c r="N1177" s="96" t="s">
        <v>339</v>
      </c>
      <c r="O1177" s="96" t="s">
        <v>444</v>
      </c>
      <c r="P1177" s="96" t="s">
        <v>338</v>
      </c>
      <c r="Q1177" s="96" t="s">
        <v>1305</v>
      </c>
      <c r="R1177" s="96" t="s">
        <v>414</v>
      </c>
      <c r="S1177" s="96" t="s">
        <v>406</v>
      </c>
      <c r="T1177" s="96" t="s">
        <v>1200</v>
      </c>
      <c r="U1177" s="97">
        <v>2.2799999999999998</v>
      </c>
      <c r="V1177" s="100">
        <v>46326</v>
      </c>
      <c r="W1177" s="98">
        <v>2.2499999999999999E-2</v>
      </c>
      <c r="X1177" s="98">
        <v>2.24E-2</v>
      </c>
      <c r="Y1177" s="96" t="s">
        <v>411</v>
      </c>
      <c r="Z1177" s="96"/>
      <c r="AA1177" s="97">
        <v>7159.4318730000005</v>
      </c>
      <c r="AB1177" s="97">
        <v>1</v>
      </c>
      <c r="AC1177" s="97">
        <v>115.51</v>
      </c>
      <c r="AD1177" s="97"/>
      <c r="AE1177" s="97">
        <v>8.2698590000000003</v>
      </c>
      <c r="AF1177" s="96"/>
      <c r="AG1177" s="96"/>
      <c r="AH1177" s="96"/>
      <c r="AI1177" s="98">
        <v>1.7E-5</v>
      </c>
      <c r="AJ1177" s="98">
        <v>1.286E-3</v>
      </c>
      <c r="AK1177" s="98">
        <v>4.95E-4</v>
      </c>
      <c r="AL1177" s="106"/>
    </row>
    <row r="1178" spans="1:38" ht="15" customHeight="1">
      <c r="A1178" s="106"/>
      <c r="B1178" s="96">
        <v>286</v>
      </c>
      <c r="C1178" s="96">
        <v>9803</v>
      </c>
      <c r="D1178" s="96" t="s">
        <v>1432</v>
      </c>
      <c r="E1178" s="96">
        <v>515327120</v>
      </c>
      <c r="F1178" s="96" t="s">
        <v>308</v>
      </c>
      <c r="G1178" s="96" t="s">
        <v>1665</v>
      </c>
      <c r="H1178" s="96" t="s">
        <v>1666</v>
      </c>
      <c r="I1178" s="96" t="s">
        <v>320</v>
      </c>
      <c r="J1178" s="96" t="s">
        <v>753</v>
      </c>
      <c r="K1178" s="96" t="s">
        <v>203</v>
      </c>
      <c r="L1178" s="96" t="s">
        <v>203</v>
      </c>
      <c r="M1178" s="96" t="s">
        <v>326</v>
      </c>
      <c r="N1178" s="96" t="s">
        <v>339</v>
      </c>
      <c r="O1178" s="96" t="s">
        <v>463</v>
      </c>
      <c r="P1178" s="96" t="s">
        <v>337</v>
      </c>
      <c r="Q1178" s="96" t="s">
        <v>1357</v>
      </c>
      <c r="R1178" s="96" t="s">
        <v>414</v>
      </c>
      <c r="S1178" s="96" t="s">
        <v>406</v>
      </c>
      <c r="T1178" s="96" t="s">
        <v>1200</v>
      </c>
      <c r="U1178" s="97">
        <v>4.4400000000000004</v>
      </c>
      <c r="V1178" s="100">
        <v>47483</v>
      </c>
      <c r="W1178" s="98">
        <v>8.5000000000000006E-3</v>
      </c>
      <c r="X1178" s="98">
        <v>4.1200000000000001E-2</v>
      </c>
      <c r="Y1178" s="96" t="s">
        <v>411</v>
      </c>
      <c r="Z1178" s="96"/>
      <c r="AA1178" s="97">
        <v>672.19557499999996</v>
      </c>
      <c r="AB1178" s="97">
        <v>1</v>
      </c>
      <c r="AC1178" s="97">
        <v>99.869399999999999</v>
      </c>
      <c r="AD1178" s="97"/>
      <c r="AE1178" s="97">
        <v>0.67131700000000005</v>
      </c>
      <c r="AF1178" s="96"/>
      <c r="AG1178" s="96"/>
      <c r="AH1178" s="96"/>
      <c r="AI1178" s="98">
        <v>9.9999999999999995E-7</v>
      </c>
      <c r="AJ1178" s="98">
        <v>1.0399999999999999E-4</v>
      </c>
      <c r="AK1178" s="98">
        <v>4.0000000000000003E-5</v>
      </c>
      <c r="AL1178" s="106"/>
    </row>
    <row r="1179" spans="1:38" ht="15" customHeight="1">
      <c r="A1179" s="106"/>
      <c r="B1179" s="96">
        <v>286</v>
      </c>
      <c r="C1179" s="96">
        <v>9803</v>
      </c>
      <c r="D1179" s="96" t="s">
        <v>1203</v>
      </c>
      <c r="E1179" s="96">
        <v>520000118</v>
      </c>
      <c r="F1179" s="96" t="s">
        <v>308</v>
      </c>
      <c r="G1179" s="96" t="s">
        <v>2044</v>
      </c>
      <c r="H1179" s="96" t="s">
        <v>2045</v>
      </c>
      <c r="I1179" s="96" t="s">
        <v>320</v>
      </c>
      <c r="J1179" s="96" t="s">
        <v>753</v>
      </c>
      <c r="K1179" s="96" t="s">
        <v>203</v>
      </c>
      <c r="L1179" s="96" t="s">
        <v>203</v>
      </c>
      <c r="M1179" s="96" t="s">
        <v>324</v>
      </c>
      <c r="N1179" s="96" t="s">
        <v>339</v>
      </c>
      <c r="O1179" s="96" t="s">
        <v>447</v>
      </c>
      <c r="P1179" s="96" t="s">
        <v>338</v>
      </c>
      <c r="Q1179" s="96" t="s">
        <v>1332</v>
      </c>
      <c r="R1179" s="96" t="s">
        <v>412</v>
      </c>
      <c r="S1179" s="96" t="s">
        <v>406</v>
      </c>
      <c r="T1179" s="96" t="s">
        <v>1200</v>
      </c>
      <c r="U1179" s="97">
        <v>4.12</v>
      </c>
      <c r="V1179" s="100">
        <v>47086</v>
      </c>
      <c r="W1179" s="98">
        <v>3.09E-2</v>
      </c>
      <c r="X1179" s="98">
        <v>3.27E-2</v>
      </c>
      <c r="Y1179" s="96" t="s">
        <v>410</v>
      </c>
      <c r="Z1179" s="96"/>
      <c r="AA1179" s="97">
        <v>16542.709310999999</v>
      </c>
      <c r="AB1179" s="97">
        <v>1</v>
      </c>
      <c r="AC1179" s="97">
        <v>106.53</v>
      </c>
      <c r="AD1179" s="97"/>
      <c r="AE1179" s="97">
        <v>17.622948000000001</v>
      </c>
      <c r="AF1179" s="96"/>
      <c r="AG1179" s="96"/>
      <c r="AH1179" s="96"/>
      <c r="AI1179" s="98">
        <v>1.7E-5</v>
      </c>
      <c r="AJ1179" s="98">
        <v>2.7399999999999998E-3</v>
      </c>
      <c r="AK1179" s="98">
        <v>1.0560000000000001E-3</v>
      </c>
      <c r="AL1179" s="106"/>
    </row>
    <row r="1180" spans="1:38" ht="15" customHeight="1">
      <c r="A1180" s="106"/>
      <c r="B1180" s="96">
        <v>286</v>
      </c>
      <c r="C1180" s="96">
        <v>9803</v>
      </c>
      <c r="D1180" s="96" t="s">
        <v>1517</v>
      </c>
      <c r="E1180" s="96">
        <v>510560188</v>
      </c>
      <c r="F1180" s="96" t="s">
        <v>308</v>
      </c>
      <c r="G1180" s="96" t="s">
        <v>1637</v>
      </c>
      <c r="H1180" s="96" t="s">
        <v>1638</v>
      </c>
      <c r="I1180" s="96" t="s">
        <v>320</v>
      </c>
      <c r="J1180" s="96" t="s">
        <v>753</v>
      </c>
      <c r="K1180" s="96" t="s">
        <v>203</v>
      </c>
      <c r="L1180" s="96" t="s">
        <v>203</v>
      </c>
      <c r="M1180" s="96" t="s">
        <v>324</v>
      </c>
      <c r="N1180" s="96" t="s">
        <v>339</v>
      </c>
      <c r="O1180" s="96" t="s">
        <v>464</v>
      </c>
      <c r="P1180" s="96" t="s">
        <v>338</v>
      </c>
      <c r="Q1180" s="96" t="s">
        <v>1520</v>
      </c>
      <c r="R1180" s="96" t="s">
        <v>414</v>
      </c>
      <c r="S1180" s="96" t="s">
        <v>406</v>
      </c>
      <c r="T1180" s="96" t="s">
        <v>1200</v>
      </c>
      <c r="U1180" s="97">
        <v>3.61</v>
      </c>
      <c r="V1180" s="100">
        <v>47406</v>
      </c>
      <c r="W1180" s="98">
        <v>0.04</v>
      </c>
      <c r="X1180" s="98">
        <v>3.6400000000000002E-2</v>
      </c>
      <c r="Y1180" s="96" t="s">
        <v>411</v>
      </c>
      <c r="Z1180" s="96"/>
      <c r="AA1180" s="97">
        <v>12967.301463</v>
      </c>
      <c r="AB1180" s="97">
        <v>1</v>
      </c>
      <c r="AC1180" s="97">
        <v>104.8</v>
      </c>
      <c r="AD1180" s="97"/>
      <c r="AE1180" s="97">
        <v>13.589731</v>
      </c>
      <c r="AF1180" s="96"/>
      <c r="AG1180" s="96"/>
      <c r="AH1180" s="96"/>
      <c r="AI1180" s="98">
        <v>4.0000000000000003E-5</v>
      </c>
      <c r="AJ1180" s="98">
        <v>2.1129999999999999E-3</v>
      </c>
      <c r="AK1180" s="98">
        <v>8.1400000000000005E-4</v>
      </c>
      <c r="AL1180" s="106"/>
    </row>
    <row r="1181" spans="1:38" ht="15" customHeight="1">
      <c r="A1181" s="106"/>
      <c r="B1181" s="96">
        <v>286</v>
      </c>
      <c r="C1181" s="96">
        <v>9803</v>
      </c>
      <c r="D1181" s="96" t="s">
        <v>1735</v>
      </c>
      <c r="E1181" s="96">
        <v>550010003</v>
      </c>
      <c r="F1181" s="96" t="s">
        <v>309</v>
      </c>
      <c r="G1181" s="96" t="s">
        <v>1867</v>
      </c>
      <c r="H1181" s="96" t="s">
        <v>1868</v>
      </c>
      <c r="I1181" s="96" t="s">
        <v>320</v>
      </c>
      <c r="J1181" s="96" t="s">
        <v>754</v>
      </c>
      <c r="K1181" s="96" t="s">
        <v>203</v>
      </c>
      <c r="L1181" s="96" t="s">
        <v>203</v>
      </c>
      <c r="M1181" s="96" t="s">
        <v>324</v>
      </c>
      <c r="N1181" s="96" t="s">
        <v>339</v>
      </c>
      <c r="O1181" s="96" t="s">
        <v>453</v>
      </c>
      <c r="P1181" s="96" t="s">
        <v>338</v>
      </c>
      <c r="Q1181" s="96" t="s">
        <v>1313</v>
      </c>
      <c r="R1181" s="96" t="s">
        <v>412</v>
      </c>
      <c r="S1181" s="96" t="s">
        <v>406</v>
      </c>
      <c r="T1181" s="96" t="s">
        <v>1200</v>
      </c>
      <c r="U1181" s="97">
        <v>3.4</v>
      </c>
      <c r="V1181" s="100">
        <v>47766</v>
      </c>
      <c r="W1181" s="98">
        <v>3.7699999999999997E-2</v>
      </c>
      <c r="X1181" s="98">
        <v>6.2E-2</v>
      </c>
      <c r="Y1181" s="96" t="s">
        <v>411</v>
      </c>
      <c r="Z1181" s="96"/>
      <c r="AA1181" s="97">
        <v>11649.771473000001</v>
      </c>
      <c r="AB1181" s="97">
        <v>1</v>
      </c>
      <c r="AC1181" s="97">
        <v>102.78</v>
      </c>
      <c r="AD1181" s="97"/>
      <c r="AE1181" s="97">
        <v>11.973635</v>
      </c>
      <c r="AF1181" s="96"/>
      <c r="AG1181" s="96"/>
      <c r="AH1181" s="96"/>
      <c r="AI1181" s="98">
        <v>6.6000000000000005E-5</v>
      </c>
      <c r="AJ1181" s="98">
        <v>1.8619999999999999E-3</v>
      </c>
      <c r="AK1181" s="98">
        <v>7.18E-4</v>
      </c>
      <c r="AL1181" s="106"/>
    </row>
    <row r="1182" spans="1:38" ht="15" customHeight="1">
      <c r="A1182" s="106"/>
      <c r="B1182" s="96">
        <v>286</v>
      </c>
      <c r="C1182" s="96">
        <v>9803</v>
      </c>
      <c r="D1182" s="96" t="s">
        <v>1417</v>
      </c>
      <c r="E1182" s="96">
        <v>513230029</v>
      </c>
      <c r="F1182" s="96" t="s">
        <v>308</v>
      </c>
      <c r="G1182" s="96" t="s">
        <v>1521</v>
      </c>
      <c r="H1182" s="96" t="s">
        <v>1522</v>
      </c>
      <c r="I1182" s="96" t="s">
        <v>320</v>
      </c>
      <c r="J1182" s="96" t="s">
        <v>952</v>
      </c>
      <c r="K1182" s="96" t="s">
        <v>203</v>
      </c>
      <c r="L1182" s="96" t="s">
        <v>203</v>
      </c>
      <c r="M1182" s="96" t="s">
        <v>324</v>
      </c>
      <c r="N1182" s="96" t="s">
        <v>339</v>
      </c>
      <c r="O1182" s="96" t="s">
        <v>444</v>
      </c>
      <c r="P1182" s="96" t="s">
        <v>338</v>
      </c>
      <c r="Q1182" s="96" t="s">
        <v>1357</v>
      </c>
      <c r="R1182" s="96" t="s">
        <v>414</v>
      </c>
      <c r="S1182" s="96" t="s">
        <v>406</v>
      </c>
      <c r="T1182" s="96" t="s">
        <v>1200</v>
      </c>
      <c r="U1182" s="97">
        <v>6.73</v>
      </c>
      <c r="V1182" s="100">
        <v>48579</v>
      </c>
      <c r="W1182" s="98">
        <v>6.0699999999999997E-2</v>
      </c>
      <c r="X1182" s="98">
        <v>6.4199999999999993E-2</v>
      </c>
      <c r="Y1182" s="96" t="s">
        <v>411</v>
      </c>
      <c r="Z1182" s="96"/>
      <c r="AA1182" s="97">
        <v>9943.6551039999995</v>
      </c>
      <c r="AB1182" s="97">
        <v>1</v>
      </c>
      <c r="AC1182" s="97">
        <v>98.77</v>
      </c>
      <c r="AD1182" s="97"/>
      <c r="AE1182" s="97">
        <v>9.8213480000000004</v>
      </c>
      <c r="AF1182" s="96"/>
      <c r="AG1182" s="96"/>
      <c r="AH1182" s="96"/>
      <c r="AI1182" s="98">
        <v>4.6999999999999997E-5</v>
      </c>
      <c r="AJ1182" s="98">
        <v>1.5269999999999999E-3</v>
      </c>
      <c r="AK1182" s="98">
        <v>5.8799999999999998E-4</v>
      </c>
      <c r="AL1182" s="106"/>
    </row>
    <row r="1183" spans="1:38" ht="15" customHeight="1">
      <c r="A1183" s="106"/>
      <c r="B1183" s="96">
        <v>286</v>
      </c>
      <c r="C1183" s="96">
        <v>9803</v>
      </c>
      <c r="D1183" s="96" t="s">
        <v>1203</v>
      </c>
      <c r="E1183" s="96">
        <v>520000118</v>
      </c>
      <c r="F1183" s="96" t="s">
        <v>308</v>
      </c>
      <c r="G1183" s="96" t="s">
        <v>1946</v>
      </c>
      <c r="H1183" s="96" t="s">
        <v>1947</v>
      </c>
      <c r="I1183" s="96" t="s">
        <v>320</v>
      </c>
      <c r="J1183" s="96" t="s">
        <v>753</v>
      </c>
      <c r="K1183" s="96" t="s">
        <v>203</v>
      </c>
      <c r="L1183" s="96" t="s">
        <v>203</v>
      </c>
      <c r="M1183" s="96" t="s">
        <v>324</v>
      </c>
      <c r="N1183" s="96" t="s">
        <v>339</v>
      </c>
      <c r="O1183" s="96" t="s">
        <v>447</v>
      </c>
      <c r="P1183" s="96" t="s">
        <v>338</v>
      </c>
      <c r="Q1183" s="96" t="s">
        <v>1211</v>
      </c>
      <c r="R1183" s="96" t="s">
        <v>414</v>
      </c>
      <c r="S1183" s="96" t="s">
        <v>406</v>
      </c>
      <c r="T1183" s="96" t="s">
        <v>1200</v>
      </c>
      <c r="U1183" s="97">
        <v>3.26</v>
      </c>
      <c r="V1183" s="100">
        <v>47819</v>
      </c>
      <c r="W1183" s="98">
        <v>1.7500000000000002E-2</v>
      </c>
      <c r="X1183" s="98">
        <v>2.4400000000000002E-2</v>
      </c>
      <c r="Y1183" s="96" t="s">
        <v>411</v>
      </c>
      <c r="Z1183" s="96"/>
      <c r="AA1183" s="97">
        <v>69851.494284999993</v>
      </c>
      <c r="AB1183" s="97">
        <v>1</v>
      </c>
      <c r="AC1183" s="97">
        <v>111.51</v>
      </c>
      <c r="AD1183" s="97"/>
      <c r="AE1183" s="97">
        <v>77.891401000000002</v>
      </c>
      <c r="AF1183" s="96"/>
      <c r="AG1183" s="96"/>
      <c r="AH1183" s="96"/>
      <c r="AI1183" s="98">
        <v>2.5999999999999998E-5</v>
      </c>
      <c r="AJ1183" s="98">
        <v>1.2114E-2</v>
      </c>
      <c r="AK1183" s="98">
        <v>4.6709999999999998E-3</v>
      </c>
      <c r="AL1183" s="106"/>
    </row>
    <row r="1184" spans="1:38" ht="15" customHeight="1">
      <c r="A1184" s="106"/>
      <c r="B1184" s="96">
        <v>286</v>
      </c>
      <c r="C1184" s="96">
        <v>9803</v>
      </c>
      <c r="D1184" s="96" t="s">
        <v>1477</v>
      </c>
      <c r="E1184" s="96">
        <v>520029935</v>
      </c>
      <c r="F1184" s="96" t="s">
        <v>308</v>
      </c>
      <c r="G1184" s="96" t="s">
        <v>1958</v>
      </c>
      <c r="H1184" s="96" t="s">
        <v>1959</v>
      </c>
      <c r="I1184" s="96" t="s">
        <v>320</v>
      </c>
      <c r="J1184" s="96" t="s">
        <v>753</v>
      </c>
      <c r="K1184" s="96" t="s">
        <v>203</v>
      </c>
      <c r="L1184" s="96" t="s">
        <v>203</v>
      </c>
      <c r="M1184" s="96" t="s">
        <v>324</v>
      </c>
      <c r="N1184" s="96" t="s">
        <v>339</v>
      </c>
      <c r="O1184" s="96" t="s">
        <v>447</v>
      </c>
      <c r="P1184" s="96" t="s">
        <v>338</v>
      </c>
      <c r="Q1184" s="96" t="s">
        <v>1305</v>
      </c>
      <c r="R1184" s="96" t="s">
        <v>414</v>
      </c>
      <c r="S1184" s="96" t="s">
        <v>406</v>
      </c>
      <c r="T1184" s="96" t="s">
        <v>1200</v>
      </c>
      <c r="U1184" s="97">
        <v>3.32</v>
      </c>
      <c r="V1184" s="100">
        <v>46692</v>
      </c>
      <c r="W1184" s="98">
        <v>2E-3</v>
      </c>
      <c r="X1184" s="98">
        <v>3.39E-2</v>
      </c>
      <c r="Y1184" s="96" t="s">
        <v>410</v>
      </c>
      <c r="Z1184" s="96"/>
      <c r="AA1184" s="97">
        <v>1862.565527</v>
      </c>
      <c r="AB1184" s="97">
        <v>1</v>
      </c>
      <c r="AC1184" s="97">
        <v>99.94</v>
      </c>
      <c r="AD1184" s="97"/>
      <c r="AE1184" s="97">
        <v>1.8614470000000001</v>
      </c>
      <c r="AF1184" s="96"/>
      <c r="AG1184" s="96"/>
      <c r="AH1184" s="96"/>
      <c r="AI1184" s="98">
        <v>3.0000000000000001E-6</v>
      </c>
      <c r="AJ1184" s="98">
        <v>2.8899999999999998E-4</v>
      </c>
      <c r="AK1184" s="98">
        <v>1.11E-4</v>
      </c>
      <c r="AL1184" s="106"/>
    </row>
    <row r="1185" spans="1:38" ht="15" customHeight="1">
      <c r="A1185" s="106"/>
      <c r="B1185" s="96">
        <v>286</v>
      </c>
      <c r="C1185" s="96">
        <v>9803</v>
      </c>
      <c r="D1185" s="96" t="s">
        <v>1343</v>
      </c>
      <c r="E1185" s="96">
        <v>514290345</v>
      </c>
      <c r="F1185" s="96" t="s">
        <v>308</v>
      </c>
      <c r="G1185" s="96" t="s">
        <v>1344</v>
      </c>
      <c r="H1185" s="96" t="s">
        <v>1345</v>
      </c>
      <c r="I1185" s="96" t="s">
        <v>320</v>
      </c>
      <c r="J1185" s="96" t="s">
        <v>952</v>
      </c>
      <c r="K1185" s="96" t="s">
        <v>203</v>
      </c>
      <c r="L1185" s="96" t="s">
        <v>203</v>
      </c>
      <c r="M1185" s="96" t="s">
        <v>324</v>
      </c>
      <c r="N1185" s="96" t="s">
        <v>339</v>
      </c>
      <c r="O1185" s="96" t="s">
        <v>444</v>
      </c>
      <c r="P1185" s="96" t="s">
        <v>338</v>
      </c>
      <c r="Q1185" s="96" t="s">
        <v>1305</v>
      </c>
      <c r="R1185" s="96" t="s">
        <v>414</v>
      </c>
      <c r="S1185" s="96" t="s">
        <v>406</v>
      </c>
      <c r="T1185" s="96" t="s">
        <v>1200</v>
      </c>
      <c r="U1185" s="97">
        <v>5.24</v>
      </c>
      <c r="V1185" s="100">
        <v>47664</v>
      </c>
      <c r="W1185" s="98">
        <v>4.6899999999999997E-2</v>
      </c>
      <c r="X1185" s="98">
        <v>5.7500000000000002E-2</v>
      </c>
      <c r="Y1185" s="96" t="s">
        <v>411</v>
      </c>
      <c r="Z1185" s="96"/>
      <c r="AA1185" s="97">
        <v>8705.620723</v>
      </c>
      <c r="AB1185" s="97">
        <v>1</v>
      </c>
      <c r="AC1185" s="97">
        <v>95.24</v>
      </c>
      <c r="AD1185" s="97"/>
      <c r="AE1185" s="97">
        <v>8.2912330000000001</v>
      </c>
      <c r="AF1185" s="96"/>
      <c r="AG1185" s="96"/>
      <c r="AH1185" s="96"/>
      <c r="AI1185" s="98">
        <v>1.7E-5</v>
      </c>
      <c r="AJ1185" s="98">
        <v>1.289E-3</v>
      </c>
      <c r="AK1185" s="98">
        <v>4.9700000000000005E-4</v>
      </c>
      <c r="AL1185" s="106"/>
    </row>
    <row r="1186" spans="1:38" ht="15" customHeight="1">
      <c r="A1186" s="106"/>
      <c r="B1186" s="96">
        <v>286</v>
      </c>
      <c r="C1186" s="96">
        <v>9803</v>
      </c>
      <c r="D1186" s="96" t="s">
        <v>1376</v>
      </c>
      <c r="E1186" s="96">
        <v>520025438</v>
      </c>
      <c r="F1186" s="96" t="s">
        <v>308</v>
      </c>
      <c r="G1186" s="96" t="s">
        <v>1409</v>
      </c>
      <c r="H1186" s="96" t="s">
        <v>1410</v>
      </c>
      <c r="I1186" s="96" t="s">
        <v>320</v>
      </c>
      <c r="J1186" s="96" t="s">
        <v>753</v>
      </c>
      <c r="K1186" s="96" t="s">
        <v>203</v>
      </c>
      <c r="L1186" s="96" t="s">
        <v>203</v>
      </c>
      <c r="M1186" s="96" t="s">
        <v>324</v>
      </c>
      <c r="N1186" s="96" t="s">
        <v>339</v>
      </c>
      <c r="O1186" s="96" t="s">
        <v>463</v>
      </c>
      <c r="P1186" s="96" t="s">
        <v>338</v>
      </c>
      <c r="Q1186" s="96" t="s">
        <v>1328</v>
      </c>
      <c r="R1186" s="96" t="s">
        <v>412</v>
      </c>
      <c r="S1186" s="96" t="s">
        <v>406</v>
      </c>
      <c r="T1186" s="96" t="s">
        <v>1200</v>
      </c>
      <c r="U1186" s="97">
        <v>4.3</v>
      </c>
      <c r="V1186" s="100">
        <v>47299</v>
      </c>
      <c r="W1186" s="98">
        <v>3.6200000000000003E-2</v>
      </c>
      <c r="X1186" s="98">
        <v>4.1599999999999998E-2</v>
      </c>
      <c r="Y1186" s="96" t="s">
        <v>411</v>
      </c>
      <c r="Z1186" s="96"/>
      <c r="AA1186" s="97">
        <v>18841.664449</v>
      </c>
      <c r="AB1186" s="97">
        <v>1</v>
      </c>
      <c r="AC1186" s="97">
        <v>102.52</v>
      </c>
      <c r="AD1186" s="97"/>
      <c r="AE1186" s="97">
        <v>19.316473999999999</v>
      </c>
      <c r="AF1186" s="96"/>
      <c r="AG1186" s="96"/>
      <c r="AH1186" s="96"/>
      <c r="AI1186" s="98">
        <v>1.0000000000000001E-5</v>
      </c>
      <c r="AJ1186" s="98">
        <v>3.0040000000000002E-3</v>
      </c>
      <c r="AK1186" s="98">
        <v>1.158E-3</v>
      </c>
      <c r="AL1186" s="106"/>
    </row>
    <row r="1187" spans="1:38" ht="15" customHeight="1">
      <c r="A1187" s="106"/>
      <c r="B1187" s="96">
        <v>286</v>
      </c>
      <c r="C1187" s="96">
        <v>9803</v>
      </c>
      <c r="D1187" s="96" t="s">
        <v>1367</v>
      </c>
      <c r="E1187" s="96">
        <v>513141879</v>
      </c>
      <c r="F1187" s="96" t="s">
        <v>308</v>
      </c>
      <c r="G1187" s="96" t="s">
        <v>2041</v>
      </c>
      <c r="H1187" s="96" t="s">
        <v>2042</v>
      </c>
      <c r="I1187" s="96" t="s">
        <v>320</v>
      </c>
      <c r="J1187" s="96" t="s">
        <v>753</v>
      </c>
      <c r="K1187" s="96" t="s">
        <v>203</v>
      </c>
      <c r="L1187" s="96" t="s">
        <v>203</v>
      </c>
      <c r="M1187" s="96" t="s">
        <v>324</v>
      </c>
      <c r="N1187" s="96" t="s">
        <v>339</v>
      </c>
      <c r="O1187" s="96" t="s">
        <v>447</v>
      </c>
      <c r="P1187" s="96" t="s">
        <v>338</v>
      </c>
      <c r="Q1187" s="96" t="s">
        <v>1305</v>
      </c>
      <c r="R1187" s="96" t="s">
        <v>414</v>
      </c>
      <c r="S1187" s="96" t="s">
        <v>406</v>
      </c>
      <c r="T1187" s="96" t="s">
        <v>1200</v>
      </c>
      <c r="U1187" s="97">
        <v>1.96</v>
      </c>
      <c r="V1187" s="100">
        <v>46196</v>
      </c>
      <c r="W1187" s="98">
        <v>2.3199999999999998E-2</v>
      </c>
      <c r="X1187" s="98">
        <v>2.69E-2</v>
      </c>
      <c r="Y1187" s="96" t="s">
        <v>410</v>
      </c>
      <c r="Z1187" s="96"/>
      <c r="AA1187" s="97">
        <v>10613.855867</v>
      </c>
      <c r="AB1187" s="97">
        <v>1</v>
      </c>
      <c r="AC1187" s="97">
        <v>112.91</v>
      </c>
      <c r="AD1187" s="97"/>
      <c r="AE1187" s="97">
        <v>11.984104</v>
      </c>
      <c r="AF1187" s="96"/>
      <c r="AG1187" s="96"/>
      <c r="AH1187" s="96"/>
      <c r="AI1187" s="98">
        <v>3.4999999999999997E-5</v>
      </c>
      <c r="AJ1187" s="98">
        <v>1.8630000000000001E-3</v>
      </c>
      <c r="AK1187" s="98">
        <v>7.18E-4</v>
      </c>
      <c r="AL1187" s="106"/>
    </row>
    <row r="1188" spans="1:38" ht="15" customHeight="1">
      <c r="A1188" s="106"/>
      <c r="B1188" s="96">
        <v>286</v>
      </c>
      <c r="C1188" s="96">
        <v>9803</v>
      </c>
      <c r="D1188" s="96" t="s">
        <v>1597</v>
      </c>
      <c r="E1188" s="96">
        <v>520020116</v>
      </c>
      <c r="F1188" s="96" t="s">
        <v>308</v>
      </c>
      <c r="G1188" s="96" t="s">
        <v>1962</v>
      </c>
      <c r="H1188" s="96" t="s">
        <v>1963</v>
      </c>
      <c r="I1188" s="96" t="s">
        <v>320</v>
      </c>
      <c r="J1188" s="96" t="s">
        <v>753</v>
      </c>
      <c r="K1188" s="96" t="s">
        <v>203</v>
      </c>
      <c r="L1188" s="96" t="s">
        <v>203</v>
      </c>
      <c r="M1188" s="96" t="s">
        <v>324</v>
      </c>
      <c r="N1188" s="96" t="s">
        <v>339</v>
      </c>
      <c r="O1188" s="96" t="s">
        <v>463</v>
      </c>
      <c r="P1188" s="96" t="s">
        <v>337</v>
      </c>
      <c r="Q1188" s="96" t="s">
        <v>1324</v>
      </c>
      <c r="R1188" s="96" t="s">
        <v>412</v>
      </c>
      <c r="S1188" s="96" t="s">
        <v>406</v>
      </c>
      <c r="T1188" s="96" t="s">
        <v>1200</v>
      </c>
      <c r="U1188" s="97">
        <v>1.94</v>
      </c>
      <c r="V1188" s="100">
        <v>46568</v>
      </c>
      <c r="W1188" s="98">
        <v>2.2499999999999999E-2</v>
      </c>
      <c r="X1188" s="98">
        <v>3.39E-2</v>
      </c>
      <c r="Y1188" s="96" t="s">
        <v>411</v>
      </c>
      <c r="Z1188" s="96"/>
      <c r="AA1188" s="97">
        <v>5561.1004460000004</v>
      </c>
      <c r="AB1188" s="97">
        <v>1</v>
      </c>
      <c r="AC1188" s="97">
        <v>111.81</v>
      </c>
      <c r="AD1188" s="97"/>
      <c r="AE1188" s="97">
        <v>6.2178659999999999</v>
      </c>
      <c r="AF1188" s="96"/>
      <c r="AG1188" s="96"/>
      <c r="AH1188" s="96"/>
      <c r="AI1188" s="98">
        <v>1.4E-5</v>
      </c>
      <c r="AJ1188" s="98">
        <v>9.6699999999999998E-4</v>
      </c>
      <c r="AK1188" s="98">
        <v>3.7199999999999999E-4</v>
      </c>
      <c r="AL1188" s="106"/>
    </row>
    <row r="1189" spans="1:38" ht="15" customHeight="1">
      <c r="A1189" s="106"/>
      <c r="B1189" s="96">
        <v>286</v>
      </c>
      <c r="C1189" s="96">
        <v>9803</v>
      </c>
      <c r="D1189" s="96" t="s">
        <v>1704</v>
      </c>
      <c r="E1189" s="96">
        <v>513834200</v>
      </c>
      <c r="F1189" s="96" t="s">
        <v>308</v>
      </c>
      <c r="G1189" s="96" t="s">
        <v>2019</v>
      </c>
      <c r="H1189" s="96" t="s">
        <v>2020</v>
      </c>
      <c r="I1189" s="96" t="s">
        <v>320</v>
      </c>
      <c r="J1189" s="96" t="s">
        <v>952</v>
      </c>
      <c r="K1189" s="96" t="s">
        <v>203</v>
      </c>
      <c r="L1189" s="96" t="s">
        <v>203</v>
      </c>
      <c r="M1189" s="96" t="s">
        <v>324</v>
      </c>
      <c r="N1189" s="96" t="s">
        <v>339</v>
      </c>
      <c r="O1189" s="96" t="s">
        <v>444</v>
      </c>
      <c r="P1189" s="96" t="s">
        <v>338</v>
      </c>
      <c r="Q1189" s="96" t="s">
        <v>1305</v>
      </c>
      <c r="R1189" s="96" t="s">
        <v>414</v>
      </c>
      <c r="S1189" s="96" t="s">
        <v>406</v>
      </c>
      <c r="T1189" s="96" t="s">
        <v>1200</v>
      </c>
      <c r="U1189" s="97">
        <v>7.53</v>
      </c>
      <c r="V1189" s="100">
        <v>48579</v>
      </c>
      <c r="W1189" s="98">
        <v>2.63E-2</v>
      </c>
      <c r="X1189" s="98">
        <v>6.2E-2</v>
      </c>
      <c r="Y1189" s="96" t="s">
        <v>411</v>
      </c>
      <c r="Z1189" s="96"/>
      <c r="AA1189" s="97">
        <v>22088.348209</v>
      </c>
      <c r="AB1189" s="97">
        <v>1</v>
      </c>
      <c r="AC1189" s="97">
        <v>77.16</v>
      </c>
      <c r="AD1189" s="97"/>
      <c r="AE1189" s="97">
        <v>17.043368999999998</v>
      </c>
      <c r="AF1189" s="96"/>
      <c r="AG1189" s="96"/>
      <c r="AH1189" s="96"/>
      <c r="AI1189" s="98">
        <v>3.1000000000000001E-5</v>
      </c>
      <c r="AJ1189" s="98">
        <v>2.65E-3</v>
      </c>
      <c r="AK1189" s="98">
        <v>1.0219999999999999E-3</v>
      </c>
      <c r="AL1189" s="106"/>
    </row>
    <row r="1190" spans="1:38" ht="15" customHeight="1">
      <c r="A1190" s="106"/>
      <c r="B1190" s="96">
        <v>286</v>
      </c>
      <c r="C1190" s="96">
        <v>9803</v>
      </c>
      <c r="D1190" s="96" t="s">
        <v>1794</v>
      </c>
      <c r="E1190" s="96">
        <v>520044520</v>
      </c>
      <c r="F1190" s="96" t="s">
        <v>308</v>
      </c>
      <c r="G1190" s="96" t="s">
        <v>1924</v>
      </c>
      <c r="H1190" s="96" t="s">
        <v>1925</v>
      </c>
      <c r="I1190" s="96" t="s">
        <v>320</v>
      </c>
      <c r="J1190" s="96" t="s">
        <v>753</v>
      </c>
      <c r="K1190" s="96" t="s">
        <v>203</v>
      </c>
      <c r="L1190" s="96" t="s">
        <v>203</v>
      </c>
      <c r="M1190" s="96" t="s">
        <v>324</v>
      </c>
      <c r="N1190" s="96" t="s">
        <v>339</v>
      </c>
      <c r="O1190" s="96" t="s">
        <v>463</v>
      </c>
      <c r="P1190" s="96" t="s">
        <v>338</v>
      </c>
      <c r="Q1190" s="96" t="s">
        <v>1357</v>
      </c>
      <c r="R1190" s="96" t="s">
        <v>414</v>
      </c>
      <c r="S1190" s="96" t="s">
        <v>406</v>
      </c>
      <c r="T1190" s="96" t="s">
        <v>1200</v>
      </c>
      <c r="U1190" s="97">
        <v>6.64</v>
      </c>
      <c r="V1190" s="100">
        <v>50770</v>
      </c>
      <c r="W1190" s="98">
        <v>3.8999999999999998E-3</v>
      </c>
      <c r="X1190" s="98">
        <v>3.7100000000000001E-2</v>
      </c>
      <c r="Y1190" s="96" t="s">
        <v>411</v>
      </c>
      <c r="Z1190" s="96"/>
      <c r="AA1190" s="97">
        <v>8259.2479170000006</v>
      </c>
      <c r="AB1190" s="97">
        <v>1</v>
      </c>
      <c r="AC1190" s="97">
        <v>88.48</v>
      </c>
      <c r="AD1190" s="97"/>
      <c r="AE1190" s="97">
        <v>7.3077820000000004</v>
      </c>
      <c r="AF1190" s="96"/>
      <c r="AG1190" s="96"/>
      <c r="AH1190" s="96"/>
      <c r="AI1190" s="98">
        <v>3.6999999999999998E-5</v>
      </c>
      <c r="AJ1190" s="98">
        <v>1.1360000000000001E-3</v>
      </c>
      <c r="AK1190" s="98">
        <v>4.3800000000000002E-4</v>
      </c>
      <c r="AL1190" s="106"/>
    </row>
    <row r="1191" spans="1:38" ht="15" customHeight="1">
      <c r="A1191" s="106"/>
      <c r="B1191" s="96">
        <v>286</v>
      </c>
      <c r="C1191" s="96">
        <v>9803</v>
      </c>
      <c r="D1191" s="96" t="s">
        <v>1524</v>
      </c>
      <c r="E1191" s="96">
        <v>513257873</v>
      </c>
      <c r="F1191" s="96" t="s">
        <v>308</v>
      </c>
      <c r="G1191" s="96" t="s">
        <v>1525</v>
      </c>
      <c r="H1191" s="96" t="s">
        <v>1526</v>
      </c>
      <c r="I1191" s="96" t="s">
        <v>320</v>
      </c>
      <c r="J1191" s="96" t="s">
        <v>753</v>
      </c>
      <c r="K1191" s="96" t="s">
        <v>203</v>
      </c>
      <c r="L1191" s="96" t="s">
        <v>203</v>
      </c>
      <c r="M1191" s="96" t="s">
        <v>324</v>
      </c>
      <c r="N1191" s="96" t="s">
        <v>339</v>
      </c>
      <c r="O1191" s="96" t="s">
        <v>463</v>
      </c>
      <c r="P1191" s="96" t="s">
        <v>338</v>
      </c>
      <c r="Q1191" s="96" t="s">
        <v>1320</v>
      </c>
      <c r="R1191" s="96" t="s">
        <v>412</v>
      </c>
      <c r="S1191" s="96" t="s">
        <v>406</v>
      </c>
      <c r="T1191" s="96" t="s">
        <v>1200</v>
      </c>
      <c r="U1191" s="97">
        <v>5.66</v>
      </c>
      <c r="V1191" s="100">
        <v>48304</v>
      </c>
      <c r="W1191" s="98">
        <v>9.7000000000000003E-3</v>
      </c>
      <c r="X1191" s="98">
        <v>3.8100000000000002E-2</v>
      </c>
      <c r="Y1191" s="96" t="s">
        <v>411</v>
      </c>
      <c r="Z1191" s="96"/>
      <c r="AA1191" s="97">
        <v>1595.7699259999999</v>
      </c>
      <c r="AB1191" s="97">
        <v>1</v>
      </c>
      <c r="AC1191" s="97">
        <v>95.73</v>
      </c>
      <c r="AD1191" s="97"/>
      <c r="AE1191" s="97">
        <v>1.52763</v>
      </c>
      <c r="AF1191" s="96"/>
      <c r="AG1191" s="96"/>
      <c r="AH1191" s="96"/>
      <c r="AI1191" s="98">
        <v>3.9999999999999998E-6</v>
      </c>
      <c r="AJ1191" s="98">
        <v>2.3699999999999999E-4</v>
      </c>
      <c r="AK1191" s="98">
        <v>9.1000000000000003E-5</v>
      </c>
      <c r="AL1191" s="106"/>
    </row>
    <row r="1192" spans="1:38" ht="15" customHeight="1">
      <c r="A1192" s="106"/>
      <c r="B1192" s="96">
        <v>286</v>
      </c>
      <c r="C1192" s="96">
        <v>9803</v>
      </c>
      <c r="D1192" s="96" t="s">
        <v>1197</v>
      </c>
      <c r="E1192" s="96">
        <v>520018078</v>
      </c>
      <c r="F1192" s="96" t="s">
        <v>308</v>
      </c>
      <c r="G1192" s="96" t="s">
        <v>1974</v>
      </c>
      <c r="H1192" s="96" t="s">
        <v>1975</v>
      </c>
      <c r="I1192" s="96" t="s">
        <v>320</v>
      </c>
      <c r="J1192" s="96" t="s">
        <v>753</v>
      </c>
      <c r="K1192" s="96" t="s">
        <v>203</v>
      </c>
      <c r="L1192" s="96" t="s">
        <v>203</v>
      </c>
      <c r="M1192" s="96" t="s">
        <v>324</v>
      </c>
      <c r="N1192" s="96" t="s">
        <v>339</v>
      </c>
      <c r="O1192" s="96" t="s">
        <v>447</v>
      </c>
      <c r="P1192" s="96" t="s">
        <v>338</v>
      </c>
      <c r="Q1192" s="96" t="s">
        <v>1332</v>
      </c>
      <c r="R1192" s="96" t="s">
        <v>412</v>
      </c>
      <c r="S1192" s="96" t="s">
        <v>406</v>
      </c>
      <c r="T1192" s="96" t="s">
        <v>1200</v>
      </c>
      <c r="U1192" s="97">
        <v>0.25</v>
      </c>
      <c r="V1192" s="100">
        <v>45565</v>
      </c>
      <c r="W1192" s="98">
        <v>1.95E-2</v>
      </c>
      <c r="X1192" s="98">
        <v>4.1099999999999998E-2</v>
      </c>
      <c r="Y1192" s="96" t="s">
        <v>410</v>
      </c>
      <c r="Z1192" s="96"/>
      <c r="AA1192" s="97">
        <v>39784.671065000002</v>
      </c>
      <c r="AB1192" s="97">
        <v>1</v>
      </c>
      <c r="AC1192" s="97">
        <v>112.9</v>
      </c>
      <c r="AD1192" s="97"/>
      <c r="AE1192" s="97">
        <v>44.916893000000002</v>
      </c>
      <c r="AF1192" s="96"/>
      <c r="AG1192" s="96"/>
      <c r="AH1192" s="96"/>
      <c r="AI1192" s="98">
        <v>3.1999999999999999E-5</v>
      </c>
      <c r="AJ1192" s="98">
        <v>6.986E-3</v>
      </c>
      <c r="AK1192" s="98">
        <v>2.6930000000000001E-3</v>
      </c>
      <c r="AL1192" s="106"/>
    </row>
    <row r="1193" spans="1:38" ht="15" customHeight="1">
      <c r="A1193" s="106"/>
      <c r="B1193" s="96">
        <v>286</v>
      </c>
      <c r="C1193" s="96">
        <v>9803</v>
      </c>
      <c r="D1193" s="96" t="s">
        <v>1351</v>
      </c>
      <c r="E1193" s="96">
        <v>520033986</v>
      </c>
      <c r="F1193" s="96" t="s">
        <v>308</v>
      </c>
      <c r="G1193" s="96" t="s">
        <v>1352</v>
      </c>
      <c r="H1193" s="96" t="s">
        <v>1353</v>
      </c>
      <c r="I1193" s="96" t="s">
        <v>320</v>
      </c>
      <c r="J1193" s="96" t="s">
        <v>952</v>
      </c>
      <c r="K1193" s="96" t="s">
        <v>203</v>
      </c>
      <c r="L1193" s="96" t="s">
        <v>203</v>
      </c>
      <c r="M1193" s="96" t="s">
        <v>324</v>
      </c>
      <c r="N1193" s="96" t="s">
        <v>339</v>
      </c>
      <c r="O1193" s="96" t="s">
        <v>444</v>
      </c>
      <c r="P1193" s="96" t="s">
        <v>338</v>
      </c>
      <c r="Q1193" s="96" t="s">
        <v>1336</v>
      </c>
      <c r="R1193" s="96" t="s">
        <v>414</v>
      </c>
      <c r="S1193" s="96" t="s">
        <v>406</v>
      </c>
      <c r="T1193" s="96" t="s">
        <v>1200</v>
      </c>
      <c r="U1193" s="97">
        <v>5.21</v>
      </c>
      <c r="V1193" s="100">
        <v>49674</v>
      </c>
      <c r="W1193" s="98">
        <v>1.95E-2</v>
      </c>
      <c r="X1193" s="98">
        <v>5.74E-2</v>
      </c>
      <c r="Y1193" s="96" t="s">
        <v>411</v>
      </c>
      <c r="Z1193" s="96"/>
      <c r="AA1193" s="97">
        <v>34690.679724000001</v>
      </c>
      <c r="AB1193" s="97">
        <v>1</v>
      </c>
      <c r="AC1193" s="97">
        <v>82.15</v>
      </c>
      <c r="AD1193" s="97"/>
      <c r="AE1193" s="97">
        <v>28.498393</v>
      </c>
      <c r="AF1193" s="96"/>
      <c r="AG1193" s="96"/>
      <c r="AH1193" s="96"/>
      <c r="AI1193" s="98">
        <v>3.3000000000000003E-5</v>
      </c>
      <c r="AJ1193" s="98">
        <v>4.4320000000000002E-3</v>
      </c>
      <c r="AK1193" s="98">
        <v>1.709E-3</v>
      </c>
      <c r="AL1193" s="106"/>
    </row>
    <row r="1194" spans="1:38" ht="15" customHeight="1">
      <c r="A1194" s="106"/>
      <c r="B1194" s="96">
        <v>286</v>
      </c>
      <c r="C1194" s="96">
        <v>9803</v>
      </c>
      <c r="D1194" s="96" t="s">
        <v>1672</v>
      </c>
      <c r="E1194" s="96">
        <v>1146</v>
      </c>
      <c r="F1194" s="96" t="s">
        <v>80</v>
      </c>
      <c r="G1194" s="96" t="s">
        <v>1673</v>
      </c>
      <c r="H1194" s="96" t="s">
        <v>1674</v>
      </c>
      <c r="I1194" s="96" t="s">
        <v>320</v>
      </c>
      <c r="J1194" s="96" t="s">
        <v>754</v>
      </c>
      <c r="K1194" s="96" t="s">
        <v>203</v>
      </c>
      <c r="L1194" s="96" t="s">
        <v>203</v>
      </c>
      <c r="M1194" s="96" t="s">
        <v>324</v>
      </c>
      <c r="N1194" s="96" t="s">
        <v>339</v>
      </c>
      <c r="O1194" s="96" t="s">
        <v>479</v>
      </c>
      <c r="P1194" s="96" t="s">
        <v>338</v>
      </c>
      <c r="Q1194" s="96" t="s">
        <v>1332</v>
      </c>
      <c r="R1194" s="96" t="s">
        <v>412</v>
      </c>
      <c r="S1194" s="96" t="s">
        <v>406</v>
      </c>
      <c r="T1194" s="96" t="s">
        <v>1200</v>
      </c>
      <c r="U1194" s="97">
        <v>0.98</v>
      </c>
      <c r="V1194" s="100">
        <v>46023</v>
      </c>
      <c r="W1194" s="98">
        <v>3.3700000000000001E-2</v>
      </c>
      <c r="X1194" s="98">
        <v>6.4399999999999999E-2</v>
      </c>
      <c r="Y1194" s="96" t="s">
        <v>411</v>
      </c>
      <c r="Z1194" s="96"/>
      <c r="AA1194" s="97">
        <v>6479.1686600000003</v>
      </c>
      <c r="AB1194" s="97">
        <v>1</v>
      </c>
      <c r="AC1194" s="97">
        <v>103.29</v>
      </c>
      <c r="AD1194" s="97"/>
      <c r="AE1194" s="97">
        <v>6.6923329999999996</v>
      </c>
      <c r="AF1194" s="96"/>
      <c r="AG1194" s="96"/>
      <c r="AH1194" s="96"/>
      <c r="AI1194" s="98">
        <v>4.6E-5</v>
      </c>
      <c r="AJ1194" s="98">
        <v>1.0399999999999999E-3</v>
      </c>
      <c r="AK1194" s="98">
        <v>4.0099999999999999E-4</v>
      </c>
      <c r="AL1194" s="106"/>
    </row>
    <row r="1195" spans="1:38" ht="15" customHeight="1">
      <c r="A1195" s="106"/>
      <c r="B1195" s="96">
        <v>286</v>
      </c>
      <c r="C1195" s="96">
        <v>9803</v>
      </c>
      <c r="D1195" s="96" t="s">
        <v>1421</v>
      </c>
      <c r="E1195" s="96">
        <v>520026683</v>
      </c>
      <c r="F1195" s="96" t="s">
        <v>308</v>
      </c>
      <c r="G1195" s="96" t="s">
        <v>1819</v>
      </c>
      <c r="H1195" s="96" t="s">
        <v>1820</v>
      </c>
      <c r="I1195" s="96" t="s">
        <v>320</v>
      </c>
      <c r="J1195" s="96" t="s">
        <v>952</v>
      </c>
      <c r="K1195" s="96" t="s">
        <v>203</v>
      </c>
      <c r="L1195" s="96" t="s">
        <v>203</v>
      </c>
      <c r="M1195" s="96" t="s">
        <v>324</v>
      </c>
      <c r="N1195" s="96" t="s">
        <v>339</v>
      </c>
      <c r="O1195" s="96" t="s">
        <v>463</v>
      </c>
      <c r="P1195" s="96" t="s">
        <v>338</v>
      </c>
      <c r="Q1195" s="96" t="s">
        <v>1336</v>
      </c>
      <c r="R1195" s="96" t="s">
        <v>414</v>
      </c>
      <c r="S1195" s="96" t="s">
        <v>406</v>
      </c>
      <c r="T1195" s="96" t="s">
        <v>1200</v>
      </c>
      <c r="U1195" s="97">
        <v>5.5</v>
      </c>
      <c r="V1195" s="100">
        <v>48218</v>
      </c>
      <c r="W1195" s="98">
        <v>2.4400000000000002E-2</v>
      </c>
      <c r="X1195" s="98">
        <v>6.13E-2</v>
      </c>
      <c r="Y1195" s="96" t="s">
        <v>411</v>
      </c>
      <c r="Z1195" s="96"/>
      <c r="AA1195" s="97">
        <v>23599.238872000002</v>
      </c>
      <c r="AB1195" s="97">
        <v>1</v>
      </c>
      <c r="AC1195" s="97">
        <v>83.12</v>
      </c>
      <c r="AD1195" s="97"/>
      <c r="AE1195" s="97">
        <v>19.615687000000001</v>
      </c>
      <c r="AF1195" s="96"/>
      <c r="AG1195" s="96"/>
      <c r="AH1195" s="96"/>
      <c r="AI1195" s="98">
        <v>1.9000000000000001E-5</v>
      </c>
      <c r="AJ1195" s="98">
        <v>3.0500000000000002E-3</v>
      </c>
      <c r="AK1195" s="98">
        <v>1.176E-3</v>
      </c>
      <c r="AL1195" s="106"/>
    </row>
    <row r="1196" spans="1:38" ht="15" customHeight="1">
      <c r="A1196" s="106"/>
      <c r="B1196" s="96">
        <v>286</v>
      </c>
      <c r="C1196" s="96">
        <v>9803</v>
      </c>
      <c r="D1196" s="96" t="s">
        <v>2027</v>
      </c>
      <c r="E1196" s="96">
        <v>516339777</v>
      </c>
      <c r="F1196" s="96" t="s">
        <v>308</v>
      </c>
      <c r="G1196" s="96" t="s">
        <v>2028</v>
      </c>
      <c r="H1196" s="96" t="s">
        <v>2029</v>
      </c>
      <c r="I1196" s="96" t="s">
        <v>320</v>
      </c>
      <c r="J1196" s="96" t="s">
        <v>952</v>
      </c>
      <c r="K1196" s="96" t="s">
        <v>203</v>
      </c>
      <c r="L1196" s="96" t="s">
        <v>203</v>
      </c>
      <c r="M1196" s="96" t="s">
        <v>326</v>
      </c>
      <c r="N1196" s="96" t="s">
        <v>339</v>
      </c>
      <c r="O1196" s="96" t="s">
        <v>440</v>
      </c>
      <c r="P1196" s="96" t="s">
        <v>338</v>
      </c>
      <c r="Q1196" s="96" t="s">
        <v>409</v>
      </c>
      <c r="R1196" s="96" t="s">
        <v>409</v>
      </c>
      <c r="S1196" s="96" t="s">
        <v>409</v>
      </c>
      <c r="T1196" s="96" t="s">
        <v>1200</v>
      </c>
      <c r="U1196" s="97">
        <v>1.96</v>
      </c>
      <c r="V1196" s="100">
        <v>46203</v>
      </c>
      <c r="W1196" s="98">
        <v>2.5000000000000001E-2</v>
      </c>
      <c r="X1196" s="98">
        <v>8.2199999999999995E-2</v>
      </c>
      <c r="Y1196" s="96" t="s">
        <v>411</v>
      </c>
      <c r="Z1196" s="96"/>
      <c r="AA1196" s="97">
        <v>9943.6551039999995</v>
      </c>
      <c r="AB1196" s="97">
        <v>1</v>
      </c>
      <c r="AC1196" s="97">
        <v>89.921099999999996</v>
      </c>
      <c r="AD1196" s="97"/>
      <c r="AE1196" s="97">
        <v>8.9414429999999996</v>
      </c>
      <c r="AF1196" s="96"/>
      <c r="AG1196" s="96"/>
      <c r="AH1196" s="96"/>
      <c r="AI1196" s="98">
        <v>2.9E-5</v>
      </c>
      <c r="AJ1196" s="98">
        <v>1.39E-3</v>
      </c>
      <c r="AK1196" s="98">
        <v>5.3600000000000002E-4</v>
      </c>
      <c r="AL1196" s="106"/>
    </row>
    <row r="1197" spans="1:38" ht="15" customHeight="1">
      <c r="A1197" s="106"/>
      <c r="B1197" s="96">
        <v>286</v>
      </c>
      <c r="C1197" s="96">
        <v>9803</v>
      </c>
      <c r="D1197" s="96" t="s">
        <v>1998</v>
      </c>
      <c r="E1197" s="96">
        <v>512882747</v>
      </c>
      <c r="F1197" s="96" t="s">
        <v>308</v>
      </c>
      <c r="G1197" s="96" t="s">
        <v>1999</v>
      </c>
      <c r="H1197" s="96" t="s">
        <v>2000</v>
      </c>
      <c r="I1197" s="96" t="s">
        <v>320</v>
      </c>
      <c r="J1197" s="96" t="s">
        <v>753</v>
      </c>
      <c r="K1197" s="96" t="s">
        <v>203</v>
      </c>
      <c r="L1197" s="96" t="s">
        <v>203</v>
      </c>
      <c r="M1197" s="96" t="s">
        <v>324</v>
      </c>
      <c r="N1197" s="96" t="s">
        <v>339</v>
      </c>
      <c r="O1197" s="96" t="s">
        <v>440</v>
      </c>
      <c r="P1197" s="96" t="s">
        <v>338</v>
      </c>
      <c r="Q1197" s="96" t="s">
        <v>409</v>
      </c>
      <c r="R1197" s="96" t="s">
        <v>409</v>
      </c>
      <c r="S1197" s="96" t="s">
        <v>409</v>
      </c>
      <c r="T1197" s="96" t="s">
        <v>1200</v>
      </c>
      <c r="U1197" s="97">
        <v>2.35</v>
      </c>
      <c r="V1197" s="100">
        <v>46752</v>
      </c>
      <c r="W1197" s="98">
        <v>2.9499999999999998E-2</v>
      </c>
      <c r="X1197" s="98">
        <v>4.19E-2</v>
      </c>
      <c r="Y1197" s="96" t="s">
        <v>411</v>
      </c>
      <c r="Z1197" s="96"/>
      <c r="AA1197" s="97">
        <v>6718.0964640000002</v>
      </c>
      <c r="AB1197" s="97">
        <v>1</v>
      </c>
      <c r="AC1197" s="97">
        <v>106</v>
      </c>
      <c r="AD1197" s="97"/>
      <c r="AE1197" s="97">
        <v>7.1211820000000001</v>
      </c>
      <c r="AF1197" s="96"/>
      <c r="AG1197" s="96"/>
      <c r="AH1197" s="96"/>
      <c r="AI1197" s="98">
        <v>2.9E-5</v>
      </c>
      <c r="AJ1197" s="98">
        <v>1.1069999999999999E-3</v>
      </c>
      <c r="AK1197" s="98">
        <v>4.2700000000000002E-4</v>
      </c>
      <c r="AL1197" s="106"/>
    </row>
    <row r="1198" spans="1:38" ht="15" customHeight="1">
      <c r="A1198" s="106"/>
      <c r="B1198" s="96">
        <v>286</v>
      </c>
      <c r="C1198" s="96">
        <v>9803</v>
      </c>
      <c r="D1198" s="96" t="s">
        <v>1358</v>
      </c>
      <c r="E1198" s="96">
        <v>520022732</v>
      </c>
      <c r="F1198" s="96" t="s">
        <v>308</v>
      </c>
      <c r="G1198" s="96" t="s">
        <v>1359</v>
      </c>
      <c r="H1198" s="96" t="s">
        <v>1360</v>
      </c>
      <c r="I1198" s="96" t="s">
        <v>320</v>
      </c>
      <c r="J1198" s="96" t="s">
        <v>952</v>
      </c>
      <c r="K1198" s="96" t="s">
        <v>203</v>
      </c>
      <c r="L1198" s="96" t="s">
        <v>203</v>
      </c>
      <c r="M1198" s="96" t="s">
        <v>324</v>
      </c>
      <c r="N1198" s="96" t="s">
        <v>339</v>
      </c>
      <c r="O1198" s="96" t="s">
        <v>474</v>
      </c>
      <c r="P1198" s="96" t="s">
        <v>337</v>
      </c>
      <c r="Q1198" s="96" t="s">
        <v>1313</v>
      </c>
      <c r="R1198" s="96" t="s">
        <v>412</v>
      </c>
      <c r="S1198" s="96" t="s">
        <v>406</v>
      </c>
      <c r="T1198" s="96" t="s">
        <v>1200</v>
      </c>
      <c r="U1198" s="97">
        <v>2.5</v>
      </c>
      <c r="V1198" s="100">
        <v>47399</v>
      </c>
      <c r="W1198" s="98">
        <v>5.0900000000000001E-2</v>
      </c>
      <c r="X1198" s="98">
        <v>5.1799999999999999E-2</v>
      </c>
      <c r="Y1198" s="96" t="s">
        <v>411</v>
      </c>
      <c r="Z1198" s="96"/>
      <c r="AA1198" s="97">
        <v>9978.8975969999992</v>
      </c>
      <c r="AB1198" s="97">
        <v>1</v>
      </c>
      <c r="AC1198" s="97">
        <v>103.46</v>
      </c>
      <c r="AD1198" s="97"/>
      <c r="AE1198" s="97">
        <v>10.324166999999999</v>
      </c>
      <c r="AF1198" s="96"/>
      <c r="AG1198" s="96"/>
      <c r="AH1198" s="96"/>
      <c r="AI1198" s="98">
        <v>1.5999999999999999E-5</v>
      </c>
      <c r="AJ1198" s="98">
        <v>1.6050000000000001E-3</v>
      </c>
      <c r="AK1198" s="98">
        <v>6.1899999999999998E-4</v>
      </c>
      <c r="AL1198" s="106"/>
    </row>
    <row r="1199" spans="1:38" ht="15" customHeight="1">
      <c r="A1199" s="106"/>
      <c r="B1199" s="96">
        <v>286</v>
      </c>
      <c r="C1199" s="96">
        <v>9803</v>
      </c>
      <c r="D1199" s="96" t="s">
        <v>1399</v>
      </c>
      <c r="E1199" s="96">
        <v>520032046</v>
      </c>
      <c r="F1199" s="96" t="s">
        <v>308</v>
      </c>
      <c r="G1199" s="96" t="s">
        <v>1896</v>
      </c>
      <c r="H1199" s="96" t="s">
        <v>1897</v>
      </c>
      <c r="I1199" s="96" t="s">
        <v>320</v>
      </c>
      <c r="J1199" s="96" t="s">
        <v>753</v>
      </c>
      <c r="K1199" s="96" t="s">
        <v>203</v>
      </c>
      <c r="L1199" s="96" t="s">
        <v>203</v>
      </c>
      <c r="M1199" s="96" t="s">
        <v>324</v>
      </c>
      <c r="N1199" s="96" t="s">
        <v>339</v>
      </c>
      <c r="O1199" s="96" t="s">
        <v>447</v>
      </c>
      <c r="P1199" s="96" t="s">
        <v>338</v>
      </c>
      <c r="Q1199" s="96" t="s">
        <v>1211</v>
      </c>
      <c r="R1199" s="96" t="s">
        <v>414</v>
      </c>
      <c r="S1199" s="96" t="s">
        <v>406</v>
      </c>
      <c r="T1199" s="96" t="s">
        <v>1200</v>
      </c>
      <c r="U1199" s="97">
        <v>4.63</v>
      </c>
      <c r="V1199" s="100">
        <v>48938</v>
      </c>
      <c r="W1199" s="98">
        <v>1.9900000000000001E-2</v>
      </c>
      <c r="X1199" s="98">
        <v>2.58E-2</v>
      </c>
      <c r="Y1199" s="96" t="s">
        <v>411</v>
      </c>
      <c r="Z1199" s="96"/>
      <c r="AA1199" s="97">
        <v>83526.702875000003</v>
      </c>
      <c r="AB1199" s="97">
        <v>1</v>
      </c>
      <c r="AC1199" s="97">
        <v>100.23</v>
      </c>
      <c r="AD1199" s="97"/>
      <c r="AE1199" s="97">
        <v>83.718813999999995</v>
      </c>
      <c r="AF1199" s="96"/>
      <c r="AG1199" s="96"/>
      <c r="AH1199" s="96"/>
      <c r="AI1199" s="98">
        <v>3.0000000000000001E-5</v>
      </c>
      <c r="AJ1199" s="98">
        <v>1.3021E-2</v>
      </c>
      <c r="AK1199" s="98">
        <v>5.0200000000000002E-3</v>
      </c>
      <c r="AL1199" s="106"/>
    </row>
    <row r="1200" spans="1:38" ht="15" customHeight="1">
      <c r="A1200" s="106"/>
      <c r="B1200" s="96">
        <v>286</v>
      </c>
      <c r="C1200" s="96">
        <v>9803</v>
      </c>
      <c r="D1200" s="96" t="s">
        <v>1484</v>
      </c>
      <c r="E1200" s="96">
        <v>520036617</v>
      </c>
      <c r="F1200" s="96" t="s">
        <v>308</v>
      </c>
      <c r="G1200" s="96" t="s">
        <v>1777</v>
      </c>
      <c r="H1200" s="96" t="s">
        <v>1778</v>
      </c>
      <c r="I1200" s="96" t="s">
        <v>320</v>
      </c>
      <c r="J1200" s="96" t="s">
        <v>753</v>
      </c>
      <c r="K1200" s="96" t="s">
        <v>203</v>
      </c>
      <c r="L1200" s="96" t="s">
        <v>203</v>
      </c>
      <c r="M1200" s="96" t="s">
        <v>324</v>
      </c>
      <c r="N1200" s="96" t="s">
        <v>339</v>
      </c>
      <c r="O1200" s="96" t="s">
        <v>463</v>
      </c>
      <c r="P1200" s="96" t="s">
        <v>338</v>
      </c>
      <c r="Q1200" s="96" t="s">
        <v>1328</v>
      </c>
      <c r="R1200" s="96" t="s">
        <v>412</v>
      </c>
      <c r="S1200" s="96" t="s">
        <v>406</v>
      </c>
      <c r="T1200" s="96" t="s">
        <v>1200</v>
      </c>
      <c r="U1200" s="97">
        <v>4.79</v>
      </c>
      <c r="V1200" s="100">
        <v>47848</v>
      </c>
      <c r="W1200" s="98">
        <v>8.9999999999999993E-3</v>
      </c>
      <c r="X1200" s="98">
        <v>3.8100000000000002E-2</v>
      </c>
      <c r="Y1200" s="96" t="s">
        <v>411</v>
      </c>
      <c r="Z1200" s="96"/>
      <c r="AA1200" s="97">
        <v>12380.157111</v>
      </c>
      <c r="AB1200" s="97">
        <v>1</v>
      </c>
      <c r="AC1200" s="97">
        <v>96.52</v>
      </c>
      <c r="AD1200" s="97"/>
      <c r="AE1200" s="97">
        <v>11.949327</v>
      </c>
      <c r="AF1200" s="96"/>
      <c r="AG1200" s="96"/>
      <c r="AH1200" s="96"/>
      <c r="AI1200" s="98">
        <v>2.9E-5</v>
      </c>
      <c r="AJ1200" s="98">
        <v>1.8580000000000001E-3</v>
      </c>
      <c r="AK1200" s="98">
        <v>7.1599999999999995E-4</v>
      </c>
      <c r="AL1200" s="106"/>
    </row>
    <row r="1201" spans="1:38" ht="15" customHeight="1">
      <c r="A1201" s="106"/>
      <c r="B1201" s="96">
        <v>286</v>
      </c>
      <c r="C1201" s="96">
        <v>9803</v>
      </c>
      <c r="D1201" s="96" t="s">
        <v>1517</v>
      </c>
      <c r="E1201" s="96">
        <v>510560188</v>
      </c>
      <c r="F1201" s="96" t="s">
        <v>308</v>
      </c>
      <c r="G1201" s="96" t="s">
        <v>1534</v>
      </c>
      <c r="H1201" s="96" t="s">
        <v>1535</v>
      </c>
      <c r="I1201" s="96" t="s">
        <v>320</v>
      </c>
      <c r="J1201" s="96" t="s">
        <v>753</v>
      </c>
      <c r="K1201" s="96" t="s">
        <v>203</v>
      </c>
      <c r="L1201" s="96" t="s">
        <v>203</v>
      </c>
      <c r="M1201" s="96" t="s">
        <v>324</v>
      </c>
      <c r="N1201" s="96" t="s">
        <v>339</v>
      </c>
      <c r="O1201" s="96" t="s">
        <v>464</v>
      </c>
      <c r="P1201" s="96" t="s">
        <v>338</v>
      </c>
      <c r="Q1201" s="96" t="s">
        <v>1520</v>
      </c>
      <c r="R1201" s="96" t="s">
        <v>414</v>
      </c>
      <c r="S1201" s="96" t="s">
        <v>406</v>
      </c>
      <c r="T1201" s="96" t="s">
        <v>1200</v>
      </c>
      <c r="U1201" s="97">
        <v>0.99</v>
      </c>
      <c r="V1201" s="100">
        <v>45838</v>
      </c>
      <c r="W1201" s="98">
        <v>1.2200000000000001E-2</v>
      </c>
      <c r="X1201" s="98">
        <v>3.1600000000000003E-2</v>
      </c>
      <c r="Y1201" s="96" t="s">
        <v>411</v>
      </c>
      <c r="Z1201" s="96"/>
      <c r="AA1201" s="97">
        <v>542.85276899999997</v>
      </c>
      <c r="AB1201" s="97">
        <v>1</v>
      </c>
      <c r="AC1201" s="97">
        <v>111.42</v>
      </c>
      <c r="AD1201" s="97"/>
      <c r="AE1201" s="97">
        <v>0.60484599999999999</v>
      </c>
      <c r="AF1201" s="96"/>
      <c r="AG1201" s="96"/>
      <c r="AH1201" s="96"/>
      <c r="AI1201" s="98">
        <v>1.9999999999999999E-6</v>
      </c>
      <c r="AJ1201" s="98">
        <v>9.3999999999999994E-5</v>
      </c>
      <c r="AK1201" s="98">
        <v>3.6000000000000001E-5</v>
      </c>
      <c r="AL1201" s="106"/>
    </row>
    <row r="1202" spans="1:38" ht="15" customHeight="1">
      <c r="A1202" s="106"/>
      <c r="B1202" s="96">
        <v>286</v>
      </c>
      <c r="C1202" s="96">
        <v>9803</v>
      </c>
      <c r="D1202" s="96" t="s">
        <v>1941</v>
      </c>
      <c r="E1202" s="96">
        <v>520036435</v>
      </c>
      <c r="F1202" s="96" t="s">
        <v>308</v>
      </c>
      <c r="G1202" s="96" t="s">
        <v>1942</v>
      </c>
      <c r="H1202" s="96" t="s">
        <v>1943</v>
      </c>
      <c r="I1202" s="96" t="s">
        <v>320</v>
      </c>
      <c r="J1202" s="96" t="s">
        <v>952</v>
      </c>
      <c r="K1202" s="96" t="s">
        <v>203</v>
      </c>
      <c r="L1202" s="96" t="s">
        <v>203</v>
      </c>
      <c r="M1202" s="96" t="s">
        <v>324</v>
      </c>
      <c r="N1202" s="96" t="s">
        <v>339</v>
      </c>
      <c r="O1202" s="96" t="s">
        <v>476</v>
      </c>
      <c r="P1202" s="96" t="s">
        <v>338</v>
      </c>
      <c r="Q1202" s="96" t="s">
        <v>1320</v>
      </c>
      <c r="R1202" s="96" t="s">
        <v>412</v>
      </c>
      <c r="S1202" s="96" t="s">
        <v>406</v>
      </c>
      <c r="T1202" s="96" t="s">
        <v>1200</v>
      </c>
      <c r="U1202" s="97">
        <v>0.5</v>
      </c>
      <c r="V1202" s="100">
        <v>45657</v>
      </c>
      <c r="W1202" s="98">
        <v>2.9499999999999998E-2</v>
      </c>
      <c r="X1202" s="98">
        <v>5.6899999999999999E-2</v>
      </c>
      <c r="Y1202" s="96" t="s">
        <v>411</v>
      </c>
      <c r="Z1202" s="96"/>
      <c r="AA1202" s="97">
        <v>643.10817199999997</v>
      </c>
      <c r="AB1202" s="97">
        <v>1</v>
      </c>
      <c r="AC1202" s="97">
        <v>98.7</v>
      </c>
      <c r="AD1202" s="97"/>
      <c r="AE1202" s="97">
        <v>0.63474699999999995</v>
      </c>
      <c r="AF1202" s="96"/>
      <c r="AG1202" s="96"/>
      <c r="AH1202" s="96"/>
      <c r="AI1202" s="98">
        <v>3.4999999999999997E-5</v>
      </c>
      <c r="AJ1202" s="98">
        <v>9.7999999999999997E-5</v>
      </c>
      <c r="AK1202" s="98">
        <v>3.8000000000000002E-5</v>
      </c>
      <c r="AL1202" s="106"/>
    </row>
    <row r="1203" spans="1:38" ht="15" customHeight="1">
      <c r="A1203" s="106"/>
      <c r="B1203" s="96">
        <v>286</v>
      </c>
      <c r="C1203" s="96">
        <v>9803</v>
      </c>
      <c r="D1203" s="96" t="s">
        <v>1427</v>
      </c>
      <c r="E1203" s="96">
        <v>520031931</v>
      </c>
      <c r="F1203" s="96" t="s">
        <v>308</v>
      </c>
      <c r="G1203" s="96" t="s">
        <v>1730</v>
      </c>
      <c r="H1203" s="96" t="s">
        <v>1731</v>
      </c>
      <c r="I1203" s="96" t="s">
        <v>320</v>
      </c>
      <c r="J1203" s="96" t="s">
        <v>753</v>
      </c>
      <c r="K1203" s="96" t="s">
        <v>203</v>
      </c>
      <c r="L1203" s="96" t="s">
        <v>203</v>
      </c>
      <c r="M1203" s="96" t="s">
        <v>324</v>
      </c>
      <c r="N1203" s="96" t="s">
        <v>339</v>
      </c>
      <c r="O1203" s="96" t="s">
        <v>483</v>
      </c>
      <c r="P1203" s="96" t="s">
        <v>338</v>
      </c>
      <c r="Q1203" s="96" t="s">
        <v>1336</v>
      </c>
      <c r="R1203" s="96" t="s">
        <v>414</v>
      </c>
      <c r="S1203" s="96" t="s">
        <v>406</v>
      </c>
      <c r="T1203" s="96" t="s">
        <v>1200</v>
      </c>
      <c r="U1203" s="97">
        <v>8.61</v>
      </c>
      <c r="V1203" s="100">
        <v>49461</v>
      </c>
      <c r="W1203" s="98">
        <v>5.7999999999999996E-3</v>
      </c>
      <c r="X1203" s="98">
        <v>3.3500000000000002E-2</v>
      </c>
      <c r="Y1203" s="96" t="s">
        <v>411</v>
      </c>
      <c r="Z1203" s="96"/>
      <c r="AA1203" s="97">
        <v>11932.386125000001</v>
      </c>
      <c r="AB1203" s="97">
        <v>1</v>
      </c>
      <c r="AC1203" s="97">
        <v>87.7</v>
      </c>
      <c r="AD1203" s="97"/>
      <c r="AE1203" s="97">
        <v>10.464702000000001</v>
      </c>
      <c r="AF1203" s="96"/>
      <c r="AG1203" s="96"/>
      <c r="AH1203" s="96"/>
      <c r="AI1203" s="98">
        <v>2.4000000000000001E-5</v>
      </c>
      <c r="AJ1203" s="98">
        <v>1.627E-3</v>
      </c>
      <c r="AK1203" s="98">
        <v>6.2699999999999995E-4</v>
      </c>
      <c r="AL1203" s="106"/>
    </row>
    <row r="1204" spans="1:38" ht="15" customHeight="1">
      <c r="A1204" s="106"/>
      <c r="B1204" s="96">
        <v>286</v>
      </c>
      <c r="C1204" s="96">
        <v>9803</v>
      </c>
      <c r="D1204" s="96" t="s">
        <v>1462</v>
      </c>
      <c r="E1204" s="96">
        <v>520000472</v>
      </c>
      <c r="F1204" s="96" t="s">
        <v>308</v>
      </c>
      <c r="G1204" s="96" t="s">
        <v>1463</v>
      </c>
      <c r="H1204" s="96" t="s">
        <v>1464</v>
      </c>
      <c r="I1204" s="96" t="s">
        <v>320</v>
      </c>
      <c r="J1204" s="96" t="s">
        <v>753</v>
      </c>
      <c r="K1204" s="96" t="s">
        <v>203</v>
      </c>
      <c r="L1204" s="96" t="s">
        <v>203</v>
      </c>
      <c r="M1204" s="96" t="s">
        <v>324</v>
      </c>
      <c r="N1204" s="96" t="s">
        <v>339</v>
      </c>
      <c r="O1204" s="96" t="s">
        <v>439</v>
      </c>
      <c r="P1204" s="96" t="s">
        <v>338</v>
      </c>
      <c r="Q1204" s="96" t="s">
        <v>1301</v>
      </c>
      <c r="R1204" s="96" t="s">
        <v>414</v>
      </c>
      <c r="S1204" s="96" t="s">
        <v>406</v>
      </c>
      <c r="T1204" s="96" t="s">
        <v>1200</v>
      </c>
      <c r="U1204" s="97">
        <v>11.01</v>
      </c>
      <c r="V1204" s="100">
        <v>49825</v>
      </c>
      <c r="W1204" s="98">
        <v>1.2500000000000001E-2</v>
      </c>
      <c r="X1204" s="98">
        <v>3.5299999999999998E-2</v>
      </c>
      <c r="Y1204" s="96" t="s">
        <v>411</v>
      </c>
      <c r="Z1204" s="96"/>
      <c r="AA1204" s="97">
        <v>99685.384646999999</v>
      </c>
      <c r="AB1204" s="97">
        <v>1</v>
      </c>
      <c r="AC1204" s="97">
        <v>87.53</v>
      </c>
      <c r="AD1204" s="97"/>
      <c r="AE1204" s="97">
        <v>87.254616999999996</v>
      </c>
      <c r="AF1204" s="96"/>
      <c r="AG1204" s="96"/>
      <c r="AH1204" s="96"/>
      <c r="AI1204" s="98">
        <v>2.3E-5</v>
      </c>
      <c r="AJ1204" s="98">
        <v>1.3571E-2</v>
      </c>
      <c r="AK1204" s="98">
        <v>5.2319999999999997E-3</v>
      </c>
      <c r="AL1204" s="106"/>
    </row>
    <row r="1205" spans="1:38" ht="15" customHeight="1">
      <c r="A1205" s="106"/>
      <c r="B1205" s="96">
        <v>286</v>
      </c>
      <c r="C1205" s="96">
        <v>9803</v>
      </c>
      <c r="D1205" s="96" t="s">
        <v>2051</v>
      </c>
      <c r="E1205" s="96">
        <v>513436394</v>
      </c>
      <c r="F1205" s="96" t="s">
        <v>308</v>
      </c>
      <c r="G1205" s="96" t="s">
        <v>2052</v>
      </c>
      <c r="H1205" s="96" t="s">
        <v>2053</v>
      </c>
      <c r="I1205" s="96" t="s">
        <v>320</v>
      </c>
      <c r="J1205" s="96" t="s">
        <v>753</v>
      </c>
      <c r="K1205" s="96" t="s">
        <v>203</v>
      </c>
      <c r="L1205" s="96" t="s">
        <v>203</v>
      </c>
      <c r="M1205" s="96" t="s">
        <v>324</v>
      </c>
      <c r="N1205" s="96" t="s">
        <v>339</v>
      </c>
      <c r="O1205" s="96" t="s">
        <v>476</v>
      </c>
      <c r="P1205" s="96" t="s">
        <v>338</v>
      </c>
      <c r="Q1205" s="96" t="s">
        <v>1301</v>
      </c>
      <c r="R1205" s="96" t="s">
        <v>414</v>
      </c>
      <c r="S1205" s="96" t="s">
        <v>406</v>
      </c>
      <c r="T1205" s="96" t="s">
        <v>1200</v>
      </c>
      <c r="U1205" s="97">
        <v>5.72</v>
      </c>
      <c r="V1205" s="100">
        <v>48760</v>
      </c>
      <c r="W1205" s="98">
        <v>2.6499999999999999E-2</v>
      </c>
      <c r="X1205" s="98">
        <v>2.81E-2</v>
      </c>
      <c r="Y1205" s="96" t="s">
        <v>411</v>
      </c>
      <c r="Z1205" s="96"/>
      <c r="AA1205" s="97">
        <v>47913.418139000001</v>
      </c>
      <c r="AB1205" s="97">
        <v>1</v>
      </c>
      <c r="AC1205" s="97">
        <v>113.29</v>
      </c>
      <c r="AD1205" s="97"/>
      <c r="AE1205" s="97">
        <v>54.281111000000003</v>
      </c>
      <c r="AF1205" s="96"/>
      <c r="AG1205" s="96"/>
      <c r="AH1205" s="96"/>
      <c r="AI1205" s="98">
        <v>3.1999999999999999E-5</v>
      </c>
      <c r="AJ1205" s="98">
        <v>8.4419999999999999E-3</v>
      </c>
      <c r="AK1205" s="98">
        <v>3.2550000000000001E-3</v>
      </c>
      <c r="AL1205" s="106"/>
    </row>
    <row r="1206" spans="1:38" ht="15" customHeight="1">
      <c r="A1206" s="106"/>
      <c r="B1206" s="96">
        <v>286</v>
      </c>
      <c r="C1206" s="96">
        <v>9803</v>
      </c>
      <c r="D1206" s="96" t="s">
        <v>1846</v>
      </c>
      <c r="E1206" s="96">
        <v>1991033</v>
      </c>
      <c r="F1206" s="96" t="s">
        <v>310</v>
      </c>
      <c r="G1206" s="96" t="s">
        <v>1847</v>
      </c>
      <c r="H1206" s="96" t="s">
        <v>1848</v>
      </c>
      <c r="I1206" s="96" t="s">
        <v>320</v>
      </c>
      <c r="J1206" s="96" t="s">
        <v>952</v>
      </c>
      <c r="K1206" s="96" t="s">
        <v>203</v>
      </c>
      <c r="L1206" s="96" t="s">
        <v>203</v>
      </c>
      <c r="M1206" s="96" t="s">
        <v>324</v>
      </c>
      <c r="N1206" s="96" t="s">
        <v>339</v>
      </c>
      <c r="O1206" s="96" t="s">
        <v>464</v>
      </c>
      <c r="P1206" s="96" t="s">
        <v>338</v>
      </c>
      <c r="Q1206" s="96" t="s">
        <v>1332</v>
      </c>
      <c r="R1206" s="96" t="s">
        <v>412</v>
      </c>
      <c r="S1206" s="96" t="s">
        <v>406</v>
      </c>
      <c r="T1206" s="96" t="s">
        <v>1200</v>
      </c>
      <c r="U1206" s="97">
        <v>1.17</v>
      </c>
      <c r="V1206" s="100">
        <v>45503</v>
      </c>
      <c r="W1206" s="98">
        <v>4.8000000000000001E-2</v>
      </c>
      <c r="X1206" s="98">
        <v>5.3900000000000003E-2</v>
      </c>
      <c r="Y1206" s="96" t="s">
        <v>411</v>
      </c>
      <c r="Z1206" s="96"/>
      <c r="AA1206" s="97">
        <v>1135.5041590000001</v>
      </c>
      <c r="AB1206" s="97">
        <v>1</v>
      </c>
      <c r="AC1206" s="97">
        <v>100.21</v>
      </c>
      <c r="AD1206" s="97"/>
      <c r="AE1206" s="97">
        <v>1.137888</v>
      </c>
      <c r="AF1206" s="96"/>
      <c r="AG1206" s="96"/>
      <c r="AH1206" s="96"/>
      <c r="AI1206" s="98">
        <v>3.0000000000000001E-6</v>
      </c>
      <c r="AJ1206" s="98">
        <v>1.76E-4</v>
      </c>
      <c r="AK1206" s="98">
        <v>6.7999999999999999E-5</v>
      </c>
      <c r="AL1206" s="106"/>
    </row>
    <row r="1207" spans="1:38" ht="15" customHeight="1">
      <c r="A1207" s="106"/>
      <c r="B1207" s="96">
        <v>286</v>
      </c>
      <c r="C1207" s="96">
        <v>9803</v>
      </c>
      <c r="D1207" s="96" t="s">
        <v>1511</v>
      </c>
      <c r="E1207" s="96">
        <v>513765859</v>
      </c>
      <c r="F1207" s="96" t="s">
        <v>308</v>
      </c>
      <c r="G1207" s="96" t="s">
        <v>1512</v>
      </c>
      <c r="H1207" s="96" t="s">
        <v>1513</v>
      </c>
      <c r="I1207" s="96" t="s">
        <v>320</v>
      </c>
      <c r="J1207" s="96" t="s">
        <v>753</v>
      </c>
      <c r="K1207" s="96" t="s">
        <v>203</v>
      </c>
      <c r="L1207" s="96" t="s">
        <v>203</v>
      </c>
      <c r="M1207" s="96" t="s">
        <v>324</v>
      </c>
      <c r="N1207" s="96" t="s">
        <v>339</v>
      </c>
      <c r="O1207" s="96" t="s">
        <v>463</v>
      </c>
      <c r="P1207" s="96" t="s">
        <v>337</v>
      </c>
      <c r="Q1207" s="96" t="s">
        <v>1313</v>
      </c>
      <c r="R1207" s="96" t="s">
        <v>412</v>
      </c>
      <c r="S1207" s="96" t="s">
        <v>406</v>
      </c>
      <c r="T1207" s="96" t="s">
        <v>1200</v>
      </c>
      <c r="U1207" s="97">
        <v>1.41</v>
      </c>
      <c r="V1207" s="100">
        <v>46356</v>
      </c>
      <c r="W1207" s="98">
        <v>1.6E-2</v>
      </c>
      <c r="X1207" s="98">
        <v>2.6599999999999999E-2</v>
      </c>
      <c r="Y1207" s="96" t="s">
        <v>411</v>
      </c>
      <c r="Z1207" s="96"/>
      <c r="AA1207" s="97">
        <v>1437.4476219999999</v>
      </c>
      <c r="AB1207" s="97">
        <v>1</v>
      </c>
      <c r="AC1207" s="97">
        <v>113.63</v>
      </c>
      <c r="AD1207" s="97"/>
      <c r="AE1207" s="97">
        <v>1.6333709999999999</v>
      </c>
      <c r="AF1207" s="96"/>
      <c r="AG1207" s="96"/>
      <c r="AH1207" s="96"/>
      <c r="AI1207" s="98">
        <v>3.0000000000000001E-6</v>
      </c>
      <c r="AJ1207" s="98">
        <v>2.5399999999999999E-4</v>
      </c>
      <c r="AK1207" s="98">
        <v>9.7E-5</v>
      </c>
      <c r="AL1207" s="106"/>
    </row>
    <row r="1208" spans="1:38" ht="15" customHeight="1">
      <c r="A1208" s="106"/>
      <c r="B1208" s="96">
        <v>286</v>
      </c>
      <c r="C1208" s="96">
        <v>9803</v>
      </c>
      <c r="D1208" s="96" t="s">
        <v>1699</v>
      </c>
      <c r="E1208" s="96">
        <v>511809071</v>
      </c>
      <c r="F1208" s="96" t="s">
        <v>308</v>
      </c>
      <c r="G1208" s="96" t="s">
        <v>1812</v>
      </c>
      <c r="H1208" s="96" t="s">
        <v>1813</v>
      </c>
      <c r="I1208" s="96" t="s">
        <v>320</v>
      </c>
      <c r="J1208" s="96" t="s">
        <v>753</v>
      </c>
      <c r="K1208" s="96" t="s">
        <v>203</v>
      </c>
      <c r="L1208" s="96" t="s">
        <v>203</v>
      </c>
      <c r="M1208" s="96" t="s">
        <v>324</v>
      </c>
      <c r="N1208" s="96" t="s">
        <v>339</v>
      </c>
      <c r="O1208" s="96" t="s">
        <v>461</v>
      </c>
      <c r="P1208" s="96" t="s">
        <v>338</v>
      </c>
      <c r="Q1208" s="96" t="s">
        <v>1332</v>
      </c>
      <c r="R1208" s="96" t="s">
        <v>412</v>
      </c>
      <c r="S1208" s="96" t="s">
        <v>406</v>
      </c>
      <c r="T1208" s="96" t="s">
        <v>1200</v>
      </c>
      <c r="U1208" s="97">
        <v>1.58</v>
      </c>
      <c r="V1208" s="100">
        <v>46609</v>
      </c>
      <c r="W1208" s="98">
        <v>1.0500000000000001E-2</v>
      </c>
      <c r="X1208" s="98">
        <v>2.7E-2</v>
      </c>
      <c r="Y1208" s="96" t="s">
        <v>411</v>
      </c>
      <c r="Z1208" s="96"/>
      <c r="AA1208" s="97">
        <v>289.29456399999998</v>
      </c>
      <c r="AB1208" s="97">
        <v>1</v>
      </c>
      <c r="AC1208" s="97">
        <v>109.95</v>
      </c>
      <c r="AD1208" s="97"/>
      <c r="AE1208" s="97">
        <v>0.318079</v>
      </c>
      <c r="AF1208" s="96"/>
      <c r="AG1208" s="96"/>
      <c r="AH1208" s="96"/>
      <c r="AI1208" s="98">
        <v>9.9999999999999995E-7</v>
      </c>
      <c r="AJ1208" s="98">
        <v>4.8999999999999998E-5</v>
      </c>
      <c r="AK1208" s="98">
        <v>1.9000000000000001E-5</v>
      </c>
      <c r="AL1208" s="106"/>
    </row>
    <row r="1209" spans="1:38" ht="15" customHeight="1">
      <c r="A1209" s="106"/>
      <c r="B1209" s="96">
        <v>286</v>
      </c>
      <c r="C1209" s="96">
        <v>9803</v>
      </c>
      <c r="D1209" s="96" t="s">
        <v>1354</v>
      </c>
      <c r="E1209" s="96">
        <v>513893123</v>
      </c>
      <c r="F1209" s="96" t="s">
        <v>308</v>
      </c>
      <c r="G1209" s="96" t="s">
        <v>1355</v>
      </c>
      <c r="H1209" s="96" t="s">
        <v>1356</v>
      </c>
      <c r="I1209" s="96" t="s">
        <v>320</v>
      </c>
      <c r="J1209" s="96" t="s">
        <v>753</v>
      </c>
      <c r="K1209" s="96" t="s">
        <v>203</v>
      </c>
      <c r="L1209" s="96" t="s">
        <v>203</v>
      </c>
      <c r="M1209" s="96" t="s">
        <v>324</v>
      </c>
      <c r="N1209" s="96" t="s">
        <v>339</v>
      </c>
      <c r="O1209" s="96" t="s">
        <v>442</v>
      </c>
      <c r="P1209" s="96" t="s">
        <v>338</v>
      </c>
      <c r="Q1209" s="96" t="s">
        <v>1357</v>
      </c>
      <c r="R1209" s="96" t="s">
        <v>414</v>
      </c>
      <c r="S1209" s="96" t="s">
        <v>406</v>
      </c>
      <c r="T1209" s="96" t="s">
        <v>1200</v>
      </c>
      <c r="U1209" s="97">
        <v>1.04</v>
      </c>
      <c r="V1209" s="100">
        <v>46022</v>
      </c>
      <c r="W1209" s="98">
        <v>1.8499999999999999E-2</v>
      </c>
      <c r="X1209" s="98">
        <v>2.9399999999999999E-2</v>
      </c>
      <c r="Y1209" s="96" t="s">
        <v>411</v>
      </c>
      <c r="Z1209" s="96"/>
      <c r="AA1209" s="97">
        <v>393.29113999999998</v>
      </c>
      <c r="AB1209" s="97">
        <v>1</v>
      </c>
      <c r="AC1209" s="97">
        <v>112.32</v>
      </c>
      <c r="AD1209" s="97"/>
      <c r="AE1209" s="97">
        <v>0.44174400000000003</v>
      </c>
      <c r="AF1209" s="96"/>
      <c r="AG1209" s="96"/>
      <c r="AH1209" s="96"/>
      <c r="AI1209" s="98">
        <v>9.9999999999999995E-7</v>
      </c>
      <c r="AJ1209" s="98">
        <v>6.7999999999999999E-5</v>
      </c>
      <c r="AK1209" s="98">
        <v>2.5999999999999998E-5</v>
      </c>
      <c r="AL1209" s="106"/>
    </row>
    <row r="1210" spans="1:38" ht="15" customHeight="1">
      <c r="A1210" s="106"/>
      <c r="B1210" s="96">
        <v>286</v>
      </c>
      <c r="C1210" s="96">
        <v>9803</v>
      </c>
      <c r="D1210" s="96" t="s">
        <v>1414</v>
      </c>
      <c r="E1210" s="96">
        <v>520037789</v>
      </c>
      <c r="F1210" s="96" t="s">
        <v>308</v>
      </c>
      <c r="G1210" s="96" t="s">
        <v>2059</v>
      </c>
      <c r="H1210" s="96" t="s">
        <v>2060</v>
      </c>
      <c r="I1210" s="96" t="s">
        <v>320</v>
      </c>
      <c r="J1210" s="96" t="s">
        <v>753</v>
      </c>
      <c r="K1210" s="96" t="s">
        <v>203</v>
      </c>
      <c r="L1210" s="96" t="s">
        <v>203</v>
      </c>
      <c r="M1210" s="96" t="s">
        <v>324</v>
      </c>
      <c r="N1210" s="96" t="s">
        <v>339</v>
      </c>
      <c r="O1210" s="96" t="s">
        <v>463</v>
      </c>
      <c r="P1210" s="96" t="s">
        <v>337</v>
      </c>
      <c r="Q1210" s="96" t="s">
        <v>1313</v>
      </c>
      <c r="R1210" s="96" t="s">
        <v>412</v>
      </c>
      <c r="S1210" s="96" t="s">
        <v>406</v>
      </c>
      <c r="T1210" s="96" t="s">
        <v>1200</v>
      </c>
      <c r="U1210" s="97">
        <v>1.76</v>
      </c>
      <c r="V1210" s="100">
        <v>46139</v>
      </c>
      <c r="W1210" s="98">
        <v>2.1499999999999998E-2</v>
      </c>
      <c r="X1210" s="98">
        <v>2.6100000000000002E-2</v>
      </c>
      <c r="Y1210" s="96" t="s">
        <v>411</v>
      </c>
      <c r="Z1210" s="96"/>
      <c r="AA1210" s="97">
        <v>31655.450065000001</v>
      </c>
      <c r="AB1210" s="97">
        <v>1</v>
      </c>
      <c r="AC1210" s="97">
        <v>115.16</v>
      </c>
      <c r="AD1210" s="97"/>
      <c r="AE1210" s="97">
        <v>36.454416000000002</v>
      </c>
      <c r="AF1210" s="96"/>
      <c r="AG1210" s="96"/>
      <c r="AH1210" s="96"/>
      <c r="AI1210" s="98">
        <v>2.5999999999999998E-5</v>
      </c>
      <c r="AJ1210" s="98">
        <v>5.6690000000000004E-3</v>
      </c>
      <c r="AK1210" s="98">
        <v>2.186E-3</v>
      </c>
      <c r="AL1210" s="106"/>
    </row>
    <row r="1211" spans="1:38" ht="15" customHeight="1">
      <c r="A1211" s="106"/>
      <c r="B1211" s="96">
        <v>286</v>
      </c>
      <c r="C1211" s="96">
        <v>9803</v>
      </c>
      <c r="D1211" s="96" t="s">
        <v>1934</v>
      </c>
      <c r="E1211" s="96">
        <v>520025602</v>
      </c>
      <c r="F1211" s="96" t="s">
        <v>308</v>
      </c>
      <c r="G1211" s="96" t="s">
        <v>1935</v>
      </c>
      <c r="H1211" s="96" t="s">
        <v>1936</v>
      </c>
      <c r="I1211" s="96" t="s">
        <v>320</v>
      </c>
      <c r="J1211" s="96" t="s">
        <v>754</v>
      </c>
      <c r="K1211" s="96" t="s">
        <v>203</v>
      </c>
      <c r="L1211" s="96" t="s">
        <v>203</v>
      </c>
      <c r="M1211" s="96" t="s">
        <v>324</v>
      </c>
      <c r="N1211" s="96" t="s">
        <v>339</v>
      </c>
      <c r="O1211" s="96" t="s">
        <v>436</v>
      </c>
      <c r="P1211" s="96" t="s">
        <v>338</v>
      </c>
      <c r="Q1211" s="96" t="s">
        <v>1305</v>
      </c>
      <c r="R1211" s="96" t="s">
        <v>414</v>
      </c>
      <c r="S1211" s="96" t="s">
        <v>406</v>
      </c>
      <c r="T1211" s="96" t="s">
        <v>1200</v>
      </c>
      <c r="U1211" s="97">
        <v>1.44</v>
      </c>
      <c r="V1211" s="100">
        <v>46387</v>
      </c>
      <c r="W1211" s="98">
        <v>3.85E-2</v>
      </c>
      <c r="X1211" s="98">
        <v>6.9400000000000003E-2</v>
      </c>
      <c r="Y1211" s="96" t="s">
        <v>411</v>
      </c>
      <c r="Z1211" s="96"/>
      <c r="AA1211" s="97">
        <v>1845.365875</v>
      </c>
      <c r="AB1211" s="97">
        <v>1</v>
      </c>
      <c r="AC1211" s="97">
        <v>99.62</v>
      </c>
      <c r="AD1211" s="97"/>
      <c r="AE1211" s="97">
        <v>1.8383529999999999</v>
      </c>
      <c r="AF1211" s="96"/>
      <c r="AG1211" s="96"/>
      <c r="AH1211" s="96"/>
      <c r="AI1211" s="98">
        <v>1.1E-5</v>
      </c>
      <c r="AJ1211" s="98">
        <v>2.8499999999999999E-4</v>
      </c>
      <c r="AK1211" s="98">
        <v>1.1E-4</v>
      </c>
      <c r="AL1211" s="106"/>
    </row>
    <row r="1212" spans="1:38" ht="15" customHeight="1">
      <c r="A1212" s="106"/>
      <c r="B1212" s="96">
        <v>286</v>
      </c>
      <c r="C1212" s="96">
        <v>9803</v>
      </c>
      <c r="D1212" s="96" t="s">
        <v>1337</v>
      </c>
      <c r="E1212" s="96">
        <v>520028010</v>
      </c>
      <c r="F1212" s="96" t="s">
        <v>308</v>
      </c>
      <c r="G1212" s="96" t="s">
        <v>1593</v>
      </c>
      <c r="H1212" s="96" t="s">
        <v>1594</v>
      </c>
      <c r="I1212" s="96" t="s">
        <v>320</v>
      </c>
      <c r="J1212" s="96" t="s">
        <v>952</v>
      </c>
      <c r="K1212" s="96" t="s">
        <v>203</v>
      </c>
      <c r="L1212" s="96" t="s">
        <v>203</v>
      </c>
      <c r="M1212" s="96" t="s">
        <v>324</v>
      </c>
      <c r="N1212" s="96" t="s">
        <v>339</v>
      </c>
      <c r="O1212" s="96" t="s">
        <v>450</v>
      </c>
      <c r="P1212" s="96" t="s">
        <v>338</v>
      </c>
      <c r="Q1212" s="96" t="s">
        <v>1320</v>
      </c>
      <c r="R1212" s="96" t="s">
        <v>412</v>
      </c>
      <c r="S1212" s="96" t="s">
        <v>406</v>
      </c>
      <c r="T1212" s="96" t="s">
        <v>1200</v>
      </c>
      <c r="U1212" s="97">
        <v>1.25</v>
      </c>
      <c r="V1212" s="100">
        <v>46295</v>
      </c>
      <c r="W1212" s="98">
        <v>3.5999999999999997E-2</v>
      </c>
      <c r="X1212" s="98">
        <v>5.0799999999999998E-2</v>
      </c>
      <c r="Y1212" s="96" t="s">
        <v>411</v>
      </c>
      <c r="Z1212" s="96"/>
      <c r="AA1212" s="97">
        <v>6562.8124479999997</v>
      </c>
      <c r="AB1212" s="97">
        <v>1</v>
      </c>
      <c r="AC1212" s="97">
        <v>99.16</v>
      </c>
      <c r="AD1212" s="97"/>
      <c r="AE1212" s="97">
        <v>6.5076840000000002</v>
      </c>
      <c r="AF1212" s="96"/>
      <c r="AG1212" s="96"/>
      <c r="AH1212" s="96"/>
      <c r="AI1212" s="98">
        <v>2.0999999999999999E-5</v>
      </c>
      <c r="AJ1212" s="98">
        <v>1.0120000000000001E-3</v>
      </c>
      <c r="AK1212" s="98">
        <v>3.8999999999999999E-4</v>
      </c>
      <c r="AL1212" s="106"/>
    </row>
    <row r="1213" spans="1:38" ht="15" customHeight="1">
      <c r="A1213" s="106"/>
      <c r="B1213" s="96">
        <v>286</v>
      </c>
      <c r="C1213" s="96">
        <v>9803</v>
      </c>
      <c r="D1213" s="96" t="s">
        <v>1421</v>
      </c>
      <c r="E1213" s="96">
        <v>520026683</v>
      </c>
      <c r="F1213" s="96" t="s">
        <v>308</v>
      </c>
      <c r="G1213" s="96" t="s">
        <v>1422</v>
      </c>
      <c r="H1213" s="96" t="s">
        <v>1423</v>
      </c>
      <c r="I1213" s="96" t="s">
        <v>320</v>
      </c>
      <c r="J1213" s="96" t="s">
        <v>753</v>
      </c>
      <c r="K1213" s="96" t="s">
        <v>203</v>
      </c>
      <c r="L1213" s="96" t="s">
        <v>203</v>
      </c>
      <c r="M1213" s="96" t="s">
        <v>324</v>
      </c>
      <c r="N1213" s="96" t="s">
        <v>339</v>
      </c>
      <c r="O1213" s="96" t="s">
        <v>463</v>
      </c>
      <c r="P1213" s="96" t="s">
        <v>338</v>
      </c>
      <c r="Q1213" s="96" t="s">
        <v>1336</v>
      </c>
      <c r="R1213" s="96" t="s">
        <v>414</v>
      </c>
      <c r="S1213" s="96" t="s">
        <v>406</v>
      </c>
      <c r="T1213" s="96" t="s">
        <v>1200</v>
      </c>
      <c r="U1213" s="97">
        <v>5.81</v>
      </c>
      <c r="V1213" s="100">
        <v>48218</v>
      </c>
      <c r="W1213" s="98">
        <v>9.1999999999999998E-3</v>
      </c>
      <c r="X1213" s="98">
        <v>3.5099999999999999E-2</v>
      </c>
      <c r="Y1213" s="96" t="s">
        <v>411</v>
      </c>
      <c r="Z1213" s="96"/>
      <c r="AA1213" s="97">
        <v>52875.670802000001</v>
      </c>
      <c r="AB1213" s="97">
        <v>1</v>
      </c>
      <c r="AC1213" s="97">
        <v>98.59</v>
      </c>
      <c r="AD1213" s="97"/>
      <c r="AE1213" s="97">
        <v>52.130122999999998</v>
      </c>
      <c r="AF1213" s="96"/>
      <c r="AG1213" s="96"/>
      <c r="AH1213" s="96"/>
      <c r="AI1213" s="98">
        <v>2.0000000000000002E-5</v>
      </c>
      <c r="AJ1213" s="98">
        <v>8.1080000000000006E-3</v>
      </c>
      <c r="AK1213" s="98">
        <v>3.1259999999999999E-3</v>
      </c>
      <c r="AL1213" s="106"/>
    </row>
    <row r="1214" spans="1:38" ht="15" customHeight="1">
      <c r="A1214" s="106"/>
      <c r="B1214" s="96">
        <v>286</v>
      </c>
      <c r="C1214" s="96">
        <v>9803</v>
      </c>
      <c r="D1214" s="96" t="s">
        <v>1427</v>
      </c>
      <c r="E1214" s="96">
        <v>520031931</v>
      </c>
      <c r="F1214" s="96" t="s">
        <v>308</v>
      </c>
      <c r="G1214" s="96" t="s">
        <v>2046</v>
      </c>
      <c r="H1214" s="96" t="s">
        <v>2047</v>
      </c>
      <c r="I1214" s="96" t="s">
        <v>320</v>
      </c>
      <c r="J1214" s="96" t="s">
        <v>952</v>
      </c>
      <c r="K1214" s="96" t="s">
        <v>203</v>
      </c>
      <c r="L1214" s="96" t="s">
        <v>203</v>
      </c>
      <c r="M1214" s="96" t="s">
        <v>324</v>
      </c>
      <c r="N1214" s="96" t="s">
        <v>339</v>
      </c>
      <c r="O1214" s="96" t="s">
        <v>483</v>
      </c>
      <c r="P1214" s="96" t="s">
        <v>338</v>
      </c>
      <c r="Q1214" s="96" t="s">
        <v>1336</v>
      </c>
      <c r="R1214" s="96" t="s">
        <v>414</v>
      </c>
      <c r="S1214" s="96" t="s">
        <v>406</v>
      </c>
      <c r="T1214" s="96" t="s">
        <v>1200</v>
      </c>
      <c r="U1214" s="97">
        <v>3.63</v>
      </c>
      <c r="V1214" s="100">
        <v>47635</v>
      </c>
      <c r="W1214" s="98">
        <v>3.2000000000000001E-2</v>
      </c>
      <c r="X1214" s="98">
        <v>5.2900000000000003E-2</v>
      </c>
      <c r="Y1214" s="96" t="s">
        <v>411</v>
      </c>
      <c r="Z1214" s="96"/>
      <c r="AA1214" s="97">
        <v>26839.412697</v>
      </c>
      <c r="AB1214" s="97">
        <v>1</v>
      </c>
      <c r="AC1214" s="97">
        <v>93.25</v>
      </c>
      <c r="AD1214" s="97"/>
      <c r="AE1214" s="97">
        <v>25.027752</v>
      </c>
      <c r="AF1214" s="96"/>
      <c r="AG1214" s="96"/>
      <c r="AH1214" s="96"/>
      <c r="AI1214" s="98">
        <v>1.9000000000000001E-5</v>
      </c>
      <c r="AJ1214" s="98">
        <v>3.8920000000000001E-3</v>
      </c>
      <c r="AK1214" s="98">
        <v>1.5E-3</v>
      </c>
      <c r="AL1214" s="106"/>
    </row>
    <row r="1215" spans="1:38" ht="15" customHeight="1">
      <c r="A1215" s="106"/>
      <c r="B1215" s="96">
        <v>286</v>
      </c>
      <c r="C1215" s="96">
        <v>9803</v>
      </c>
      <c r="D1215" s="96" t="s">
        <v>1367</v>
      </c>
      <c r="E1215" s="96">
        <v>513141879</v>
      </c>
      <c r="F1215" s="96" t="s">
        <v>308</v>
      </c>
      <c r="G1215" s="96" t="s">
        <v>1489</v>
      </c>
      <c r="H1215" s="96" t="s">
        <v>1490</v>
      </c>
      <c r="I1215" s="96" t="s">
        <v>320</v>
      </c>
      <c r="J1215" s="96" t="s">
        <v>753</v>
      </c>
      <c r="K1215" s="96" t="s">
        <v>203</v>
      </c>
      <c r="L1215" s="96" t="s">
        <v>203</v>
      </c>
      <c r="M1215" s="96" t="s">
        <v>324</v>
      </c>
      <c r="N1215" s="96" t="s">
        <v>339</v>
      </c>
      <c r="O1215" s="96" t="s">
        <v>447</v>
      </c>
      <c r="P1215" s="96" t="s">
        <v>338</v>
      </c>
      <c r="Q1215" s="96" t="s">
        <v>1305</v>
      </c>
      <c r="R1215" s="96" t="s">
        <v>414</v>
      </c>
      <c r="S1215" s="96" t="s">
        <v>406</v>
      </c>
      <c r="T1215" s="96" t="s">
        <v>1200</v>
      </c>
      <c r="U1215" s="97">
        <v>0.03</v>
      </c>
      <c r="V1215" s="100">
        <v>45485</v>
      </c>
      <c r="W1215" s="98">
        <v>2.1999999999999999E-2</v>
      </c>
      <c r="X1215" s="98">
        <v>6.8699999999999997E-2</v>
      </c>
      <c r="Y1215" s="96" t="s">
        <v>410</v>
      </c>
      <c r="Z1215" s="96"/>
      <c r="AA1215" s="97">
        <v>9715.3507709999994</v>
      </c>
      <c r="AB1215" s="97">
        <v>1</v>
      </c>
      <c r="AC1215" s="97">
        <v>115.8</v>
      </c>
      <c r="AD1215" s="97"/>
      <c r="AE1215" s="97">
        <v>11.250375999999999</v>
      </c>
      <c r="AF1215" s="96"/>
      <c r="AG1215" s="96"/>
      <c r="AH1215" s="96"/>
      <c r="AI1215" s="98">
        <v>3.8000000000000002E-5</v>
      </c>
      <c r="AJ1215" s="98">
        <v>1.7489999999999999E-3</v>
      </c>
      <c r="AK1215" s="98">
        <v>6.7400000000000001E-4</v>
      </c>
      <c r="AL1215" s="106"/>
    </row>
    <row r="1216" spans="1:38" ht="15" customHeight="1">
      <c r="A1216" s="106"/>
      <c r="B1216" s="96">
        <v>286</v>
      </c>
      <c r="C1216" s="96">
        <v>9803</v>
      </c>
      <c r="D1216" s="96" t="s">
        <v>1310</v>
      </c>
      <c r="E1216" s="96">
        <v>520017450</v>
      </c>
      <c r="F1216" s="96" t="s">
        <v>308</v>
      </c>
      <c r="G1216" s="96" t="s">
        <v>1311</v>
      </c>
      <c r="H1216" s="96" t="s">
        <v>1312</v>
      </c>
      <c r="I1216" s="96" t="s">
        <v>320</v>
      </c>
      <c r="J1216" s="96" t="s">
        <v>753</v>
      </c>
      <c r="K1216" s="96" t="s">
        <v>203</v>
      </c>
      <c r="L1216" s="96" t="s">
        <v>203</v>
      </c>
      <c r="M1216" s="96" t="s">
        <v>324</v>
      </c>
      <c r="N1216" s="96" t="s">
        <v>339</v>
      </c>
      <c r="O1216" s="96" t="s">
        <v>444</v>
      </c>
      <c r="P1216" s="96" t="s">
        <v>338</v>
      </c>
      <c r="Q1216" s="96" t="s">
        <v>1313</v>
      </c>
      <c r="R1216" s="96" t="s">
        <v>412</v>
      </c>
      <c r="S1216" s="96" t="s">
        <v>406</v>
      </c>
      <c r="T1216" s="96" t="s">
        <v>1200</v>
      </c>
      <c r="U1216" s="97">
        <v>4.79</v>
      </c>
      <c r="V1216" s="100">
        <v>47604</v>
      </c>
      <c r="W1216" s="98">
        <v>4.4000000000000003E-3</v>
      </c>
      <c r="X1216" s="98">
        <v>2.87E-2</v>
      </c>
      <c r="Y1216" s="96" t="s">
        <v>411</v>
      </c>
      <c r="Z1216" s="96"/>
      <c r="AA1216" s="97">
        <v>14000.66641</v>
      </c>
      <c r="AB1216" s="97">
        <v>1</v>
      </c>
      <c r="AC1216" s="97">
        <v>101.08</v>
      </c>
      <c r="AD1216" s="97"/>
      <c r="AE1216" s="97">
        <v>14.151873</v>
      </c>
      <c r="AF1216" s="96"/>
      <c r="AG1216" s="96"/>
      <c r="AH1216" s="96"/>
      <c r="AI1216" s="98">
        <v>1.5999999999999999E-5</v>
      </c>
      <c r="AJ1216" s="98">
        <v>2.2009999999999998E-3</v>
      </c>
      <c r="AK1216" s="98">
        <v>8.4800000000000001E-4</v>
      </c>
      <c r="AL1216" s="106"/>
    </row>
    <row r="1217" spans="1:38" ht="15" customHeight="1">
      <c r="A1217" s="106"/>
      <c r="B1217" s="96">
        <v>286</v>
      </c>
      <c r="C1217" s="96">
        <v>9803</v>
      </c>
      <c r="D1217" s="96" t="s">
        <v>1333</v>
      </c>
      <c r="E1217" s="96">
        <v>520024126</v>
      </c>
      <c r="F1217" s="96" t="s">
        <v>308</v>
      </c>
      <c r="G1217" s="96" t="s">
        <v>1859</v>
      </c>
      <c r="H1217" s="96" t="s">
        <v>1860</v>
      </c>
      <c r="I1217" s="96" t="s">
        <v>320</v>
      </c>
      <c r="J1217" s="96" t="s">
        <v>753</v>
      </c>
      <c r="K1217" s="96" t="s">
        <v>203</v>
      </c>
      <c r="L1217" s="96" t="s">
        <v>203</v>
      </c>
      <c r="M1217" s="96" t="s">
        <v>324</v>
      </c>
      <c r="N1217" s="96" t="s">
        <v>339</v>
      </c>
      <c r="O1217" s="96" t="s">
        <v>463</v>
      </c>
      <c r="P1217" s="96" t="s">
        <v>337</v>
      </c>
      <c r="Q1217" s="96" t="s">
        <v>1313</v>
      </c>
      <c r="R1217" s="96" t="s">
        <v>412</v>
      </c>
      <c r="S1217" s="96" t="s">
        <v>406</v>
      </c>
      <c r="T1217" s="96" t="s">
        <v>1200</v>
      </c>
      <c r="U1217" s="97">
        <v>3.38</v>
      </c>
      <c r="V1217" s="100">
        <v>46934</v>
      </c>
      <c r="W1217" s="98">
        <v>2.5999999999999999E-2</v>
      </c>
      <c r="X1217" s="98">
        <v>2.8500000000000001E-2</v>
      </c>
      <c r="Y1217" s="96" t="s">
        <v>411</v>
      </c>
      <c r="Z1217" s="96"/>
      <c r="AA1217" s="97">
        <v>1059.5616809999999</v>
      </c>
      <c r="AB1217" s="97">
        <v>1</v>
      </c>
      <c r="AC1217" s="97">
        <v>113.24</v>
      </c>
      <c r="AD1217" s="97"/>
      <c r="AE1217" s="97">
        <v>1.1998470000000001</v>
      </c>
      <c r="AF1217" s="96"/>
      <c r="AG1217" s="96"/>
      <c r="AH1217" s="96"/>
      <c r="AI1217" s="98">
        <v>1.9999999999999999E-6</v>
      </c>
      <c r="AJ1217" s="98">
        <v>1.8599999999999999E-4</v>
      </c>
      <c r="AK1217" s="98">
        <v>7.1000000000000005E-5</v>
      </c>
      <c r="AL1217" s="106"/>
    </row>
    <row r="1218" spans="1:38" ht="15" customHeight="1">
      <c r="A1218" s="106"/>
      <c r="B1218" s="96">
        <v>286</v>
      </c>
      <c r="C1218" s="96">
        <v>9803</v>
      </c>
      <c r="D1218" s="96" t="s">
        <v>1565</v>
      </c>
      <c r="E1218" s="96">
        <v>520033234</v>
      </c>
      <c r="F1218" s="96" t="s">
        <v>308</v>
      </c>
      <c r="G1218" s="96" t="s">
        <v>1825</v>
      </c>
      <c r="H1218" s="96" t="s">
        <v>1619</v>
      </c>
      <c r="I1218" s="96" t="s">
        <v>320</v>
      </c>
      <c r="J1218" s="96" t="s">
        <v>753</v>
      </c>
      <c r="K1218" s="96" t="s">
        <v>203</v>
      </c>
      <c r="L1218" s="96" t="s">
        <v>203</v>
      </c>
      <c r="M1218" s="96" t="s">
        <v>326</v>
      </c>
      <c r="N1218" s="96" t="s">
        <v>339</v>
      </c>
      <c r="O1218" s="96" t="s">
        <v>464</v>
      </c>
      <c r="P1218" s="96" t="s">
        <v>337</v>
      </c>
      <c r="Q1218" s="96" t="s">
        <v>1520</v>
      </c>
      <c r="R1218" s="96" t="s">
        <v>414</v>
      </c>
      <c r="S1218" s="96" t="s">
        <v>406</v>
      </c>
      <c r="T1218" s="96" t="s">
        <v>1200</v>
      </c>
      <c r="U1218" s="97">
        <v>2.85</v>
      </c>
      <c r="V1218" s="100">
        <v>46843</v>
      </c>
      <c r="W1218" s="98">
        <v>1.3299999999999999E-2</v>
      </c>
      <c r="X1218" s="98">
        <v>3.7100000000000001E-2</v>
      </c>
      <c r="Y1218" s="96" t="s">
        <v>411</v>
      </c>
      <c r="Z1218" s="96"/>
      <c r="AA1218" s="97">
        <v>751.27740800000004</v>
      </c>
      <c r="AB1218" s="97">
        <v>1</v>
      </c>
      <c r="AC1218" s="97">
        <v>106.7037</v>
      </c>
      <c r="AD1218" s="97"/>
      <c r="AE1218" s="97">
        <v>0.80164000000000002</v>
      </c>
      <c r="AF1218" s="96"/>
      <c r="AG1218" s="96"/>
      <c r="AH1218" s="96"/>
      <c r="AI1218" s="98">
        <v>1.9999999999999999E-6</v>
      </c>
      <c r="AJ1218" s="98">
        <v>1.2400000000000001E-4</v>
      </c>
      <c r="AK1218" s="98">
        <v>4.8000000000000001E-5</v>
      </c>
      <c r="AL1218" s="106"/>
    </row>
    <row r="1219" spans="1:38" ht="15" customHeight="1">
      <c r="A1219" s="106"/>
      <c r="B1219" s="96">
        <v>286</v>
      </c>
      <c r="C1219" s="96">
        <v>9803</v>
      </c>
      <c r="D1219" s="96" t="s">
        <v>1399</v>
      </c>
      <c r="E1219" s="96">
        <v>520032046</v>
      </c>
      <c r="F1219" s="96" t="s">
        <v>308</v>
      </c>
      <c r="G1219" s="96" t="s">
        <v>1906</v>
      </c>
      <c r="H1219" s="96" t="s">
        <v>1907</v>
      </c>
      <c r="I1219" s="96" t="s">
        <v>320</v>
      </c>
      <c r="J1219" s="96" t="s">
        <v>753</v>
      </c>
      <c r="K1219" s="96" t="s">
        <v>203</v>
      </c>
      <c r="L1219" s="96" t="s">
        <v>203</v>
      </c>
      <c r="M1219" s="96" t="s">
        <v>324</v>
      </c>
      <c r="N1219" s="96" t="s">
        <v>339</v>
      </c>
      <c r="O1219" s="96" t="s">
        <v>447</v>
      </c>
      <c r="P1219" s="96" t="s">
        <v>338</v>
      </c>
      <c r="Q1219" s="96" t="s">
        <v>1211</v>
      </c>
      <c r="R1219" s="96" t="s">
        <v>414</v>
      </c>
      <c r="S1219" s="96" t="s">
        <v>406</v>
      </c>
      <c r="T1219" s="96" t="s">
        <v>1200</v>
      </c>
      <c r="U1219" s="97">
        <v>0.25</v>
      </c>
      <c r="V1219" s="100">
        <v>45564</v>
      </c>
      <c r="W1219" s="98">
        <v>8.6E-3</v>
      </c>
      <c r="X1219" s="98">
        <v>2.5399999999999999E-2</v>
      </c>
      <c r="Y1219" s="96" t="s">
        <v>411</v>
      </c>
      <c r="Z1219" s="96"/>
      <c r="AA1219" s="97">
        <v>46536.305887000002</v>
      </c>
      <c r="AB1219" s="97">
        <v>1</v>
      </c>
      <c r="AC1219" s="97">
        <v>114.94</v>
      </c>
      <c r="AD1219" s="97"/>
      <c r="AE1219" s="97">
        <v>53.488829000000003</v>
      </c>
      <c r="AF1219" s="96"/>
      <c r="AG1219" s="96"/>
      <c r="AH1219" s="96"/>
      <c r="AI1219" s="98">
        <v>1.8E-5</v>
      </c>
      <c r="AJ1219" s="98">
        <v>8.319E-3</v>
      </c>
      <c r="AK1219" s="98">
        <v>3.2070000000000002E-3</v>
      </c>
      <c r="AL1219" s="106"/>
    </row>
    <row r="1220" spans="1:38" ht="15" customHeight="1">
      <c r="A1220" s="106"/>
      <c r="B1220" s="96">
        <v>286</v>
      </c>
      <c r="C1220" s="96">
        <v>9803</v>
      </c>
      <c r="D1220" s="96" t="s">
        <v>1379</v>
      </c>
      <c r="E1220" s="96">
        <v>510454333</v>
      </c>
      <c r="F1220" s="96" t="s">
        <v>308</v>
      </c>
      <c r="G1220" s="96" t="s">
        <v>1581</v>
      </c>
      <c r="H1220" s="96" t="s">
        <v>1582</v>
      </c>
      <c r="I1220" s="96" t="s">
        <v>320</v>
      </c>
      <c r="J1220" s="96" t="s">
        <v>952</v>
      </c>
      <c r="K1220" s="96" t="s">
        <v>203</v>
      </c>
      <c r="L1220" s="96" t="s">
        <v>203</v>
      </c>
      <c r="M1220" s="96" t="s">
        <v>324</v>
      </c>
      <c r="N1220" s="96" t="s">
        <v>339</v>
      </c>
      <c r="O1220" s="96" t="s">
        <v>476</v>
      </c>
      <c r="P1220" s="96" t="s">
        <v>338</v>
      </c>
      <c r="Q1220" s="96" t="s">
        <v>1320</v>
      </c>
      <c r="R1220" s="96" t="s">
        <v>412</v>
      </c>
      <c r="S1220" s="96" t="s">
        <v>406</v>
      </c>
      <c r="T1220" s="96" t="s">
        <v>1200</v>
      </c>
      <c r="U1220" s="97">
        <v>1.45</v>
      </c>
      <c r="V1220" s="100">
        <v>46386</v>
      </c>
      <c r="W1220" s="98">
        <v>2.8000000000000001E-2</v>
      </c>
      <c r="X1220" s="98">
        <v>5.3400000000000003E-2</v>
      </c>
      <c r="Y1220" s="96" t="s">
        <v>411</v>
      </c>
      <c r="Z1220" s="96"/>
      <c r="AA1220" s="97">
        <v>4428.9063260000003</v>
      </c>
      <c r="AB1220" s="97">
        <v>1</v>
      </c>
      <c r="AC1220" s="97">
        <v>96.53</v>
      </c>
      <c r="AD1220" s="97"/>
      <c r="AE1220" s="97">
        <v>4.2752230000000004</v>
      </c>
      <c r="AF1220" s="96"/>
      <c r="AG1220" s="96"/>
      <c r="AH1220" s="96"/>
      <c r="AI1220" s="98">
        <v>1.5999999999999999E-5</v>
      </c>
      <c r="AJ1220" s="98">
        <v>6.6399999999999999E-4</v>
      </c>
      <c r="AK1220" s="98">
        <v>2.5599999999999999E-4</v>
      </c>
      <c r="AL1220" s="106"/>
    </row>
    <row r="1221" spans="1:38" ht="15" customHeight="1">
      <c r="A1221" s="106"/>
      <c r="B1221" s="96">
        <v>286</v>
      </c>
      <c r="C1221" s="96">
        <v>9803</v>
      </c>
      <c r="D1221" s="96" t="s">
        <v>2065</v>
      </c>
      <c r="E1221" s="96">
        <v>520038910</v>
      </c>
      <c r="F1221" s="96" t="s">
        <v>308</v>
      </c>
      <c r="G1221" s="96" t="s">
        <v>2066</v>
      </c>
      <c r="H1221" s="96" t="s">
        <v>2067</v>
      </c>
      <c r="I1221" s="96" t="s">
        <v>320</v>
      </c>
      <c r="J1221" s="96" t="s">
        <v>952</v>
      </c>
      <c r="K1221" s="96" t="s">
        <v>203</v>
      </c>
      <c r="L1221" s="96" t="s">
        <v>203</v>
      </c>
      <c r="M1221" s="96" t="s">
        <v>324</v>
      </c>
      <c r="N1221" s="96" t="s">
        <v>339</v>
      </c>
      <c r="O1221" s="96" t="s">
        <v>463</v>
      </c>
      <c r="P1221" s="96" t="s">
        <v>338</v>
      </c>
      <c r="Q1221" s="96" t="s">
        <v>1313</v>
      </c>
      <c r="R1221" s="96" t="s">
        <v>412</v>
      </c>
      <c r="S1221" s="96" t="s">
        <v>406</v>
      </c>
      <c r="T1221" s="96" t="s">
        <v>1200</v>
      </c>
      <c r="U1221" s="97">
        <v>4.83</v>
      </c>
      <c r="V1221" s="100">
        <v>48213</v>
      </c>
      <c r="W1221" s="98">
        <v>4.8899999999999999E-2</v>
      </c>
      <c r="X1221" s="98">
        <v>5.5899999999999998E-2</v>
      </c>
      <c r="Y1221" s="96" t="s">
        <v>411</v>
      </c>
      <c r="Z1221" s="96"/>
      <c r="AA1221" s="97">
        <v>15349.830658999999</v>
      </c>
      <c r="AB1221" s="97">
        <v>1</v>
      </c>
      <c r="AC1221" s="97">
        <v>97.07</v>
      </c>
      <c r="AD1221" s="97"/>
      <c r="AE1221" s="97">
        <v>14.900080000000001</v>
      </c>
      <c r="AF1221" s="96"/>
      <c r="AG1221" s="96"/>
      <c r="AH1221" s="96"/>
      <c r="AI1221" s="98">
        <v>5.1E-5</v>
      </c>
      <c r="AJ1221" s="98">
        <v>2.317E-3</v>
      </c>
      <c r="AK1221" s="98">
        <v>8.9300000000000002E-4</v>
      </c>
      <c r="AL1221" s="106"/>
    </row>
    <row r="1222" spans="1:38" ht="15" customHeight="1">
      <c r="A1222" s="106"/>
      <c r="B1222" s="96">
        <v>286</v>
      </c>
      <c r="C1222" s="96">
        <v>9803</v>
      </c>
      <c r="D1222" s="96" t="s">
        <v>1929</v>
      </c>
      <c r="E1222" s="96">
        <v>520044314</v>
      </c>
      <c r="F1222" s="96" t="s">
        <v>308</v>
      </c>
      <c r="G1222" s="96" t="s">
        <v>1930</v>
      </c>
      <c r="H1222" s="96" t="s">
        <v>1931</v>
      </c>
      <c r="I1222" s="96" t="s">
        <v>320</v>
      </c>
      <c r="J1222" s="96" t="s">
        <v>952</v>
      </c>
      <c r="K1222" s="96" t="s">
        <v>203</v>
      </c>
      <c r="L1222" s="96" t="s">
        <v>203</v>
      </c>
      <c r="M1222" s="96" t="s">
        <v>324</v>
      </c>
      <c r="N1222" s="96" t="s">
        <v>339</v>
      </c>
      <c r="O1222" s="96" t="s">
        <v>483</v>
      </c>
      <c r="P1222" s="96" t="s">
        <v>337</v>
      </c>
      <c r="Q1222" s="96" t="s">
        <v>1332</v>
      </c>
      <c r="R1222" s="96" t="s">
        <v>412</v>
      </c>
      <c r="S1222" s="96" t="s">
        <v>406</v>
      </c>
      <c r="T1222" s="96" t="s">
        <v>1200</v>
      </c>
      <c r="U1222" s="97">
        <v>3.71</v>
      </c>
      <c r="V1222" s="100">
        <v>47659</v>
      </c>
      <c r="W1222" s="98">
        <v>2.0799999999999999E-2</v>
      </c>
      <c r="X1222" s="98">
        <v>5.5100000000000003E-2</v>
      </c>
      <c r="Y1222" s="96" t="s">
        <v>411</v>
      </c>
      <c r="Z1222" s="96"/>
      <c r="AA1222" s="97">
        <v>9593.4061600000005</v>
      </c>
      <c r="AB1222" s="97">
        <v>1</v>
      </c>
      <c r="AC1222" s="97">
        <v>88.3</v>
      </c>
      <c r="AD1222" s="97"/>
      <c r="AE1222" s="97">
        <v>8.4709769999999995</v>
      </c>
      <c r="AF1222" s="96"/>
      <c r="AG1222" s="96"/>
      <c r="AH1222" s="96"/>
      <c r="AI1222" s="98">
        <v>4.8000000000000001E-5</v>
      </c>
      <c r="AJ1222" s="98">
        <v>1.317E-3</v>
      </c>
      <c r="AK1222" s="98">
        <v>5.0799999999999999E-4</v>
      </c>
      <c r="AL1222" s="106"/>
    </row>
    <row r="1223" spans="1:38" ht="15" customHeight="1">
      <c r="A1223" s="106"/>
      <c r="B1223" s="96">
        <v>286</v>
      </c>
      <c r="C1223" s="96">
        <v>9803</v>
      </c>
      <c r="D1223" s="96" t="s">
        <v>1385</v>
      </c>
      <c r="E1223" s="96">
        <v>520017807</v>
      </c>
      <c r="F1223" s="96" t="s">
        <v>308</v>
      </c>
      <c r="G1223" s="96" t="s">
        <v>2068</v>
      </c>
      <c r="H1223" s="96" t="s">
        <v>2069</v>
      </c>
      <c r="I1223" s="96" t="s">
        <v>320</v>
      </c>
      <c r="J1223" s="96" t="s">
        <v>753</v>
      </c>
      <c r="K1223" s="96" t="s">
        <v>203</v>
      </c>
      <c r="L1223" s="96" t="s">
        <v>203</v>
      </c>
      <c r="M1223" s="96" t="s">
        <v>324</v>
      </c>
      <c r="N1223" s="96" t="s">
        <v>339</v>
      </c>
      <c r="O1223" s="96" t="s">
        <v>463</v>
      </c>
      <c r="P1223" s="96" t="s">
        <v>337</v>
      </c>
      <c r="Q1223" s="96" t="s">
        <v>1336</v>
      </c>
      <c r="R1223" s="96" t="s">
        <v>414</v>
      </c>
      <c r="S1223" s="96" t="s">
        <v>406</v>
      </c>
      <c r="T1223" s="96" t="s">
        <v>1200</v>
      </c>
      <c r="U1223" s="97">
        <v>4.99</v>
      </c>
      <c r="V1223" s="100">
        <v>47583</v>
      </c>
      <c r="W1223" s="98">
        <v>8.3999999999999995E-3</v>
      </c>
      <c r="X1223" s="98">
        <v>3.2099999999999997E-2</v>
      </c>
      <c r="Y1223" s="96" t="s">
        <v>411</v>
      </c>
      <c r="Z1223" s="96"/>
      <c r="AA1223" s="97">
        <v>6258.6871410000003</v>
      </c>
      <c r="AB1223" s="97">
        <v>1</v>
      </c>
      <c r="AC1223" s="97">
        <v>100.43</v>
      </c>
      <c r="AD1223" s="97"/>
      <c r="AE1223" s="97">
        <v>6.2855990000000004</v>
      </c>
      <c r="AF1223" s="96"/>
      <c r="AG1223" s="96"/>
      <c r="AH1223" s="96"/>
      <c r="AI1223" s="98">
        <v>6.9999999999999999E-6</v>
      </c>
      <c r="AJ1223" s="98">
        <v>9.77E-4</v>
      </c>
      <c r="AK1223" s="98">
        <v>3.7599999999999998E-4</v>
      </c>
      <c r="AL1223" s="106"/>
    </row>
    <row r="1224" spans="1:38" ht="15" customHeight="1">
      <c r="A1224" s="106"/>
      <c r="B1224" s="96">
        <v>286</v>
      </c>
      <c r="C1224" s="96">
        <v>9803</v>
      </c>
      <c r="D1224" s="96" t="s">
        <v>1611</v>
      </c>
      <c r="E1224" s="96">
        <v>520001736</v>
      </c>
      <c r="F1224" s="96" t="s">
        <v>308</v>
      </c>
      <c r="G1224" s="96" t="s">
        <v>2063</v>
      </c>
      <c r="H1224" s="96" t="s">
        <v>2064</v>
      </c>
      <c r="I1224" s="96" t="s">
        <v>320</v>
      </c>
      <c r="J1224" s="96" t="s">
        <v>753</v>
      </c>
      <c r="K1224" s="96" t="s">
        <v>203</v>
      </c>
      <c r="L1224" s="96" t="s">
        <v>203</v>
      </c>
      <c r="M1224" s="96" t="s">
        <v>324</v>
      </c>
      <c r="N1224" s="96" t="s">
        <v>339</v>
      </c>
      <c r="O1224" s="96" t="s">
        <v>463</v>
      </c>
      <c r="P1224" s="96" t="s">
        <v>338</v>
      </c>
      <c r="Q1224" s="96" t="s">
        <v>1313</v>
      </c>
      <c r="R1224" s="96" t="s">
        <v>412</v>
      </c>
      <c r="S1224" s="96" t="s">
        <v>406</v>
      </c>
      <c r="T1224" s="96" t="s">
        <v>1200</v>
      </c>
      <c r="U1224" s="97">
        <v>4.21</v>
      </c>
      <c r="V1224" s="100">
        <v>48760</v>
      </c>
      <c r="W1224" s="98">
        <v>5.0000000000000001E-3</v>
      </c>
      <c r="X1224" s="98">
        <v>3.3500000000000002E-2</v>
      </c>
      <c r="Y1224" s="96" t="s">
        <v>411</v>
      </c>
      <c r="Z1224" s="96"/>
      <c r="AA1224" s="97">
        <v>19895.177401000001</v>
      </c>
      <c r="AB1224" s="97">
        <v>1</v>
      </c>
      <c r="AC1224" s="97">
        <v>100.45</v>
      </c>
      <c r="AD1224" s="97"/>
      <c r="AE1224" s="97">
        <v>19.984705000000002</v>
      </c>
      <c r="AF1224" s="96"/>
      <c r="AG1224" s="96"/>
      <c r="AH1224" s="96"/>
      <c r="AI1224" s="98">
        <v>1.2E-5</v>
      </c>
      <c r="AJ1224" s="98">
        <v>3.1080000000000001E-3</v>
      </c>
      <c r="AK1224" s="98">
        <v>1.1980000000000001E-3</v>
      </c>
      <c r="AL1224" s="106"/>
    </row>
    <row r="1225" spans="1:38" ht="15" customHeight="1">
      <c r="A1225" s="106"/>
      <c r="B1225" s="96">
        <v>286</v>
      </c>
      <c r="C1225" s="96">
        <v>9803</v>
      </c>
      <c r="D1225" s="96" t="s">
        <v>1869</v>
      </c>
      <c r="E1225" s="96">
        <v>513569780</v>
      </c>
      <c r="F1225" s="96" t="s">
        <v>308</v>
      </c>
      <c r="G1225" s="96" t="s">
        <v>1870</v>
      </c>
      <c r="H1225" s="96" t="s">
        <v>1871</v>
      </c>
      <c r="I1225" s="96" t="s">
        <v>320</v>
      </c>
      <c r="J1225" s="96" t="s">
        <v>753</v>
      </c>
      <c r="K1225" s="96" t="s">
        <v>203</v>
      </c>
      <c r="L1225" s="96" t="s">
        <v>203</v>
      </c>
      <c r="M1225" s="96" t="s">
        <v>324</v>
      </c>
      <c r="N1225" s="96" t="s">
        <v>339</v>
      </c>
      <c r="O1225" s="96" t="s">
        <v>463</v>
      </c>
      <c r="P1225" s="96" t="s">
        <v>338</v>
      </c>
      <c r="Q1225" s="96" t="s">
        <v>1211</v>
      </c>
      <c r="R1225" s="96" t="s">
        <v>414</v>
      </c>
      <c r="S1225" s="96" t="s">
        <v>406</v>
      </c>
      <c r="T1225" s="96" t="s">
        <v>1200</v>
      </c>
      <c r="U1225" s="97">
        <v>5.24</v>
      </c>
      <c r="V1225" s="100">
        <v>48213</v>
      </c>
      <c r="W1225" s="98">
        <v>1.6500000000000001E-2</v>
      </c>
      <c r="X1225" s="98">
        <v>2.81E-2</v>
      </c>
      <c r="Y1225" s="96" t="s">
        <v>411</v>
      </c>
      <c r="Z1225" s="96"/>
      <c r="AA1225" s="97">
        <v>49817.712072000002</v>
      </c>
      <c r="AB1225" s="97">
        <v>1</v>
      </c>
      <c r="AC1225" s="97">
        <v>107.94</v>
      </c>
      <c r="AD1225" s="97"/>
      <c r="AE1225" s="97">
        <v>53.773237999999999</v>
      </c>
      <c r="AF1225" s="96"/>
      <c r="AG1225" s="96"/>
      <c r="AH1225" s="96"/>
      <c r="AI1225" s="98">
        <v>2.3E-5</v>
      </c>
      <c r="AJ1225" s="98">
        <v>8.3630000000000006E-3</v>
      </c>
      <c r="AK1225" s="98">
        <v>3.2239999999999999E-3</v>
      </c>
      <c r="AL1225" s="106"/>
    </row>
    <row r="1226" spans="1:38" ht="15" customHeight="1">
      <c r="A1226" s="106"/>
      <c r="B1226" s="96">
        <v>286</v>
      </c>
      <c r="C1226" s="96">
        <v>9803</v>
      </c>
      <c r="D1226" s="96" t="s">
        <v>1411</v>
      </c>
      <c r="E1226" s="96">
        <v>512025891</v>
      </c>
      <c r="F1226" s="96" t="s">
        <v>308</v>
      </c>
      <c r="G1226" s="96" t="s">
        <v>1561</v>
      </c>
      <c r="H1226" s="96" t="s">
        <v>1562</v>
      </c>
      <c r="I1226" s="96" t="s">
        <v>320</v>
      </c>
      <c r="J1226" s="96" t="s">
        <v>753</v>
      </c>
      <c r="K1226" s="96" t="s">
        <v>203</v>
      </c>
      <c r="L1226" s="96" t="s">
        <v>203</v>
      </c>
      <c r="M1226" s="96" t="s">
        <v>324</v>
      </c>
      <c r="N1226" s="96" t="s">
        <v>339</v>
      </c>
      <c r="O1226" s="96" t="s">
        <v>476</v>
      </c>
      <c r="P1226" s="96" t="s">
        <v>338</v>
      </c>
      <c r="Q1226" s="96" t="s">
        <v>1320</v>
      </c>
      <c r="R1226" s="96" t="s">
        <v>412</v>
      </c>
      <c r="S1226" s="96" t="s">
        <v>406</v>
      </c>
      <c r="T1226" s="96" t="s">
        <v>1200</v>
      </c>
      <c r="U1226" s="97">
        <v>1.92</v>
      </c>
      <c r="V1226" s="100">
        <v>46888</v>
      </c>
      <c r="W1226" s="98">
        <v>3.2000000000000001E-2</v>
      </c>
      <c r="X1226" s="98">
        <v>3.3300000000000003E-2</v>
      </c>
      <c r="Y1226" s="96" t="s">
        <v>411</v>
      </c>
      <c r="Z1226" s="96"/>
      <c r="AA1226" s="97">
        <v>28141.681260000001</v>
      </c>
      <c r="AB1226" s="97">
        <v>1</v>
      </c>
      <c r="AC1226" s="97">
        <v>105.65</v>
      </c>
      <c r="AD1226" s="97"/>
      <c r="AE1226" s="97">
        <v>29.731686</v>
      </c>
      <c r="AF1226" s="96"/>
      <c r="AG1226" s="96"/>
      <c r="AH1226" s="96"/>
      <c r="AI1226" s="98">
        <v>3.4999999999999997E-5</v>
      </c>
      <c r="AJ1226" s="98">
        <v>4.6239999999999996E-3</v>
      </c>
      <c r="AK1226" s="98">
        <v>1.7830000000000001E-3</v>
      </c>
      <c r="AL1226" s="106"/>
    </row>
    <row r="1227" spans="1:38" ht="15" customHeight="1">
      <c r="A1227" s="106"/>
      <c r="B1227" s="96">
        <v>286</v>
      </c>
      <c r="C1227" s="96">
        <v>9803</v>
      </c>
      <c r="D1227" s="96" t="s">
        <v>1298</v>
      </c>
      <c r="E1227" s="96">
        <v>510960719</v>
      </c>
      <c r="F1227" s="96" t="s">
        <v>308</v>
      </c>
      <c r="G1227" s="96" t="s">
        <v>1437</v>
      </c>
      <c r="H1227" s="96" t="s">
        <v>1438</v>
      </c>
      <c r="I1227" s="96" t="s">
        <v>320</v>
      </c>
      <c r="J1227" s="96" t="s">
        <v>753</v>
      </c>
      <c r="K1227" s="96" t="s">
        <v>203</v>
      </c>
      <c r="L1227" s="96" t="s">
        <v>203</v>
      </c>
      <c r="M1227" s="96" t="s">
        <v>324</v>
      </c>
      <c r="N1227" s="96" t="s">
        <v>339</v>
      </c>
      <c r="O1227" s="96" t="s">
        <v>463</v>
      </c>
      <c r="P1227" s="96" t="s">
        <v>338</v>
      </c>
      <c r="Q1227" s="96" t="s">
        <v>1439</v>
      </c>
      <c r="R1227" s="96" t="s">
        <v>412</v>
      </c>
      <c r="S1227" s="96" t="s">
        <v>406</v>
      </c>
      <c r="T1227" s="96" t="s">
        <v>1200</v>
      </c>
      <c r="U1227" s="97">
        <v>0.75</v>
      </c>
      <c r="V1227" s="100">
        <v>45748</v>
      </c>
      <c r="W1227" s="98">
        <v>6.4999999999999997E-3</v>
      </c>
      <c r="X1227" s="98">
        <v>2.87E-2</v>
      </c>
      <c r="Y1227" s="96" t="s">
        <v>411</v>
      </c>
      <c r="Z1227" s="96"/>
      <c r="AA1227" s="97">
        <v>13287.306385</v>
      </c>
      <c r="AB1227" s="97">
        <v>1</v>
      </c>
      <c r="AC1227" s="97">
        <v>111.86</v>
      </c>
      <c r="AD1227" s="97"/>
      <c r="AE1227" s="97">
        <v>14.86318</v>
      </c>
      <c r="AF1227" s="96"/>
      <c r="AG1227" s="96"/>
      <c r="AH1227" s="96"/>
      <c r="AI1227" s="98">
        <v>2.4000000000000001E-5</v>
      </c>
      <c r="AJ1227" s="98">
        <v>2.3110000000000001E-3</v>
      </c>
      <c r="AK1227" s="98">
        <v>8.9099999999999997E-4</v>
      </c>
      <c r="AL1227" s="106"/>
    </row>
    <row r="1228" spans="1:38" ht="15" customHeight="1">
      <c r="A1228" s="106"/>
      <c r="B1228" s="96">
        <v>286</v>
      </c>
      <c r="C1228" s="96">
        <v>9803</v>
      </c>
      <c r="D1228" s="96" t="s">
        <v>1474</v>
      </c>
      <c r="E1228" s="96">
        <v>1737</v>
      </c>
      <c r="F1228" s="96" t="s">
        <v>80</v>
      </c>
      <c r="G1228" s="96" t="s">
        <v>2058</v>
      </c>
      <c r="H1228" s="96" t="s">
        <v>1724</v>
      </c>
      <c r="I1228" s="96" t="s">
        <v>320</v>
      </c>
      <c r="J1228" s="96" t="s">
        <v>952</v>
      </c>
      <c r="K1228" s="96" t="s">
        <v>203</v>
      </c>
      <c r="L1228" s="96" t="s">
        <v>203</v>
      </c>
      <c r="M1228" s="96" t="s">
        <v>326</v>
      </c>
      <c r="N1228" s="96" t="s">
        <v>339</v>
      </c>
      <c r="O1228" s="96" t="s">
        <v>464</v>
      </c>
      <c r="P1228" s="96" t="s">
        <v>338</v>
      </c>
      <c r="Q1228" s="96" t="s">
        <v>1313</v>
      </c>
      <c r="R1228" s="96" t="s">
        <v>412</v>
      </c>
      <c r="S1228" s="96" t="s">
        <v>406</v>
      </c>
      <c r="T1228" s="96" t="s">
        <v>1200</v>
      </c>
      <c r="U1228" s="97">
        <v>2.38</v>
      </c>
      <c r="V1228" s="100">
        <v>46752</v>
      </c>
      <c r="W1228" s="98">
        <v>3.49E-2</v>
      </c>
      <c r="X1228" s="98">
        <v>7.6200000000000004E-2</v>
      </c>
      <c r="Y1228" s="96" t="s">
        <v>411</v>
      </c>
      <c r="Z1228" s="96"/>
      <c r="AA1228" s="97">
        <v>15895.585385</v>
      </c>
      <c r="AB1228" s="97">
        <v>1</v>
      </c>
      <c r="AC1228" s="97">
        <v>91.099199999999996</v>
      </c>
      <c r="AD1228" s="97"/>
      <c r="AE1228" s="97">
        <v>14.480756</v>
      </c>
      <c r="AF1228" s="96"/>
      <c r="AG1228" s="96"/>
      <c r="AH1228" s="96"/>
      <c r="AI1228" s="98">
        <v>1.5999999999999999E-5</v>
      </c>
      <c r="AJ1228" s="98">
        <v>2.2520000000000001E-3</v>
      </c>
      <c r="AK1228" s="98">
        <v>8.6799999999999996E-4</v>
      </c>
      <c r="AL1228" s="106"/>
    </row>
    <row r="1229" spans="1:38" ht="15" customHeight="1">
      <c r="A1229" s="106"/>
      <c r="B1229" s="96">
        <v>286</v>
      </c>
      <c r="C1229" s="96">
        <v>9803</v>
      </c>
      <c r="D1229" s="96" t="s">
        <v>1484</v>
      </c>
      <c r="E1229" s="96">
        <v>520036617</v>
      </c>
      <c r="F1229" s="96" t="s">
        <v>308</v>
      </c>
      <c r="G1229" s="96" t="s">
        <v>2061</v>
      </c>
      <c r="H1229" s="96" t="s">
        <v>2062</v>
      </c>
      <c r="I1229" s="96" t="s">
        <v>320</v>
      </c>
      <c r="J1229" s="96" t="s">
        <v>952</v>
      </c>
      <c r="K1229" s="96" t="s">
        <v>203</v>
      </c>
      <c r="L1229" s="96" t="s">
        <v>203</v>
      </c>
      <c r="M1229" s="96" t="s">
        <v>324</v>
      </c>
      <c r="N1229" s="96" t="s">
        <v>339</v>
      </c>
      <c r="O1229" s="96" t="s">
        <v>463</v>
      </c>
      <c r="P1229" s="96" t="s">
        <v>338</v>
      </c>
      <c r="Q1229" s="96" t="s">
        <v>1328</v>
      </c>
      <c r="R1229" s="96" t="s">
        <v>412</v>
      </c>
      <c r="S1229" s="96" t="s">
        <v>406</v>
      </c>
      <c r="T1229" s="96" t="s">
        <v>1200</v>
      </c>
      <c r="U1229" s="97">
        <v>2.4900000000000002</v>
      </c>
      <c r="V1229" s="100">
        <v>47392</v>
      </c>
      <c r="W1229" s="98">
        <v>5.2999999999999999E-2</v>
      </c>
      <c r="X1229" s="98">
        <v>5.7200000000000001E-2</v>
      </c>
      <c r="Y1229" s="96" t="s">
        <v>411</v>
      </c>
      <c r="Z1229" s="96"/>
      <c r="AA1229" s="97">
        <v>2108.8682170000002</v>
      </c>
      <c r="AB1229" s="97">
        <v>1</v>
      </c>
      <c r="AC1229" s="97">
        <v>100.33</v>
      </c>
      <c r="AD1229" s="97"/>
      <c r="AE1229" s="97">
        <v>2.1158269999999999</v>
      </c>
      <c r="AF1229" s="96"/>
      <c r="AG1229" s="96"/>
      <c r="AH1229" s="96"/>
      <c r="AI1229" s="98">
        <v>3.9999999999999998E-6</v>
      </c>
      <c r="AJ1229" s="98">
        <v>3.2899999999999997E-4</v>
      </c>
      <c r="AK1229" s="98">
        <v>1.26E-4</v>
      </c>
      <c r="AL1229" s="106"/>
    </row>
    <row r="1230" spans="1:38" ht="15" customHeight="1">
      <c r="A1230" s="106"/>
      <c r="B1230" s="96">
        <v>286</v>
      </c>
      <c r="C1230" s="96">
        <v>9803</v>
      </c>
      <c r="D1230" s="96" t="s">
        <v>1794</v>
      </c>
      <c r="E1230" s="96">
        <v>520044520</v>
      </c>
      <c r="F1230" s="96" t="s">
        <v>308</v>
      </c>
      <c r="G1230" s="96" t="s">
        <v>1795</v>
      </c>
      <c r="H1230" s="96" t="s">
        <v>1796</v>
      </c>
      <c r="I1230" s="96" t="s">
        <v>320</v>
      </c>
      <c r="J1230" s="96" t="s">
        <v>753</v>
      </c>
      <c r="K1230" s="96" t="s">
        <v>203</v>
      </c>
      <c r="L1230" s="96" t="s">
        <v>203</v>
      </c>
      <c r="M1230" s="96" t="s">
        <v>324</v>
      </c>
      <c r="N1230" s="96" t="s">
        <v>339</v>
      </c>
      <c r="O1230" s="96" t="s">
        <v>463</v>
      </c>
      <c r="P1230" s="96" t="s">
        <v>338</v>
      </c>
      <c r="Q1230" s="96" t="s">
        <v>1357</v>
      </c>
      <c r="R1230" s="96" t="s">
        <v>414</v>
      </c>
      <c r="S1230" s="96" t="s">
        <v>406</v>
      </c>
      <c r="T1230" s="96" t="s">
        <v>1200</v>
      </c>
      <c r="U1230" s="97">
        <v>1.41</v>
      </c>
      <c r="V1230" s="100">
        <v>46022</v>
      </c>
      <c r="W1230" s="98">
        <v>2.5000000000000001E-2</v>
      </c>
      <c r="X1230" s="98">
        <v>2.47E-2</v>
      </c>
      <c r="Y1230" s="96" t="s">
        <v>411</v>
      </c>
      <c r="Z1230" s="96"/>
      <c r="AA1230" s="97">
        <v>367.40095300000002</v>
      </c>
      <c r="AB1230" s="97">
        <v>1</v>
      </c>
      <c r="AC1230" s="97">
        <v>114.98</v>
      </c>
      <c r="AD1230" s="97"/>
      <c r="AE1230" s="97">
        <v>0.42243700000000001</v>
      </c>
      <c r="AF1230" s="96"/>
      <c r="AG1230" s="96"/>
      <c r="AH1230" s="96"/>
      <c r="AI1230" s="98">
        <v>9.9999999999999995E-7</v>
      </c>
      <c r="AJ1230" s="98">
        <v>6.4999999999999994E-5</v>
      </c>
      <c r="AK1230" s="98">
        <v>2.5000000000000001E-5</v>
      </c>
      <c r="AL1230" s="106"/>
    </row>
    <row r="1231" spans="1:38" ht="15" customHeight="1">
      <c r="A1231" s="106"/>
      <c r="B1231" s="96">
        <v>286</v>
      </c>
      <c r="C1231" s="96">
        <v>9803</v>
      </c>
      <c r="D1231" s="96" t="s">
        <v>1298</v>
      </c>
      <c r="E1231" s="96">
        <v>510960719</v>
      </c>
      <c r="F1231" s="96" t="s">
        <v>308</v>
      </c>
      <c r="G1231" s="96" t="s">
        <v>1894</v>
      </c>
      <c r="H1231" s="96" t="s">
        <v>1895</v>
      </c>
      <c r="I1231" s="96" t="s">
        <v>320</v>
      </c>
      <c r="J1231" s="96" t="s">
        <v>753</v>
      </c>
      <c r="K1231" s="96" t="s">
        <v>203</v>
      </c>
      <c r="L1231" s="96" t="s">
        <v>203</v>
      </c>
      <c r="M1231" s="96" t="s">
        <v>324</v>
      </c>
      <c r="N1231" s="96" t="s">
        <v>339</v>
      </c>
      <c r="O1231" s="96" t="s">
        <v>463</v>
      </c>
      <c r="P1231" s="96" t="s">
        <v>338</v>
      </c>
      <c r="Q1231" s="96" t="s">
        <v>1301</v>
      </c>
      <c r="R1231" s="96" t="s">
        <v>414</v>
      </c>
      <c r="S1231" s="96" t="s">
        <v>406</v>
      </c>
      <c r="T1231" s="96" t="s">
        <v>1200</v>
      </c>
      <c r="U1231" s="97">
        <v>5.71</v>
      </c>
      <c r="V1231" s="100">
        <v>48579</v>
      </c>
      <c r="W1231" s="98">
        <v>2.4799999999999999E-2</v>
      </c>
      <c r="X1231" s="98">
        <v>3.3399999999999999E-2</v>
      </c>
      <c r="Y1231" s="96" t="s">
        <v>411</v>
      </c>
      <c r="Z1231" s="96"/>
      <c r="AA1231" s="97">
        <v>97554.643117</v>
      </c>
      <c r="AB1231" s="97">
        <v>1</v>
      </c>
      <c r="AC1231" s="97">
        <v>108.31</v>
      </c>
      <c r="AD1231" s="97"/>
      <c r="AE1231" s="97">
        <v>105.661433</v>
      </c>
      <c r="AF1231" s="96"/>
      <c r="AG1231" s="96"/>
      <c r="AH1231" s="96"/>
      <c r="AI1231" s="98">
        <v>2.9E-5</v>
      </c>
      <c r="AJ1231" s="98">
        <v>1.6434000000000001E-2</v>
      </c>
      <c r="AK1231" s="98">
        <v>6.3359999999999996E-3</v>
      </c>
      <c r="AL1231" s="106"/>
    </row>
    <row r="1232" spans="1:38" ht="15" customHeight="1">
      <c r="A1232" s="106"/>
      <c r="B1232" s="96">
        <v>286</v>
      </c>
      <c r="C1232" s="96">
        <v>9803</v>
      </c>
      <c r="D1232" s="96" t="s">
        <v>1517</v>
      </c>
      <c r="E1232" s="96">
        <v>510560188</v>
      </c>
      <c r="F1232" s="96" t="s">
        <v>308</v>
      </c>
      <c r="G1232" s="96" t="s">
        <v>1890</v>
      </c>
      <c r="H1232" s="96" t="s">
        <v>1891</v>
      </c>
      <c r="I1232" s="96" t="s">
        <v>320</v>
      </c>
      <c r="J1232" s="96" t="s">
        <v>753</v>
      </c>
      <c r="K1232" s="96" t="s">
        <v>203</v>
      </c>
      <c r="L1232" s="96" t="s">
        <v>203</v>
      </c>
      <c r="M1232" s="96" t="s">
        <v>324</v>
      </c>
      <c r="N1232" s="96" t="s">
        <v>339</v>
      </c>
      <c r="O1232" s="96" t="s">
        <v>464</v>
      </c>
      <c r="P1232" s="96" t="s">
        <v>338</v>
      </c>
      <c r="Q1232" s="96" t="s">
        <v>1520</v>
      </c>
      <c r="R1232" s="96" t="s">
        <v>414</v>
      </c>
      <c r="S1232" s="96" t="s">
        <v>406</v>
      </c>
      <c r="T1232" s="96" t="s">
        <v>1200</v>
      </c>
      <c r="U1232" s="97">
        <v>1.71</v>
      </c>
      <c r="V1232" s="100">
        <v>46310</v>
      </c>
      <c r="W1232" s="98">
        <v>2.5700000000000001E-2</v>
      </c>
      <c r="X1232" s="98">
        <v>3.3500000000000002E-2</v>
      </c>
      <c r="Y1232" s="96" t="s">
        <v>411</v>
      </c>
      <c r="Z1232" s="96"/>
      <c r="AA1232" s="97">
        <v>16497.79581</v>
      </c>
      <c r="AB1232" s="97">
        <v>1</v>
      </c>
      <c r="AC1232" s="97">
        <v>113.71</v>
      </c>
      <c r="AD1232" s="97"/>
      <c r="AE1232" s="97">
        <v>18.759643000000001</v>
      </c>
      <c r="AF1232" s="96"/>
      <c r="AG1232" s="96"/>
      <c r="AH1232" s="96"/>
      <c r="AI1232" s="98">
        <v>1.2E-5</v>
      </c>
      <c r="AJ1232" s="98">
        <v>2.9169999999999999E-3</v>
      </c>
      <c r="AK1232" s="98">
        <v>1.1249999999999999E-3</v>
      </c>
      <c r="AL1232" s="106"/>
    </row>
    <row r="1233" spans="1:38" ht="15" customHeight="1">
      <c r="A1233" s="106"/>
      <c r="B1233" s="96">
        <v>286</v>
      </c>
      <c r="C1233" s="96">
        <v>9803</v>
      </c>
      <c r="D1233" s="96" t="s">
        <v>1704</v>
      </c>
      <c r="E1233" s="96">
        <v>513834200</v>
      </c>
      <c r="F1233" s="96" t="s">
        <v>308</v>
      </c>
      <c r="G1233" s="96" t="s">
        <v>1705</v>
      </c>
      <c r="H1233" s="96" t="s">
        <v>1706</v>
      </c>
      <c r="I1233" s="96" t="s">
        <v>320</v>
      </c>
      <c r="J1233" s="96" t="s">
        <v>952</v>
      </c>
      <c r="K1233" s="96" t="s">
        <v>203</v>
      </c>
      <c r="L1233" s="96" t="s">
        <v>203</v>
      </c>
      <c r="M1233" s="96" t="s">
        <v>324</v>
      </c>
      <c r="N1233" s="96" t="s">
        <v>339</v>
      </c>
      <c r="O1233" s="96" t="s">
        <v>444</v>
      </c>
      <c r="P1233" s="96" t="s">
        <v>338</v>
      </c>
      <c r="Q1233" s="96" t="s">
        <v>1305</v>
      </c>
      <c r="R1233" s="96" t="s">
        <v>414</v>
      </c>
      <c r="S1233" s="96" t="s">
        <v>406</v>
      </c>
      <c r="T1233" s="96" t="s">
        <v>1200</v>
      </c>
      <c r="U1233" s="97">
        <v>6.67</v>
      </c>
      <c r="V1233" s="100">
        <v>48213</v>
      </c>
      <c r="W1233" s="98">
        <v>3.0499999999999999E-2</v>
      </c>
      <c r="X1233" s="98">
        <v>6.0499999999999998E-2</v>
      </c>
      <c r="Y1233" s="96" t="s">
        <v>411</v>
      </c>
      <c r="Z1233" s="96"/>
      <c r="AA1233" s="97">
        <v>9110.4937430000009</v>
      </c>
      <c r="AB1233" s="97">
        <v>1</v>
      </c>
      <c r="AC1233" s="97">
        <v>82.6</v>
      </c>
      <c r="AD1233" s="97"/>
      <c r="AE1233" s="97">
        <v>7.5252670000000004</v>
      </c>
      <c r="AF1233" s="96"/>
      <c r="AG1233" s="96"/>
      <c r="AH1233" s="96"/>
      <c r="AI1233" s="98">
        <v>1.2999999999999999E-5</v>
      </c>
      <c r="AJ1233" s="98">
        <v>1.17E-3</v>
      </c>
      <c r="AK1233" s="98">
        <v>4.5100000000000001E-4</v>
      </c>
      <c r="AL1233" s="106"/>
    </row>
    <row r="1234" spans="1:38" ht="15" customHeight="1">
      <c r="A1234" s="106"/>
      <c r="B1234" s="96">
        <v>286</v>
      </c>
      <c r="C1234" s="96">
        <v>9803</v>
      </c>
      <c r="D1234" s="96" t="s">
        <v>1771</v>
      </c>
      <c r="E1234" s="96">
        <v>515364891</v>
      </c>
      <c r="F1234" s="96" t="s">
        <v>308</v>
      </c>
      <c r="G1234" s="96" t="s">
        <v>2040</v>
      </c>
      <c r="H1234" s="96" t="s">
        <v>1773</v>
      </c>
      <c r="I1234" s="96" t="s">
        <v>320</v>
      </c>
      <c r="J1234" s="96" t="s">
        <v>753</v>
      </c>
      <c r="K1234" s="96" t="s">
        <v>203</v>
      </c>
      <c r="L1234" s="96" t="s">
        <v>203</v>
      </c>
      <c r="M1234" s="96" t="s">
        <v>326</v>
      </c>
      <c r="N1234" s="96" t="s">
        <v>339</v>
      </c>
      <c r="O1234" s="96" t="s">
        <v>440</v>
      </c>
      <c r="P1234" s="96" t="s">
        <v>338</v>
      </c>
      <c r="Q1234" s="96" t="s">
        <v>409</v>
      </c>
      <c r="R1234" s="96" t="s">
        <v>409</v>
      </c>
      <c r="S1234" s="96" t="s">
        <v>409</v>
      </c>
      <c r="T1234" s="96" t="s">
        <v>1200</v>
      </c>
      <c r="U1234" s="97">
        <v>2.96</v>
      </c>
      <c r="V1234" s="100">
        <v>46934</v>
      </c>
      <c r="W1234" s="98">
        <v>1.5800000000000002E-2</v>
      </c>
      <c r="X1234" s="98">
        <v>4.87E-2</v>
      </c>
      <c r="Y1234" s="96" t="s">
        <v>411</v>
      </c>
      <c r="Z1234" s="96"/>
      <c r="AA1234" s="97">
        <v>1265.3094289999999</v>
      </c>
      <c r="AB1234" s="97">
        <v>1</v>
      </c>
      <c r="AC1234" s="97">
        <v>101.7467</v>
      </c>
      <c r="AD1234" s="97"/>
      <c r="AE1234" s="97">
        <v>1.2874099999999999</v>
      </c>
      <c r="AF1234" s="96"/>
      <c r="AG1234" s="96"/>
      <c r="AH1234" s="96"/>
      <c r="AI1234" s="98">
        <v>3.0000000000000001E-6</v>
      </c>
      <c r="AJ1234" s="98">
        <v>2.0000000000000001E-4</v>
      </c>
      <c r="AK1234" s="98">
        <v>7.7000000000000001E-5</v>
      </c>
      <c r="AL1234" s="106"/>
    </row>
    <row r="1235" spans="1:38" ht="15" customHeight="1">
      <c r="A1235" s="106"/>
      <c r="B1235" s="96">
        <v>286</v>
      </c>
      <c r="C1235" s="96">
        <v>9803</v>
      </c>
      <c r="D1235" s="96" t="s">
        <v>1511</v>
      </c>
      <c r="E1235" s="96">
        <v>513765859</v>
      </c>
      <c r="F1235" s="96" t="s">
        <v>308</v>
      </c>
      <c r="G1235" s="96" t="s">
        <v>1817</v>
      </c>
      <c r="H1235" s="96" t="s">
        <v>1818</v>
      </c>
      <c r="I1235" s="96" t="s">
        <v>320</v>
      </c>
      <c r="J1235" s="96" t="s">
        <v>753</v>
      </c>
      <c r="K1235" s="96" t="s">
        <v>203</v>
      </c>
      <c r="L1235" s="96" t="s">
        <v>203</v>
      </c>
      <c r="M1235" s="96" t="s">
        <v>324</v>
      </c>
      <c r="N1235" s="96" t="s">
        <v>339</v>
      </c>
      <c r="O1235" s="96" t="s">
        <v>463</v>
      </c>
      <c r="P1235" s="96" t="s">
        <v>337</v>
      </c>
      <c r="Q1235" s="96" t="s">
        <v>1332</v>
      </c>
      <c r="R1235" s="96" t="s">
        <v>412</v>
      </c>
      <c r="S1235" s="96" t="s">
        <v>406</v>
      </c>
      <c r="T1235" s="96" t="s">
        <v>1200</v>
      </c>
      <c r="U1235" s="97">
        <v>6.52</v>
      </c>
      <c r="V1235" s="100">
        <v>49490</v>
      </c>
      <c r="W1235" s="98">
        <v>1.15E-2</v>
      </c>
      <c r="X1235" s="98">
        <v>3.9E-2</v>
      </c>
      <c r="Y1235" s="96" t="s">
        <v>411</v>
      </c>
      <c r="Z1235" s="96"/>
      <c r="AA1235" s="97">
        <v>9003.6288839999997</v>
      </c>
      <c r="AB1235" s="97">
        <v>1</v>
      </c>
      <c r="AC1235" s="97">
        <v>94.98</v>
      </c>
      <c r="AD1235" s="97"/>
      <c r="AE1235" s="97">
        <v>8.5516459999999999</v>
      </c>
      <c r="AF1235" s="96"/>
      <c r="AG1235" s="96"/>
      <c r="AH1235" s="96"/>
      <c r="AI1235" s="98">
        <v>1.9000000000000001E-5</v>
      </c>
      <c r="AJ1235" s="98">
        <v>1.33E-3</v>
      </c>
      <c r="AK1235" s="98">
        <v>5.1199999999999998E-4</v>
      </c>
      <c r="AL1235" s="106"/>
    </row>
    <row r="1236" spans="1:38" ht="15" customHeight="1">
      <c r="A1236" s="106"/>
      <c r="B1236" s="96">
        <v>286</v>
      </c>
      <c r="C1236" s="96">
        <v>9803</v>
      </c>
      <c r="D1236" s="96" t="s">
        <v>1551</v>
      </c>
      <c r="E1236" s="96">
        <v>511659401</v>
      </c>
      <c r="F1236" s="96" t="s">
        <v>308</v>
      </c>
      <c r="G1236" s="96" t="s">
        <v>2033</v>
      </c>
      <c r="H1236" s="96" t="s">
        <v>2034</v>
      </c>
      <c r="I1236" s="96" t="s">
        <v>320</v>
      </c>
      <c r="J1236" s="96" t="s">
        <v>753</v>
      </c>
      <c r="K1236" s="96" t="s">
        <v>203</v>
      </c>
      <c r="L1236" s="96" t="s">
        <v>203</v>
      </c>
      <c r="M1236" s="96" t="s">
        <v>324</v>
      </c>
      <c r="N1236" s="96" t="s">
        <v>339</v>
      </c>
      <c r="O1236" s="96" t="s">
        <v>463</v>
      </c>
      <c r="P1236" s="96" t="s">
        <v>338</v>
      </c>
      <c r="Q1236" s="96" t="s">
        <v>1313</v>
      </c>
      <c r="R1236" s="96" t="s">
        <v>412</v>
      </c>
      <c r="S1236" s="96" t="s">
        <v>406</v>
      </c>
      <c r="T1236" s="96" t="s">
        <v>1200</v>
      </c>
      <c r="U1236" s="97">
        <v>8.1999999999999993</v>
      </c>
      <c r="V1236" s="100">
        <v>50890</v>
      </c>
      <c r="W1236" s="98">
        <v>2.64E-2</v>
      </c>
      <c r="X1236" s="98">
        <v>3.4000000000000002E-2</v>
      </c>
      <c r="Y1236" s="96" t="s">
        <v>411</v>
      </c>
      <c r="Z1236" s="96"/>
      <c r="AA1236" s="97">
        <v>20353.142210000002</v>
      </c>
      <c r="AB1236" s="97">
        <v>1</v>
      </c>
      <c r="AC1236" s="97">
        <v>98.16</v>
      </c>
      <c r="AD1236" s="97"/>
      <c r="AE1236" s="97">
        <v>19.978643999999999</v>
      </c>
      <c r="AF1236" s="96"/>
      <c r="AG1236" s="96"/>
      <c r="AH1236" s="96"/>
      <c r="AI1236" s="98">
        <v>6.7000000000000002E-5</v>
      </c>
      <c r="AJ1236" s="98">
        <v>3.107E-3</v>
      </c>
      <c r="AK1236" s="98">
        <v>1.1980000000000001E-3</v>
      </c>
      <c r="AL1236" s="106"/>
    </row>
    <row r="1237" spans="1:38" ht="15" customHeight="1">
      <c r="A1237" s="106"/>
      <c r="B1237" s="96">
        <v>286</v>
      </c>
      <c r="C1237" s="96">
        <v>9803</v>
      </c>
      <c r="D1237" s="96" t="s">
        <v>1645</v>
      </c>
      <c r="E1237" s="96">
        <v>1630</v>
      </c>
      <c r="F1237" s="96" t="s">
        <v>80</v>
      </c>
      <c r="G1237" s="96" t="s">
        <v>1702</v>
      </c>
      <c r="H1237" s="96" t="s">
        <v>1703</v>
      </c>
      <c r="I1237" s="96" t="s">
        <v>320</v>
      </c>
      <c r="J1237" s="96" t="s">
        <v>952</v>
      </c>
      <c r="K1237" s="96" t="s">
        <v>203</v>
      </c>
      <c r="L1237" s="96" t="s">
        <v>203</v>
      </c>
      <c r="M1237" s="96" t="s">
        <v>324</v>
      </c>
      <c r="N1237" s="96" t="s">
        <v>339</v>
      </c>
      <c r="O1237" s="96" t="s">
        <v>464</v>
      </c>
      <c r="P1237" s="96" t="s">
        <v>338</v>
      </c>
      <c r="Q1237" s="96" t="s">
        <v>1320</v>
      </c>
      <c r="R1237" s="96" t="s">
        <v>412</v>
      </c>
      <c r="S1237" s="96" t="s">
        <v>406</v>
      </c>
      <c r="T1237" s="96" t="s">
        <v>1200</v>
      </c>
      <c r="U1237" s="97">
        <v>2.61</v>
      </c>
      <c r="V1237" s="100">
        <v>46873</v>
      </c>
      <c r="W1237" s="98">
        <v>5.7500000000000002E-2</v>
      </c>
      <c r="X1237" s="98">
        <v>7.0800000000000002E-2</v>
      </c>
      <c r="Y1237" s="96" t="s">
        <v>411</v>
      </c>
      <c r="Z1237" s="96"/>
      <c r="AA1237" s="97">
        <v>19568.074331</v>
      </c>
      <c r="AB1237" s="97">
        <v>1</v>
      </c>
      <c r="AC1237" s="97">
        <v>97.94</v>
      </c>
      <c r="AD1237" s="97"/>
      <c r="AE1237" s="97">
        <v>19.164971999999999</v>
      </c>
      <c r="AF1237" s="96"/>
      <c r="AG1237" s="96"/>
      <c r="AH1237" s="96"/>
      <c r="AI1237" s="98">
        <v>2.0999999999999999E-5</v>
      </c>
      <c r="AJ1237" s="98">
        <v>2.98E-3</v>
      </c>
      <c r="AK1237" s="98">
        <v>1.1490000000000001E-3</v>
      </c>
      <c r="AL1237" s="106"/>
    </row>
    <row r="1238" spans="1:38" ht="15" customHeight="1">
      <c r="A1238" s="106"/>
      <c r="B1238" s="96">
        <v>286</v>
      </c>
      <c r="C1238" s="96">
        <v>9803</v>
      </c>
      <c r="D1238" s="96" t="s">
        <v>1508</v>
      </c>
      <c r="E1238" s="96">
        <v>511134298</v>
      </c>
      <c r="F1238" s="96" t="s">
        <v>308</v>
      </c>
      <c r="G1238" s="96" t="s">
        <v>1509</v>
      </c>
      <c r="H1238" s="96" t="s">
        <v>1510</v>
      </c>
      <c r="I1238" s="96" t="s">
        <v>320</v>
      </c>
      <c r="J1238" s="96" t="s">
        <v>952</v>
      </c>
      <c r="K1238" s="96" t="s">
        <v>203</v>
      </c>
      <c r="L1238" s="96" t="s">
        <v>203</v>
      </c>
      <c r="M1238" s="96" t="s">
        <v>326</v>
      </c>
      <c r="N1238" s="96" t="s">
        <v>339</v>
      </c>
      <c r="O1238" s="96" t="s">
        <v>463</v>
      </c>
      <c r="P1238" s="96" t="s">
        <v>337</v>
      </c>
      <c r="Q1238" s="96" t="s">
        <v>1320</v>
      </c>
      <c r="R1238" s="96" t="s">
        <v>412</v>
      </c>
      <c r="S1238" s="96" t="s">
        <v>406</v>
      </c>
      <c r="T1238" s="96" t="s">
        <v>1200</v>
      </c>
      <c r="U1238" s="97">
        <v>2.8</v>
      </c>
      <c r="V1238" s="100">
        <v>47483</v>
      </c>
      <c r="W1238" s="98">
        <v>1.9E-2</v>
      </c>
      <c r="X1238" s="98">
        <v>6.0499999999999998E-2</v>
      </c>
      <c r="Y1238" s="96" t="s">
        <v>411</v>
      </c>
      <c r="Z1238" s="96"/>
      <c r="AA1238" s="97">
        <v>992.16080299999999</v>
      </c>
      <c r="AB1238" s="97">
        <v>1</v>
      </c>
      <c r="AC1238" s="97">
        <v>89.248500000000007</v>
      </c>
      <c r="AD1238" s="97"/>
      <c r="AE1238" s="97">
        <v>0.88548800000000005</v>
      </c>
      <c r="AF1238" s="96"/>
      <c r="AG1238" s="96"/>
      <c r="AH1238" s="96"/>
      <c r="AI1238" s="98">
        <v>3.0000000000000001E-6</v>
      </c>
      <c r="AJ1238" s="98">
        <v>1.37E-4</v>
      </c>
      <c r="AK1238" s="98">
        <v>5.3000000000000001E-5</v>
      </c>
      <c r="AL1238" s="106"/>
    </row>
    <row r="1239" spans="1:38" ht="15" customHeight="1">
      <c r="A1239" s="106"/>
      <c r="B1239" s="96">
        <v>286</v>
      </c>
      <c r="C1239" s="96">
        <v>9803</v>
      </c>
      <c r="D1239" s="96" t="s">
        <v>1203</v>
      </c>
      <c r="E1239" s="96">
        <v>520000118</v>
      </c>
      <c r="F1239" s="96" t="s">
        <v>308</v>
      </c>
      <c r="G1239" s="96" t="s">
        <v>1976</v>
      </c>
      <c r="H1239" s="96" t="s">
        <v>1977</v>
      </c>
      <c r="I1239" s="96" t="s">
        <v>320</v>
      </c>
      <c r="J1239" s="96" t="s">
        <v>754</v>
      </c>
      <c r="K1239" s="96" t="s">
        <v>203</v>
      </c>
      <c r="L1239" s="96" t="s">
        <v>203</v>
      </c>
      <c r="M1239" s="96" t="s">
        <v>324</v>
      </c>
      <c r="N1239" s="96" t="s">
        <v>339</v>
      </c>
      <c r="O1239" s="96" t="s">
        <v>447</v>
      </c>
      <c r="P1239" s="96" t="s">
        <v>338</v>
      </c>
      <c r="Q1239" s="96" t="s">
        <v>1698</v>
      </c>
      <c r="R1239" s="96" t="s">
        <v>432</v>
      </c>
      <c r="S1239" s="96" t="s">
        <v>406</v>
      </c>
      <c r="T1239" s="96" t="s">
        <v>1201</v>
      </c>
      <c r="U1239" s="97">
        <v>2.1</v>
      </c>
      <c r="V1239" s="100">
        <v>46316</v>
      </c>
      <c r="W1239" s="98">
        <v>3.2550000000000003E-2</v>
      </c>
      <c r="X1239" s="98">
        <v>8.1100000000000005E-2</v>
      </c>
      <c r="Y1239" s="96" t="s">
        <v>410</v>
      </c>
      <c r="Z1239" s="96"/>
      <c r="AA1239" s="97">
        <v>11135.700478000001</v>
      </c>
      <c r="AB1239" s="97">
        <v>3.7589999999999999</v>
      </c>
      <c r="AC1239" s="97">
        <v>91.467699999999994</v>
      </c>
      <c r="AD1239" s="97"/>
      <c r="AE1239" s="97">
        <v>38.287557</v>
      </c>
      <c r="AF1239" s="96"/>
      <c r="AG1239" s="96"/>
      <c r="AH1239" s="96"/>
      <c r="AI1239" s="98">
        <v>1.1E-5</v>
      </c>
      <c r="AJ1239" s="98">
        <v>5.9550000000000002E-3</v>
      </c>
      <c r="AK1239" s="98">
        <v>2.2959999999999999E-3</v>
      </c>
      <c r="AL1239" s="106"/>
    </row>
    <row r="1240" spans="1:38" ht="15" customHeight="1">
      <c r="A1240" s="106"/>
      <c r="B1240" s="96">
        <v>286</v>
      </c>
      <c r="C1240" s="96">
        <v>9803</v>
      </c>
      <c r="D1240" s="96" t="s">
        <v>1427</v>
      </c>
      <c r="E1240" s="96">
        <v>520031931</v>
      </c>
      <c r="F1240" s="96" t="s">
        <v>308</v>
      </c>
      <c r="G1240" s="96" t="s">
        <v>1831</v>
      </c>
      <c r="H1240" s="96" t="s">
        <v>1832</v>
      </c>
      <c r="I1240" s="96" t="s">
        <v>320</v>
      </c>
      <c r="J1240" s="96" t="s">
        <v>952</v>
      </c>
      <c r="K1240" s="96" t="s">
        <v>203</v>
      </c>
      <c r="L1240" s="96" t="s">
        <v>203</v>
      </c>
      <c r="M1240" s="96" t="s">
        <v>324</v>
      </c>
      <c r="N1240" s="96" t="s">
        <v>339</v>
      </c>
      <c r="O1240" s="96" t="s">
        <v>483</v>
      </c>
      <c r="P1240" s="96" t="s">
        <v>338</v>
      </c>
      <c r="Q1240" s="96" t="s">
        <v>1336</v>
      </c>
      <c r="R1240" s="96" t="s">
        <v>414</v>
      </c>
      <c r="S1240" s="96" t="s">
        <v>406</v>
      </c>
      <c r="T1240" s="96" t="s">
        <v>1200</v>
      </c>
      <c r="U1240" s="97">
        <v>8.09</v>
      </c>
      <c r="V1240" s="100">
        <v>49644</v>
      </c>
      <c r="W1240" s="98">
        <v>2.7900000000000001E-2</v>
      </c>
      <c r="X1240" s="98">
        <v>5.8900000000000001E-2</v>
      </c>
      <c r="Y1240" s="96" t="s">
        <v>411</v>
      </c>
      <c r="Z1240" s="96"/>
      <c r="AA1240" s="97">
        <v>40004.899161000001</v>
      </c>
      <c r="AB1240" s="97">
        <v>1</v>
      </c>
      <c r="AC1240" s="97">
        <v>78.680000000000007</v>
      </c>
      <c r="AD1240" s="97"/>
      <c r="AE1240" s="97">
        <v>31.475854000000002</v>
      </c>
      <c r="AF1240" s="96"/>
      <c r="AG1240" s="96"/>
      <c r="AH1240" s="96"/>
      <c r="AI1240" s="98">
        <v>4.6E-5</v>
      </c>
      <c r="AJ1240" s="98">
        <v>4.895E-3</v>
      </c>
      <c r="AK1240" s="98">
        <v>1.887E-3</v>
      </c>
      <c r="AL1240" s="106"/>
    </row>
    <row r="1241" spans="1:38" ht="15" customHeight="1">
      <c r="A1241" s="106"/>
      <c r="B1241" s="96">
        <v>286</v>
      </c>
      <c r="C1241" s="96">
        <v>9803</v>
      </c>
      <c r="D1241" s="96" t="s">
        <v>1411</v>
      </c>
      <c r="E1241" s="96">
        <v>512025891</v>
      </c>
      <c r="F1241" s="96" t="s">
        <v>308</v>
      </c>
      <c r="G1241" s="96" t="s">
        <v>1412</v>
      </c>
      <c r="H1241" s="96" t="s">
        <v>1413</v>
      </c>
      <c r="I1241" s="96" t="s">
        <v>320</v>
      </c>
      <c r="J1241" s="96" t="s">
        <v>952</v>
      </c>
      <c r="K1241" s="96" t="s">
        <v>203</v>
      </c>
      <c r="L1241" s="96" t="s">
        <v>203</v>
      </c>
      <c r="M1241" s="96" t="s">
        <v>324</v>
      </c>
      <c r="N1241" s="96" t="s">
        <v>339</v>
      </c>
      <c r="O1241" s="96" t="s">
        <v>476</v>
      </c>
      <c r="P1241" s="96" t="s">
        <v>338</v>
      </c>
      <c r="Q1241" s="96" t="s">
        <v>1320</v>
      </c>
      <c r="R1241" s="96" t="s">
        <v>412</v>
      </c>
      <c r="S1241" s="96" t="s">
        <v>406</v>
      </c>
      <c r="T1241" s="96" t="s">
        <v>1200</v>
      </c>
      <c r="U1241" s="97">
        <v>1.24</v>
      </c>
      <c r="V1241" s="100">
        <v>46400</v>
      </c>
      <c r="W1241" s="98">
        <v>3.2500000000000001E-2</v>
      </c>
      <c r="X1241" s="98">
        <v>5.5100000000000003E-2</v>
      </c>
      <c r="Y1241" s="96" t="s">
        <v>411</v>
      </c>
      <c r="Z1241" s="96"/>
      <c r="AA1241" s="97">
        <v>7625.4745569999995</v>
      </c>
      <c r="AB1241" s="97">
        <v>1</v>
      </c>
      <c r="AC1241" s="97">
        <v>98.07</v>
      </c>
      <c r="AD1241" s="97"/>
      <c r="AE1241" s="97">
        <v>7.4783020000000002</v>
      </c>
      <c r="AF1241" s="96"/>
      <c r="AG1241" s="96"/>
      <c r="AH1241" s="96"/>
      <c r="AI1241" s="98">
        <v>1.7E-5</v>
      </c>
      <c r="AJ1241" s="98">
        <v>1.163E-3</v>
      </c>
      <c r="AK1241" s="98">
        <v>4.4799999999999999E-4</v>
      </c>
      <c r="AL1241" s="106"/>
    </row>
    <row r="1242" spans="1:38" ht="15" customHeight="1">
      <c r="A1242" s="106"/>
      <c r="B1242" s="96">
        <v>286</v>
      </c>
      <c r="C1242" s="96">
        <v>9803</v>
      </c>
      <c r="D1242" s="96" t="s">
        <v>1314</v>
      </c>
      <c r="E1242" s="96">
        <v>513754069</v>
      </c>
      <c r="F1242" s="96" t="s">
        <v>308</v>
      </c>
      <c r="G1242" s="96" t="s">
        <v>1315</v>
      </c>
      <c r="H1242" s="96" t="s">
        <v>1316</v>
      </c>
      <c r="I1242" s="96" t="s">
        <v>320</v>
      </c>
      <c r="J1242" s="96" t="s">
        <v>952</v>
      </c>
      <c r="K1242" s="96" t="s">
        <v>203</v>
      </c>
      <c r="L1242" s="96" t="s">
        <v>203</v>
      </c>
      <c r="M1242" s="96" t="s">
        <v>324</v>
      </c>
      <c r="N1242" s="96" t="s">
        <v>339</v>
      </c>
      <c r="O1242" s="96" t="s">
        <v>444</v>
      </c>
      <c r="P1242" s="96" t="s">
        <v>338</v>
      </c>
      <c r="Q1242" s="96" t="s">
        <v>1305</v>
      </c>
      <c r="R1242" s="96" t="s">
        <v>414</v>
      </c>
      <c r="S1242" s="96" t="s">
        <v>406</v>
      </c>
      <c r="T1242" s="96" t="s">
        <v>1200</v>
      </c>
      <c r="U1242" s="97">
        <v>7.67</v>
      </c>
      <c r="V1242" s="100">
        <v>49156</v>
      </c>
      <c r="W1242" s="98">
        <v>5.3100000000000001E-2</v>
      </c>
      <c r="X1242" s="98">
        <v>6.3299999999999995E-2</v>
      </c>
      <c r="Y1242" s="96" t="s">
        <v>411</v>
      </c>
      <c r="Z1242" s="96"/>
      <c r="AA1242" s="97">
        <v>33264.291852000002</v>
      </c>
      <c r="AB1242" s="97">
        <v>1</v>
      </c>
      <c r="AC1242" s="97">
        <v>95.33</v>
      </c>
      <c r="AD1242" s="97"/>
      <c r="AE1242" s="97">
        <v>31.710849</v>
      </c>
      <c r="AF1242" s="96"/>
      <c r="AG1242" s="96"/>
      <c r="AH1242" s="96"/>
      <c r="AI1242" s="98">
        <v>2.5999999999999998E-5</v>
      </c>
      <c r="AJ1242" s="98">
        <v>4.9319999999999998E-3</v>
      </c>
      <c r="AK1242" s="98">
        <v>1.9009999999999999E-3</v>
      </c>
      <c r="AL1242" s="106"/>
    </row>
    <row r="1243" spans="1:38" ht="15" customHeight="1">
      <c r="A1243" s="106"/>
      <c r="B1243" s="96">
        <v>286</v>
      </c>
      <c r="C1243" s="96">
        <v>9803</v>
      </c>
      <c r="D1243" s="96" t="s">
        <v>1197</v>
      </c>
      <c r="E1243" s="96">
        <v>520018078</v>
      </c>
      <c r="F1243" s="96" t="s">
        <v>308</v>
      </c>
      <c r="G1243" s="96" t="s">
        <v>1696</v>
      </c>
      <c r="H1243" s="96" t="s">
        <v>1697</v>
      </c>
      <c r="I1243" s="96" t="s">
        <v>320</v>
      </c>
      <c r="J1243" s="96" t="s">
        <v>754</v>
      </c>
      <c r="K1243" s="96" t="s">
        <v>203</v>
      </c>
      <c r="L1243" s="96" t="s">
        <v>203</v>
      </c>
      <c r="M1243" s="96" t="s">
        <v>324</v>
      </c>
      <c r="N1243" s="96" t="s">
        <v>339</v>
      </c>
      <c r="O1243" s="96" t="s">
        <v>447</v>
      </c>
      <c r="P1243" s="96" t="s">
        <v>338</v>
      </c>
      <c r="Q1243" s="96" t="s">
        <v>1698</v>
      </c>
      <c r="R1243" s="96" t="s">
        <v>432</v>
      </c>
      <c r="S1243" s="96" t="s">
        <v>406</v>
      </c>
      <c r="T1243" s="96" t="s">
        <v>1201</v>
      </c>
      <c r="U1243" s="97">
        <v>3.32</v>
      </c>
      <c r="V1243" s="100">
        <v>46861</v>
      </c>
      <c r="W1243" s="98">
        <v>7.1290000000000006E-2</v>
      </c>
      <c r="X1243" s="98">
        <v>7.8E-2</v>
      </c>
      <c r="Y1243" s="96" t="s">
        <v>410</v>
      </c>
      <c r="Z1243" s="96"/>
      <c r="AA1243" s="97">
        <v>316.20823200000001</v>
      </c>
      <c r="AB1243" s="97">
        <v>3.7589999999999999</v>
      </c>
      <c r="AC1243" s="97">
        <v>100.9426</v>
      </c>
      <c r="AD1243" s="97"/>
      <c r="AE1243" s="97">
        <v>1.1998310000000001</v>
      </c>
      <c r="AF1243" s="96"/>
      <c r="AG1243" s="96"/>
      <c r="AH1243" s="96"/>
      <c r="AI1243" s="98">
        <v>0</v>
      </c>
      <c r="AJ1243" s="98">
        <v>1.8599999999999999E-4</v>
      </c>
      <c r="AK1243" s="98">
        <v>7.1000000000000005E-5</v>
      </c>
      <c r="AL1243" s="106"/>
    </row>
    <row r="1244" spans="1:38" ht="15" customHeight="1">
      <c r="A1244" s="106"/>
      <c r="B1244" s="96">
        <v>286</v>
      </c>
      <c r="C1244" s="96">
        <v>9803</v>
      </c>
      <c r="D1244" s="96" t="s">
        <v>1669</v>
      </c>
      <c r="E1244" s="96">
        <v>511344186</v>
      </c>
      <c r="F1244" s="96" t="s">
        <v>308</v>
      </c>
      <c r="G1244" s="96" t="s">
        <v>1670</v>
      </c>
      <c r="H1244" s="96" t="s">
        <v>1671</v>
      </c>
      <c r="I1244" s="96" t="s">
        <v>320</v>
      </c>
      <c r="J1244" s="96" t="s">
        <v>952</v>
      </c>
      <c r="K1244" s="96" t="s">
        <v>203</v>
      </c>
      <c r="L1244" s="96" t="s">
        <v>203</v>
      </c>
      <c r="M1244" s="96" t="s">
        <v>324</v>
      </c>
      <c r="N1244" s="96" t="s">
        <v>339</v>
      </c>
      <c r="O1244" s="96" t="s">
        <v>474</v>
      </c>
      <c r="P1244" s="96" t="s">
        <v>338</v>
      </c>
      <c r="Q1244" s="96" t="s">
        <v>1357</v>
      </c>
      <c r="R1244" s="96" t="s">
        <v>414</v>
      </c>
      <c r="S1244" s="96" t="s">
        <v>406</v>
      </c>
      <c r="T1244" s="96" t="s">
        <v>1200</v>
      </c>
      <c r="U1244" s="97">
        <v>3.79</v>
      </c>
      <c r="V1244" s="100">
        <v>48396</v>
      </c>
      <c r="W1244" s="98">
        <v>3.9399999999999998E-2</v>
      </c>
      <c r="X1244" s="98">
        <v>5.6500000000000002E-2</v>
      </c>
      <c r="Y1244" s="96" t="s">
        <v>411</v>
      </c>
      <c r="Z1244" s="96"/>
      <c r="AA1244" s="97">
        <v>1568.0056380000001</v>
      </c>
      <c r="AB1244" s="97">
        <v>1</v>
      </c>
      <c r="AC1244" s="97">
        <v>94.05</v>
      </c>
      <c r="AD1244" s="97">
        <v>9.8000000000000004E-2</v>
      </c>
      <c r="AE1244" s="97">
        <v>1.5727089999999999</v>
      </c>
      <c r="AF1244" s="96"/>
      <c r="AG1244" s="96"/>
      <c r="AH1244" s="96"/>
      <c r="AI1244" s="98">
        <v>9.0000000000000002E-6</v>
      </c>
      <c r="AJ1244" s="98">
        <v>2.4399999999999999E-4</v>
      </c>
      <c r="AK1244" s="98">
        <v>9.2999999999999997E-5</v>
      </c>
      <c r="AL1244" s="106"/>
    </row>
    <row r="1245" spans="1:38" ht="15" customHeight="1">
      <c r="A1245" s="106"/>
      <c r="B1245" s="96">
        <v>286</v>
      </c>
      <c r="C1245" s="96">
        <v>9803</v>
      </c>
      <c r="D1245" s="96" t="s">
        <v>1462</v>
      </c>
      <c r="E1245" s="96">
        <v>520000472</v>
      </c>
      <c r="F1245" s="96" t="s">
        <v>308</v>
      </c>
      <c r="G1245" s="96" t="s">
        <v>1527</v>
      </c>
      <c r="H1245" s="96" t="s">
        <v>1528</v>
      </c>
      <c r="I1245" s="96" t="s">
        <v>320</v>
      </c>
      <c r="J1245" s="96" t="s">
        <v>753</v>
      </c>
      <c r="K1245" s="96" t="s">
        <v>203</v>
      </c>
      <c r="L1245" s="96" t="s">
        <v>203</v>
      </c>
      <c r="M1245" s="96" t="s">
        <v>324</v>
      </c>
      <c r="N1245" s="96" t="s">
        <v>339</v>
      </c>
      <c r="O1245" s="96" t="s">
        <v>439</v>
      </c>
      <c r="P1245" s="96" t="s">
        <v>338</v>
      </c>
      <c r="Q1245" s="96" t="s">
        <v>1301</v>
      </c>
      <c r="R1245" s="96" t="s">
        <v>414</v>
      </c>
      <c r="S1245" s="96" t="s">
        <v>406</v>
      </c>
      <c r="T1245" s="96" t="s">
        <v>1200</v>
      </c>
      <c r="U1245" s="97">
        <v>5.98</v>
      </c>
      <c r="V1245" s="100">
        <v>48111</v>
      </c>
      <c r="W1245" s="98">
        <v>2.3900000000000001E-2</v>
      </c>
      <c r="X1245" s="98">
        <v>3.0200000000000001E-2</v>
      </c>
      <c r="Y1245" s="96" t="s">
        <v>411</v>
      </c>
      <c r="Z1245" s="96"/>
      <c r="AA1245" s="97">
        <v>63688.976106000002</v>
      </c>
      <c r="AB1245" s="97">
        <v>1</v>
      </c>
      <c r="AC1245" s="97">
        <v>109.95</v>
      </c>
      <c r="AD1245" s="96"/>
      <c r="AE1245" s="97">
        <v>70.026028999999994</v>
      </c>
      <c r="AF1245" s="96"/>
      <c r="AG1245" s="96"/>
      <c r="AH1245" s="96"/>
      <c r="AI1245" s="98">
        <v>1.5999999999999999E-5</v>
      </c>
      <c r="AJ1245" s="98">
        <v>1.0891E-2</v>
      </c>
      <c r="AK1245" s="98">
        <v>4.1989999999999996E-3</v>
      </c>
      <c r="AL1245" s="106"/>
    </row>
    <row r="1246" spans="1:38" ht="15" customHeight="1">
      <c r="A1246" s="106"/>
      <c r="B1246" s="96">
        <v>286</v>
      </c>
      <c r="C1246" s="96">
        <v>9803</v>
      </c>
      <c r="D1246" s="96" t="s">
        <v>1417</v>
      </c>
      <c r="E1246" s="96">
        <v>513230029</v>
      </c>
      <c r="F1246" s="96" t="s">
        <v>308</v>
      </c>
      <c r="G1246" s="96" t="s">
        <v>1992</v>
      </c>
      <c r="H1246" s="96" t="s">
        <v>1993</v>
      </c>
      <c r="I1246" s="96" t="s">
        <v>320</v>
      </c>
      <c r="J1246" s="96" t="s">
        <v>952</v>
      </c>
      <c r="K1246" s="96" t="s">
        <v>203</v>
      </c>
      <c r="L1246" s="96" t="s">
        <v>203</v>
      </c>
      <c r="M1246" s="96" t="s">
        <v>324</v>
      </c>
      <c r="N1246" s="96" t="s">
        <v>339</v>
      </c>
      <c r="O1246" s="96" t="s">
        <v>444</v>
      </c>
      <c r="P1246" s="96" t="s">
        <v>338</v>
      </c>
      <c r="Q1246" s="96" t="s">
        <v>1357</v>
      </c>
      <c r="R1246" s="96" t="s">
        <v>414</v>
      </c>
      <c r="S1246" s="96" t="s">
        <v>406</v>
      </c>
      <c r="T1246" s="96" t="s">
        <v>1200</v>
      </c>
      <c r="U1246" s="97">
        <v>7.3</v>
      </c>
      <c r="V1246" s="100">
        <v>48944</v>
      </c>
      <c r="W1246" s="98">
        <v>6.0699999999999997E-2</v>
      </c>
      <c r="X1246" s="98">
        <v>6.5299999999999997E-2</v>
      </c>
      <c r="Y1246" s="96" t="s">
        <v>411</v>
      </c>
      <c r="Z1246" s="96"/>
      <c r="AA1246" s="97">
        <v>9943.6551039999995</v>
      </c>
      <c r="AB1246" s="97">
        <v>1</v>
      </c>
      <c r="AC1246" s="97">
        <v>97.86</v>
      </c>
      <c r="AD1246" s="96"/>
      <c r="AE1246" s="97">
        <v>9.7308599999999998</v>
      </c>
      <c r="AF1246" s="96"/>
      <c r="AG1246" s="96"/>
      <c r="AH1246" s="96"/>
      <c r="AI1246" s="98">
        <v>4.6999999999999997E-5</v>
      </c>
      <c r="AJ1246" s="98">
        <v>1.513E-3</v>
      </c>
      <c r="AK1246" s="98">
        <v>5.8299999999999997E-4</v>
      </c>
      <c r="AL1246" s="106"/>
    </row>
    <row r="1247" spans="1:38" ht="15" customHeight="1">
      <c r="A1247" s="106"/>
      <c r="B1247" s="96">
        <v>286</v>
      </c>
      <c r="C1247" s="96">
        <v>9803</v>
      </c>
      <c r="D1247" s="96" t="s">
        <v>1467</v>
      </c>
      <c r="E1247" s="96">
        <v>515334662</v>
      </c>
      <c r="F1247" s="96" t="s">
        <v>308</v>
      </c>
      <c r="G1247" s="96" t="s">
        <v>1468</v>
      </c>
      <c r="H1247" s="96" t="s">
        <v>1469</v>
      </c>
      <c r="I1247" s="96" t="s">
        <v>320</v>
      </c>
      <c r="J1247" s="96" t="s">
        <v>754</v>
      </c>
      <c r="K1247" s="96" t="s">
        <v>203</v>
      </c>
      <c r="L1247" s="96" t="s">
        <v>203</v>
      </c>
      <c r="M1247" s="96" t="s">
        <v>324</v>
      </c>
      <c r="N1247" s="96" t="s">
        <v>339</v>
      </c>
      <c r="O1247" s="96" t="s">
        <v>453</v>
      </c>
      <c r="P1247" s="96" t="s">
        <v>337</v>
      </c>
      <c r="Q1247" s="96" t="s">
        <v>1357</v>
      </c>
      <c r="R1247" s="96" t="s">
        <v>414</v>
      </c>
      <c r="S1247" s="96" t="s">
        <v>406</v>
      </c>
      <c r="T1247" s="96" t="s">
        <v>1200</v>
      </c>
      <c r="U1247" s="97">
        <v>3.16</v>
      </c>
      <c r="V1247" s="100">
        <v>46995</v>
      </c>
      <c r="W1247" s="98">
        <v>4.6899999999999997E-2</v>
      </c>
      <c r="X1247" s="98">
        <v>7.5600000000000001E-2</v>
      </c>
      <c r="Y1247" s="96" t="s">
        <v>411</v>
      </c>
      <c r="Z1247" s="96"/>
      <c r="AA1247" s="97">
        <v>36500.868321000002</v>
      </c>
      <c r="AB1247" s="97">
        <v>1</v>
      </c>
      <c r="AC1247" s="97">
        <v>101.4</v>
      </c>
      <c r="AD1247" s="96"/>
      <c r="AE1247" s="97">
        <v>37.011879999999998</v>
      </c>
      <c r="AF1247" s="96"/>
      <c r="AG1247" s="96"/>
      <c r="AH1247" s="96"/>
      <c r="AI1247" s="98">
        <v>3.0000000000000001E-5</v>
      </c>
      <c r="AJ1247" s="98">
        <v>5.7559999999999998E-3</v>
      </c>
      <c r="AK1247" s="98">
        <v>2.2190000000000001E-3</v>
      </c>
      <c r="AL1247" s="106"/>
    </row>
    <row r="1248" spans="1:38" ht="15" customHeight="1">
      <c r="A1248" s="106"/>
      <c r="B1248" s="96">
        <v>286</v>
      </c>
      <c r="C1248" s="96">
        <v>9803</v>
      </c>
      <c r="D1248" s="96" t="s">
        <v>1496</v>
      </c>
      <c r="E1248" s="96">
        <v>510216054</v>
      </c>
      <c r="F1248" s="96" t="s">
        <v>308</v>
      </c>
      <c r="G1248" s="96" t="s">
        <v>1575</v>
      </c>
      <c r="H1248" s="96" t="s">
        <v>1576</v>
      </c>
      <c r="I1248" s="96" t="s">
        <v>320</v>
      </c>
      <c r="J1248" s="96" t="s">
        <v>952</v>
      </c>
      <c r="K1248" s="96" t="s">
        <v>203</v>
      </c>
      <c r="L1248" s="96" t="s">
        <v>203</v>
      </c>
      <c r="M1248" s="96" t="s">
        <v>324</v>
      </c>
      <c r="N1248" s="96" t="s">
        <v>339</v>
      </c>
      <c r="O1248" s="96" t="s">
        <v>439</v>
      </c>
      <c r="P1248" s="96" t="s">
        <v>337</v>
      </c>
      <c r="Q1248" s="96" t="s">
        <v>1332</v>
      </c>
      <c r="R1248" s="96" t="s">
        <v>412</v>
      </c>
      <c r="S1248" s="96" t="s">
        <v>406</v>
      </c>
      <c r="T1248" s="96" t="s">
        <v>1200</v>
      </c>
      <c r="U1248" s="97">
        <v>4.04</v>
      </c>
      <c r="V1248" s="100">
        <v>48182</v>
      </c>
      <c r="W1248" s="98">
        <v>2.4299999999999999E-2</v>
      </c>
      <c r="X1248" s="98">
        <v>5.6099999999999997E-2</v>
      </c>
      <c r="Y1248" s="96" t="s">
        <v>411</v>
      </c>
      <c r="Z1248" s="96"/>
      <c r="AA1248" s="97">
        <v>52513.266734999997</v>
      </c>
      <c r="AB1248" s="97">
        <v>1</v>
      </c>
      <c r="AC1248" s="97">
        <v>88.44</v>
      </c>
      <c r="AD1248" s="96"/>
      <c r="AE1248" s="97">
        <v>46.442732999999997</v>
      </c>
      <c r="AF1248" s="96"/>
      <c r="AG1248" s="96"/>
      <c r="AH1248" s="96"/>
      <c r="AI1248" s="98">
        <v>3.4999999999999997E-5</v>
      </c>
      <c r="AJ1248" s="98">
        <v>7.2230000000000003E-3</v>
      </c>
      <c r="AK1248" s="98">
        <v>2.7850000000000001E-3</v>
      </c>
      <c r="AL1248" s="106"/>
    </row>
    <row r="1249" spans="1:38" ht="15" customHeight="1">
      <c r="A1249" s="106"/>
      <c r="B1249" s="96">
        <v>286</v>
      </c>
      <c r="C1249" s="96">
        <v>9803</v>
      </c>
      <c r="D1249" s="96" t="s">
        <v>1611</v>
      </c>
      <c r="E1249" s="96">
        <v>520001736</v>
      </c>
      <c r="F1249" s="96" t="s">
        <v>308</v>
      </c>
      <c r="G1249" s="96" t="s">
        <v>1787</v>
      </c>
      <c r="H1249" s="96" t="s">
        <v>1788</v>
      </c>
      <c r="I1249" s="96" t="s">
        <v>320</v>
      </c>
      <c r="J1249" s="96" t="s">
        <v>753</v>
      </c>
      <c r="K1249" s="96" t="s">
        <v>203</v>
      </c>
      <c r="L1249" s="96" t="s">
        <v>203</v>
      </c>
      <c r="M1249" s="96" t="s">
        <v>324</v>
      </c>
      <c r="N1249" s="96" t="s">
        <v>339</v>
      </c>
      <c r="O1249" s="96" t="s">
        <v>463</v>
      </c>
      <c r="P1249" s="96" t="s">
        <v>338</v>
      </c>
      <c r="Q1249" s="96" t="s">
        <v>1313</v>
      </c>
      <c r="R1249" s="96" t="s">
        <v>412</v>
      </c>
      <c r="S1249" s="96" t="s">
        <v>406</v>
      </c>
      <c r="T1249" s="96" t="s">
        <v>1200</v>
      </c>
      <c r="U1249" s="97">
        <v>1.21</v>
      </c>
      <c r="V1249" s="100">
        <v>46112</v>
      </c>
      <c r="W1249" s="98">
        <v>4.7500000000000001E-2</v>
      </c>
      <c r="X1249" s="98">
        <v>2.86E-2</v>
      </c>
      <c r="Y1249" s="96" t="s">
        <v>411</v>
      </c>
      <c r="Z1249" s="96"/>
      <c r="AA1249" s="97">
        <v>10661.622358000001</v>
      </c>
      <c r="AB1249" s="97">
        <v>1</v>
      </c>
      <c r="AC1249" s="97">
        <v>142.59</v>
      </c>
      <c r="AD1249" s="96"/>
      <c r="AE1249" s="97">
        <v>15.202406999999999</v>
      </c>
      <c r="AF1249" s="96"/>
      <c r="AG1249" s="96"/>
      <c r="AH1249" s="96"/>
      <c r="AI1249" s="98">
        <v>1.1E-5</v>
      </c>
      <c r="AJ1249" s="98">
        <v>2.3640000000000002E-3</v>
      </c>
      <c r="AK1249" s="98">
        <v>9.1100000000000003E-4</v>
      </c>
      <c r="AL1249" s="106"/>
    </row>
    <row r="1250" spans="1:38" ht="15" customHeight="1">
      <c r="A1250" s="106"/>
      <c r="B1250" s="96">
        <v>286</v>
      </c>
      <c r="C1250" s="96">
        <v>9803</v>
      </c>
      <c r="D1250" s="96" t="s">
        <v>1302</v>
      </c>
      <c r="E1250" s="96">
        <v>513623314</v>
      </c>
      <c r="F1250" s="96" t="s">
        <v>308</v>
      </c>
      <c r="G1250" s="96" t="s">
        <v>1616</v>
      </c>
      <c r="H1250" s="96" t="s">
        <v>1617</v>
      </c>
      <c r="I1250" s="96" t="s">
        <v>320</v>
      </c>
      <c r="J1250" s="96" t="s">
        <v>753</v>
      </c>
      <c r="K1250" s="96" t="s">
        <v>203</v>
      </c>
      <c r="L1250" s="96" t="s">
        <v>203</v>
      </c>
      <c r="M1250" s="96" t="s">
        <v>324</v>
      </c>
      <c r="N1250" s="96" t="s">
        <v>339</v>
      </c>
      <c r="O1250" s="96" t="s">
        <v>463</v>
      </c>
      <c r="P1250" s="96" t="s">
        <v>337</v>
      </c>
      <c r="Q1250" s="96" t="s">
        <v>1313</v>
      </c>
      <c r="R1250" s="96" t="s">
        <v>412</v>
      </c>
      <c r="S1250" s="96" t="s">
        <v>406</v>
      </c>
      <c r="T1250" s="96" t="s">
        <v>1200</v>
      </c>
      <c r="U1250" s="97">
        <v>3.91</v>
      </c>
      <c r="V1250" s="100">
        <v>47202</v>
      </c>
      <c r="W1250" s="98">
        <v>7.7999999999999996E-3</v>
      </c>
      <c r="X1250" s="98">
        <v>2.86E-2</v>
      </c>
      <c r="Y1250" s="96" t="s">
        <v>411</v>
      </c>
      <c r="Z1250" s="96"/>
      <c r="AA1250" s="97">
        <v>14879.216200999999</v>
      </c>
      <c r="AB1250" s="97">
        <v>1</v>
      </c>
      <c r="AC1250" s="97">
        <v>104.07</v>
      </c>
      <c r="AD1250" s="96"/>
      <c r="AE1250" s="97">
        <v>15.4848</v>
      </c>
      <c r="AF1250" s="96"/>
      <c r="AG1250" s="96"/>
      <c r="AH1250" s="96"/>
      <c r="AI1250" s="98">
        <v>3.6999999999999998E-5</v>
      </c>
      <c r="AJ1250" s="98">
        <v>2.408E-3</v>
      </c>
      <c r="AK1250" s="98">
        <v>9.2800000000000001E-4</v>
      </c>
      <c r="AL1250" s="106"/>
    </row>
    <row r="1251" spans="1:38" ht="15" customHeight="1">
      <c r="A1251" s="106"/>
      <c r="B1251" s="96">
        <v>286</v>
      </c>
      <c r="C1251" s="96">
        <v>9803</v>
      </c>
      <c r="D1251" s="96" t="s">
        <v>1417</v>
      </c>
      <c r="E1251" s="96">
        <v>513230029</v>
      </c>
      <c r="F1251" s="96" t="s">
        <v>308</v>
      </c>
      <c r="G1251" s="96" t="s">
        <v>1628</v>
      </c>
      <c r="H1251" s="96" t="s">
        <v>1629</v>
      </c>
      <c r="I1251" s="96" t="s">
        <v>320</v>
      </c>
      <c r="J1251" s="96" t="s">
        <v>952</v>
      </c>
      <c r="K1251" s="96" t="s">
        <v>203</v>
      </c>
      <c r="L1251" s="96" t="s">
        <v>203</v>
      </c>
      <c r="M1251" s="96" t="s">
        <v>324</v>
      </c>
      <c r="N1251" s="96" t="s">
        <v>339</v>
      </c>
      <c r="O1251" s="96" t="s">
        <v>444</v>
      </c>
      <c r="P1251" s="96" t="s">
        <v>338</v>
      </c>
      <c r="Q1251" s="96" t="s">
        <v>1357</v>
      </c>
      <c r="R1251" s="96" t="s">
        <v>414</v>
      </c>
      <c r="S1251" s="96" t="s">
        <v>406</v>
      </c>
      <c r="T1251" s="96" t="s">
        <v>1200</v>
      </c>
      <c r="U1251" s="97">
        <v>4.76</v>
      </c>
      <c r="V1251" s="100">
        <v>47452</v>
      </c>
      <c r="W1251" s="98">
        <v>5.1700000000000003E-2</v>
      </c>
      <c r="X1251" s="98">
        <v>5.8700000000000002E-2</v>
      </c>
      <c r="Y1251" s="96" t="s">
        <v>411</v>
      </c>
      <c r="Z1251" s="96"/>
      <c r="AA1251" s="97">
        <v>17604.126876999999</v>
      </c>
      <c r="AB1251" s="97">
        <v>1</v>
      </c>
      <c r="AC1251" s="97">
        <v>97.58</v>
      </c>
      <c r="AD1251" s="96"/>
      <c r="AE1251" s="97">
        <v>17.178107000000001</v>
      </c>
      <c r="AF1251" s="96"/>
      <c r="AG1251" s="96"/>
      <c r="AH1251" s="96"/>
      <c r="AI1251" s="98">
        <v>2.8E-5</v>
      </c>
      <c r="AJ1251" s="98">
        <v>2.6710000000000002E-3</v>
      </c>
      <c r="AK1251" s="98">
        <v>1.0300000000000001E-3</v>
      </c>
      <c r="AL1251" s="106"/>
    </row>
    <row r="1252" spans="1:38" ht="15" customHeight="1">
      <c r="A1252" s="106"/>
      <c r="B1252" s="96">
        <v>286</v>
      </c>
      <c r="C1252" s="96">
        <v>9803</v>
      </c>
      <c r="D1252" s="96" t="s">
        <v>1546</v>
      </c>
      <c r="E1252" s="96">
        <v>511930125</v>
      </c>
      <c r="F1252" s="96" t="s">
        <v>308</v>
      </c>
      <c r="G1252" s="96" t="s">
        <v>1547</v>
      </c>
      <c r="H1252" s="96" t="s">
        <v>1548</v>
      </c>
      <c r="I1252" s="96" t="s">
        <v>320</v>
      </c>
      <c r="J1252" s="96" t="s">
        <v>753</v>
      </c>
      <c r="K1252" s="96" t="s">
        <v>203</v>
      </c>
      <c r="L1252" s="96" t="s">
        <v>203</v>
      </c>
      <c r="M1252" s="96" t="s">
        <v>324</v>
      </c>
      <c r="N1252" s="96" t="s">
        <v>339</v>
      </c>
      <c r="O1252" s="96" t="s">
        <v>483</v>
      </c>
      <c r="P1252" s="96" t="s">
        <v>337</v>
      </c>
      <c r="Q1252" s="96" t="s">
        <v>1320</v>
      </c>
      <c r="R1252" s="96" t="s">
        <v>412</v>
      </c>
      <c r="S1252" s="96" t="s">
        <v>406</v>
      </c>
      <c r="T1252" s="96" t="s">
        <v>1200</v>
      </c>
      <c r="U1252" s="97">
        <v>0.01</v>
      </c>
      <c r="V1252" s="100">
        <v>45478</v>
      </c>
      <c r="W1252" s="98">
        <v>1.9800000000000002E-2</v>
      </c>
      <c r="X1252" s="98">
        <v>5.5500000000000001E-2</v>
      </c>
      <c r="Y1252" s="96" t="s">
        <v>411</v>
      </c>
      <c r="Z1252" s="96"/>
      <c r="AA1252" s="97">
        <v>566.60776399999997</v>
      </c>
      <c r="AB1252" s="97">
        <v>1</v>
      </c>
      <c r="AC1252" s="97">
        <v>114.69</v>
      </c>
      <c r="AD1252" s="96"/>
      <c r="AE1252" s="97">
        <v>0.64984200000000003</v>
      </c>
      <c r="AF1252" s="96"/>
      <c r="AG1252" s="96"/>
      <c r="AH1252" s="96"/>
      <c r="AI1252" s="98">
        <v>3.0000000000000001E-6</v>
      </c>
      <c r="AJ1252" s="98">
        <v>1.01E-4</v>
      </c>
      <c r="AK1252" s="98">
        <v>3.8000000000000002E-5</v>
      </c>
      <c r="AL1252" s="106"/>
    </row>
    <row r="1253" spans="1:38" ht="15" customHeight="1">
      <c r="A1253" s="106"/>
      <c r="B1253" s="96">
        <v>286</v>
      </c>
      <c r="C1253" s="96">
        <v>9803</v>
      </c>
      <c r="D1253" s="96" t="s">
        <v>1814</v>
      </c>
      <c r="E1253" s="96">
        <v>514599943</v>
      </c>
      <c r="F1253" s="96" t="s">
        <v>308</v>
      </c>
      <c r="G1253" s="96" t="s">
        <v>1843</v>
      </c>
      <c r="H1253" s="96" t="s">
        <v>1816</v>
      </c>
      <c r="I1253" s="96" t="s">
        <v>320</v>
      </c>
      <c r="J1253" s="96" t="s">
        <v>753</v>
      </c>
      <c r="K1253" s="96" t="s">
        <v>203</v>
      </c>
      <c r="L1253" s="96" t="s">
        <v>203</v>
      </c>
      <c r="M1253" s="96" t="s">
        <v>326</v>
      </c>
      <c r="N1253" s="96" t="s">
        <v>339</v>
      </c>
      <c r="O1253" s="96" t="s">
        <v>440</v>
      </c>
      <c r="P1253" s="96" t="s">
        <v>338</v>
      </c>
      <c r="Q1253" s="96" t="s">
        <v>409</v>
      </c>
      <c r="R1253" s="96" t="s">
        <v>409</v>
      </c>
      <c r="S1253" s="96" t="s">
        <v>409</v>
      </c>
      <c r="T1253" s="96" t="s">
        <v>1200</v>
      </c>
      <c r="U1253" s="97">
        <v>2.73</v>
      </c>
      <c r="V1253" s="100">
        <v>46752</v>
      </c>
      <c r="W1253" s="98">
        <v>1.4800000000000001E-2</v>
      </c>
      <c r="X1253" s="98">
        <v>4.6699999999999998E-2</v>
      </c>
      <c r="Y1253" s="96" t="s">
        <v>411</v>
      </c>
      <c r="Z1253" s="96"/>
      <c r="AA1253" s="97">
        <v>1363.758133</v>
      </c>
      <c r="AB1253" s="97">
        <v>1</v>
      </c>
      <c r="AC1253" s="97">
        <v>102.31870000000001</v>
      </c>
      <c r="AD1253" s="96"/>
      <c r="AE1253" s="97">
        <v>1.3953789999999999</v>
      </c>
      <c r="AF1253" s="96"/>
      <c r="AG1253" s="96"/>
      <c r="AH1253" s="96"/>
      <c r="AI1253" s="98">
        <v>9.9999999999999995E-7</v>
      </c>
      <c r="AJ1253" s="98">
        <v>2.1699999999999999E-4</v>
      </c>
      <c r="AK1253" s="98">
        <v>8.2999999999999998E-5</v>
      </c>
      <c r="AL1253" s="106"/>
    </row>
    <row r="1254" spans="1:38" ht="15" customHeight="1">
      <c r="A1254" s="106"/>
      <c r="B1254" s="96">
        <v>286</v>
      </c>
      <c r="C1254" s="96">
        <v>9803</v>
      </c>
      <c r="D1254" s="96" t="s">
        <v>1862</v>
      </c>
      <c r="E1254" s="96">
        <v>520036120</v>
      </c>
      <c r="F1254" s="96" t="s">
        <v>308</v>
      </c>
      <c r="G1254" s="96" t="s">
        <v>1863</v>
      </c>
      <c r="H1254" s="96" t="s">
        <v>1864</v>
      </c>
      <c r="I1254" s="96" t="s">
        <v>320</v>
      </c>
      <c r="J1254" s="96" t="s">
        <v>952</v>
      </c>
      <c r="K1254" s="96" t="s">
        <v>203</v>
      </c>
      <c r="L1254" s="96" t="s">
        <v>203</v>
      </c>
      <c r="M1254" s="96" t="s">
        <v>324</v>
      </c>
      <c r="N1254" s="96" t="s">
        <v>339</v>
      </c>
      <c r="O1254" s="96" t="s">
        <v>444</v>
      </c>
      <c r="P1254" s="96" t="s">
        <v>338</v>
      </c>
      <c r="Q1254" s="96" t="s">
        <v>1332</v>
      </c>
      <c r="R1254" s="96" t="s">
        <v>412</v>
      </c>
      <c r="S1254" s="96" t="s">
        <v>406</v>
      </c>
      <c r="T1254" s="96" t="s">
        <v>1200</v>
      </c>
      <c r="U1254" s="97">
        <v>3.5</v>
      </c>
      <c r="V1254" s="100">
        <v>46811</v>
      </c>
      <c r="W1254" s="98">
        <v>2.8000000000000001E-2</v>
      </c>
      <c r="X1254" s="98">
        <v>4.4400000000000002E-2</v>
      </c>
      <c r="Y1254" s="96" t="s">
        <v>411</v>
      </c>
      <c r="Z1254" s="96"/>
      <c r="AA1254" s="97">
        <v>8505.2425490000005</v>
      </c>
      <c r="AB1254" s="97">
        <v>1</v>
      </c>
      <c r="AC1254" s="97">
        <v>95.5</v>
      </c>
      <c r="AD1254" s="96"/>
      <c r="AE1254" s="97">
        <v>8.1225059999999996</v>
      </c>
      <c r="AF1254" s="96"/>
      <c r="AG1254" s="96"/>
      <c r="AH1254" s="96"/>
      <c r="AI1254" s="98">
        <v>5.5999999999999999E-5</v>
      </c>
      <c r="AJ1254" s="98">
        <v>1.263E-3</v>
      </c>
      <c r="AK1254" s="98">
        <v>4.8700000000000002E-4</v>
      </c>
      <c r="AL1254" s="106"/>
    </row>
    <row r="1255" spans="1:38" ht="15" customHeight="1">
      <c r="A1255" s="106"/>
      <c r="B1255" s="96">
        <v>286</v>
      </c>
      <c r="C1255" s="96">
        <v>9803</v>
      </c>
      <c r="D1255" s="96" t="s">
        <v>1197</v>
      </c>
      <c r="E1255" s="96">
        <v>520018078</v>
      </c>
      <c r="F1255" s="96" t="s">
        <v>308</v>
      </c>
      <c r="G1255" s="96" t="s">
        <v>2079</v>
      </c>
      <c r="H1255" s="96" t="s">
        <v>2080</v>
      </c>
      <c r="I1255" s="96" t="s">
        <v>320</v>
      </c>
      <c r="J1255" s="96" t="s">
        <v>754</v>
      </c>
      <c r="K1255" s="96" t="s">
        <v>204</v>
      </c>
      <c r="L1255" s="96" t="s">
        <v>203</v>
      </c>
      <c r="M1255" s="96" t="s">
        <v>324</v>
      </c>
      <c r="N1255" s="96" t="s">
        <v>313</v>
      </c>
      <c r="O1255" s="96" t="s">
        <v>535</v>
      </c>
      <c r="P1255" s="96" t="s">
        <v>338</v>
      </c>
      <c r="Q1255" s="96" t="s">
        <v>1698</v>
      </c>
      <c r="R1255" s="96" t="s">
        <v>432</v>
      </c>
      <c r="S1255" s="96" t="s">
        <v>406</v>
      </c>
      <c r="T1255" s="96" t="s">
        <v>1201</v>
      </c>
      <c r="U1255" s="97">
        <v>1.46</v>
      </c>
      <c r="V1255" s="100">
        <v>46051</v>
      </c>
      <c r="W1255" s="98">
        <v>3.2750000000000001E-2</v>
      </c>
      <c r="X1255" s="98">
        <v>8.1900000000000001E-2</v>
      </c>
      <c r="Y1255" s="96" t="s">
        <v>410</v>
      </c>
      <c r="Z1255" s="96"/>
      <c r="AA1255" s="97">
        <v>12665.432379</v>
      </c>
      <c r="AB1255" s="97">
        <v>3.7589999999999999</v>
      </c>
      <c r="AC1255" s="97">
        <v>94.245599999999996</v>
      </c>
      <c r="AD1255" s="96"/>
      <c r="AE1255" s="97">
        <v>44.869765000000001</v>
      </c>
      <c r="AF1255" s="96"/>
      <c r="AG1255" s="96"/>
      <c r="AH1255" s="96"/>
      <c r="AI1255" s="98">
        <v>1.5999999999999999E-5</v>
      </c>
      <c r="AJ1255" s="98">
        <v>6.9779999999999998E-3</v>
      </c>
      <c r="AK1255" s="98">
        <v>2.6900000000000001E-3</v>
      </c>
      <c r="AL1255" s="106"/>
    </row>
    <row r="1256" spans="1:38" ht="15" customHeight="1">
      <c r="A1256" s="106"/>
      <c r="B1256" s="96">
        <v>286</v>
      </c>
      <c r="C1256" s="96">
        <v>9803</v>
      </c>
      <c r="D1256" s="96" t="s">
        <v>2338</v>
      </c>
      <c r="E1256" s="96">
        <v>520027830</v>
      </c>
      <c r="F1256" s="96" t="s">
        <v>308</v>
      </c>
      <c r="G1256" s="96" t="s">
        <v>2339</v>
      </c>
      <c r="H1256" s="96" t="s">
        <v>2340</v>
      </c>
      <c r="I1256" s="96" t="s">
        <v>320</v>
      </c>
      <c r="J1256" s="96" t="s">
        <v>754</v>
      </c>
      <c r="K1256" s="96" t="s">
        <v>204</v>
      </c>
      <c r="L1256" s="96" t="s">
        <v>203</v>
      </c>
      <c r="M1256" s="96" t="s">
        <v>324</v>
      </c>
      <c r="N1256" s="96" t="s">
        <v>313</v>
      </c>
      <c r="O1256" s="96" t="s">
        <v>487</v>
      </c>
      <c r="P1256" s="96" t="s">
        <v>338</v>
      </c>
      <c r="Q1256" s="96" t="s">
        <v>1698</v>
      </c>
      <c r="R1256" s="96" t="s">
        <v>422</v>
      </c>
      <c r="S1256" s="96" t="s">
        <v>406</v>
      </c>
      <c r="T1256" s="96" t="s">
        <v>1201</v>
      </c>
      <c r="U1256" s="97">
        <v>8.81</v>
      </c>
      <c r="V1256" s="100">
        <v>50374</v>
      </c>
      <c r="W1256" s="98">
        <v>6.3750000000000001E-2</v>
      </c>
      <c r="X1256" s="98">
        <v>7.3599999999999999E-2</v>
      </c>
      <c r="Y1256" s="96" t="s">
        <v>411</v>
      </c>
      <c r="Z1256" s="96"/>
      <c r="AA1256" s="97">
        <v>4998.6400210000002</v>
      </c>
      <c r="AB1256" s="97">
        <v>3.7589999999999999</v>
      </c>
      <c r="AC1256" s="97">
        <v>91.982200000000006</v>
      </c>
      <c r="AD1256" s="96"/>
      <c r="AE1256" s="97">
        <v>17.283360999999999</v>
      </c>
      <c r="AF1256" s="96"/>
      <c r="AG1256" s="96"/>
      <c r="AH1256" s="96"/>
      <c r="AI1256" s="98">
        <v>6.9999999999999999E-6</v>
      </c>
      <c r="AJ1256" s="98">
        <v>2.6879999999999999E-3</v>
      </c>
      <c r="AK1256" s="98">
        <v>1.036E-3</v>
      </c>
      <c r="AL1256" s="106"/>
    </row>
    <row r="1257" spans="1:38" ht="15" customHeight="1">
      <c r="A1257" s="106"/>
      <c r="B1257" s="96">
        <v>286</v>
      </c>
      <c r="C1257" s="96">
        <v>9803</v>
      </c>
      <c r="D1257" s="96" t="s">
        <v>1209</v>
      </c>
      <c r="E1257" s="96">
        <v>520000522</v>
      </c>
      <c r="F1257" s="96" t="s">
        <v>308</v>
      </c>
      <c r="G1257" s="96" t="s">
        <v>2299</v>
      </c>
      <c r="H1257" s="96" t="s">
        <v>2300</v>
      </c>
      <c r="I1257" s="96" t="s">
        <v>320</v>
      </c>
      <c r="J1257" s="96" t="s">
        <v>754</v>
      </c>
      <c r="K1257" s="96" t="s">
        <v>204</v>
      </c>
      <c r="L1257" s="96" t="s">
        <v>203</v>
      </c>
      <c r="M1257" s="96" t="s">
        <v>324</v>
      </c>
      <c r="N1257" s="96" t="s">
        <v>313</v>
      </c>
      <c r="O1257" s="96" t="s">
        <v>535</v>
      </c>
      <c r="P1257" s="96" t="s">
        <v>338</v>
      </c>
      <c r="Q1257" s="96" t="s">
        <v>1698</v>
      </c>
      <c r="R1257" s="96" t="s">
        <v>432</v>
      </c>
      <c r="S1257" s="96" t="s">
        <v>406</v>
      </c>
      <c r="T1257" s="96" t="s">
        <v>1201</v>
      </c>
      <c r="U1257" s="97">
        <v>1.65</v>
      </c>
      <c r="V1257" s="100">
        <v>46119</v>
      </c>
      <c r="W1257" s="98">
        <v>3.0769999999999999E-2</v>
      </c>
      <c r="X1257" s="98">
        <v>8.0799999999999997E-2</v>
      </c>
      <c r="Y1257" s="96" t="s">
        <v>410</v>
      </c>
      <c r="Z1257" s="96"/>
      <c r="AA1257" s="97">
        <v>9270.2707800000007</v>
      </c>
      <c r="AB1257" s="97">
        <v>3.7589999999999999</v>
      </c>
      <c r="AC1257" s="97">
        <v>92.632900000000006</v>
      </c>
      <c r="AD1257" s="96"/>
      <c r="AE1257" s="97">
        <v>32.279761000000001</v>
      </c>
      <c r="AF1257" s="96"/>
      <c r="AG1257" s="96"/>
      <c r="AH1257" s="96"/>
      <c r="AI1257" s="98">
        <v>1.5E-5</v>
      </c>
      <c r="AJ1257" s="98">
        <v>5.0200000000000002E-3</v>
      </c>
      <c r="AK1257" s="98">
        <v>1.9350000000000001E-3</v>
      </c>
      <c r="AL1257" s="106"/>
    </row>
    <row r="1258" spans="1:38" ht="15" customHeight="1">
      <c r="A1258" s="106"/>
      <c r="B1258" s="96">
        <v>286</v>
      </c>
      <c r="C1258" s="96">
        <v>14418</v>
      </c>
      <c r="D1258" s="96"/>
      <c r="E1258" s="96"/>
      <c r="F1258" s="96"/>
      <c r="G1258" s="96"/>
      <c r="H1258" s="96"/>
      <c r="I1258" s="96"/>
      <c r="J1258" s="96"/>
      <c r="K1258" s="96"/>
      <c r="L1258" s="96"/>
      <c r="M1258" s="96"/>
      <c r="N1258" s="96"/>
      <c r="O1258" s="96"/>
      <c r="P1258" s="96"/>
      <c r="Q1258" s="96"/>
      <c r="R1258" s="96"/>
      <c r="S1258" s="96"/>
      <c r="T1258" s="96"/>
      <c r="U1258" s="96"/>
      <c r="V1258" s="96"/>
      <c r="W1258" s="96"/>
      <c r="X1258" s="96"/>
      <c r="Y1258" s="96"/>
      <c r="Z1258" s="96"/>
      <c r="AA1258" s="96"/>
      <c r="AB1258" s="96"/>
      <c r="AC1258" s="96"/>
      <c r="AD1258" s="96"/>
      <c r="AE1258" s="96"/>
      <c r="AF1258" s="96"/>
      <c r="AG1258" s="96"/>
      <c r="AH1258" s="96"/>
      <c r="AI1258" s="96"/>
      <c r="AJ1258" s="96"/>
      <c r="AK1258" s="96"/>
      <c r="AL1258" s="106"/>
    </row>
    <row r="1259" spans="1:38" ht="15" customHeight="1">
      <c r="A1259" s="106"/>
      <c r="B1259" s="96">
        <v>286</v>
      </c>
      <c r="C1259" s="96">
        <v>1446</v>
      </c>
      <c r="D1259" s="96"/>
      <c r="E1259" s="96"/>
      <c r="F1259" s="96"/>
      <c r="G1259" s="96"/>
      <c r="H1259" s="96"/>
      <c r="I1259" s="96"/>
      <c r="J1259" s="96"/>
      <c r="K1259" s="96"/>
      <c r="L1259" s="96"/>
      <c r="M1259" s="96"/>
      <c r="N1259" s="96"/>
      <c r="O1259" s="96"/>
      <c r="P1259" s="96"/>
      <c r="Q1259" s="96"/>
      <c r="R1259" s="96"/>
      <c r="S1259" s="96"/>
      <c r="T1259" s="96"/>
      <c r="U1259" s="96"/>
      <c r="V1259" s="96"/>
      <c r="W1259" s="96"/>
      <c r="X1259" s="96"/>
      <c r="Y1259" s="96"/>
      <c r="Z1259" s="96"/>
      <c r="AA1259" s="96"/>
      <c r="AB1259" s="96"/>
      <c r="AC1259" s="96"/>
      <c r="AD1259" s="96"/>
      <c r="AE1259" s="96"/>
      <c r="AF1259" s="96"/>
      <c r="AG1259" s="96"/>
      <c r="AH1259" s="96"/>
      <c r="AI1259" s="96"/>
      <c r="AJ1259" s="96"/>
      <c r="AK1259" s="96"/>
      <c r="AL1259" s="106"/>
    </row>
    <row r="1260" spans="1:38" ht="15" customHeight="1">
      <c r="A1260" s="106"/>
      <c r="B1260" s="105" t="s">
        <v>3767</v>
      </c>
      <c r="C1260" s="105"/>
      <c r="D1260" s="105"/>
      <c r="E1260" s="105"/>
      <c r="F1260" s="105"/>
      <c r="G1260" s="105"/>
      <c r="H1260" s="105"/>
      <c r="I1260" s="105"/>
      <c r="J1260" s="105"/>
      <c r="K1260" s="105"/>
      <c r="L1260" s="105"/>
      <c r="M1260" s="105"/>
      <c r="N1260" s="105"/>
      <c r="O1260" s="105"/>
      <c r="P1260" s="105"/>
      <c r="Q1260" s="105"/>
      <c r="R1260" s="105"/>
      <c r="S1260" s="105"/>
      <c r="T1260" s="105"/>
      <c r="U1260" s="105"/>
      <c r="V1260" s="105"/>
      <c r="W1260" s="105"/>
      <c r="X1260" s="105"/>
      <c r="Y1260" s="105"/>
      <c r="Z1260" s="105"/>
      <c r="AA1260" s="105"/>
      <c r="AB1260" s="105"/>
      <c r="AC1260" s="105"/>
      <c r="AD1260" s="105"/>
      <c r="AE1260" s="105"/>
      <c r="AF1260" s="105"/>
      <c r="AG1260" s="105"/>
      <c r="AH1260" s="105"/>
      <c r="AI1260" s="105"/>
      <c r="AJ1260" s="105"/>
      <c r="AK1260" s="105"/>
      <c r="AL1260" s="106"/>
    </row>
  </sheetData>
  <mergeCells count="4">
    <mergeCell ref="B1260:AK1260"/>
    <mergeCell ref="A1:A1260"/>
    <mergeCell ref="B1:AK1"/>
    <mergeCell ref="AL1:AL126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AA647"/>
  <sheetViews>
    <sheetView rightToLeft="1" workbookViewId="0">
      <selection sqref="A1:A647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4" bestFit="1" customWidth="1"/>
    <col min="5" max="5" width="26.125" bestFit="1" customWidth="1"/>
    <col min="6" max="6" width="22.75" bestFit="1" customWidth="1"/>
    <col min="7" max="7" width="37.25" bestFit="1" customWidth="1"/>
    <col min="8" max="8" width="14.625" bestFit="1" customWidth="1"/>
    <col min="9" max="9" width="11" bestFit="1" customWidth="1"/>
    <col min="10" max="10" width="13.5" bestFit="1" customWidth="1"/>
    <col min="11" max="11" width="8.75" bestFit="1" customWidth="1"/>
    <col min="12" max="12" width="10.75" bestFit="1" customWidth="1"/>
    <col min="13" max="13" width="14" bestFit="1" customWidth="1"/>
    <col min="14" max="14" width="11" bestFit="1" customWidth="1"/>
    <col min="15" max="15" width="48.125" bestFit="1" customWidth="1"/>
    <col min="16" max="16" width="9.625" bestFit="1" customWidth="1"/>
    <col min="17" max="17" width="9.875" bestFit="1" customWidth="1"/>
    <col min="18" max="18" width="11.875" bestFit="1" customWidth="1"/>
    <col min="19" max="19" width="8.625" bestFit="1" customWidth="1"/>
    <col min="20" max="20" width="11.875" bestFit="1" customWidth="1"/>
    <col min="21" max="21" width="9" bestFit="1" customWidth="1"/>
    <col min="22" max="22" width="10.875" bestFit="1" customWidth="1"/>
    <col min="23" max="23" width="9.5" bestFit="1" customWidth="1"/>
    <col min="24" max="24" width="11" bestFit="1" customWidth="1"/>
    <col min="25" max="25" width="10.375" bestFit="1" customWidth="1"/>
    <col min="26" max="26" width="3.125" customWidth="1"/>
    <col min="27" max="27" width="9" customWidth="1"/>
  </cols>
  <sheetData>
    <row r="1" spans="1:27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6" t="s">
        <v>3766</v>
      </c>
    </row>
    <row r="2" spans="1:27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70</v>
      </c>
      <c r="O2" s="21" t="s">
        <v>83</v>
      </c>
      <c r="P2" s="21" t="s">
        <v>56</v>
      </c>
      <c r="Q2" s="21" t="s">
        <v>59</v>
      </c>
      <c r="R2" s="21" t="s">
        <v>76</v>
      </c>
      <c r="S2" s="21" t="s">
        <v>61</v>
      </c>
      <c r="T2" s="21" t="s">
        <v>77</v>
      </c>
      <c r="U2" s="99" t="s">
        <v>75</v>
      </c>
      <c r="V2" s="21" t="s">
        <v>63</v>
      </c>
      <c r="W2" s="21" t="s">
        <v>79</v>
      </c>
      <c r="X2" s="21" t="s">
        <v>64</v>
      </c>
      <c r="Y2" s="21" t="s">
        <v>65</v>
      </c>
      <c r="Z2" s="106"/>
      <c r="AA2" s="10"/>
    </row>
    <row r="3" spans="1:27" ht="15" customHeight="1">
      <c r="A3" s="106"/>
      <c r="B3" s="96">
        <v>286</v>
      </c>
      <c r="C3" s="96">
        <v>1446</v>
      </c>
      <c r="D3" s="96" t="s">
        <v>2399</v>
      </c>
      <c r="E3" s="96"/>
      <c r="F3" s="96" t="s">
        <v>308</v>
      </c>
      <c r="G3" s="96" t="s">
        <v>2400</v>
      </c>
      <c r="H3" s="96" t="s">
        <v>2401</v>
      </c>
      <c r="I3" s="96" t="s">
        <v>320</v>
      </c>
      <c r="J3" s="96" t="s">
        <v>918</v>
      </c>
      <c r="K3" s="96" t="s">
        <v>203</v>
      </c>
      <c r="L3" s="96" t="s">
        <v>203</v>
      </c>
      <c r="M3" s="96" t="s">
        <v>326</v>
      </c>
      <c r="N3" s="96" t="s">
        <v>339</v>
      </c>
      <c r="O3" s="96" t="s">
        <v>440</v>
      </c>
      <c r="P3" s="96" t="s">
        <v>338</v>
      </c>
      <c r="Q3" s="96" t="s">
        <v>1200</v>
      </c>
      <c r="R3" s="97">
        <v>13.307975000000001</v>
      </c>
      <c r="S3" s="97">
        <v>1</v>
      </c>
      <c r="T3" s="97">
        <v>3183.9468000000002</v>
      </c>
      <c r="U3" s="97"/>
      <c r="V3" s="97">
        <v>0.42371799999999998</v>
      </c>
      <c r="W3" s="98">
        <v>0</v>
      </c>
      <c r="X3" s="98">
        <v>1.0000000000000001E-5</v>
      </c>
      <c r="Y3" s="98">
        <v>6.0000000000000002E-6</v>
      </c>
      <c r="Z3" s="106"/>
    </row>
    <row r="4" spans="1:27" ht="15" customHeight="1">
      <c r="A4" s="106"/>
      <c r="B4" s="96">
        <v>286</v>
      </c>
      <c r="C4" s="96">
        <v>1446</v>
      </c>
      <c r="D4" s="96" t="s">
        <v>2402</v>
      </c>
      <c r="E4" s="96">
        <v>520034760</v>
      </c>
      <c r="F4" s="96" t="s">
        <v>308</v>
      </c>
      <c r="G4" s="96" t="s">
        <v>2402</v>
      </c>
      <c r="H4" s="96" t="s">
        <v>2403</v>
      </c>
      <c r="I4" s="96" t="s">
        <v>320</v>
      </c>
      <c r="J4" s="96" t="s">
        <v>918</v>
      </c>
      <c r="K4" s="96" t="s">
        <v>203</v>
      </c>
      <c r="L4" s="96" t="s">
        <v>203</v>
      </c>
      <c r="M4" s="96" t="s">
        <v>324</v>
      </c>
      <c r="N4" s="96" t="s">
        <v>339</v>
      </c>
      <c r="O4" s="96" t="s">
        <v>446</v>
      </c>
      <c r="P4" s="96" t="s">
        <v>337</v>
      </c>
      <c r="Q4" s="96" t="s">
        <v>1200</v>
      </c>
      <c r="R4" s="97">
        <v>413.89075500000001</v>
      </c>
      <c r="S4" s="97">
        <v>1</v>
      </c>
      <c r="T4" s="97">
        <v>20500</v>
      </c>
      <c r="U4" s="96"/>
      <c r="V4" s="97">
        <v>84.847604000000004</v>
      </c>
      <c r="W4" s="98">
        <v>3.1999999999999999E-5</v>
      </c>
      <c r="X4" s="98">
        <v>2.173E-3</v>
      </c>
      <c r="Y4" s="98">
        <v>1.364E-3</v>
      </c>
      <c r="Z4" s="106"/>
    </row>
    <row r="5" spans="1:27" ht="15" customHeight="1">
      <c r="A5" s="106"/>
      <c r="B5" s="96">
        <v>286</v>
      </c>
      <c r="C5" s="96">
        <v>1446</v>
      </c>
      <c r="D5" s="96" t="s">
        <v>1203</v>
      </c>
      <c r="E5" s="96">
        <v>520000118</v>
      </c>
      <c r="F5" s="96" t="s">
        <v>308</v>
      </c>
      <c r="G5" s="96" t="s">
        <v>2404</v>
      </c>
      <c r="H5" s="96" t="s">
        <v>2405</v>
      </c>
      <c r="I5" s="96" t="s">
        <v>320</v>
      </c>
      <c r="J5" s="96" t="s">
        <v>918</v>
      </c>
      <c r="K5" s="96" t="s">
        <v>203</v>
      </c>
      <c r="L5" s="96" t="s">
        <v>203</v>
      </c>
      <c r="M5" s="96" t="s">
        <v>324</v>
      </c>
      <c r="N5" s="96" t="s">
        <v>339</v>
      </c>
      <c r="O5" s="96" t="s">
        <v>447</v>
      </c>
      <c r="P5" s="96" t="s">
        <v>338</v>
      </c>
      <c r="Q5" s="96" t="s">
        <v>1200</v>
      </c>
      <c r="R5" s="97">
        <v>31247.463446999998</v>
      </c>
      <c r="S5" s="97">
        <v>1</v>
      </c>
      <c r="T5" s="97">
        <v>3365</v>
      </c>
      <c r="U5" s="96"/>
      <c r="V5" s="97">
        <v>1051.477144</v>
      </c>
      <c r="W5" s="98">
        <v>2.3E-5</v>
      </c>
      <c r="X5" s="98">
        <v>2.6939000000000001E-2</v>
      </c>
      <c r="Y5" s="98">
        <v>1.6906999999999998E-2</v>
      </c>
      <c r="Z5" s="106"/>
    </row>
    <row r="6" spans="1:27" ht="15" customHeight="1">
      <c r="A6" s="106"/>
      <c r="B6" s="96">
        <v>286</v>
      </c>
      <c r="C6" s="96">
        <v>1446</v>
      </c>
      <c r="D6" s="96" t="s">
        <v>1358</v>
      </c>
      <c r="E6" s="96">
        <v>520022732</v>
      </c>
      <c r="F6" s="96" t="s">
        <v>308</v>
      </c>
      <c r="G6" s="96" t="s">
        <v>2406</v>
      </c>
      <c r="H6" s="96" t="s">
        <v>2407</v>
      </c>
      <c r="I6" s="96" t="s">
        <v>320</v>
      </c>
      <c r="J6" s="96" t="s">
        <v>918</v>
      </c>
      <c r="K6" s="96" t="s">
        <v>203</v>
      </c>
      <c r="L6" s="96" t="s">
        <v>203</v>
      </c>
      <c r="M6" s="96" t="s">
        <v>324</v>
      </c>
      <c r="N6" s="96" t="s">
        <v>339</v>
      </c>
      <c r="O6" s="96" t="s">
        <v>474</v>
      </c>
      <c r="P6" s="96" t="s">
        <v>337</v>
      </c>
      <c r="Q6" s="96" t="s">
        <v>1200</v>
      </c>
      <c r="R6" s="97">
        <v>7599.614415</v>
      </c>
      <c r="S6" s="97">
        <v>1</v>
      </c>
      <c r="T6" s="97">
        <v>2472</v>
      </c>
      <c r="U6" s="96"/>
      <c r="V6" s="97">
        <v>187.86246700000001</v>
      </c>
      <c r="W6" s="98">
        <v>2.8E-5</v>
      </c>
      <c r="X6" s="98">
        <v>4.8120000000000003E-3</v>
      </c>
      <c r="Y6" s="98">
        <v>3.0200000000000001E-3</v>
      </c>
      <c r="Z6" s="106"/>
    </row>
    <row r="7" spans="1:27" ht="15" customHeight="1">
      <c r="A7" s="106"/>
      <c r="B7" s="96">
        <v>286</v>
      </c>
      <c r="C7" s="96">
        <v>1446</v>
      </c>
      <c r="D7" s="96" t="s">
        <v>1499</v>
      </c>
      <c r="E7" s="96">
        <v>520027830</v>
      </c>
      <c r="F7" s="96" t="s">
        <v>308</v>
      </c>
      <c r="G7" s="96" t="s">
        <v>2408</v>
      </c>
      <c r="H7" s="96" t="s">
        <v>2409</v>
      </c>
      <c r="I7" s="96" t="s">
        <v>320</v>
      </c>
      <c r="J7" s="96" t="s">
        <v>918</v>
      </c>
      <c r="K7" s="96" t="s">
        <v>203</v>
      </c>
      <c r="L7" s="96" t="s">
        <v>203</v>
      </c>
      <c r="M7" s="96" t="s">
        <v>324</v>
      </c>
      <c r="N7" s="96" t="s">
        <v>339</v>
      </c>
      <c r="O7" s="96" t="s">
        <v>455</v>
      </c>
      <c r="P7" s="96" t="s">
        <v>338</v>
      </c>
      <c r="Q7" s="96" t="s">
        <v>1200</v>
      </c>
      <c r="R7" s="97">
        <v>24843.445126999999</v>
      </c>
      <c r="S7" s="97">
        <v>1</v>
      </c>
      <c r="T7" s="97">
        <v>1612</v>
      </c>
      <c r="U7" s="96"/>
      <c r="V7" s="97">
        <v>400.47633500000001</v>
      </c>
      <c r="W7" s="98">
        <v>1.9000000000000001E-5</v>
      </c>
      <c r="X7" s="98">
        <v>1.0259000000000001E-2</v>
      </c>
      <c r="Y7" s="98">
        <v>6.4390000000000003E-3</v>
      </c>
      <c r="Z7" s="106"/>
    </row>
    <row r="8" spans="1:27" ht="15" customHeight="1">
      <c r="A8" s="106"/>
      <c r="B8" s="96">
        <v>286</v>
      </c>
      <c r="C8" s="96">
        <v>1446</v>
      </c>
      <c r="D8" s="96" t="s">
        <v>2410</v>
      </c>
      <c r="E8" s="96">
        <v>514856772</v>
      </c>
      <c r="F8" s="96" t="s">
        <v>308</v>
      </c>
      <c r="G8" s="96" t="s">
        <v>2411</v>
      </c>
      <c r="H8" s="96" t="s">
        <v>2412</v>
      </c>
      <c r="I8" s="96" t="s">
        <v>320</v>
      </c>
      <c r="J8" s="96" t="s">
        <v>918</v>
      </c>
      <c r="K8" s="96" t="s">
        <v>203</v>
      </c>
      <c r="L8" s="96" t="s">
        <v>203</v>
      </c>
      <c r="M8" s="96" t="s">
        <v>324</v>
      </c>
      <c r="N8" s="96" t="s">
        <v>339</v>
      </c>
      <c r="O8" s="96" t="s">
        <v>472</v>
      </c>
      <c r="P8" s="96" t="s">
        <v>338</v>
      </c>
      <c r="Q8" s="96" t="s">
        <v>1200</v>
      </c>
      <c r="R8" s="97">
        <v>1960.802727</v>
      </c>
      <c r="S8" s="97">
        <v>1</v>
      </c>
      <c r="T8" s="97">
        <v>164</v>
      </c>
      <c r="U8" s="96"/>
      <c r="V8" s="97">
        <v>3.215716</v>
      </c>
      <c r="W8" s="98">
        <v>1.9000000000000001E-5</v>
      </c>
      <c r="X8" s="98">
        <v>8.2000000000000001E-5</v>
      </c>
      <c r="Y8" s="98">
        <v>5.1E-5</v>
      </c>
      <c r="Z8" s="106"/>
    </row>
    <row r="9" spans="1:27" ht="15" customHeight="1">
      <c r="A9" s="106"/>
      <c r="B9" s="96">
        <v>286</v>
      </c>
      <c r="C9" s="96">
        <v>1446</v>
      </c>
      <c r="D9" s="96" t="s">
        <v>2413</v>
      </c>
      <c r="E9" s="96">
        <v>520037805</v>
      </c>
      <c r="F9" s="96" t="s">
        <v>308</v>
      </c>
      <c r="G9" s="96" t="s">
        <v>2414</v>
      </c>
      <c r="H9" s="96" t="s">
        <v>2415</v>
      </c>
      <c r="I9" s="96" t="s">
        <v>320</v>
      </c>
      <c r="J9" s="96" t="s">
        <v>918</v>
      </c>
      <c r="K9" s="96" t="s">
        <v>203</v>
      </c>
      <c r="L9" s="96" t="s">
        <v>203</v>
      </c>
      <c r="M9" s="96" t="s">
        <v>324</v>
      </c>
      <c r="N9" s="96" t="s">
        <v>339</v>
      </c>
      <c r="O9" s="96" t="s">
        <v>454</v>
      </c>
      <c r="P9" s="96" t="s">
        <v>338</v>
      </c>
      <c r="Q9" s="96" t="s">
        <v>1200</v>
      </c>
      <c r="R9" s="97">
        <v>80.434296000000003</v>
      </c>
      <c r="S9" s="97">
        <v>1</v>
      </c>
      <c r="T9" s="97">
        <v>1398</v>
      </c>
      <c r="U9" s="96"/>
      <c r="V9" s="97">
        <v>1.1244700000000001</v>
      </c>
      <c r="W9" s="98">
        <v>6.0000000000000002E-6</v>
      </c>
      <c r="X9" s="98">
        <v>2.8E-5</v>
      </c>
      <c r="Y9" s="98">
        <v>1.7E-5</v>
      </c>
      <c r="Z9" s="106"/>
    </row>
    <row r="10" spans="1:27" ht="15" customHeight="1">
      <c r="A10" s="106"/>
      <c r="B10" s="96">
        <v>286</v>
      </c>
      <c r="C10" s="96">
        <v>1446</v>
      </c>
      <c r="D10" s="96" t="s">
        <v>1197</v>
      </c>
      <c r="E10" s="96">
        <v>520018078</v>
      </c>
      <c r="F10" s="96" t="s">
        <v>308</v>
      </c>
      <c r="G10" s="96" t="s">
        <v>2416</v>
      </c>
      <c r="H10" s="96" t="s">
        <v>2417</v>
      </c>
      <c r="I10" s="96" t="s">
        <v>320</v>
      </c>
      <c r="J10" s="96" t="s">
        <v>918</v>
      </c>
      <c r="K10" s="96" t="s">
        <v>203</v>
      </c>
      <c r="L10" s="96" t="s">
        <v>203</v>
      </c>
      <c r="M10" s="96" t="s">
        <v>324</v>
      </c>
      <c r="N10" s="96" t="s">
        <v>339</v>
      </c>
      <c r="O10" s="96" t="s">
        <v>447</v>
      </c>
      <c r="P10" s="96" t="s">
        <v>338</v>
      </c>
      <c r="Q10" s="96" t="s">
        <v>1200</v>
      </c>
      <c r="R10" s="97">
        <v>35220.569338000001</v>
      </c>
      <c r="S10" s="97">
        <v>1</v>
      </c>
      <c r="T10" s="97">
        <v>3110</v>
      </c>
      <c r="U10" s="96"/>
      <c r="V10" s="97">
        <v>1095.3597050000001</v>
      </c>
      <c r="W10" s="98">
        <v>2.3E-5</v>
      </c>
      <c r="X10" s="98">
        <v>2.8063000000000001E-2</v>
      </c>
      <c r="Y10" s="98">
        <v>1.7611999999999999E-2</v>
      </c>
      <c r="Z10" s="106"/>
    </row>
    <row r="11" spans="1:27" ht="15" customHeight="1">
      <c r="A11" s="106"/>
      <c r="B11" s="96">
        <v>286</v>
      </c>
      <c r="C11" s="96">
        <v>1446</v>
      </c>
      <c r="D11" s="96" t="s">
        <v>2418</v>
      </c>
      <c r="E11" s="96">
        <v>514401702</v>
      </c>
      <c r="F11" s="96" t="s">
        <v>308</v>
      </c>
      <c r="G11" s="96" t="s">
        <v>2419</v>
      </c>
      <c r="H11" s="96" t="s">
        <v>2420</v>
      </c>
      <c r="I11" s="96" t="s">
        <v>320</v>
      </c>
      <c r="J11" s="96" t="s">
        <v>918</v>
      </c>
      <c r="K11" s="96" t="s">
        <v>203</v>
      </c>
      <c r="L11" s="96" t="s">
        <v>203</v>
      </c>
      <c r="M11" s="96" t="s">
        <v>324</v>
      </c>
      <c r="N11" s="96" t="s">
        <v>339</v>
      </c>
      <c r="O11" s="96" t="s">
        <v>439</v>
      </c>
      <c r="P11" s="96" t="s">
        <v>338</v>
      </c>
      <c r="Q11" s="96" t="s">
        <v>1200</v>
      </c>
      <c r="R11" s="97">
        <v>4915.1212159999995</v>
      </c>
      <c r="S11" s="97">
        <v>1</v>
      </c>
      <c r="T11" s="97">
        <v>2633</v>
      </c>
      <c r="U11" s="96"/>
      <c r="V11" s="97">
        <v>129.41514100000001</v>
      </c>
      <c r="W11" s="98">
        <v>2.0999999999999999E-5</v>
      </c>
      <c r="X11" s="98">
        <v>3.3140000000000001E-3</v>
      </c>
      <c r="Y11" s="98">
        <v>2.0799999999999998E-3</v>
      </c>
      <c r="Z11" s="106"/>
    </row>
    <row r="12" spans="1:27" ht="15" customHeight="1">
      <c r="A12" s="106"/>
      <c r="B12" s="96">
        <v>286</v>
      </c>
      <c r="C12" s="96">
        <v>1446</v>
      </c>
      <c r="D12" s="96" t="s">
        <v>1934</v>
      </c>
      <c r="E12" s="96">
        <v>520025602</v>
      </c>
      <c r="F12" s="96" t="s">
        <v>308</v>
      </c>
      <c r="G12" s="96" t="s">
        <v>2421</v>
      </c>
      <c r="H12" s="96" t="s">
        <v>2422</v>
      </c>
      <c r="I12" s="96" t="s">
        <v>320</v>
      </c>
      <c r="J12" s="96" t="s">
        <v>918</v>
      </c>
      <c r="K12" s="96" t="s">
        <v>203</v>
      </c>
      <c r="L12" s="96" t="s">
        <v>203</v>
      </c>
      <c r="M12" s="96" t="s">
        <v>324</v>
      </c>
      <c r="N12" s="96" t="s">
        <v>339</v>
      </c>
      <c r="O12" s="96" t="s">
        <v>436</v>
      </c>
      <c r="P12" s="96" t="s">
        <v>338</v>
      </c>
      <c r="Q12" s="96" t="s">
        <v>1200</v>
      </c>
      <c r="R12" s="97">
        <v>501.63833</v>
      </c>
      <c r="S12" s="97">
        <v>1</v>
      </c>
      <c r="T12" s="97">
        <v>15700</v>
      </c>
      <c r="U12" s="96"/>
      <c r="V12" s="97">
        <v>78.757216999999997</v>
      </c>
      <c r="W12" s="98">
        <v>1.9000000000000001E-5</v>
      </c>
      <c r="X12" s="98">
        <v>2.0170000000000001E-3</v>
      </c>
      <c r="Y12" s="98">
        <v>1.266E-3</v>
      </c>
      <c r="Z12" s="106"/>
    </row>
    <row r="13" spans="1:27" ht="15" customHeight="1">
      <c r="A13" s="106"/>
      <c r="B13" s="96">
        <v>286</v>
      </c>
      <c r="C13" s="96">
        <v>1446</v>
      </c>
      <c r="D13" s="96" t="s">
        <v>2423</v>
      </c>
      <c r="E13" s="96">
        <v>520037540</v>
      </c>
      <c r="F13" s="96" t="s">
        <v>308</v>
      </c>
      <c r="G13" s="96" t="s">
        <v>2424</v>
      </c>
      <c r="H13" s="96" t="s">
        <v>2425</v>
      </c>
      <c r="I13" s="96" t="s">
        <v>320</v>
      </c>
      <c r="J13" s="96" t="s">
        <v>918</v>
      </c>
      <c r="K13" s="96" t="s">
        <v>203</v>
      </c>
      <c r="L13" s="96" t="s">
        <v>203</v>
      </c>
      <c r="M13" s="96" t="s">
        <v>324</v>
      </c>
      <c r="N13" s="96" t="s">
        <v>339</v>
      </c>
      <c r="O13" s="96" t="s">
        <v>464</v>
      </c>
      <c r="P13" s="96" t="s">
        <v>337</v>
      </c>
      <c r="Q13" s="96" t="s">
        <v>1200</v>
      </c>
      <c r="R13" s="97">
        <v>2731.1478860000002</v>
      </c>
      <c r="S13" s="97">
        <v>1</v>
      </c>
      <c r="T13" s="97">
        <v>560.5</v>
      </c>
      <c r="U13" s="96"/>
      <c r="V13" s="97">
        <v>15.308083</v>
      </c>
      <c r="W13" s="98">
        <v>4.1999999999999998E-5</v>
      </c>
      <c r="X13" s="98">
        <v>3.9100000000000002E-4</v>
      </c>
      <c r="Y13" s="98">
        <v>2.4600000000000002E-4</v>
      </c>
      <c r="Z13" s="106"/>
    </row>
    <row r="14" spans="1:27" ht="15" customHeight="1">
      <c r="A14" s="106"/>
      <c r="B14" s="96">
        <v>286</v>
      </c>
      <c r="C14" s="96">
        <v>1446</v>
      </c>
      <c r="D14" s="96" t="s">
        <v>1508</v>
      </c>
      <c r="E14" s="96">
        <v>511134298</v>
      </c>
      <c r="F14" s="96" t="s">
        <v>308</v>
      </c>
      <c r="G14" s="96" t="s">
        <v>2426</v>
      </c>
      <c r="H14" s="96" t="s">
        <v>2427</v>
      </c>
      <c r="I14" s="96" t="s">
        <v>320</v>
      </c>
      <c r="J14" s="96" t="s">
        <v>918</v>
      </c>
      <c r="K14" s="96" t="s">
        <v>203</v>
      </c>
      <c r="L14" s="96" t="s">
        <v>203</v>
      </c>
      <c r="M14" s="96" t="s">
        <v>324</v>
      </c>
      <c r="N14" s="96" t="s">
        <v>339</v>
      </c>
      <c r="O14" s="96" t="s">
        <v>463</v>
      </c>
      <c r="P14" s="96" t="s">
        <v>337</v>
      </c>
      <c r="Q14" s="96" t="s">
        <v>1200</v>
      </c>
      <c r="R14" s="97">
        <v>695.191868</v>
      </c>
      <c r="S14" s="97">
        <v>1</v>
      </c>
      <c r="T14" s="97">
        <v>5306</v>
      </c>
      <c r="U14" s="96"/>
      <c r="V14" s="97">
        <v>36.886879999999998</v>
      </c>
      <c r="W14" s="98">
        <v>4.8000000000000001E-5</v>
      </c>
      <c r="X14" s="98">
        <v>9.4399999999999996E-4</v>
      </c>
      <c r="Y14" s="98">
        <v>5.9199999999999997E-4</v>
      </c>
      <c r="Z14" s="106"/>
    </row>
    <row r="15" spans="1:27" ht="15" customHeight="1">
      <c r="A15" s="106"/>
      <c r="B15" s="96">
        <v>286</v>
      </c>
      <c r="C15" s="96">
        <v>1446</v>
      </c>
      <c r="D15" s="96" t="s">
        <v>2428</v>
      </c>
      <c r="E15" s="96">
        <v>520038225</v>
      </c>
      <c r="F15" s="96" t="s">
        <v>308</v>
      </c>
      <c r="G15" s="96" t="s">
        <v>2429</v>
      </c>
      <c r="H15" s="96" t="s">
        <v>2430</v>
      </c>
      <c r="I15" s="96" t="s">
        <v>320</v>
      </c>
      <c r="J15" s="96" t="s">
        <v>918</v>
      </c>
      <c r="K15" s="96" t="s">
        <v>203</v>
      </c>
      <c r="L15" s="96" t="s">
        <v>203</v>
      </c>
      <c r="M15" s="96" t="s">
        <v>324</v>
      </c>
      <c r="N15" s="96" t="s">
        <v>339</v>
      </c>
      <c r="O15" s="96" t="s">
        <v>461</v>
      </c>
      <c r="P15" s="96" t="s">
        <v>337</v>
      </c>
      <c r="Q15" s="96" t="s">
        <v>1200</v>
      </c>
      <c r="R15" s="97">
        <v>926.71616600000004</v>
      </c>
      <c r="S15" s="97">
        <v>1</v>
      </c>
      <c r="T15" s="97">
        <v>1806</v>
      </c>
      <c r="U15" s="96"/>
      <c r="V15" s="97">
        <v>16.736492999999999</v>
      </c>
      <c r="W15" s="98">
        <v>6.8999999999999997E-5</v>
      </c>
      <c r="X15" s="98">
        <v>4.28E-4</v>
      </c>
      <c r="Y15" s="98">
        <v>2.6800000000000001E-4</v>
      </c>
      <c r="Z15" s="106"/>
    </row>
    <row r="16" spans="1:27" ht="15" customHeight="1">
      <c r="A16" s="106"/>
      <c r="B16" s="96">
        <v>286</v>
      </c>
      <c r="C16" s="96">
        <v>1446</v>
      </c>
      <c r="D16" s="96" t="s">
        <v>2431</v>
      </c>
      <c r="E16" s="96">
        <v>520041997</v>
      </c>
      <c r="F16" s="96" t="s">
        <v>308</v>
      </c>
      <c r="G16" s="96" t="s">
        <v>2432</v>
      </c>
      <c r="H16" s="96" t="s">
        <v>2433</v>
      </c>
      <c r="I16" s="96" t="s">
        <v>320</v>
      </c>
      <c r="J16" s="96" t="s">
        <v>918</v>
      </c>
      <c r="K16" s="96" t="s">
        <v>203</v>
      </c>
      <c r="L16" s="96" t="s">
        <v>203</v>
      </c>
      <c r="M16" s="96" t="s">
        <v>324</v>
      </c>
      <c r="N16" s="96" t="s">
        <v>339</v>
      </c>
      <c r="O16" s="96" t="s">
        <v>457</v>
      </c>
      <c r="P16" s="96" t="s">
        <v>338</v>
      </c>
      <c r="Q16" s="96" t="s">
        <v>1200</v>
      </c>
      <c r="R16" s="97">
        <v>2066.7552449999998</v>
      </c>
      <c r="S16" s="97">
        <v>1</v>
      </c>
      <c r="T16" s="97">
        <v>14820</v>
      </c>
      <c r="U16" s="96"/>
      <c r="V16" s="97">
        <v>306.29312700000003</v>
      </c>
      <c r="W16" s="98">
        <v>1.8E-5</v>
      </c>
      <c r="X16" s="98">
        <v>7.8460000000000005E-3</v>
      </c>
      <c r="Y16" s="98">
        <v>4.9240000000000004E-3</v>
      </c>
      <c r="Z16" s="106"/>
    </row>
    <row r="17" spans="1:26" ht="15" customHeight="1">
      <c r="A17" s="106"/>
      <c r="B17" s="96">
        <v>286</v>
      </c>
      <c r="C17" s="96">
        <v>1446</v>
      </c>
      <c r="D17" s="96" t="s">
        <v>1298</v>
      </c>
      <c r="E17" s="96">
        <v>510960719</v>
      </c>
      <c r="F17" s="96" t="s">
        <v>308</v>
      </c>
      <c r="G17" s="96" t="s">
        <v>2434</v>
      </c>
      <c r="H17" s="96" t="s">
        <v>2435</v>
      </c>
      <c r="I17" s="96" t="s">
        <v>320</v>
      </c>
      <c r="J17" s="96" t="s">
        <v>918</v>
      </c>
      <c r="K17" s="96" t="s">
        <v>203</v>
      </c>
      <c r="L17" s="96" t="s">
        <v>203</v>
      </c>
      <c r="M17" s="96" t="s">
        <v>324</v>
      </c>
      <c r="N17" s="96" t="s">
        <v>339</v>
      </c>
      <c r="O17" s="96" t="s">
        <v>463</v>
      </c>
      <c r="P17" s="96" t="s">
        <v>338</v>
      </c>
      <c r="Q17" s="96" t="s">
        <v>1200</v>
      </c>
      <c r="R17" s="97">
        <v>2111.6020960000001</v>
      </c>
      <c r="S17" s="97">
        <v>1</v>
      </c>
      <c r="T17" s="97">
        <v>22000</v>
      </c>
      <c r="U17" s="96"/>
      <c r="V17" s="97">
        <v>464.55246099999999</v>
      </c>
      <c r="W17" s="98">
        <v>1.7E-5</v>
      </c>
      <c r="X17" s="98">
        <v>1.1901E-2</v>
      </c>
      <c r="Y17" s="98">
        <v>7.4700000000000001E-3</v>
      </c>
      <c r="Z17" s="106"/>
    </row>
    <row r="18" spans="1:26" ht="15" customHeight="1">
      <c r="A18" s="106"/>
      <c r="B18" s="96">
        <v>286</v>
      </c>
      <c r="C18" s="96">
        <v>1446</v>
      </c>
      <c r="D18" s="96" t="s">
        <v>2436</v>
      </c>
      <c r="E18" s="96">
        <v>510607328</v>
      </c>
      <c r="F18" s="96" t="s">
        <v>308</v>
      </c>
      <c r="G18" s="96" t="s">
        <v>2437</v>
      </c>
      <c r="H18" s="96" t="s">
        <v>2438</v>
      </c>
      <c r="I18" s="96" t="s">
        <v>320</v>
      </c>
      <c r="J18" s="96" t="s">
        <v>918</v>
      </c>
      <c r="K18" s="96" t="s">
        <v>203</v>
      </c>
      <c r="L18" s="96" t="s">
        <v>203</v>
      </c>
      <c r="M18" s="96" t="s">
        <v>324</v>
      </c>
      <c r="N18" s="96" t="s">
        <v>339</v>
      </c>
      <c r="O18" s="96" t="s">
        <v>464</v>
      </c>
      <c r="P18" s="96" t="s">
        <v>338</v>
      </c>
      <c r="Q18" s="96" t="s">
        <v>1200</v>
      </c>
      <c r="R18" s="97">
        <v>0.97965599999999997</v>
      </c>
      <c r="S18" s="97">
        <v>1</v>
      </c>
      <c r="T18" s="97">
        <v>3254</v>
      </c>
      <c r="U18" s="96"/>
      <c r="V18" s="97">
        <v>3.1877999999999997E-2</v>
      </c>
      <c r="W18" s="98">
        <v>0</v>
      </c>
      <c r="X18" s="98">
        <v>0</v>
      </c>
      <c r="Y18" s="98">
        <v>0</v>
      </c>
      <c r="Z18" s="106"/>
    </row>
    <row r="19" spans="1:26" ht="15" customHeight="1">
      <c r="A19" s="106"/>
      <c r="B19" s="96">
        <v>286</v>
      </c>
      <c r="C19" s="96">
        <v>1446</v>
      </c>
      <c r="D19" s="96" t="s">
        <v>1491</v>
      </c>
      <c r="E19" s="96">
        <v>520036104</v>
      </c>
      <c r="F19" s="96" t="s">
        <v>308</v>
      </c>
      <c r="G19" s="96" t="s">
        <v>2439</v>
      </c>
      <c r="H19" s="96" t="s">
        <v>2440</v>
      </c>
      <c r="I19" s="96" t="s">
        <v>320</v>
      </c>
      <c r="J19" s="96" t="s">
        <v>918</v>
      </c>
      <c r="K19" s="96" t="s">
        <v>203</v>
      </c>
      <c r="L19" s="96" t="s">
        <v>203</v>
      </c>
      <c r="M19" s="96" t="s">
        <v>324</v>
      </c>
      <c r="N19" s="96" t="s">
        <v>339</v>
      </c>
      <c r="O19" s="96" t="s">
        <v>446</v>
      </c>
      <c r="P19" s="96" t="s">
        <v>337</v>
      </c>
      <c r="Q19" s="96" t="s">
        <v>1200</v>
      </c>
      <c r="R19" s="97">
        <v>18480.088865999998</v>
      </c>
      <c r="S19" s="97">
        <v>1</v>
      </c>
      <c r="T19" s="97">
        <v>703.3</v>
      </c>
      <c r="U19" s="96"/>
      <c r="V19" s="97">
        <v>129.97046399999999</v>
      </c>
      <c r="W19" s="98">
        <v>3.3000000000000003E-5</v>
      </c>
      <c r="X19" s="98">
        <v>3.3289999999999999E-3</v>
      </c>
      <c r="Y19" s="98">
        <v>2.0890000000000001E-3</v>
      </c>
      <c r="Z19" s="106"/>
    </row>
    <row r="20" spans="1:26" ht="15" customHeight="1">
      <c r="A20" s="106"/>
      <c r="B20" s="96">
        <v>286</v>
      </c>
      <c r="C20" s="96">
        <v>1446</v>
      </c>
      <c r="D20" s="96" t="s">
        <v>2441</v>
      </c>
      <c r="E20" s="96">
        <v>514211457</v>
      </c>
      <c r="F20" s="96" t="s">
        <v>308</v>
      </c>
      <c r="G20" s="96" t="s">
        <v>2442</v>
      </c>
      <c r="H20" s="96" t="s">
        <v>2443</v>
      </c>
      <c r="I20" s="96" t="s">
        <v>320</v>
      </c>
      <c r="J20" s="96" t="s">
        <v>918</v>
      </c>
      <c r="K20" s="96" t="s">
        <v>203</v>
      </c>
      <c r="L20" s="96" t="s">
        <v>203</v>
      </c>
      <c r="M20" s="96" t="s">
        <v>324</v>
      </c>
      <c r="N20" s="96" t="s">
        <v>339</v>
      </c>
      <c r="O20" s="96" t="s">
        <v>474</v>
      </c>
      <c r="P20" s="96" t="s">
        <v>338</v>
      </c>
      <c r="Q20" s="96" t="s">
        <v>1200</v>
      </c>
      <c r="R20" s="97">
        <v>580.10815200000002</v>
      </c>
      <c r="S20" s="97">
        <v>1</v>
      </c>
      <c r="T20" s="97">
        <v>5970</v>
      </c>
      <c r="U20" s="96"/>
      <c r="V20" s="97">
        <v>34.632455999999998</v>
      </c>
      <c r="W20" s="98">
        <v>1.1E-5</v>
      </c>
      <c r="X20" s="98">
        <v>8.8699999999999998E-4</v>
      </c>
      <c r="Y20" s="98">
        <v>5.5599999999999996E-4</v>
      </c>
      <c r="Z20" s="106"/>
    </row>
    <row r="21" spans="1:26" ht="15" customHeight="1">
      <c r="A21" s="106"/>
      <c r="B21" s="96">
        <v>286</v>
      </c>
      <c r="C21" s="96">
        <v>1446</v>
      </c>
      <c r="D21" s="96" t="s">
        <v>2444</v>
      </c>
      <c r="E21" s="96">
        <v>520034356</v>
      </c>
      <c r="F21" s="96" t="s">
        <v>308</v>
      </c>
      <c r="G21" s="96" t="s">
        <v>2445</v>
      </c>
      <c r="H21" s="96" t="s">
        <v>2446</v>
      </c>
      <c r="I21" s="96" t="s">
        <v>320</v>
      </c>
      <c r="J21" s="96" t="s">
        <v>918</v>
      </c>
      <c r="K21" s="96" t="s">
        <v>203</v>
      </c>
      <c r="L21" s="96" t="s">
        <v>203</v>
      </c>
      <c r="M21" s="96" t="s">
        <v>324</v>
      </c>
      <c r="N21" s="96" t="s">
        <v>339</v>
      </c>
      <c r="O21" s="96" t="s">
        <v>477</v>
      </c>
      <c r="P21" s="96" t="s">
        <v>338</v>
      </c>
      <c r="Q21" s="96" t="s">
        <v>1200</v>
      </c>
      <c r="R21" s="97">
        <v>270.96349199999997</v>
      </c>
      <c r="S21" s="97">
        <v>1</v>
      </c>
      <c r="T21" s="97">
        <v>10450</v>
      </c>
      <c r="U21" s="96"/>
      <c r="V21" s="97">
        <v>28.315684000000001</v>
      </c>
      <c r="W21" s="98">
        <v>2.0999999999999999E-5</v>
      </c>
      <c r="X21" s="98">
        <v>7.2499999999999995E-4</v>
      </c>
      <c r="Y21" s="98">
        <v>4.5399999999999998E-4</v>
      </c>
      <c r="Z21" s="106"/>
    </row>
    <row r="22" spans="1:26" ht="15" customHeight="1">
      <c r="A22" s="106"/>
      <c r="B22" s="96">
        <v>286</v>
      </c>
      <c r="C22" s="96">
        <v>1446</v>
      </c>
      <c r="D22" s="96" t="s">
        <v>1459</v>
      </c>
      <c r="E22" s="96">
        <v>520033424</v>
      </c>
      <c r="F22" s="96" t="s">
        <v>308</v>
      </c>
      <c r="G22" s="96" t="s">
        <v>2447</v>
      </c>
      <c r="H22" s="96" t="s">
        <v>2448</v>
      </c>
      <c r="I22" s="96" t="s">
        <v>320</v>
      </c>
      <c r="J22" s="96" t="s">
        <v>918</v>
      </c>
      <c r="K22" s="96" t="s">
        <v>203</v>
      </c>
      <c r="L22" s="96" t="s">
        <v>203</v>
      </c>
      <c r="M22" s="96" t="s">
        <v>324</v>
      </c>
      <c r="N22" s="96" t="s">
        <v>339</v>
      </c>
      <c r="O22" s="96" t="s">
        <v>446</v>
      </c>
      <c r="P22" s="96" t="s">
        <v>338</v>
      </c>
      <c r="Q22" s="96" t="s">
        <v>1200</v>
      </c>
      <c r="R22" s="97">
        <v>66.891608000000005</v>
      </c>
      <c r="S22" s="97">
        <v>1</v>
      </c>
      <c r="T22" s="97">
        <v>25400</v>
      </c>
      <c r="U22" s="96"/>
      <c r="V22" s="97">
        <v>16.990468</v>
      </c>
      <c r="W22" s="98">
        <v>1.8E-5</v>
      </c>
      <c r="X22" s="98">
        <v>4.3399999999999998E-4</v>
      </c>
      <c r="Y22" s="98">
        <v>2.72E-4</v>
      </c>
      <c r="Z22" s="106"/>
    </row>
    <row r="23" spans="1:26" ht="15" customHeight="1">
      <c r="A23" s="106"/>
      <c r="B23" s="96">
        <v>286</v>
      </c>
      <c r="C23" s="96">
        <v>1446</v>
      </c>
      <c r="D23" s="96" t="s">
        <v>2449</v>
      </c>
      <c r="E23" s="96">
        <v>516632387</v>
      </c>
      <c r="F23" s="96" t="s">
        <v>308</v>
      </c>
      <c r="G23" s="96" t="s">
        <v>2450</v>
      </c>
      <c r="H23" s="96" t="s">
        <v>2451</v>
      </c>
      <c r="I23" s="96" t="s">
        <v>320</v>
      </c>
      <c r="J23" s="96" t="s">
        <v>918</v>
      </c>
      <c r="K23" s="96" t="s">
        <v>203</v>
      </c>
      <c r="L23" s="96" t="s">
        <v>203</v>
      </c>
      <c r="M23" s="96" t="s">
        <v>324</v>
      </c>
      <c r="N23" s="96" t="s">
        <v>339</v>
      </c>
      <c r="O23" s="96" t="s">
        <v>463</v>
      </c>
      <c r="P23" s="96" t="s">
        <v>337</v>
      </c>
      <c r="Q23" s="96" t="s">
        <v>1200</v>
      </c>
      <c r="R23" s="97">
        <v>213.810023</v>
      </c>
      <c r="S23" s="97">
        <v>1</v>
      </c>
      <c r="T23" s="97">
        <v>28570</v>
      </c>
      <c r="U23" s="96"/>
      <c r="V23" s="97">
        <v>61.085523000000002</v>
      </c>
      <c r="W23" s="98">
        <v>3.3000000000000003E-5</v>
      </c>
      <c r="X23" s="98">
        <v>1.565E-3</v>
      </c>
      <c r="Y23" s="98">
        <v>9.8200000000000002E-4</v>
      </c>
      <c r="Z23" s="106"/>
    </row>
    <row r="24" spans="1:26" ht="15" customHeight="1">
      <c r="A24" s="106"/>
      <c r="B24" s="96">
        <v>286</v>
      </c>
      <c r="C24" s="96">
        <v>1446</v>
      </c>
      <c r="D24" s="96" t="s">
        <v>2452</v>
      </c>
      <c r="E24" s="96">
        <v>520033473</v>
      </c>
      <c r="F24" s="96" t="s">
        <v>308</v>
      </c>
      <c r="G24" s="96" t="s">
        <v>2453</v>
      </c>
      <c r="H24" s="96" t="s">
        <v>2454</v>
      </c>
      <c r="I24" s="96" t="s">
        <v>320</v>
      </c>
      <c r="J24" s="96" t="s">
        <v>918</v>
      </c>
      <c r="K24" s="96" t="s">
        <v>203</v>
      </c>
      <c r="L24" s="96" t="s">
        <v>203</v>
      </c>
      <c r="M24" s="96" t="s">
        <v>324</v>
      </c>
      <c r="N24" s="96" t="s">
        <v>339</v>
      </c>
      <c r="O24" s="96" t="s">
        <v>450</v>
      </c>
      <c r="P24" s="96" t="s">
        <v>337</v>
      </c>
      <c r="Q24" s="96" t="s">
        <v>1200</v>
      </c>
      <c r="R24" s="97">
        <v>161.326502</v>
      </c>
      <c r="S24" s="97">
        <v>1</v>
      </c>
      <c r="T24" s="97">
        <v>9138</v>
      </c>
      <c r="U24" s="96"/>
      <c r="V24" s="97">
        <v>14.742015</v>
      </c>
      <c r="W24" s="98">
        <v>3.1000000000000001E-5</v>
      </c>
      <c r="X24" s="98">
        <v>3.7599999999999998E-4</v>
      </c>
      <c r="Y24" s="98">
        <v>2.3599999999999999E-4</v>
      </c>
      <c r="Z24" s="106"/>
    </row>
    <row r="25" spans="1:26" ht="15" customHeight="1">
      <c r="A25" s="106"/>
      <c r="B25" s="96">
        <v>286</v>
      </c>
      <c r="C25" s="96">
        <v>1446</v>
      </c>
      <c r="D25" s="96" t="s">
        <v>1774</v>
      </c>
      <c r="E25" s="96">
        <v>520039967</v>
      </c>
      <c r="F25" s="96" t="s">
        <v>308</v>
      </c>
      <c r="G25" s="96" t="s">
        <v>2455</v>
      </c>
      <c r="H25" s="96" t="s">
        <v>2456</v>
      </c>
      <c r="I25" s="96" t="s">
        <v>320</v>
      </c>
      <c r="J25" s="96" t="s">
        <v>918</v>
      </c>
      <c r="K25" s="96" t="s">
        <v>203</v>
      </c>
      <c r="L25" s="96" t="s">
        <v>203</v>
      </c>
      <c r="M25" s="96" t="s">
        <v>324</v>
      </c>
      <c r="N25" s="96" t="s">
        <v>339</v>
      </c>
      <c r="O25" s="96" t="s">
        <v>474</v>
      </c>
      <c r="P25" s="96" t="s">
        <v>337</v>
      </c>
      <c r="Q25" s="96" t="s">
        <v>1200</v>
      </c>
      <c r="R25" s="97">
        <v>832.55629799999997</v>
      </c>
      <c r="S25" s="97">
        <v>1</v>
      </c>
      <c r="T25" s="97">
        <v>7427</v>
      </c>
      <c r="U25" s="96"/>
      <c r="V25" s="97">
        <v>61.833955000000003</v>
      </c>
      <c r="W25" s="98">
        <v>3.6000000000000001E-5</v>
      </c>
      <c r="X25" s="98">
        <v>1.583E-3</v>
      </c>
      <c r="Y25" s="98">
        <v>9.9299999999999996E-4</v>
      </c>
      <c r="Z25" s="106"/>
    </row>
    <row r="26" spans="1:26" ht="15" customHeight="1">
      <c r="A26" s="106"/>
      <c r="B26" s="96">
        <v>286</v>
      </c>
      <c r="C26" s="96">
        <v>1446</v>
      </c>
      <c r="D26" s="96" t="s">
        <v>2457</v>
      </c>
      <c r="E26" s="96">
        <v>515251593</v>
      </c>
      <c r="F26" s="96" t="s">
        <v>308</v>
      </c>
      <c r="G26" s="96" t="s">
        <v>2458</v>
      </c>
      <c r="H26" s="96" t="s">
        <v>2459</v>
      </c>
      <c r="I26" s="96" t="s">
        <v>320</v>
      </c>
      <c r="J26" s="96" t="s">
        <v>918</v>
      </c>
      <c r="K26" s="96" t="s">
        <v>203</v>
      </c>
      <c r="L26" s="96" t="s">
        <v>203</v>
      </c>
      <c r="M26" s="96" t="s">
        <v>324</v>
      </c>
      <c r="N26" s="96" t="s">
        <v>339</v>
      </c>
      <c r="O26" s="96" t="s">
        <v>455</v>
      </c>
      <c r="P26" s="96" t="s">
        <v>337</v>
      </c>
      <c r="Q26" s="96" t="s">
        <v>1200</v>
      </c>
      <c r="R26" s="97">
        <v>2875.8787739999998</v>
      </c>
      <c r="S26" s="97">
        <v>1</v>
      </c>
      <c r="T26" s="97">
        <v>1084</v>
      </c>
      <c r="U26" s="96"/>
      <c r="V26" s="97">
        <v>31.174524999999999</v>
      </c>
      <c r="W26" s="98">
        <v>2.5999999999999998E-5</v>
      </c>
      <c r="X26" s="98">
        <v>7.9799999999999999E-4</v>
      </c>
      <c r="Y26" s="98">
        <v>5.0100000000000003E-4</v>
      </c>
      <c r="Z26" s="106"/>
    </row>
    <row r="27" spans="1:26" ht="15" customHeight="1">
      <c r="A27" s="106"/>
      <c r="B27" s="96">
        <v>286</v>
      </c>
      <c r="C27" s="96">
        <v>1446</v>
      </c>
      <c r="D27" s="96" t="s">
        <v>1321</v>
      </c>
      <c r="E27" s="96">
        <v>550263107</v>
      </c>
      <c r="F27" s="96" t="s">
        <v>309</v>
      </c>
      <c r="G27" s="96" t="s">
        <v>2460</v>
      </c>
      <c r="H27" s="96" t="s">
        <v>2461</v>
      </c>
      <c r="I27" s="96" t="s">
        <v>320</v>
      </c>
      <c r="J27" s="96" t="s">
        <v>959</v>
      </c>
      <c r="K27" s="96" t="s">
        <v>203</v>
      </c>
      <c r="L27" s="96" t="s">
        <v>203</v>
      </c>
      <c r="M27" s="96" t="s">
        <v>324</v>
      </c>
      <c r="N27" s="96" t="s">
        <v>339</v>
      </c>
      <c r="O27" s="96" t="s">
        <v>453</v>
      </c>
      <c r="P27" s="96" t="s">
        <v>338</v>
      </c>
      <c r="Q27" s="96" t="s">
        <v>1200</v>
      </c>
      <c r="R27" s="97">
        <v>1947.293343</v>
      </c>
      <c r="S27" s="97">
        <v>1</v>
      </c>
      <c r="T27" s="97">
        <v>4674</v>
      </c>
      <c r="U27" s="96"/>
      <c r="V27" s="97">
        <v>91.016490000000005</v>
      </c>
      <c r="W27" s="98">
        <v>1.9000000000000001E-5</v>
      </c>
      <c r="X27" s="98">
        <v>2.3310000000000002E-3</v>
      </c>
      <c r="Y27" s="98">
        <v>1.4630000000000001E-3</v>
      </c>
      <c r="Z27" s="106"/>
    </row>
    <row r="28" spans="1:26" ht="15" customHeight="1">
      <c r="A28" s="106"/>
      <c r="B28" s="96">
        <v>286</v>
      </c>
      <c r="C28" s="96">
        <v>1446</v>
      </c>
      <c r="D28" s="96" t="s">
        <v>1814</v>
      </c>
      <c r="E28" s="96">
        <v>514599943</v>
      </c>
      <c r="F28" s="96" t="s">
        <v>308</v>
      </c>
      <c r="G28" s="96" t="s">
        <v>2462</v>
      </c>
      <c r="H28" s="96" t="s">
        <v>2463</v>
      </c>
      <c r="I28" s="96" t="s">
        <v>320</v>
      </c>
      <c r="J28" s="96" t="s">
        <v>918</v>
      </c>
      <c r="K28" s="96" t="s">
        <v>203</v>
      </c>
      <c r="L28" s="96" t="s">
        <v>203</v>
      </c>
      <c r="M28" s="96" t="s">
        <v>324</v>
      </c>
      <c r="N28" s="96" t="s">
        <v>339</v>
      </c>
      <c r="O28" s="96" t="s">
        <v>440</v>
      </c>
      <c r="P28" s="96" t="s">
        <v>338</v>
      </c>
      <c r="Q28" s="96" t="s">
        <v>1200</v>
      </c>
      <c r="R28" s="97">
        <v>323.79554999999999</v>
      </c>
      <c r="S28" s="97">
        <v>1</v>
      </c>
      <c r="T28" s="97">
        <v>8250</v>
      </c>
      <c r="U28" s="96"/>
      <c r="V28" s="97">
        <v>26.713132000000002</v>
      </c>
      <c r="W28" s="98">
        <v>9.0000000000000002E-6</v>
      </c>
      <c r="X28" s="98">
        <v>6.8400000000000004E-4</v>
      </c>
      <c r="Y28" s="98">
        <v>4.2900000000000002E-4</v>
      </c>
      <c r="Z28" s="106"/>
    </row>
    <row r="29" spans="1:26" ht="15" customHeight="1">
      <c r="A29" s="106"/>
      <c r="B29" s="96">
        <v>286</v>
      </c>
      <c r="C29" s="96">
        <v>1446</v>
      </c>
      <c r="D29" s="96" t="s">
        <v>2464</v>
      </c>
      <c r="E29" s="96">
        <v>512051699</v>
      </c>
      <c r="F29" s="96" t="s">
        <v>308</v>
      </c>
      <c r="G29" s="96" t="s">
        <v>2465</v>
      </c>
      <c r="H29" s="96" t="s">
        <v>2466</v>
      </c>
      <c r="I29" s="96" t="s">
        <v>320</v>
      </c>
      <c r="J29" s="96" t="s">
        <v>918</v>
      </c>
      <c r="K29" s="96" t="s">
        <v>203</v>
      </c>
      <c r="L29" s="96" t="s">
        <v>203</v>
      </c>
      <c r="M29" s="96" t="s">
        <v>324</v>
      </c>
      <c r="N29" s="96" t="s">
        <v>339</v>
      </c>
      <c r="O29" s="96" t="s">
        <v>469</v>
      </c>
      <c r="P29" s="96" t="s">
        <v>338</v>
      </c>
      <c r="Q29" s="96" t="s">
        <v>1200</v>
      </c>
      <c r="R29" s="97">
        <v>845.20809299999996</v>
      </c>
      <c r="S29" s="97">
        <v>1</v>
      </c>
      <c r="T29" s="97">
        <v>786.8</v>
      </c>
      <c r="U29" s="96"/>
      <c r="V29" s="97">
        <v>6.6500969999999997</v>
      </c>
      <c r="W29" s="98">
        <v>1.8E-5</v>
      </c>
      <c r="X29" s="98">
        <v>1.7000000000000001E-4</v>
      </c>
      <c r="Y29" s="98">
        <v>1.06E-4</v>
      </c>
      <c r="Z29" s="106"/>
    </row>
    <row r="30" spans="1:26" ht="15" customHeight="1">
      <c r="A30" s="106"/>
      <c r="B30" s="96">
        <v>286</v>
      </c>
      <c r="C30" s="96">
        <v>1446</v>
      </c>
      <c r="D30" s="96" t="s">
        <v>1317</v>
      </c>
      <c r="E30" s="96">
        <v>520028911</v>
      </c>
      <c r="F30" s="96" t="s">
        <v>308</v>
      </c>
      <c r="G30" s="96" t="s">
        <v>2467</v>
      </c>
      <c r="H30" s="96" t="s">
        <v>2468</v>
      </c>
      <c r="I30" s="96" t="s">
        <v>320</v>
      </c>
      <c r="J30" s="96" t="s">
        <v>918</v>
      </c>
      <c r="K30" s="96" t="s">
        <v>203</v>
      </c>
      <c r="L30" s="96" t="s">
        <v>203</v>
      </c>
      <c r="M30" s="96" t="s">
        <v>324</v>
      </c>
      <c r="N30" s="96" t="s">
        <v>339</v>
      </c>
      <c r="O30" s="96" t="s">
        <v>450</v>
      </c>
      <c r="P30" s="96" t="s">
        <v>337</v>
      </c>
      <c r="Q30" s="96" t="s">
        <v>1200</v>
      </c>
      <c r="R30" s="97">
        <v>116.068647</v>
      </c>
      <c r="S30" s="97">
        <v>1</v>
      </c>
      <c r="T30" s="97">
        <v>129690</v>
      </c>
      <c r="U30" s="96"/>
      <c r="V30" s="97">
        <v>150.52942899999999</v>
      </c>
      <c r="W30" s="98">
        <v>3.0000000000000001E-5</v>
      </c>
      <c r="X30" s="98">
        <v>3.8549999999999999E-3</v>
      </c>
      <c r="Y30" s="98">
        <v>2.4190000000000001E-3</v>
      </c>
      <c r="Z30" s="106"/>
    </row>
    <row r="31" spans="1:26" ht="15" customHeight="1">
      <c r="A31" s="106"/>
      <c r="B31" s="96">
        <v>286</v>
      </c>
      <c r="C31" s="96">
        <v>1446</v>
      </c>
      <c r="D31" s="96" t="s">
        <v>1611</v>
      </c>
      <c r="E31" s="96">
        <v>520001736</v>
      </c>
      <c r="F31" s="96" t="s">
        <v>308</v>
      </c>
      <c r="G31" s="96" t="s">
        <v>2469</v>
      </c>
      <c r="H31" s="96" t="s">
        <v>2470</v>
      </c>
      <c r="I31" s="96" t="s">
        <v>320</v>
      </c>
      <c r="J31" s="96" t="s">
        <v>918</v>
      </c>
      <c r="K31" s="96" t="s">
        <v>203</v>
      </c>
      <c r="L31" s="96" t="s">
        <v>203</v>
      </c>
      <c r="M31" s="96" t="s">
        <v>324</v>
      </c>
      <c r="N31" s="96" t="s">
        <v>339</v>
      </c>
      <c r="O31" s="96" t="s">
        <v>463</v>
      </c>
      <c r="P31" s="96" t="s">
        <v>338</v>
      </c>
      <c r="Q31" s="96" t="s">
        <v>1200</v>
      </c>
      <c r="R31" s="97">
        <v>771.87402199999997</v>
      </c>
      <c r="S31" s="97">
        <v>1</v>
      </c>
      <c r="T31" s="97">
        <v>2515</v>
      </c>
      <c r="U31" s="96"/>
      <c r="V31" s="97">
        <v>19.412631000000001</v>
      </c>
      <c r="W31" s="98">
        <v>3.0000000000000001E-6</v>
      </c>
      <c r="X31" s="98">
        <v>4.9700000000000005E-4</v>
      </c>
      <c r="Y31" s="98">
        <v>3.1199999999999999E-4</v>
      </c>
      <c r="Z31" s="106"/>
    </row>
    <row r="32" spans="1:26" ht="15" customHeight="1">
      <c r="A32" s="106"/>
      <c r="B32" s="96">
        <v>286</v>
      </c>
      <c r="C32" s="96">
        <v>1446</v>
      </c>
      <c r="D32" s="96" t="s">
        <v>1982</v>
      </c>
      <c r="E32" s="96">
        <v>520036732</v>
      </c>
      <c r="F32" s="96" t="s">
        <v>308</v>
      </c>
      <c r="G32" s="96" t="s">
        <v>2471</v>
      </c>
      <c r="H32" s="96" t="s">
        <v>2472</v>
      </c>
      <c r="I32" s="96" t="s">
        <v>320</v>
      </c>
      <c r="J32" s="96" t="s">
        <v>918</v>
      </c>
      <c r="K32" s="96" t="s">
        <v>203</v>
      </c>
      <c r="L32" s="96" t="s">
        <v>203</v>
      </c>
      <c r="M32" s="96" t="s">
        <v>324</v>
      </c>
      <c r="N32" s="96" t="s">
        <v>339</v>
      </c>
      <c r="O32" s="96" t="s">
        <v>461</v>
      </c>
      <c r="P32" s="96" t="s">
        <v>338</v>
      </c>
      <c r="Q32" s="96" t="s">
        <v>1200</v>
      </c>
      <c r="R32" s="97">
        <v>134.29747699999999</v>
      </c>
      <c r="S32" s="97">
        <v>1</v>
      </c>
      <c r="T32" s="97">
        <v>19430</v>
      </c>
      <c r="U32" s="96"/>
      <c r="V32" s="97">
        <v>26.093999</v>
      </c>
      <c r="W32" s="98">
        <v>1.5E-5</v>
      </c>
      <c r="X32" s="98">
        <v>6.6799999999999997E-4</v>
      </c>
      <c r="Y32" s="98">
        <v>4.1899999999999999E-4</v>
      </c>
      <c r="Z32" s="106"/>
    </row>
    <row r="33" spans="1:26" ht="15" customHeight="1">
      <c r="A33" s="106"/>
      <c r="B33" s="96">
        <v>286</v>
      </c>
      <c r="C33" s="96">
        <v>1446</v>
      </c>
      <c r="D33" s="96" t="s">
        <v>1862</v>
      </c>
      <c r="E33" s="96">
        <v>520036120</v>
      </c>
      <c r="F33" s="96" t="s">
        <v>308</v>
      </c>
      <c r="G33" s="96" t="s">
        <v>2473</v>
      </c>
      <c r="H33" s="96" t="s">
        <v>2474</v>
      </c>
      <c r="I33" s="96" t="s">
        <v>320</v>
      </c>
      <c r="J33" s="96" t="s">
        <v>918</v>
      </c>
      <c r="K33" s="96" t="s">
        <v>203</v>
      </c>
      <c r="L33" s="96" t="s">
        <v>203</v>
      </c>
      <c r="M33" s="96" t="s">
        <v>324</v>
      </c>
      <c r="N33" s="96" t="s">
        <v>339</v>
      </c>
      <c r="O33" s="96" t="s">
        <v>444</v>
      </c>
      <c r="P33" s="96" t="s">
        <v>338</v>
      </c>
      <c r="Q33" s="96" t="s">
        <v>1200</v>
      </c>
      <c r="R33" s="97">
        <v>1929.6985669999999</v>
      </c>
      <c r="S33" s="97">
        <v>1</v>
      </c>
      <c r="T33" s="97">
        <v>5291</v>
      </c>
      <c r="U33" s="96"/>
      <c r="V33" s="97">
        <v>102.10035000000001</v>
      </c>
      <c r="W33" s="98">
        <v>2.4000000000000001E-5</v>
      </c>
      <c r="X33" s="98">
        <v>2.6150000000000001E-3</v>
      </c>
      <c r="Y33" s="98">
        <v>1.64E-3</v>
      </c>
      <c r="Z33" s="106"/>
    </row>
    <row r="34" spans="1:26" ht="15" customHeight="1">
      <c r="A34" s="106"/>
      <c r="B34" s="96">
        <v>286</v>
      </c>
      <c r="C34" s="96">
        <v>1446</v>
      </c>
      <c r="D34" s="96" t="s">
        <v>2475</v>
      </c>
      <c r="E34" s="96">
        <v>520008483</v>
      </c>
      <c r="F34" s="96" t="s">
        <v>308</v>
      </c>
      <c r="G34" s="96" t="s">
        <v>2476</v>
      </c>
      <c r="H34" s="96" t="s">
        <v>2477</v>
      </c>
      <c r="I34" s="96" t="s">
        <v>320</v>
      </c>
      <c r="J34" s="96" t="s">
        <v>918</v>
      </c>
      <c r="K34" s="96" t="s">
        <v>203</v>
      </c>
      <c r="L34" s="96" t="s">
        <v>203</v>
      </c>
      <c r="M34" s="96" t="s">
        <v>324</v>
      </c>
      <c r="N34" s="96" t="s">
        <v>339</v>
      </c>
      <c r="O34" s="96" t="s">
        <v>483</v>
      </c>
      <c r="P34" s="96" t="s">
        <v>337</v>
      </c>
      <c r="Q34" s="96" t="s">
        <v>1200</v>
      </c>
      <c r="R34" s="97">
        <v>185.135334</v>
      </c>
      <c r="S34" s="97">
        <v>1</v>
      </c>
      <c r="T34" s="97">
        <v>6049</v>
      </c>
      <c r="U34" s="96"/>
      <c r="V34" s="97">
        <v>11.198836</v>
      </c>
      <c r="W34" s="98">
        <v>6.3E-5</v>
      </c>
      <c r="X34" s="98">
        <v>2.8600000000000001E-4</v>
      </c>
      <c r="Y34" s="98">
        <v>1.8000000000000001E-4</v>
      </c>
      <c r="Z34" s="106"/>
    </row>
    <row r="35" spans="1:26" ht="15" customHeight="1">
      <c r="A35" s="106"/>
      <c r="B35" s="96">
        <v>286</v>
      </c>
      <c r="C35" s="96">
        <v>1446</v>
      </c>
      <c r="D35" s="96" t="s">
        <v>1514</v>
      </c>
      <c r="E35" s="96">
        <v>520043027</v>
      </c>
      <c r="F35" s="96" t="s">
        <v>308</v>
      </c>
      <c r="G35" s="96" t="s">
        <v>2478</v>
      </c>
      <c r="H35" s="96" t="s">
        <v>2479</v>
      </c>
      <c r="I35" s="96" t="s">
        <v>320</v>
      </c>
      <c r="J35" s="96" t="s">
        <v>918</v>
      </c>
      <c r="K35" s="96" t="s">
        <v>203</v>
      </c>
      <c r="L35" s="96" t="s">
        <v>203</v>
      </c>
      <c r="M35" s="96" t="s">
        <v>324</v>
      </c>
      <c r="N35" s="96" t="s">
        <v>339</v>
      </c>
      <c r="O35" s="96" t="s">
        <v>445</v>
      </c>
      <c r="P35" s="96" t="s">
        <v>338</v>
      </c>
      <c r="Q35" s="96" t="s">
        <v>1200</v>
      </c>
      <c r="R35" s="97">
        <v>774.50421500000004</v>
      </c>
      <c r="S35" s="97">
        <v>1</v>
      </c>
      <c r="T35" s="97">
        <v>66410</v>
      </c>
      <c r="U35" s="96"/>
      <c r="V35" s="97">
        <v>514.34824900000001</v>
      </c>
      <c r="W35" s="98">
        <v>1.7E-5</v>
      </c>
      <c r="X35" s="98">
        <v>1.3176999999999999E-2</v>
      </c>
      <c r="Y35" s="98">
        <v>8.2699999999999996E-3</v>
      </c>
      <c r="Z35" s="106"/>
    </row>
    <row r="36" spans="1:26" ht="15" customHeight="1">
      <c r="A36" s="106"/>
      <c r="B36" s="96">
        <v>286</v>
      </c>
      <c r="C36" s="96">
        <v>1446</v>
      </c>
      <c r="D36" s="96" t="s">
        <v>2003</v>
      </c>
      <c r="E36" s="96">
        <v>511396046</v>
      </c>
      <c r="F36" s="96" t="s">
        <v>308</v>
      </c>
      <c r="G36" s="96" t="s">
        <v>2480</v>
      </c>
      <c r="H36" s="96" t="s">
        <v>2481</v>
      </c>
      <c r="I36" s="96" t="s">
        <v>320</v>
      </c>
      <c r="J36" s="96" t="s">
        <v>918</v>
      </c>
      <c r="K36" s="96" t="s">
        <v>203</v>
      </c>
      <c r="L36" s="96" t="s">
        <v>203</v>
      </c>
      <c r="M36" s="96" t="s">
        <v>324</v>
      </c>
      <c r="N36" s="96" t="s">
        <v>339</v>
      </c>
      <c r="O36" s="96" t="s">
        <v>483</v>
      </c>
      <c r="P36" s="96" t="s">
        <v>338</v>
      </c>
      <c r="Q36" s="96" t="s">
        <v>1200</v>
      </c>
      <c r="R36" s="97">
        <v>486.24381199999999</v>
      </c>
      <c r="S36" s="97">
        <v>1</v>
      </c>
      <c r="T36" s="97">
        <v>39.1</v>
      </c>
      <c r="U36" s="96"/>
      <c r="V36" s="97">
        <v>0.19012000000000001</v>
      </c>
      <c r="W36" s="98">
        <v>1.2999999999999999E-5</v>
      </c>
      <c r="X36" s="98">
        <v>3.9999999999999998E-6</v>
      </c>
      <c r="Y36" s="98">
        <v>1.9999999999999999E-6</v>
      </c>
      <c r="Z36" s="106"/>
    </row>
    <row r="37" spans="1:26" ht="15" customHeight="1">
      <c r="A37" s="106"/>
      <c r="B37" s="96">
        <v>286</v>
      </c>
      <c r="C37" s="96">
        <v>1446</v>
      </c>
      <c r="D37" s="96" t="s">
        <v>1760</v>
      </c>
      <c r="E37" s="96">
        <v>520038894</v>
      </c>
      <c r="F37" s="96" t="s">
        <v>308</v>
      </c>
      <c r="G37" s="96" t="s">
        <v>2482</v>
      </c>
      <c r="H37" s="96" t="s">
        <v>2483</v>
      </c>
      <c r="I37" s="96" t="s">
        <v>320</v>
      </c>
      <c r="J37" s="96" t="s">
        <v>918</v>
      </c>
      <c r="K37" s="96" t="s">
        <v>203</v>
      </c>
      <c r="L37" s="96" t="s">
        <v>203</v>
      </c>
      <c r="M37" s="96" t="s">
        <v>324</v>
      </c>
      <c r="N37" s="96" t="s">
        <v>339</v>
      </c>
      <c r="O37" s="96" t="s">
        <v>464</v>
      </c>
      <c r="P37" s="96" t="s">
        <v>338</v>
      </c>
      <c r="Q37" s="96" t="s">
        <v>1200</v>
      </c>
      <c r="R37" s="97">
        <v>71.882728999999998</v>
      </c>
      <c r="S37" s="97">
        <v>1</v>
      </c>
      <c r="T37" s="97">
        <v>13310</v>
      </c>
      <c r="U37" s="96"/>
      <c r="V37" s="97">
        <v>9.5675910000000002</v>
      </c>
      <c r="W37" s="98">
        <v>3.0000000000000001E-6</v>
      </c>
      <c r="X37" s="98">
        <v>2.4499999999999999E-4</v>
      </c>
      <c r="Y37" s="98">
        <v>1.5300000000000001E-4</v>
      </c>
      <c r="Z37" s="106"/>
    </row>
    <row r="38" spans="1:26" ht="15" customHeight="1">
      <c r="A38" s="106"/>
      <c r="B38" s="96">
        <v>286</v>
      </c>
      <c r="C38" s="96">
        <v>1446</v>
      </c>
      <c r="D38" s="96" t="s">
        <v>1898</v>
      </c>
      <c r="E38" s="96">
        <v>520038605</v>
      </c>
      <c r="F38" s="96" t="s">
        <v>308</v>
      </c>
      <c r="G38" s="96" t="s">
        <v>2484</v>
      </c>
      <c r="H38" s="96" t="s">
        <v>2485</v>
      </c>
      <c r="I38" s="96" t="s">
        <v>320</v>
      </c>
      <c r="J38" s="96" t="s">
        <v>918</v>
      </c>
      <c r="K38" s="96" t="s">
        <v>203</v>
      </c>
      <c r="L38" s="96" t="s">
        <v>203</v>
      </c>
      <c r="M38" s="96" t="s">
        <v>324</v>
      </c>
      <c r="N38" s="96" t="s">
        <v>339</v>
      </c>
      <c r="O38" s="96" t="s">
        <v>446</v>
      </c>
      <c r="P38" s="96" t="s">
        <v>337</v>
      </c>
      <c r="Q38" s="96" t="s">
        <v>1200</v>
      </c>
      <c r="R38" s="97">
        <v>239.486817</v>
      </c>
      <c r="S38" s="97">
        <v>1</v>
      </c>
      <c r="T38" s="97">
        <v>17980</v>
      </c>
      <c r="U38" s="96"/>
      <c r="V38" s="97">
        <v>43.059728999999997</v>
      </c>
      <c r="W38" s="98">
        <v>2.5999999999999998E-5</v>
      </c>
      <c r="X38" s="98">
        <v>1.103E-3</v>
      </c>
      <c r="Y38" s="98">
        <v>6.9200000000000002E-4</v>
      </c>
      <c r="Z38" s="106"/>
    </row>
    <row r="39" spans="1:26" ht="15" customHeight="1">
      <c r="A39" s="106"/>
      <c r="B39" s="96">
        <v>286</v>
      </c>
      <c r="C39" s="96">
        <v>1446</v>
      </c>
      <c r="D39" s="96" t="s">
        <v>2486</v>
      </c>
      <c r="E39" s="96">
        <v>520039132</v>
      </c>
      <c r="F39" s="96" t="s">
        <v>308</v>
      </c>
      <c r="G39" s="96" t="s">
        <v>2487</v>
      </c>
      <c r="H39" s="96" t="s">
        <v>2488</v>
      </c>
      <c r="I39" s="96" t="s">
        <v>320</v>
      </c>
      <c r="J39" s="96" t="s">
        <v>918</v>
      </c>
      <c r="K39" s="96" t="s">
        <v>203</v>
      </c>
      <c r="L39" s="96" t="s">
        <v>203</v>
      </c>
      <c r="M39" s="96" t="s">
        <v>324</v>
      </c>
      <c r="N39" s="96" t="s">
        <v>339</v>
      </c>
      <c r="O39" s="96" t="s">
        <v>463</v>
      </c>
      <c r="P39" s="96" t="s">
        <v>337</v>
      </c>
      <c r="Q39" s="96" t="s">
        <v>1200</v>
      </c>
      <c r="R39" s="97">
        <v>205.42610400000001</v>
      </c>
      <c r="S39" s="97">
        <v>1</v>
      </c>
      <c r="T39" s="97">
        <v>19190</v>
      </c>
      <c r="U39" s="96"/>
      <c r="V39" s="97">
        <v>39.421269000000002</v>
      </c>
      <c r="W39" s="98">
        <v>3.4999999999999997E-5</v>
      </c>
      <c r="X39" s="98">
        <v>1.01E-3</v>
      </c>
      <c r="Y39" s="98">
        <v>6.3299999999999999E-4</v>
      </c>
      <c r="Z39" s="106"/>
    </row>
    <row r="40" spans="1:26" ht="15" customHeight="1">
      <c r="A40" s="106"/>
      <c r="B40" s="96">
        <v>286</v>
      </c>
      <c r="C40" s="96">
        <v>1446</v>
      </c>
      <c r="D40" s="96" t="s">
        <v>2489</v>
      </c>
      <c r="E40" s="96">
        <v>516077989</v>
      </c>
      <c r="F40" s="96" t="s">
        <v>308</v>
      </c>
      <c r="G40" s="96" t="s">
        <v>2490</v>
      </c>
      <c r="H40" s="96" t="s">
        <v>2491</v>
      </c>
      <c r="I40" s="96" t="s">
        <v>320</v>
      </c>
      <c r="J40" s="96" t="s">
        <v>918</v>
      </c>
      <c r="K40" s="96" t="s">
        <v>203</v>
      </c>
      <c r="L40" s="96" t="s">
        <v>203</v>
      </c>
      <c r="M40" s="96" t="s">
        <v>324</v>
      </c>
      <c r="N40" s="96" t="s">
        <v>339</v>
      </c>
      <c r="O40" s="96" t="s">
        <v>439</v>
      </c>
      <c r="P40" s="96" t="s">
        <v>337</v>
      </c>
      <c r="Q40" s="96" t="s">
        <v>1200</v>
      </c>
      <c r="R40" s="97">
        <v>619.56174599999997</v>
      </c>
      <c r="S40" s="97">
        <v>1</v>
      </c>
      <c r="T40" s="97">
        <v>1731</v>
      </c>
      <c r="U40" s="96"/>
      <c r="V40" s="97">
        <v>10.724613</v>
      </c>
      <c r="W40" s="98">
        <v>3.4E-5</v>
      </c>
      <c r="X40" s="98">
        <v>2.7399999999999999E-4</v>
      </c>
      <c r="Y40" s="98">
        <v>1.7200000000000001E-4</v>
      </c>
      <c r="Z40" s="106"/>
    </row>
    <row r="41" spans="1:26" ht="15" customHeight="1">
      <c r="A41" s="106"/>
      <c r="B41" s="96">
        <v>286</v>
      </c>
      <c r="C41" s="96">
        <v>1446</v>
      </c>
      <c r="D41" s="96" t="s">
        <v>1546</v>
      </c>
      <c r="E41" s="96">
        <v>511930125</v>
      </c>
      <c r="F41" s="96" t="s">
        <v>308</v>
      </c>
      <c r="G41" s="96" t="s">
        <v>2492</v>
      </c>
      <c r="H41" s="96" t="s">
        <v>2493</v>
      </c>
      <c r="I41" s="96" t="s">
        <v>320</v>
      </c>
      <c r="J41" s="96" t="s">
        <v>918</v>
      </c>
      <c r="K41" s="96" t="s">
        <v>203</v>
      </c>
      <c r="L41" s="96" t="s">
        <v>203</v>
      </c>
      <c r="M41" s="96" t="s">
        <v>324</v>
      </c>
      <c r="N41" s="96" t="s">
        <v>339</v>
      </c>
      <c r="O41" s="96" t="s">
        <v>483</v>
      </c>
      <c r="P41" s="96" t="s">
        <v>337</v>
      </c>
      <c r="Q41" s="96" t="s">
        <v>1200</v>
      </c>
      <c r="R41" s="97">
        <v>4348.3135460000003</v>
      </c>
      <c r="S41" s="97">
        <v>1</v>
      </c>
      <c r="T41" s="97">
        <v>1320</v>
      </c>
      <c r="U41" s="96"/>
      <c r="V41" s="97">
        <v>57.397737999999997</v>
      </c>
      <c r="W41" s="98">
        <v>2.5999999999999998E-5</v>
      </c>
      <c r="X41" s="98">
        <v>1.47E-3</v>
      </c>
      <c r="Y41" s="98">
        <v>9.2199999999999997E-4</v>
      </c>
      <c r="Z41" s="106"/>
    </row>
    <row r="42" spans="1:26" ht="15" customHeight="1">
      <c r="A42" s="106"/>
      <c r="B42" s="96">
        <v>286</v>
      </c>
      <c r="C42" s="96">
        <v>1446</v>
      </c>
      <c r="D42" s="96" t="s">
        <v>2494</v>
      </c>
      <c r="E42" s="96">
        <v>513770669</v>
      </c>
      <c r="F42" s="96" t="s">
        <v>308</v>
      </c>
      <c r="G42" s="96" t="s">
        <v>2495</v>
      </c>
      <c r="H42" s="96" t="s">
        <v>2496</v>
      </c>
      <c r="I42" s="96" t="s">
        <v>320</v>
      </c>
      <c r="J42" s="96" t="s">
        <v>918</v>
      </c>
      <c r="K42" s="96" t="s">
        <v>203</v>
      </c>
      <c r="L42" s="96" t="s">
        <v>203</v>
      </c>
      <c r="M42" s="96" t="s">
        <v>324</v>
      </c>
      <c r="N42" s="96" t="s">
        <v>339</v>
      </c>
      <c r="O42" s="96" t="s">
        <v>474</v>
      </c>
      <c r="P42" s="96" t="s">
        <v>338</v>
      </c>
      <c r="Q42" s="96" t="s">
        <v>1200</v>
      </c>
      <c r="R42" s="97">
        <v>278.88555600000001</v>
      </c>
      <c r="S42" s="97">
        <v>1</v>
      </c>
      <c r="T42" s="97">
        <v>19750</v>
      </c>
      <c r="U42" s="96"/>
      <c r="V42" s="97">
        <v>55.079897000000003</v>
      </c>
      <c r="W42" s="98">
        <v>2.0000000000000002E-5</v>
      </c>
      <c r="X42" s="98">
        <v>1.41E-3</v>
      </c>
      <c r="Y42" s="98">
        <v>8.8500000000000004E-4</v>
      </c>
      <c r="Z42" s="106"/>
    </row>
    <row r="43" spans="1:26" ht="15" customHeight="1">
      <c r="A43" s="106"/>
      <c r="B43" s="96">
        <v>286</v>
      </c>
      <c r="C43" s="96">
        <v>1446</v>
      </c>
      <c r="D43" s="96" t="s">
        <v>1955</v>
      </c>
      <c r="E43" s="96">
        <v>516167343</v>
      </c>
      <c r="F43" s="96" t="s">
        <v>308</v>
      </c>
      <c r="G43" s="96" t="s">
        <v>2497</v>
      </c>
      <c r="H43" s="96" t="s">
        <v>2498</v>
      </c>
      <c r="I43" s="96" t="s">
        <v>320</v>
      </c>
      <c r="J43" s="96" t="s">
        <v>918</v>
      </c>
      <c r="K43" s="96" t="s">
        <v>203</v>
      </c>
      <c r="L43" s="96" t="s">
        <v>203</v>
      </c>
      <c r="M43" s="96" t="s">
        <v>324</v>
      </c>
      <c r="N43" s="96" t="s">
        <v>339</v>
      </c>
      <c r="O43" s="96" t="s">
        <v>439</v>
      </c>
      <c r="P43" s="96" t="s">
        <v>338</v>
      </c>
      <c r="Q43" s="96" t="s">
        <v>1200</v>
      </c>
      <c r="R43" s="97">
        <v>10683.460230999999</v>
      </c>
      <c r="S43" s="97">
        <v>1</v>
      </c>
      <c r="T43" s="97">
        <v>250.9</v>
      </c>
      <c r="U43" s="96"/>
      <c r="V43" s="97">
        <v>26.804801000000001</v>
      </c>
      <c r="W43" s="98">
        <v>1.5E-5</v>
      </c>
      <c r="X43" s="98">
        <v>6.8599999999999998E-4</v>
      </c>
      <c r="Y43" s="98">
        <v>4.2999999999999999E-4</v>
      </c>
      <c r="Z43" s="106"/>
    </row>
    <row r="44" spans="1:26" ht="15" customHeight="1">
      <c r="A44" s="106"/>
      <c r="B44" s="96">
        <v>286</v>
      </c>
      <c r="C44" s="96">
        <v>1446</v>
      </c>
      <c r="D44" s="96" t="s">
        <v>1212</v>
      </c>
      <c r="E44" s="96">
        <v>520007030</v>
      </c>
      <c r="F44" s="96" t="s">
        <v>308</v>
      </c>
      <c r="G44" s="96" t="s">
        <v>2499</v>
      </c>
      <c r="H44" s="96" t="s">
        <v>2500</v>
      </c>
      <c r="I44" s="96" t="s">
        <v>320</v>
      </c>
      <c r="J44" s="96" t="s">
        <v>918</v>
      </c>
      <c r="K44" s="96" t="s">
        <v>203</v>
      </c>
      <c r="L44" s="96" t="s">
        <v>203</v>
      </c>
      <c r="M44" s="96" t="s">
        <v>324</v>
      </c>
      <c r="N44" s="96" t="s">
        <v>339</v>
      </c>
      <c r="O44" s="96" t="s">
        <v>447</v>
      </c>
      <c r="P44" s="96" t="s">
        <v>338</v>
      </c>
      <c r="Q44" s="96" t="s">
        <v>1200</v>
      </c>
      <c r="R44" s="97">
        <v>28618.925093999998</v>
      </c>
      <c r="S44" s="97">
        <v>1</v>
      </c>
      <c r="T44" s="97">
        <v>1909</v>
      </c>
      <c r="U44" s="96"/>
      <c r="V44" s="97">
        <v>546.33527900000001</v>
      </c>
      <c r="W44" s="98">
        <v>2.3E-5</v>
      </c>
      <c r="X44" s="98">
        <v>1.3997000000000001E-2</v>
      </c>
      <c r="Y44" s="98">
        <v>8.7849999999999994E-3</v>
      </c>
      <c r="Z44" s="106"/>
    </row>
    <row r="45" spans="1:26" ht="15" customHeight="1">
      <c r="A45" s="106"/>
      <c r="B45" s="96">
        <v>286</v>
      </c>
      <c r="C45" s="96">
        <v>1446</v>
      </c>
      <c r="D45" s="96" t="s">
        <v>2501</v>
      </c>
      <c r="E45" s="96">
        <v>515935807</v>
      </c>
      <c r="F45" s="96" t="s">
        <v>308</v>
      </c>
      <c r="G45" s="96" t="s">
        <v>2502</v>
      </c>
      <c r="H45" s="96" t="s">
        <v>2503</v>
      </c>
      <c r="I45" s="96" t="s">
        <v>320</v>
      </c>
      <c r="J45" s="96" t="s">
        <v>918</v>
      </c>
      <c r="K45" s="96" t="s">
        <v>203</v>
      </c>
      <c r="L45" s="96" t="s">
        <v>203</v>
      </c>
      <c r="M45" s="96" t="s">
        <v>324</v>
      </c>
      <c r="N45" s="96" t="s">
        <v>339</v>
      </c>
      <c r="O45" s="96" t="s">
        <v>470</v>
      </c>
      <c r="P45" s="96" t="s">
        <v>337</v>
      </c>
      <c r="Q45" s="96" t="s">
        <v>1200</v>
      </c>
      <c r="R45" s="97">
        <v>6387.7873390000004</v>
      </c>
      <c r="S45" s="97">
        <v>1</v>
      </c>
      <c r="T45" s="97">
        <v>1770</v>
      </c>
      <c r="U45" s="96"/>
      <c r="V45" s="97">
        <v>113.063835</v>
      </c>
      <c r="W45" s="98">
        <v>4.3999999999999999E-5</v>
      </c>
      <c r="X45" s="98">
        <v>2.8960000000000001E-3</v>
      </c>
      <c r="Y45" s="98">
        <v>1.818E-3</v>
      </c>
      <c r="Z45" s="106"/>
    </row>
    <row r="46" spans="1:26" ht="15" customHeight="1">
      <c r="A46" s="106"/>
      <c r="B46" s="96">
        <v>286</v>
      </c>
      <c r="C46" s="96">
        <v>1446</v>
      </c>
      <c r="D46" s="96" t="s">
        <v>2436</v>
      </c>
      <c r="E46" s="96">
        <v>510607328</v>
      </c>
      <c r="F46" s="96" t="s">
        <v>308</v>
      </c>
      <c r="G46" s="96" t="s">
        <v>2504</v>
      </c>
      <c r="H46" s="96" t="s">
        <v>2438</v>
      </c>
      <c r="I46" s="96" t="s">
        <v>320</v>
      </c>
      <c r="J46" s="96" t="s">
        <v>918</v>
      </c>
      <c r="K46" s="96" t="s">
        <v>203</v>
      </c>
      <c r="L46" s="96" t="s">
        <v>203</v>
      </c>
      <c r="M46" s="96" t="s">
        <v>326</v>
      </c>
      <c r="N46" s="96" t="s">
        <v>339</v>
      </c>
      <c r="O46" s="96" t="s">
        <v>464</v>
      </c>
      <c r="P46" s="96" t="s">
        <v>338</v>
      </c>
      <c r="Q46" s="96" t="s">
        <v>1200</v>
      </c>
      <c r="R46" s="97">
        <v>11.911635</v>
      </c>
      <c r="S46" s="97">
        <v>1</v>
      </c>
      <c r="T46" s="97">
        <v>3086.3656000000001</v>
      </c>
      <c r="U46" s="96"/>
      <c r="V46" s="97">
        <v>0.36763600000000002</v>
      </c>
      <c r="W46" s="98">
        <v>0</v>
      </c>
      <c r="X46" s="98">
        <v>9.0000000000000002E-6</v>
      </c>
      <c r="Y46" s="98">
        <v>5.0000000000000004E-6</v>
      </c>
      <c r="Z46" s="106"/>
    </row>
    <row r="47" spans="1:26" ht="15" customHeight="1">
      <c r="A47" s="106"/>
      <c r="B47" s="96">
        <v>286</v>
      </c>
      <c r="C47" s="96">
        <v>1446</v>
      </c>
      <c r="D47" s="96" t="s">
        <v>2505</v>
      </c>
      <c r="E47" s="96">
        <v>513506329</v>
      </c>
      <c r="F47" s="96" t="s">
        <v>308</v>
      </c>
      <c r="G47" s="96" t="s">
        <v>2506</v>
      </c>
      <c r="H47" s="96" t="s">
        <v>2507</v>
      </c>
      <c r="I47" s="96" t="s">
        <v>320</v>
      </c>
      <c r="J47" s="96" t="s">
        <v>918</v>
      </c>
      <c r="K47" s="96" t="s">
        <v>203</v>
      </c>
      <c r="L47" s="96" t="s">
        <v>203</v>
      </c>
      <c r="M47" s="96" t="s">
        <v>324</v>
      </c>
      <c r="N47" s="96" t="s">
        <v>339</v>
      </c>
      <c r="O47" s="96" t="s">
        <v>455</v>
      </c>
      <c r="P47" s="96" t="s">
        <v>337</v>
      </c>
      <c r="Q47" s="96" t="s">
        <v>1200</v>
      </c>
      <c r="R47" s="97">
        <v>3150.8672139999999</v>
      </c>
      <c r="S47" s="97">
        <v>1</v>
      </c>
      <c r="T47" s="97">
        <v>207.6</v>
      </c>
      <c r="U47" s="96"/>
      <c r="V47" s="97">
        <v>6.5411999999999999</v>
      </c>
      <c r="W47" s="98">
        <v>3.8000000000000002E-5</v>
      </c>
      <c r="X47" s="98">
        <v>1.6699999999999999E-4</v>
      </c>
      <c r="Y47" s="98">
        <v>1.05E-4</v>
      </c>
      <c r="Z47" s="106"/>
    </row>
    <row r="48" spans="1:26" ht="15" customHeight="1">
      <c r="A48" s="106"/>
      <c r="B48" s="96">
        <v>286</v>
      </c>
      <c r="C48" s="96">
        <v>1446</v>
      </c>
      <c r="D48" s="96" t="s">
        <v>2508</v>
      </c>
      <c r="E48" s="96">
        <v>511725459</v>
      </c>
      <c r="F48" s="96" t="s">
        <v>308</v>
      </c>
      <c r="G48" s="96" t="s">
        <v>2509</v>
      </c>
      <c r="H48" s="96" t="s">
        <v>2510</v>
      </c>
      <c r="I48" s="96" t="s">
        <v>320</v>
      </c>
      <c r="J48" s="96" t="s">
        <v>918</v>
      </c>
      <c r="K48" s="96" t="s">
        <v>203</v>
      </c>
      <c r="L48" s="96" t="s">
        <v>203</v>
      </c>
      <c r="M48" s="96" t="s">
        <v>324</v>
      </c>
      <c r="N48" s="96" t="s">
        <v>339</v>
      </c>
      <c r="O48" s="96" t="s">
        <v>461</v>
      </c>
      <c r="P48" s="96" t="s">
        <v>338</v>
      </c>
      <c r="Q48" s="96" t="s">
        <v>1200</v>
      </c>
      <c r="R48" s="97">
        <v>451.80450500000001</v>
      </c>
      <c r="S48" s="97">
        <v>1</v>
      </c>
      <c r="T48" s="97">
        <v>5893</v>
      </c>
      <c r="U48" s="96"/>
      <c r="V48" s="97">
        <v>26.624839000000001</v>
      </c>
      <c r="W48" s="98">
        <v>2.0999999999999999E-5</v>
      </c>
      <c r="X48" s="98">
        <v>6.8199999999999999E-4</v>
      </c>
      <c r="Y48" s="98">
        <v>4.28E-4</v>
      </c>
      <c r="Z48" s="106"/>
    </row>
    <row r="49" spans="1:26" ht="15" customHeight="1">
      <c r="A49" s="106"/>
      <c r="B49" s="96">
        <v>286</v>
      </c>
      <c r="C49" s="96">
        <v>1446</v>
      </c>
      <c r="D49" s="96" t="s">
        <v>1385</v>
      </c>
      <c r="E49" s="96">
        <v>520017807</v>
      </c>
      <c r="F49" s="96" t="s">
        <v>308</v>
      </c>
      <c r="G49" s="96" t="s">
        <v>2511</v>
      </c>
      <c r="H49" s="96" t="s">
        <v>2512</v>
      </c>
      <c r="I49" s="96" t="s">
        <v>320</v>
      </c>
      <c r="J49" s="96" t="s">
        <v>918</v>
      </c>
      <c r="K49" s="96" t="s">
        <v>203</v>
      </c>
      <c r="L49" s="96" t="s">
        <v>203</v>
      </c>
      <c r="M49" s="96" t="s">
        <v>324</v>
      </c>
      <c r="N49" s="96" t="s">
        <v>339</v>
      </c>
      <c r="O49" s="96" t="s">
        <v>463</v>
      </c>
      <c r="P49" s="96" t="s">
        <v>337</v>
      </c>
      <c r="Q49" s="96" t="s">
        <v>1200</v>
      </c>
      <c r="R49" s="97">
        <v>189.34002799999999</v>
      </c>
      <c r="S49" s="97">
        <v>1</v>
      </c>
      <c r="T49" s="97">
        <v>65930</v>
      </c>
      <c r="U49" s="96"/>
      <c r="V49" s="97">
        <v>124.83188</v>
      </c>
      <c r="W49" s="98">
        <v>3.6999999999999998E-5</v>
      </c>
      <c r="X49" s="98">
        <v>3.1979999999999999E-3</v>
      </c>
      <c r="Y49" s="98">
        <v>2.0070000000000001E-3</v>
      </c>
      <c r="Z49" s="106"/>
    </row>
    <row r="50" spans="1:26" ht="15" customHeight="1">
      <c r="A50" s="106"/>
      <c r="B50" s="96">
        <v>286</v>
      </c>
      <c r="C50" s="96">
        <v>1446</v>
      </c>
      <c r="D50" s="96" t="s">
        <v>1929</v>
      </c>
      <c r="E50" s="96">
        <v>520044314</v>
      </c>
      <c r="F50" s="96" t="s">
        <v>308</v>
      </c>
      <c r="G50" s="96" t="s">
        <v>2513</v>
      </c>
      <c r="H50" s="96" t="s">
        <v>2514</v>
      </c>
      <c r="I50" s="96" t="s">
        <v>320</v>
      </c>
      <c r="J50" s="96" t="s">
        <v>918</v>
      </c>
      <c r="K50" s="96" t="s">
        <v>203</v>
      </c>
      <c r="L50" s="96" t="s">
        <v>203</v>
      </c>
      <c r="M50" s="96" t="s">
        <v>324</v>
      </c>
      <c r="N50" s="96" t="s">
        <v>339</v>
      </c>
      <c r="O50" s="96" t="s">
        <v>483</v>
      </c>
      <c r="P50" s="96" t="s">
        <v>337</v>
      </c>
      <c r="Q50" s="96" t="s">
        <v>1200</v>
      </c>
      <c r="R50" s="97">
        <v>6340.3720620000004</v>
      </c>
      <c r="S50" s="97">
        <v>1</v>
      </c>
      <c r="T50" s="97">
        <v>1535</v>
      </c>
      <c r="U50" s="96"/>
      <c r="V50" s="97">
        <v>97.324709999999996</v>
      </c>
      <c r="W50" s="98">
        <v>3.4E-5</v>
      </c>
      <c r="X50" s="98">
        <v>2.4919999999999999E-3</v>
      </c>
      <c r="Y50" s="98">
        <v>1.5640000000000001E-3</v>
      </c>
      <c r="Z50" s="106"/>
    </row>
    <row r="51" spans="1:26" ht="15" customHeight="1">
      <c r="A51" s="106"/>
      <c r="B51" s="96">
        <v>286</v>
      </c>
      <c r="C51" s="96">
        <v>1446</v>
      </c>
      <c r="D51" s="96" t="s">
        <v>2515</v>
      </c>
      <c r="E51" s="96">
        <v>2250</v>
      </c>
      <c r="F51" s="96" t="s">
        <v>80</v>
      </c>
      <c r="G51" s="96" t="s">
        <v>2516</v>
      </c>
      <c r="H51" s="96" t="s">
        <v>2517</v>
      </c>
      <c r="I51" s="96" t="s">
        <v>320</v>
      </c>
      <c r="J51" s="96" t="s">
        <v>918</v>
      </c>
      <c r="K51" s="96" t="s">
        <v>203</v>
      </c>
      <c r="L51" s="96" t="s">
        <v>223</v>
      </c>
      <c r="M51" s="96" t="s">
        <v>324</v>
      </c>
      <c r="N51" s="96" t="s">
        <v>339</v>
      </c>
      <c r="O51" s="96" t="s">
        <v>440</v>
      </c>
      <c r="P51" s="96" t="s">
        <v>338</v>
      </c>
      <c r="Q51" s="96" t="s">
        <v>1200</v>
      </c>
      <c r="R51" s="97">
        <v>725.75755200000003</v>
      </c>
      <c r="S51" s="97">
        <v>1</v>
      </c>
      <c r="T51" s="97">
        <v>26580</v>
      </c>
      <c r="U51" s="96"/>
      <c r="V51" s="97">
        <v>192.90635599999999</v>
      </c>
      <c r="W51" s="98">
        <v>1.2E-5</v>
      </c>
      <c r="X51" s="98">
        <v>4.9420000000000002E-3</v>
      </c>
      <c r="Y51" s="98">
        <v>3.101E-3</v>
      </c>
      <c r="Z51" s="106"/>
    </row>
    <row r="52" spans="1:26" ht="15" customHeight="1">
      <c r="A52" s="106"/>
      <c r="B52" s="96">
        <v>286</v>
      </c>
      <c r="C52" s="96">
        <v>1446</v>
      </c>
      <c r="D52" s="96" t="s">
        <v>1333</v>
      </c>
      <c r="E52" s="96">
        <v>520024126</v>
      </c>
      <c r="F52" s="96" t="s">
        <v>308</v>
      </c>
      <c r="G52" s="96" t="s">
        <v>2518</v>
      </c>
      <c r="H52" s="96" t="s">
        <v>2519</v>
      </c>
      <c r="I52" s="96" t="s">
        <v>320</v>
      </c>
      <c r="J52" s="96" t="s">
        <v>918</v>
      </c>
      <c r="K52" s="96" t="s">
        <v>203</v>
      </c>
      <c r="L52" s="96" t="s">
        <v>203</v>
      </c>
      <c r="M52" s="96" t="s">
        <v>324</v>
      </c>
      <c r="N52" s="96" t="s">
        <v>339</v>
      </c>
      <c r="O52" s="96" t="s">
        <v>463</v>
      </c>
      <c r="P52" s="96" t="s">
        <v>337</v>
      </c>
      <c r="Q52" s="96" t="s">
        <v>1200</v>
      </c>
      <c r="R52" s="97">
        <v>39034.736297000003</v>
      </c>
      <c r="S52" s="97">
        <v>1</v>
      </c>
      <c r="T52" s="97">
        <v>881</v>
      </c>
      <c r="U52" s="96"/>
      <c r="V52" s="97">
        <v>343.89602600000001</v>
      </c>
      <c r="W52" s="98">
        <v>5.1E-5</v>
      </c>
      <c r="X52" s="98">
        <v>8.8100000000000001E-3</v>
      </c>
      <c r="Y52" s="98">
        <v>5.5290000000000001E-3</v>
      </c>
      <c r="Z52" s="106"/>
    </row>
    <row r="53" spans="1:26" ht="15" customHeight="1">
      <c r="A53" s="106"/>
      <c r="B53" s="96">
        <v>286</v>
      </c>
      <c r="C53" s="96">
        <v>1446</v>
      </c>
      <c r="D53" s="96" t="s">
        <v>2520</v>
      </c>
      <c r="E53" s="96">
        <v>516084753</v>
      </c>
      <c r="F53" s="96" t="s">
        <v>308</v>
      </c>
      <c r="G53" s="96" t="s">
        <v>2521</v>
      </c>
      <c r="H53" s="96" t="s">
        <v>2522</v>
      </c>
      <c r="I53" s="96" t="s">
        <v>320</v>
      </c>
      <c r="J53" s="96" t="s">
        <v>918</v>
      </c>
      <c r="K53" s="96" t="s">
        <v>203</v>
      </c>
      <c r="L53" s="96" t="s">
        <v>203</v>
      </c>
      <c r="M53" s="96" t="s">
        <v>324</v>
      </c>
      <c r="N53" s="96" t="s">
        <v>339</v>
      </c>
      <c r="O53" s="96" t="s">
        <v>450</v>
      </c>
      <c r="P53" s="96" t="s">
        <v>338</v>
      </c>
      <c r="Q53" s="96" t="s">
        <v>1200</v>
      </c>
      <c r="R53" s="97">
        <v>360.92630700000001</v>
      </c>
      <c r="S53" s="97">
        <v>1</v>
      </c>
      <c r="T53" s="97">
        <v>5496</v>
      </c>
      <c r="U53" s="96"/>
      <c r="V53" s="97">
        <v>19.836509</v>
      </c>
      <c r="W53" s="98">
        <v>1.4E-5</v>
      </c>
      <c r="X53" s="98">
        <v>5.0799999999999999E-4</v>
      </c>
      <c r="Y53" s="98">
        <v>3.1799999999999998E-4</v>
      </c>
      <c r="Z53" s="106"/>
    </row>
    <row r="54" spans="1:26" ht="15" customHeight="1">
      <c r="A54" s="106"/>
      <c r="B54" s="96">
        <v>286</v>
      </c>
      <c r="C54" s="96">
        <v>1446</v>
      </c>
      <c r="D54" s="96" t="s">
        <v>1926</v>
      </c>
      <c r="E54" s="96">
        <v>520030859</v>
      </c>
      <c r="F54" s="96" t="s">
        <v>308</v>
      </c>
      <c r="G54" s="96" t="s">
        <v>2523</v>
      </c>
      <c r="H54" s="96" t="s">
        <v>2524</v>
      </c>
      <c r="I54" s="96" t="s">
        <v>320</v>
      </c>
      <c r="J54" s="96" t="s">
        <v>918</v>
      </c>
      <c r="K54" s="96" t="s">
        <v>203</v>
      </c>
      <c r="L54" s="96" t="s">
        <v>203</v>
      </c>
      <c r="M54" s="96" t="s">
        <v>324</v>
      </c>
      <c r="N54" s="96" t="s">
        <v>339</v>
      </c>
      <c r="O54" s="96" t="s">
        <v>450</v>
      </c>
      <c r="P54" s="96" t="s">
        <v>337</v>
      </c>
      <c r="Q54" s="96" t="s">
        <v>1200</v>
      </c>
      <c r="R54" s="97">
        <v>1239.6151</v>
      </c>
      <c r="S54" s="97">
        <v>1</v>
      </c>
      <c r="T54" s="97">
        <v>10800</v>
      </c>
      <c r="U54" s="96"/>
      <c r="V54" s="97">
        <v>133.87842900000001</v>
      </c>
      <c r="W54" s="98">
        <v>3.4E-5</v>
      </c>
      <c r="X54" s="98">
        <v>3.4290000000000002E-3</v>
      </c>
      <c r="Y54" s="98">
        <v>2.1519999999999998E-3</v>
      </c>
      <c r="Z54" s="106"/>
    </row>
    <row r="55" spans="1:26" ht="15" customHeight="1">
      <c r="A55" s="106"/>
      <c r="B55" s="96">
        <v>286</v>
      </c>
      <c r="C55" s="96">
        <v>1446</v>
      </c>
      <c r="D55" s="96" t="s">
        <v>2525</v>
      </c>
      <c r="E55" s="96">
        <v>515434074</v>
      </c>
      <c r="F55" s="96" t="s">
        <v>308</v>
      </c>
      <c r="G55" s="96" t="s">
        <v>2526</v>
      </c>
      <c r="H55" s="96" t="s">
        <v>2527</v>
      </c>
      <c r="I55" s="96" t="s">
        <v>320</v>
      </c>
      <c r="J55" s="96" t="s">
        <v>918</v>
      </c>
      <c r="K55" s="96" t="s">
        <v>203</v>
      </c>
      <c r="L55" s="96" t="s">
        <v>203</v>
      </c>
      <c r="M55" s="96" t="s">
        <v>324</v>
      </c>
      <c r="N55" s="96" t="s">
        <v>339</v>
      </c>
      <c r="O55" s="96" t="s">
        <v>463</v>
      </c>
      <c r="P55" s="96" t="s">
        <v>337</v>
      </c>
      <c r="Q55" s="96" t="s">
        <v>1200</v>
      </c>
      <c r="R55" s="97">
        <v>9658.9583160000002</v>
      </c>
      <c r="S55" s="97">
        <v>1</v>
      </c>
      <c r="T55" s="97">
        <v>352.2</v>
      </c>
      <c r="U55" s="96"/>
      <c r="V55" s="97">
        <v>34.018850999999998</v>
      </c>
      <c r="W55" s="98">
        <v>6.6000000000000005E-5</v>
      </c>
      <c r="X55" s="98">
        <v>8.7100000000000003E-4</v>
      </c>
      <c r="Y55" s="98">
        <v>5.4699999999999996E-4</v>
      </c>
      <c r="Z55" s="106"/>
    </row>
    <row r="56" spans="1:26" ht="15" customHeight="1">
      <c r="A56" s="106"/>
      <c r="B56" s="96">
        <v>286</v>
      </c>
      <c r="C56" s="96">
        <v>1446</v>
      </c>
      <c r="D56" s="96" t="s">
        <v>1424</v>
      </c>
      <c r="E56" s="96">
        <v>513775163</v>
      </c>
      <c r="F56" s="96" t="s">
        <v>308</v>
      </c>
      <c r="G56" s="96" t="s">
        <v>2528</v>
      </c>
      <c r="H56" s="96" t="s">
        <v>2529</v>
      </c>
      <c r="I56" s="96" t="s">
        <v>320</v>
      </c>
      <c r="J56" s="96" t="s">
        <v>918</v>
      </c>
      <c r="K56" s="96" t="s">
        <v>203</v>
      </c>
      <c r="L56" s="96" t="s">
        <v>203</v>
      </c>
      <c r="M56" s="96" t="s">
        <v>324</v>
      </c>
      <c r="N56" s="96" t="s">
        <v>339</v>
      </c>
      <c r="O56" s="96" t="s">
        <v>439</v>
      </c>
      <c r="P56" s="96" t="s">
        <v>337</v>
      </c>
      <c r="Q56" s="96" t="s">
        <v>1200</v>
      </c>
      <c r="R56" s="97">
        <v>546.20231899999999</v>
      </c>
      <c r="S56" s="97">
        <v>1</v>
      </c>
      <c r="T56" s="97">
        <v>6189</v>
      </c>
      <c r="U56" s="96"/>
      <c r="V56" s="97">
        <v>33.804459999999999</v>
      </c>
      <c r="W56" s="98">
        <v>4.3000000000000002E-5</v>
      </c>
      <c r="X56" s="98">
        <v>8.6499999999999999E-4</v>
      </c>
      <c r="Y56" s="98">
        <v>5.4199999999999995E-4</v>
      </c>
      <c r="Z56" s="106"/>
    </row>
    <row r="57" spans="1:26" ht="15" customHeight="1">
      <c r="A57" s="106"/>
      <c r="B57" s="96">
        <v>286</v>
      </c>
      <c r="C57" s="96">
        <v>1446</v>
      </c>
      <c r="D57" s="96" t="s">
        <v>2530</v>
      </c>
      <c r="E57" s="96"/>
      <c r="F57" s="96" t="s">
        <v>308</v>
      </c>
      <c r="G57" s="96" t="s">
        <v>2531</v>
      </c>
      <c r="H57" s="96" t="s">
        <v>2532</v>
      </c>
      <c r="I57" s="96" t="s">
        <v>320</v>
      </c>
      <c r="J57" s="96" t="s">
        <v>918</v>
      </c>
      <c r="K57" s="96" t="s">
        <v>203</v>
      </c>
      <c r="L57" s="96" t="s">
        <v>203</v>
      </c>
      <c r="M57" s="96" t="s">
        <v>324</v>
      </c>
      <c r="N57" s="96" t="s">
        <v>339</v>
      </c>
      <c r="O57" s="96" t="s">
        <v>476</v>
      </c>
      <c r="P57" s="96" t="s">
        <v>338</v>
      </c>
      <c r="Q57" s="96" t="s">
        <v>1200</v>
      </c>
      <c r="R57" s="97">
        <v>7123.980536</v>
      </c>
      <c r="S57" s="97">
        <v>1</v>
      </c>
      <c r="T57" s="97">
        <v>433.5</v>
      </c>
      <c r="U57" s="96"/>
      <c r="V57" s="97">
        <v>30.882455</v>
      </c>
      <c r="W57" s="98">
        <v>1.7E-5</v>
      </c>
      <c r="X57" s="98">
        <v>7.9100000000000004E-4</v>
      </c>
      <c r="Y57" s="98">
        <v>4.9600000000000002E-4</v>
      </c>
      <c r="Z57" s="106"/>
    </row>
    <row r="58" spans="1:26" ht="15" customHeight="1">
      <c r="A58" s="106"/>
      <c r="B58" s="96">
        <v>286</v>
      </c>
      <c r="C58" s="96">
        <v>1446</v>
      </c>
      <c r="D58" s="96" t="s">
        <v>1354</v>
      </c>
      <c r="E58" s="96">
        <v>513893123</v>
      </c>
      <c r="F58" s="96" t="s">
        <v>308</v>
      </c>
      <c r="G58" s="96" t="s">
        <v>2533</v>
      </c>
      <c r="H58" s="96" t="s">
        <v>2534</v>
      </c>
      <c r="I58" s="96" t="s">
        <v>320</v>
      </c>
      <c r="J58" s="96" t="s">
        <v>918</v>
      </c>
      <c r="K58" s="96" t="s">
        <v>203</v>
      </c>
      <c r="L58" s="96" t="s">
        <v>203</v>
      </c>
      <c r="M58" s="96" t="s">
        <v>324</v>
      </c>
      <c r="N58" s="96" t="s">
        <v>339</v>
      </c>
      <c r="O58" s="96" t="s">
        <v>442</v>
      </c>
      <c r="P58" s="96" t="s">
        <v>338</v>
      </c>
      <c r="Q58" s="96" t="s">
        <v>1200</v>
      </c>
      <c r="R58" s="97">
        <v>68.279132000000004</v>
      </c>
      <c r="S58" s="97">
        <v>1</v>
      </c>
      <c r="T58" s="97">
        <v>47140</v>
      </c>
      <c r="U58" s="96"/>
      <c r="V58" s="97">
        <v>32.186782999999998</v>
      </c>
      <c r="W58" s="98">
        <v>2.3E-5</v>
      </c>
      <c r="X58" s="98">
        <v>8.2399999999999997E-4</v>
      </c>
      <c r="Y58" s="98">
        <v>5.1699999999999999E-4</v>
      </c>
      <c r="Z58" s="106"/>
    </row>
    <row r="59" spans="1:26" ht="15" customHeight="1">
      <c r="A59" s="106"/>
      <c r="B59" s="96">
        <v>286</v>
      </c>
      <c r="C59" s="96">
        <v>1446</v>
      </c>
      <c r="D59" s="96" t="s">
        <v>1440</v>
      </c>
      <c r="E59" s="96">
        <v>513992529</v>
      </c>
      <c r="F59" s="96" t="s">
        <v>308</v>
      </c>
      <c r="G59" s="96" t="s">
        <v>2535</v>
      </c>
      <c r="H59" s="96" t="s">
        <v>2536</v>
      </c>
      <c r="I59" s="96" t="s">
        <v>320</v>
      </c>
      <c r="J59" s="96" t="s">
        <v>918</v>
      </c>
      <c r="K59" s="96" t="s">
        <v>203</v>
      </c>
      <c r="L59" s="96" t="s">
        <v>203</v>
      </c>
      <c r="M59" s="96" t="s">
        <v>324</v>
      </c>
      <c r="N59" s="96" t="s">
        <v>339</v>
      </c>
      <c r="O59" s="96" t="s">
        <v>463</v>
      </c>
      <c r="P59" s="96" t="s">
        <v>338</v>
      </c>
      <c r="Q59" s="96" t="s">
        <v>1200</v>
      </c>
      <c r="R59" s="97">
        <v>4216.0172780000003</v>
      </c>
      <c r="S59" s="97">
        <v>1</v>
      </c>
      <c r="T59" s="97">
        <v>661.9</v>
      </c>
      <c r="U59" s="96"/>
      <c r="V59" s="97">
        <v>27.905816999999999</v>
      </c>
      <c r="W59" s="98">
        <v>1.8E-5</v>
      </c>
      <c r="X59" s="98">
        <v>7.1400000000000001E-4</v>
      </c>
      <c r="Y59" s="98">
        <v>4.4799999999999999E-4</v>
      </c>
      <c r="Z59" s="106"/>
    </row>
    <row r="60" spans="1:26" ht="15" customHeight="1">
      <c r="A60" s="106"/>
      <c r="B60" s="96">
        <v>286</v>
      </c>
      <c r="C60" s="96">
        <v>1446</v>
      </c>
      <c r="D60" s="96" t="s">
        <v>1771</v>
      </c>
      <c r="E60" s="96">
        <v>515364891</v>
      </c>
      <c r="F60" s="96" t="s">
        <v>308</v>
      </c>
      <c r="G60" s="96" t="s">
        <v>2537</v>
      </c>
      <c r="H60" s="96" t="s">
        <v>2538</v>
      </c>
      <c r="I60" s="96" t="s">
        <v>320</v>
      </c>
      <c r="J60" s="96" t="s">
        <v>918</v>
      </c>
      <c r="K60" s="96" t="s">
        <v>203</v>
      </c>
      <c r="L60" s="96" t="s">
        <v>203</v>
      </c>
      <c r="M60" s="96" t="s">
        <v>324</v>
      </c>
      <c r="N60" s="96" t="s">
        <v>339</v>
      </c>
      <c r="O60" s="96" t="s">
        <v>440</v>
      </c>
      <c r="P60" s="96" t="s">
        <v>338</v>
      </c>
      <c r="Q60" s="96" t="s">
        <v>1200</v>
      </c>
      <c r="R60" s="97">
        <v>32.483313000000003</v>
      </c>
      <c r="S60" s="97">
        <v>1</v>
      </c>
      <c r="T60" s="97">
        <v>995.7</v>
      </c>
      <c r="U60" s="96"/>
      <c r="V60" s="97">
        <v>0.323436</v>
      </c>
      <c r="W60" s="98">
        <v>0</v>
      </c>
      <c r="X60" s="98">
        <v>7.9999999999999996E-6</v>
      </c>
      <c r="Y60" s="98">
        <v>5.0000000000000004E-6</v>
      </c>
      <c r="Z60" s="106"/>
    </row>
    <row r="61" spans="1:26" ht="15" customHeight="1">
      <c r="A61" s="106"/>
      <c r="B61" s="96">
        <v>286</v>
      </c>
      <c r="C61" s="96">
        <v>1446</v>
      </c>
      <c r="D61" s="96" t="s">
        <v>2539</v>
      </c>
      <c r="E61" s="96"/>
      <c r="F61" s="96" t="s">
        <v>308</v>
      </c>
      <c r="G61" s="96" t="s">
        <v>2540</v>
      </c>
      <c r="H61" s="96" t="s">
        <v>2541</v>
      </c>
      <c r="I61" s="96" t="s">
        <v>320</v>
      </c>
      <c r="J61" s="96" t="s">
        <v>918</v>
      </c>
      <c r="K61" s="96" t="s">
        <v>203</v>
      </c>
      <c r="L61" s="96" t="s">
        <v>203</v>
      </c>
      <c r="M61" s="96" t="s">
        <v>324</v>
      </c>
      <c r="N61" s="96" t="s">
        <v>339</v>
      </c>
      <c r="O61" s="96" t="s">
        <v>475</v>
      </c>
      <c r="P61" s="96" t="s">
        <v>338</v>
      </c>
      <c r="Q61" s="96" t="s">
        <v>1200</v>
      </c>
      <c r="R61" s="97">
        <v>26.815512999999999</v>
      </c>
      <c r="S61" s="97">
        <v>1</v>
      </c>
      <c r="T61" s="97">
        <v>5741</v>
      </c>
      <c r="U61" s="96"/>
      <c r="V61" s="97">
        <v>1.5394779999999999</v>
      </c>
      <c r="W61" s="98">
        <v>9.9999999999999995E-7</v>
      </c>
      <c r="X61" s="98">
        <v>3.8999999999999999E-5</v>
      </c>
      <c r="Y61" s="98">
        <v>2.4000000000000001E-5</v>
      </c>
      <c r="Z61" s="106"/>
    </row>
    <row r="62" spans="1:26" ht="15" customHeight="1">
      <c r="A62" s="106"/>
      <c r="B62" s="96">
        <v>286</v>
      </c>
      <c r="C62" s="96">
        <v>1446</v>
      </c>
      <c r="D62" s="96" t="s">
        <v>1496</v>
      </c>
      <c r="E62" s="96">
        <v>510216054</v>
      </c>
      <c r="F62" s="96" t="s">
        <v>308</v>
      </c>
      <c r="G62" s="96" t="s">
        <v>2542</v>
      </c>
      <c r="H62" s="96" t="s">
        <v>2543</v>
      </c>
      <c r="I62" s="96" t="s">
        <v>320</v>
      </c>
      <c r="J62" s="96" t="s">
        <v>918</v>
      </c>
      <c r="K62" s="96" t="s">
        <v>203</v>
      </c>
      <c r="L62" s="96" t="s">
        <v>203</v>
      </c>
      <c r="M62" s="96" t="s">
        <v>324</v>
      </c>
      <c r="N62" s="96" t="s">
        <v>339</v>
      </c>
      <c r="O62" s="96" t="s">
        <v>439</v>
      </c>
      <c r="P62" s="96" t="s">
        <v>337</v>
      </c>
      <c r="Q62" s="96" t="s">
        <v>1200</v>
      </c>
      <c r="R62" s="97">
        <v>475.12609700000002</v>
      </c>
      <c r="S62" s="97">
        <v>1</v>
      </c>
      <c r="T62" s="97">
        <v>34440</v>
      </c>
      <c r="U62" s="96"/>
      <c r="V62" s="97">
        <v>163.63342700000001</v>
      </c>
      <c r="W62" s="98">
        <v>4.3999999999999999E-5</v>
      </c>
      <c r="X62" s="98">
        <v>4.1910000000000003E-3</v>
      </c>
      <c r="Y62" s="98">
        <v>2.6310000000000001E-3</v>
      </c>
      <c r="Z62" s="106"/>
    </row>
    <row r="63" spans="1:26" ht="15" customHeight="1">
      <c r="A63" s="106"/>
      <c r="B63" s="96">
        <v>286</v>
      </c>
      <c r="C63" s="96">
        <v>1446</v>
      </c>
      <c r="D63" s="96" t="s">
        <v>1406</v>
      </c>
      <c r="E63" s="96">
        <v>520025586</v>
      </c>
      <c r="F63" s="96" t="s">
        <v>308</v>
      </c>
      <c r="G63" s="96" t="s">
        <v>2544</v>
      </c>
      <c r="H63" s="96" t="s">
        <v>2545</v>
      </c>
      <c r="I63" s="96" t="s">
        <v>320</v>
      </c>
      <c r="J63" s="96" t="s">
        <v>918</v>
      </c>
      <c r="K63" s="96" t="s">
        <v>203</v>
      </c>
      <c r="L63" s="96" t="s">
        <v>203</v>
      </c>
      <c r="M63" s="96" t="s">
        <v>324</v>
      </c>
      <c r="N63" s="96" t="s">
        <v>339</v>
      </c>
      <c r="O63" s="96" t="s">
        <v>450</v>
      </c>
      <c r="P63" s="96" t="s">
        <v>338</v>
      </c>
      <c r="Q63" s="96" t="s">
        <v>1200</v>
      </c>
      <c r="R63" s="97">
        <v>1393.438936</v>
      </c>
      <c r="S63" s="97">
        <v>1</v>
      </c>
      <c r="T63" s="97">
        <v>499</v>
      </c>
      <c r="U63" s="96"/>
      <c r="V63" s="97">
        <v>6.9532600000000002</v>
      </c>
      <c r="W63" s="98">
        <v>2.0999999999999999E-5</v>
      </c>
      <c r="X63" s="98">
        <v>1.7799999999999999E-4</v>
      </c>
      <c r="Y63" s="98">
        <v>1.11E-4</v>
      </c>
      <c r="Z63" s="106"/>
    </row>
    <row r="64" spans="1:26" ht="15" customHeight="1">
      <c r="A64" s="106"/>
      <c r="B64" s="96">
        <v>286</v>
      </c>
      <c r="C64" s="96">
        <v>1446</v>
      </c>
      <c r="D64" s="96" t="s">
        <v>2546</v>
      </c>
      <c r="E64" s="96">
        <v>520025198</v>
      </c>
      <c r="F64" s="96" t="s">
        <v>308</v>
      </c>
      <c r="G64" s="96" t="s">
        <v>2547</v>
      </c>
      <c r="H64" s="96" t="s">
        <v>2548</v>
      </c>
      <c r="I64" s="96" t="s">
        <v>320</v>
      </c>
      <c r="J64" s="96" t="s">
        <v>918</v>
      </c>
      <c r="K64" s="96" t="s">
        <v>203</v>
      </c>
      <c r="L64" s="96" t="s">
        <v>203</v>
      </c>
      <c r="M64" s="96" t="s">
        <v>324</v>
      </c>
      <c r="N64" s="96" t="s">
        <v>339</v>
      </c>
      <c r="O64" s="96" t="s">
        <v>475</v>
      </c>
      <c r="P64" s="96" t="s">
        <v>337</v>
      </c>
      <c r="Q64" s="96" t="s">
        <v>1200</v>
      </c>
      <c r="R64" s="97">
        <v>213.810023</v>
      </c>
      <c r="S64" s="97">
        <v>1</v>
      </c>
      <c r="T64" s="97">
        <v>8237</v>
      </c>
      <c r="U64" s="96"/>
      <c r="V64" s="97">
        <v>17.611530999999999</v>
      </c>
      <c r="W64" s="98">
        <v>3.3000000000000003E-5</v>
      </c>
      <c r="X64" s="98">
        <v>4.5100000000000001E-4</v>
      </c>
      <c r="Y64" s="98">
        <v>2.8299999999999999E-4</v>
      </c>
      <c r="Z64" s="106"/>
    </row>
    <row r="65" spans="1:26" ht="15" customHeight="1">
      <c r="A65" s="106"/>
      <c r="B65" s="96">
        <v>286</v>
      </c>
      <c r="C65" s="96">
        <v>1446</v>
      </c>
      <c r="D65" s="96" t="s">
        <v>2549</v>
      </c>
      <c r="E65" s="96">
        <v>520013954</v>
      </c>
      <c r="F65" s="96" t="s">
        <v>308</v>
      </c>
      <c r="G65" s="96" t="s">
        <v>2550</v>
      </c>
      <c r="H65" s="96" t="s">
        <v>2551</v>
      </c>
      <c r="I65" s="96" t="s">
        <v>320</v>
      </c>
      <c r="J65" s="96" t="s">
        <v>918</v>
      </c>
      <c r="K65" s="96" t="s">
        <v>203</v>
      </c>
      <c r="L65" s="96" t="s">
        <v>203</v>
      </c>
      <c r="M65" s="96" t="s">
        <v>324</v>
      </c>
      <c r="N65" s="96" t="s">
        <v>339</v>
      </c>
      <c r="O65" s="96" t="s">
        <v>466</v>
      </c>
      <c r="P65" s="96" t="s">
        <v>338</v>
      </c>
      <c r="Q65" s="96" t="s">
        <v>1200</v>
      </c>
      <c r="R65" s="97">
        <v>3515.2606179999998</v>
      </c>
      <c r="S65" s="97">
        <v>1</v>
      </c>
      <c r="T65" s="97">
        <v>6120</v>
      </c>
      <c r="U65" s="96"/>
      <c r="V65" s="97">
        <v>215.133948</v>
      </c>
      <c r="W65" s="98">
        <v>3.0000000000000001E-6</v>
      </c>
      <c r="X65" s="98">
        <v>5.5100000000000001E-3</v>
      </c>
      <c r="Y65" s="98">
        <v>3.4580000000000001E-3</v>
      </c>
      <c r="Z65" s="106"/>
    </row>
    <row r="66" spans="1:26" ht="15" customHeight="1">
      <c r="A66" s="106"/>
      <c r="B66" s="96">
        <v>286</v>
      </c>
      <c r="C66" s="96">
        <v>1446</v>
      </c>
      <c r="D66" s="96" t="s">
        <v>1669</v>
      </c>
      <c r="E66" s="96">
        <v>511344186</v>
      </c>
      <c r="F66" s="96" t="s">
        <v>308</v>
      </c>
      <c r="G66" s="96" t="s">
        <v>2552</v>
      </c>
      <c r="H66" s="96" t="s">
        <v>2553</v>
      </c>
      <c r="I66" s="96" t="s">
        <v>320</v>
      </c>
      <c r="J66" s="96" t="s">
        <v>918</v>
      </c>
      <c r="K66" s="96" t="s">
        <v>203</v>
      </c>
      <c r="L66" s="96" t="s">
        <v>203</v>
      </c>
      <c r="M66" s="96" t="s">
        <v>324</v>
      </c>
      <c r="N66" s="96" t="s">
        <v>339</v>
      </c>
      <c r="O66" s="96" t="s">
        <v>474</v>
      </c>
      <c r="P66" s="96" t="s">
        <v>338</v>
      </c>
      <c r="Q66" s="96" t="s">
        <v>1200</v>
      </c>
      <c r="R66" s="97">
        <v>312.42955999999998</v>
      </c>
      <c r="S66" s="97">
        <v>1</v>
      </c>
      <c r="T66" s="97">
        <v>17990</v>
      </c>
      <c r="U66" s="96"/>
      <c r="V66" s="97">
        <v>56.206077000000001</v>
      </c>
      <c r="W66" s="98">
        <v>2.0999999999999999E-5</v>
      </c>
      <c r="X66" s="98">
        <v>1.4400000000000001E-3</v>
      </c>
      <c r="Y66" s="98">
        <v>9.0300000000000005E-4</v>
      </c>
      <c r="Z66" s="106"/>
    </row>
    <row r="67" spans="1:26" ht="15" customHeight="1">
      <c r="A67" s="106"/>
      <c r="B67" s="96">
        <v>286</v>
      </c>
      <c r="C67" s="96">
        <v>1446</v>
      </c>
      <c r="D67" s="96" t="s">
        <v>2554</v>
      </c>
      <c r="E67" s="96">
        <v>513201582</v>
      </c>
      <c r="F67" s="96" t="s">
        <v>308</v>
      </c>
      <c r="G67" s="96" t="s">
        <v>2555</v>
      </c>
      <c r="H67" s="96" t="s">
        <v>2556</v>
      </c>
      <c r="I67" s="96" t="s">
        <v>320</v>
      </c>
      <c r="J67" s="96" t="s">
        <v>918</v>
      </c>
      <c r="K67" s="96" t="s">
        <v>203</v>
      </c>
      <c r="L67" s="96" t="s">
        <v>203</v>
      </c>
      <c r="M67" s="96" t="s">
        <v>324</v>
      </c>
      <c r="N67" s="96" t="s">
        <v>339</v>
      </c>
      <c r="O67" s="96" t="s">
        <v>446</v>
      </c>
      <c r="P67" s="96" t="s">
        <v>338</v>
      </c>
      <c r="Q67" s="96" t="s">
        <v>1200</v>
      </c>
      <c r="R67" s="97">
        <v>1175.453115</v>
      </c>
      <c r="S67" s="97">
        <v>1</v>
      </c>
      <c r="T67" s="97">
        <v>2107</v>
      </c>
      <c r="U67" s="96"/>
      <c r="V67" s="97">
        <v>24.766797</v>
      </c>
      <c r="W67" s="98">
        <v>1.5E-5</v>
      </c>
      <c r="X67" s="98">
        <v>6.3400000000000001E-4</v>
      </c>
      <c r="Y67" s="98">
        <v>3.9800000000000002E-4</v>
      </c>
      <c r="Z67" s="106"/>
    </row>
    <row r="68" spans="1:26" ht="15" customHeight="1">
      <c r="A68" s="106"/>
      <c r="B68" s="96">
        <v>286</v>
      </c>
      <c r="C68" s="96">
        <v>1446</v>
      </c>
      <c r="D68" s="96" t="s">
        <v>1325</v>
      </c>
      <c r="E68" s="96">
        <v>510488190</v>
      </c>
      <c r="F68" s="96" t="s">
        <v>308</v>
      </c>
      <c r="G68" s="96" t="s">
        <v>2557</v>
      </c>
      <c r="H68" s="96" t="s">
        <v>2558</v>
      </c>
      <c r="I68" s="96" t="s">
        <v>320</v>
      </c>
      <c r="J68" s="96" t="s">
        <v>918</v>
      </c>
      <c r="K68" s="96" t="s">
        <v>203</v>
      </c>
      <c r="L68" s="96" t="s">
        <v>203</v>
      </c>
      <c r="M68" s="96" t="s">
        <v>324</v>
      </c>
      <c r="N68" s="96" t="s">
        <v>339</v>
      </c>
      <c r="O68" s="96" t="s">
        <v>446</v>
      </c>
      <c r="P68" s="96" t="s">
        <v>338</v>
      </c>
      <c r="Q68" s="96" t="s">
        <v>1200</v>
      </c>
      <c r="R68" s="97">
        <v>1280.313328</v>
      </c>
      <c r="S68" s="97">
        <v>1</v>
      </c>
      <c r="T68" s="97">
        <v>2349</v>
      </c>
      <c r="U68" s="96"/>
      <c r="V68" s="97">
        <v>30.074560000000002</v>
      </c>
      <c r="W68" s="98">
        <v>2.3E-5</v>
      </c>
      <c r="X68" s="98">
        <v>7.6999999999999996E-4</v>
      </c>
      <c r="Y68" s="98">
        <v>4.8299999999999998E-4</v>
      </c>
      <c r="Z68" s="106"/>
    </row>
    <row r="69" spans="1:26" ht="15" customHeight="1">
      <c r="A69" s="106"/>
      <c r="B69" s="96">
        <v>286</v>
      </c>
      <c r="C69" s="96">
        <v>1446</v>
      </c>
      <c r="D69" s="96" t="s">
        <v>2559</v>
      </c>
      <c r="E69" s="96">
        <v>520039298</v>
      </c>
      <c r="F69" s="96" t="s">
        <v>308</v>
      </c>
      <c r="G69" s="96" t="s">
        <v>2560</v>
      </c>
      <c r="H69" s="96" t="s">
        <v>2561</v>
      </c>
      <c r="I69" s="96" t="s">
        <v>320</v>
      </c>
      <c r="J69" s="96" t="s">
        <v>918</v>
      </c>
      <c r="K69" s="96" t="s">
        <v>203</v>
      </c>
      <c r="L69" s="96" t="s">
        <v>203</v>
      </c>
      <c r="M69" s="96" t="s">
        <v>326</v>
      </c>
      <c r="N69" s="96" t="s">
        <v>339</v>
      </c>
      <c r="O69" s="96" t="s">
        <v>446</v>
      </c>
      <c r="P69" s="96" t="s">
        <v>337</v>
      </c>
      <c r="Q69" s="96" t="s">
        <v>1200</v>
      </c>
      <c r="R69" s="97">
        <v>760.74052200000006</v>
      </c>
      <c r="S69" s="97">
        <v>1</v>
      </c>
      <c r="T69" s="97">
        <v>1203.3756000000001</v>
      </c>
      <c r="U69" s="96"/>
      <c r="V69" s="97">
        <v>9.1545660000000009</v>
      </c>
      <c r="W69" s="98">
        <v>1.9999999999999999E-6</v>
      </c>
      <c r="X69" s="98">
        <v>2.34E-4</v>
      </c>
      <c r="Y69" s="98">
        <v>1.47E-4</v>
      </c>
      <c r="Z69" s="106"/>
    </row>
    <row r="70" spans="1:26" ht="15" customHeight="1">
      <c r="A70" s="106"/>
      <c r="B70" s="96">
        <v>286</v>
      </c>
      <c r="C70" s="96">
        <v>1446</v>
      </c>
      <c r="D70" s="96" t="s">
        <v>1982</v>
      </c>
      <c r="E70" s="96">
        <v>520036732</v>
      </c>
      <c r="F70" s="96" t="s">
        <v>308</v>
      </c>
      <c r="G70" s="96" t="s">
        <v>2471</v>
      </c>
      <c r="H70" s="96" t="s">
        <v>2472</v>
      </c>
      <c r="I70" s="96" t="s">
        <v>320</v>
      </c>
      <c r="J70" s="96" t="s">
        <v>918</v>
      </c>
      <c r="K70" s="96" t="s">
        <v>203</v>
      </c>
      <c r="L70" s="96" t="s">
        <v>203</v>
      </c>
      <c r="M70" s="96" t="s">
        <v>332</v>
      </c>
      <c r="N70" s="96" t="s">
        <v>339</v>
      </c>
      <c r="O70" s="96" t="s">
        <v>461</v>
      </c>
      <c r="P70" s="96" t="s">
        <v>338</v>
      </c>
      <c r="Q70" s="96" t="s">
        <v>1200</v>
      </c>
      <c r="R70" s="97">
        <v>0.84632600000000002</v>
      </c>
      <c r="S70" s="97">
        <v>1</v>
      </c>
      <c r="T70" s="97">
        <v>19430</v>
      </c>
      <c r="U70" s="96"/>
      <c r="V70" s="97">
        <v>0.164441</v>
      </c>
      <c r="W70" s="98">
        <v>0</v>
      </c>
      <c r="X70" s="98">
        <v>3.9999999999999998E-6</v>
      </c>
      <c r="Y70" s="98">
        <v>1.9999999999999999E-6</v>
      </c>
      <c r="Z70" s="106"/>
    </row>
    <row r="71" spans="1:26" ht="15" customHeight="1">
      <c r="A71" s="106"/>
      <c r="B71" s="96">
        <v>286</v>
      </c>
      <c r="C71" s="96">
        <v>1446</v>
      </c>
      <c r="D71" s="96" t="s">
        <v>2562</v>
      </c>
      <c r="E71" s="96">
        <v>511527202</v>
      </c>
      <c r="F71" s="96" t="s">
        <v>308</v>
      </c>
      <c r="G71" s="96" t="s">
        <v>2563</v>
      </c>
      <c r="H71" s="96" t="s">
        <v>2564</v>
      </c>
      <c r="I71" s="96" t="s">
        <v>320</v>
      </c>
      <c r="J71" s="96" t="s">
        <v>918</v>
      </c>
      <c r="K71" s="96" t="s">
        <v>203</v>
      </c>
      <c r="L71" s="96" t="s">
        <v>203</v>
      </c>
      <c r="M71" s="96" t="s">
        <v>324</v>
      </c>
      <c r="N71" s="96" t="s">
        <v>339</v>
      </c>
      <c r="O71" s="96" t="s">
        <v>472</v>
      </c>
      <c r="P71" s="96" t="s">
        <v>338</v>
      </c>
      <c r="Q71" s="96" t="s">
        <v>1200</v>
      </c>
      <c r="R71" s="97">
        <v>1812.510501</v>
      </c>
      <c r="S71" s="97">
        <v>1</v>
      </c>
      <c r="T71" s="97">
        <v>1408</v>
      </c>
      <c r="U71" s="96"/>
      <c r="V71" s="97">
        <v>25.520147000000001</v>
      </c>
      <c r="W71" s="98">
        <v>1.5999999999999999E-5</v>
      </c>
      <c r="X71" s="98">
        <v>6.5300000000000004E-4</v>
      </c>
      <c r="Y71" s="98">
        <v>4.0999999999999999E-4</v>
      </c>
      <c r="Z71" s="106"/>
    </row>
    <row r="72" spans="1:26" ht="15" customHeight="1">
      <c r="A72" s="106"/>
      <c r="B72" s="96">
        <v>286</v>
      </c>
      <c r="C72" s="96">
        <v>1446</v>
      </c>
      <c r="D72" s="96" t="s">
        <v>1551</v>
      </c>
      <c r="E72" s="96">
        <v>511659401</v>
      </c>
      <c r="F72" s="96" t="s">
        <v>308</v>
      </c>
      <c r="G72" s="96" t="s">
        <v>2565</v>
      </c>
      <c r="H72" s="96" t="s">
        <v>2566</v>
      </c>
      <c r="I72" s="96" t="s">
        <v>320</v>
      </c>
      <c r="J72" s="96" t="s">
        <v>918</v>
      </c>
      <c r="K72" s="96" t="s">
        <v>203</v>
      </c>
      <c r="L72" s="96" t="s">
        <v>203</v>
      </c>
      <c r="M72" s="96" t="s">
        <v>324</v>
      </c>
      <c r="N72" s="96" t="s">
        <v>339</v>
      </c>
      <c r="O72" s="96" t="s">
        <v>463</v>
      </c>
      <c r="P72" s="96" t="s">
        <v>338</v>
      </c>
      <c r="Q72" s="96" t="s">
        <v>1200</v>
      </c>
      <c r="R72" s="97">
        <v>2086.9181640000002</v>
      </c>
      <c r="S72" s="97">
        <v>1</v>
      </c>
      <c r="T72" s="97">
        <v>5317</v>
      </c>
      <c r="U72" s="96"/>
      <c r="V72" s="97">
        <v>110.961438</v>
      </c>
      <c r="W72" s="98">
        <v>1.7E-5</v>
      </c>
      <c r="X72" s="98">
        <v>2.8419999999999999E-3</v>
      </c>
      <c r="Y72" s="98">
        <v>1.7830000000000001E-3</v>
      </c>
      <c r="Z72" s="106"/>
    </row>
    <row r="73" spans="1:26" ht="15" customHeight="1">
      <c r="A73" s="106"/>
      <c r="B73" s="96">
        <v>286</v>
      </c>
      <c r="C73" s="96">
        <v>1446</v>
      </c>
      <c r="D73" s="96" t="s">
        <v>1597</v>
      </c>
      <c r="E73" s="96">
        <v>520020116</v>
      </c>
      <c r="F73" s="96" t="s">
        <v>308</v>
      </c>
      <c r="G73" s="96" t="s">
        <v>2567</v>
      </c>
      <c r="H73" s="96" t="s">
        <v>2568</v>
      </c>
      <c r="I73" s="96" t="s">
        <v>320</v>
      </c>
      <c r="J73" s="96" t="s">
        <v>918</v>
      </c>
      <c r="K73" s="96" t="s">
        <v>203</v>
      </c>
      <c r="L73" s="96" t="s">
        <v>203</v>
      </c>
      <c r="M73" s="96" t="s">
        <v>324</v>
      </c>
      <c r="N73" s="96" t="s">
        <v>339</v>
      </c>
      <c r="O73" s="96" t="s">
        <v>463</v>
      </c>
      <c r="P73" s="96" t="s">
        <v>337</v>
      </c>
      <c r="Q73" s="96" t="s">
        <v>1200</v>
      </c>
      <c r="R73" s="97">
        <v>2075.4774830000001</v>
      </c>
      <c r="S73" s="97">
        <v>1</v>
      </c>
      <c r="T73" s="97">
        <v>2837</v>
      </c>
      <c r="U73" s="96"/>
      <c r="V73" s="97">
        <v>58.881295999999999</v>
      </c>
      <c r="W73" s="98">
        <v>5.1E-5</v>
      </c>
      <c r="X73" s="98">
        <v>1.508E-3</v>
      </c>
      <c r="Y73" s="98">
        <v>9.4600000000000001E-4</v>
      </c>
      <c r="Z73" s="106"/>
    </row>
    <row r="74" spans="1:26" ht="15" customHeight="1">
      <c r="A74" s="106"/>
      <c r="B74" s="96">
        <v>286</v>
      </c>
      <c r="C74" s="96">
        <v>1446</v>
      </c>
      <c r="D74" s="96" t="s">
        <v>1421</v>
      </c>
      <c r="E74" s="96">
        <v>520026683</v>
      </c>
      <c r="F74" s="96" t="s">
        <v>308</v>
      </c>
      <c r="G74" s="96" t="s">
        <v>2569</v>
      </c>
      <c r="H74" s="96" t="s">
        <v>2570</v>
      </c>
      <c r="I74" s="96" t="s">
        <v>320</v>
      </c>
      <c r="J74" s="96" t="s">
        <v>918</v>
      </c>
      <c r="K74" s="96" t="s">
        <v>203</v>
      </c>
      <c r="L74" s="96" t="s">
        <v>203</v>
      </c>
      <c r="M74" s="96" t="s">
        <v>324</v>
      </c>
      <c r="N74" s="96" t="s">
        <v>339</v>
      </c>
      <c r="O74" s="96" t="s">
        <v>463</v>
      </c>
      <c r="P74" s="96" t="s">
        <v>338</v>
      </c>
      <c r="Q74" s="96" t="s">
        <v>1200</v>
      </c>
      <c r="R74" s="97">
        <v>3121.8046260000001</v>
      </c>
      <c r="S74" s="97">
        <v>1</v>
      </c>
      <c r="T74" s="97">
        <v>1510</v>
      </c>
      <c r="U74" s="96"/>
      <c r="V74" s="97">
        <v>47.139249</v>
      </c>
      <c r="W74" s="98">
        <v>6.0000000000000002E-6</v>
      </c>
      <c r="X74" s="98">
        <v>1.207E-3</v>
      </c>
      <c r="Y74" s="98">
        <v>7.5799999999999999E-4</v>
      </c>
      <c r="Z74" s="106"/>
    </row>
    <row r="75" spans="1:26" ht="15" customHeight="1">
      <c r="A75" s="106"/>
      <c r="B75" s="96">
        <v>286</v>
      </c>
      <c r="C75" s="96">
        <v>1446</v>
      </c>
      <c r="D75" s="96" t="s">
        <v>2559</v>
      </c>
      <c r="E75" s="96">
        <v>520039298</v>
      </c>
      <c r="F75" s="96" t="s">
        <v>308</v>
      </c>
      <c r="G75" s="96" t="s">
        <v>2571</v>
      </c>
      <c r="H75" s="96" t="s">
        <v>2561</v>
      </c>
      <c r="I75" s="96" t="s">
        <v>320</v>
      </c>
      <c r="J75" s="96" t="s">
        <v>918</v>
      </c>
      <c r="K75" s="96" t="s">
        <v>203</v>
      </c>
      <c r="L75" s="96" t="s">
        <v>203</v>
      </c>
      <c r="M75" s="96" t="s">
        <v>324</v>
      </c>
      <c r="N75" s="96" t="s">
        <v>339</v>
      </c>
      <c r="O75" s="96" t="s">
        <v>446</v>
      </c>
      <c r="P75" s="96" t="s">
        <v>337</v>
      </c>
      <c r="Q75" s="96" t="s">
        <v>1200</v>
      </c>
      <c r="R75" s="97">
        <v>9848.8571740000007</v>
      </c>
      <c r="S75" s="97">
        <v>1</v>
      </c>
      <c r="T75" s="97">
        <v>1205</v>
      </c>
      <c r="U75" s="96"/>
      <c r="V75" s="97">
        <v>118.67872800000001</v>
      </c>
      <c r="W75" s="98">
        <v>3.0000000000000001E-5</v>
      </c>
      <c r="X75" s="98">
        <v>3.0400000000000002E-3</v>
      </c>
      <c r="Y75" s="98">
        <v>1.9070000000000001E-3</v>
      </c>
      <c r="Z75" s="106"/>
    </row>
    <row r="76" spans="1:26" ht="15" customHeight="1">
      <c r="A76" s="106"/>
      <c r="B76" s="96">
        <v>286</v>
      </c>
      <c r="C76" s="96">
        <v>1446</v>
      </c>
      <c r="D76" s="96" t="s">
        <v>1747</v>
      </c>
      <c r="E76" s="96">
        <v>512832742</v>
      </c>
      <c r="F76" s="96" t="s">
        <v>308</v>
      </c>
      <c r="G76" s="96" t="s">
        <v>2572</v>
      </c>
      <c r="H76" s="96" t="s">
        <v>2573</v>
      </c>
      <c r="I76" s="96" t="s">
        <v>320</v>
      </c>
      <c r="J76" s="96" t="s">
        <v>918</v>
      </c>
      <c r="K76" s="96" t="s">
        <v>203</v>
      </c>
      <c r="L76" s="96" t="s">
        <v>203</v>
      </c>
      <c r="M76" s="96" t="s">
        <v>324</v>
      </c>
      <c r="N76" s="96" t="s">
        <v>339</v>
      </c>
      <c r="O76" s="96" t="s">
        <v>483</v>
      </c>
      <c r="P76" s="96" t="s">
        <v>338</v>
      </c>
      <c r="Q76" s="96" t="s">
        <v>1200</v>
      </c>
      <c r="R76" s="97">
        <v>1105.88588</v>
      </c>
      <c r="S76" s="97">
        <v>1</v>
      </c>
      <c r="T76" s="97">
        <v>1134</v>
      </c>
      <c r="U76" s="96"/>
      <c r="V76" s="97">
        <v>12.540744999999999</v>
      </c>
      <c r="W76" s="98">
        <v>1.0000000000000001E-5</v>
      </c>
      <c r="X76" s="98">
        <v>3.2000000000000003E-4</v>
      </c>
      <c r="Y76" s="98">
        <v>2.0100000000000001E-4</v>
      </c>
      <c r="Z76" s="106"/>
    </row>
    <row r="77" spans="1:26" ht="15" customHeight="1">
      <c r="A77" s="106"/>
      <c r="B77" s="96">
        <v>286</v>
      </c>
      <c r="C77" s="96">
        <v>1446</v>
      </c>
      <c r="D77" s="96" t="s">
        <v>2574</v>
      </c>
      <c r="E77" s="96">
        <v>520025156</v>
      </c>
      <c r="F77" s="96" t="s">
        <v>308</v>
      </c>
      <c r="G77" s="96" t="s">
        <v>2575</v>
      </c>
      <c r="H77" s="96" t="s">
        <v>2576</v>
      </c>
      <c r="I77" s="96" t="s">
        <v>320</v>
      </c>
      <c r="J77" s="96" t="s">
        <v>918</v>
      </c>
      <c r="K77" s="96" t="s">
        <v>203</v>
      </c>
      <c r="L77" s="96" t="s">
        <v>203</v>
      </c>
      <c r="M77" s="96" t="s">
        <v>324</v>
      </c>
      <c r="N77" s="96" t="s">
        <v>339</v>
      </c>
      <c r="O77" s="96" t="s">
        <v>450</v>
      </c>
      <c r="P77" s="96" t="s">
        <v>338</v>
      </c>
      <c r="Q77" s="96" t="s">
        <v>1200</v>
      </c>
      <c r="R77" s="97">
        <v>178.662995</v>
      </c>
      <c r="S77" s="97">
        <v>1</v>
      </c>
      <c r="T77" s="97">
        <v>4562</v>
      </c>
      <c r="U77" s="96"/>
      <c r="V77" s="97">
        <v>8.1506050000000005</v>
      </c>
      <c r="W77" s="98">
        <v>1.5E-5</v>
      </c>
      <c r="X77" s="98">
        <v>2.0799999999999999E-4</v>
      </c>
      <c r="Y77" s="98">
        <v>1.2999999999999999E-4</v>
      </c>
      <c r="Z77" s="106"/>
    </row>
    <row r="78" spans="1:26" ht="15" customHeight="1">
      <c r="A78" s="106"/>
      <c r="B78" s="96">
        <v>286</v>
      </c>
      <c r="C78" s="96">
        <v>1446</v>
      </c>
      <c r="D78" s="96" t="s">
        <v>2577</v>
      </c>
      <c r="E78" s="96"/>
      <c r="F78" s="96" t="s">
        <v>308</v>
      </c>
      <c r="G78" s="96" t="s">
        <v>2578</v>
      </c>
      <c r="H78" s="96" t="s">
        <v>2579</v>
      </c>
      <c r="I78" s="96" t="s">
        <v>320</v>
      </c>
      <c r="J78" s="96" t="s">
        <v>918</v>
      </c>
      <c r="K78" s="96" t="s">
        <v>203</v>
      </c>
      <c r="L78" s="96" t="s">
        <v>203</v>
      </c>
      <c r="M78" s="96" t="s">
        <v>324</v>
      </c>
      <c r="N78" s="96" t="s">
        <v>339</v>
      </c>
      <c r="O78" s="96" t="s">
        <v>460</v>
      </c>
      <c r="P78" s="96" t="s">
        <v>338</v>
      </c>
      <c r="Q78" s="96" t="s">
        <v>1200</v>
      </c>
      <c r="R78" s="97">
        <v>81.737581000000006</v>
      </c>
      <c r="S78" s="97">
        <v>1</v>
      </c>
      <c r="T78" s="97">
        <v>8151</v>
      </c>
      <c r="U78" s="96"/>
      <c r="V78" s="97">
        <v>6.6624299999999996</v>
      </c>
      <c r="W78" s="98">
        <v>9.9999999999999995E-7</v>
      </c>
      <c r="X78" s="98">
        <v>1.7000000000000001E-4</v>
      </c>
      <c r="Y78" s="98">
        <v>1.07E-4</v>
      </c>
      <c r="Z78" s="106"/>
    </row>
    <row r="79" spans="1:26" ht="15" customHeight="1">
      <c r="A79" s="106"/>
      <c r="B79" s="96">
        <v>286</v>
      </c>
      <c r="C79" s="96">
        <v>1446</v>
      </c>
      <c r="D79" s="96" t="s">
        <v>1797</v>
      </c>
      <c r="E79" s="96">
        <v>512607888</v>
      </c>
      <c r="F79" s="96" t="s">
        <v>308</v>
      </c>
      <c r="G79" s="96" t="s">
        <v>2580</v>
      </c>
      <c r="H79" s="96" t="s">
        <v>2581</v>
      </c>
      <c r="I79" s="96" t="s">
        <v>320</v>
      </c>
      <c r="J79" s="96" t="s">
        <v>918</v>
      </c>
      <c r="K79" s="96" t="s">
        <v>203</v>
      </c>
      <c r="L79" s="96" t="s">
        <v>203</v>
      </c>
      <c r="M79" s="96" t="s">
        <v>324</v>
      </c>
      <c r="N79" s="96" t="s">
        <v>339</v>
      </c>
      <c r="O79" s="96" t="s">
        <v>460</v>
      </c>
      <c r="P79" s="96" t="s">
        <v>338</v>
      </c>
      <c r="Q79" s="96" t="s">
        <v>1200</v>
      </c>
      <c r="R79" s="97">
        <v>184.16509600000001</v>
      </c>
      <c r="S79" s="97">
        <v>1</v>
      </c>
      <c r="T79" s="97">
        <v>38750</v>
      </c>
      <c r="U79" s="96"/>
      <c r="V79" s="97">
        <v>71.363973999999999</v>
      </c>
      <c r="W79" s="98">
        <v>1.1E-5</v>
      </c>
      <c r="X79" s="98">
        <v>1.828E-3</v>
      </c>
      <c r="Y79" s="98">
        <v>1.147E-3</v>
      </c>
      <c r="Z79" s="106"/>
    </row>
    <row r="80" spans="1:26" ht="15" customHeight="1">
      <c r="A80" s="106"/>
      <c r="B80" s="96">
        <v>286</v>
      </c>
      <c r="C80" s="96">
        <v>1446</v>
      </c>
      <c r="D80" s="96" t="s">
        <v>2582</v>
      </c>
      <c r="E80" s="96">
        <v>520039413</v>
      </c>
      <c r="F80" s="96" t="s">
        <v>308</v>
      </c>
      <c r="G80" s="96" t="s">
        <v>2583</v>
      </c>
      <c r="H80" s="96" t="s">
        <v>2584</v>
      </c>
      <c r="I80" s="96" t="s">
        <v>320</v>
      </c>
      <c r="J80" s="96" t="s">
        <v>918</v>
      </c>
      <c r="K80" s="96" t="s">
        <v>203</v>
      </c>
      <c r="L80" s="96" t="s">
        <v>203</v>
      </c>
      <c r="M80" s="96" t="s">
        <v>324</v>
      </c>
      <c r="N80" s="96" t="s">
        <v>339</v>
      </c>
      <c r="O80" s="96" t="s">
        <v>475</v>
      </c>
      <c r="P80" s="96" t="s">
        <v>338</v>
      </c>
      <c r="Q80" s="96" t="s">
        <v>1200</v>
      </c>
      <c r="R80" s="97">
        <v>865.39209200000005</v>
      </c>
      <c r="S80" s="97">
        <v>1</v>
      </c>
      <c r="T80" s="97">
        <v>6901</v>
      </c>
      <c r="U80" s="96"/>
      <c r="V80" s="97">
        <v>59.720708000000002</v>
      </c>
      <c r="W80" s="98">
        <v>1.2999999999999999E-5</v>
      </c>
      <c r="X80" s="98">
        <v>1.5299999999999999E-3</v>
      </c>
      <c r="Y80" s="98">
        <v>9.6000000000000002E-4</v>
      </c>
      <c r="Z80" s="106"/>
    </row>
    <row r="81" spans="1:26" ht="15" customHeight="1">
      <c r="A81" s="106"/>
      <c r="B81" s="96">
        <v>286</v>
      </c>
      <c r="C81" s="96">
        <v>1446</v>
      </c>
      <c r="D81" s="96" t="s">
        <v>1445</v>
      </c>
      <c r="E81" s="96">
        <v>510381601</v>
      </c>
      <c r="F81" s="96" t="s">
        <v>308</v>
      </c>
      <c r="G81" s="96" t="s">
        <v>2585</v>
      </c>
      <c r="H81" s="96" t="s">
        <v>2586</v>
      </c>
      <c r="I81" s="96" t="s">
        <v>320</v>
      </c>
      <c r="J81" s="96" t="s">
        <v>918</v>
      </c>
      <c r="K81" s="96" t="s">
        <v>203</v>
      </c>
      <c r="L81" s="96" t="s">
        <v>203</v>
      </c>
      <c r="M81" s="96" t="s">
        <v>324</v>
      </c>
      <c r="N81" s="96" t="s">
        <v>339</v>
      </c>
      <c r="O81" s="96" t="s">
        <v>446</v>
      </c>
      <c r="P81" s="96" t="s">
        <v>337</v>
      </c>
      <c r="Q81" s="96" t="s">
        <v>1200</v>
      </c>
      <c r="R81" s="97">
        <v>3783.4228840000001</v>
      </c>
      <c r="S81" s="97">
        <v>1</v>
      </c>
      <c r="T81" s="97">
        <v>4328</v>
      </c>
      <c r="U81" s="96"/>
      <c r="V81" s="97">
        <v>163.74654200000001</v>
      </c>
      <c r="W81" s="98">
        <v>3.6999999999999998E-5</v>
      </c>
      <c r="X81" s="98">
        <v>4.1939999999999998E-3</v>
      </c>
      <c r="Y81" s="98">
        <v>2.6319999999999998E-3</v>
      </c>
      <c r="Z81" s="106"/>
    </row>
    <row r="82" spans="1:26" ht="15" customHeight="1">
      <c r="A82" s="106"/>
      <c r="B82" s="96">
        <v>286</v>
      </c>
      <c r="C82" s="96">
        <v>1446</v>
      </c>
      <c r="D82" s="96" t="s">
        <v>2587</v>
      </c>
      <c r="E82" s="96">
        <v>723</v>
      </c>
      <c r="F82" s="96" t="s">
        <v>80</v>
      </c>
      <c r="G82" s="96" t="s">
        <v>2588</v>
      </c>
      <c r="H82" s="96" t="s">
        <v>2589</v>
      </c>
      <c r="I82" s="96" t="s">
        <v>320</v>
      </c>
      <c r="J82" s="96" t="s">
        <v>918</v>
      </c>
      <c r="K82" s="96" t="s">
        <v>203</v>
      </c>
      <c r="L82" s="96" t="s">
        <v>203</v>
      </c>
      <c r="M82" s="96" t="s">
        <v>324</v>
      </c>
      <c r="N82" s="96" t="s">
        <v>339</v>
      </c>
      <c r="O82" s="96" t="s">
        <v>464</v>
      </c>
      <c r="P82" s="96" t="s">
        <v>338</v>
      </c>
      <c r="Q82" s="96" t="s">
        <v>1200</v>
      </c>
      <c r="R82" s="97">
        <v>429.061691</v>
      </c>
      <c r="S82" s="97">
        <v>1</v>
      </c>
      <c r="T82" s="97">
        <v>704.3</v>
      </c>
      <c r="U82" s="96"/>
      <c r="V82" s="97">
        <v>3.021881</v>
      </c>
      <c r="W82" s="98">
        <v>6.0000000000000002E-6</v>
      </c>
      <c r="X82" s="98">
        <v>7.7000000000000001E-5</v>
      </c>
      <c r="Y82" s="98">
        <v>4.8000000000000001E-5</v>
      </c>
      <c r="Z82" s="106"/>
    </row>
    <row r="83" spans="1:26" ht="15" customHeight="1">
      <c r="A83" s="106"/>
      <c r="B83" s="96">
        <v>286</v>
      </c>
      <c r="C83" s="96">
        <v>1446</v>
      </c>
      <c r="D83" s="96" t="s">
        <v>1718</v>
      </c>
      <c r="E83" s="96">
        <v>511996803</v>
      </c>
      <c r="F83" s="96" t="s">
        <v>308</v>
      </c>
      <c r="G83" s="96" t="s">
        <v>2590</v>
      </c>
      <c r="H83" s="96" t="s">
        <v>2591</v>
      </c>
      <c r="I83" s="96" t="s">
        <v>320</v>
      </c>
      <c r="J83" s="96" t="s">
        <v>918</v>
      </c>
      <c r="K83" s="96" t="s">
        <v>203</v>
      </c>
      <c r="L83" s="96" t="s">
        <v>203</v>
      </c>
      <c r="M83" s="96" t="s">
        <v>324</v>
      </c>
      <c r="N83" s="96" t="s">
        <v>339</v>
      </c>
      <c r="O83" s="96" t="s">
        <v>446</v>
      </c>
      <c r="P83" s="96" t="s">
        <v>338</v>
      </c>
      <c r="Q83" s="96" t="s">
        <v>1200</v>
      </c>
      <c r="R83" s="97">
        <v>818.25740199999996</v>
      </c>
      <c r="S83" s="97">
        <v>1</v>
      </c>
      <c r="T83" s="97">
        <v>3471</v>
      </c>
      <c r="U83" s="96"/>
      <c r="V83" s="97">
        <v>28.401713999999998</v>
      </c>
      <c r="W83" s="98">
        <v>1.2999999999999999E-5</v>
      </c>
      <c r="X83" s="98">
        <v>7.27E-4</v>
      </c>
      <c r="Y83" s="98">
        <v>4.5600000000000003E-4</v>
      </c>
      <c r="Z83" s="106"/>
    </row>
    <row r="84" spans="1:26" ht="15" customHeight="1">
      <c r="A84" s="106"/>
      <c r="B84" s="96">
        <v>286</v>
      </c>
      <c r="C84" s="96">
        <v>1446</v>
      </c>
      <c r="D84" s="96" t="s">
        <v>1691</v>
      </c>
      <c r="E84" s="96">
        <v>510706153</v>
      </c>
      <c r="F84" s="96" t="s">
        <v>308</v>
      </c>
      <c r="G84" s="96" t="s">
        <v>2592</v>
      </c>
      <c r="H84" s="96" t="s">
        <v>2593</v>
      </c>
      <c r="I84" s="96" t="s">
        <v>320</v>
      </c>
      <c r="J84" s="96" t="s">
        <v>918</v>
      </c>
      <c r="K84" s="96" t="s">
        <v>203</v>
      </c>
      <c r="L84" s="96" t="s">
        <v>203</v>
      </c>
      <c r="M84" s="96" t="s">
        <v>324</v>
      </c>
      <c r="N84" s="96" t="s">
        <v>339</v>
      </c>
      <c r="O84" s="96" t="s">
        <v>477</v>
      </c>
      <c r="P84" s="96" t="s">
        <v>338</v>
      </c>
      <c r="Q84" s="96" t="s">
        <v>1200</v>
      </c>
      <c r="R84" s="97">
        <v>4604.332461</v>
      </c>
      <c r="S84" s="97">
        <v>1</v>
      </c>
      <c r="T84" s="97">
        <v>1257</v>
      </c>
      <c r="U84" s="96"/>
      <c r="V84" s="97">
        <v>57.876458</v>
      </c>
      <c r="W84" s="98">
        <v>2.1999999999999999E-5</v>
      </c>
      <c r="X84" s="98">
        <v>1.482E-3</v>
      </c>
      <c r="Y84" s="98">
        <v>9.2900000000000003E-4</v>
      </c>
      <c r="Z84" s="106"/>
    </row>
    <row r="85" spans="1:26" ht="15" customHeight="1">
      <c r="A85" s="106"/>
      <c r="B85" s="96">
        <v>286</v>
      </c>
      <c r="C85" s="96">
        <v>1446</v>
      </c>
      <c r="D85" s="96" t="s">
        <v>1565</v>
      </c>
      <c r="E85" s="96">
        <v>520033234</v>
      </c>
      <c r="F85" s="96" t="s">
        <v>308</v>
      </c>
      <c r="G85" s="96" t="s">
        <v>2594</v>
      </c>
      <c r="H85" s="96" t="s">
        <v>2595</v>
      </c>
      <c r="I85" s="96" t="s">
        <v>320</v>
      </c>
      <c r="J85" s="96" t="s">
        <v>918</v>
      </c>
      <c r="K85" s="96" t="s">
        <v>203</v>
      </c>
      <c r="L85" s="96" t="s">
        <v>203</v>
      </c>
      <c r="M85" s="96" t="s">
        <v>324</v>
      </c>
      <c r="N85" s="96" t="s">
        <v>339</v>
      </c>
      <c r="O85" s="96" t="s">
        <v>464</v>
      </c>
      <c r="P85" s="96" t="s">
        <v>337</v>
      </c>
      <c r="Q85" s="96" t="s">
        <v>1200</v>
      </c>
      <c r="R85" s="97">
        <v>8657.2670469999994</v>
      </c>
      <c r="S85" s="97">
        <v>1</v>
      </c>
      <c r="T85" s="97">
        <v>881.8</v>
      </c>
      <c r="U85" s="96"/>
      <c r="V85" s="97">
        <v>76.339780000000005</v>
      </c>
      <c r="W85" s="98">
        <v>4.6E-5</v>
      </c>
      <c r="X85" s="98">
        <v>1.9550000000000001E-3</v>
      </c>
      <c r="Y85" s="98">
        <v>1.227E-3</v>
      </c>
      <c r="Z85" s="106"/>
    </row>
    <row r="86" spans="1:26" ht="15" customHeight="1">
      <c r="A86" s="106"/>
      <c r="B86" s="96">
        <v>286</v>
      </c>
      <c r="C86" s="96">
        <v>1446</v>
      </c>
      <c r="D86" s="96" t="s">
        <v>2596</v>
      </c>
      <c r="E86" s="96">
        <v>520038274</v>
      </c>
      <c r="F86" s="96" t="s">
        <v>308</v>
      </c>
      <c r="G86" s="96" t="s">
        <v>2597</v>
      </c>
      <c r="H86" s="96" t="s">
        <v>2598</v>
      </c>
      <c r="I86" s="96" t="s">
        <v>320</v>
      </c>
      <c r="J86" s="96" t="s">
        <v>918</v>
      </c>
      <c r="K86" s="96" t="s">
        <v>203</v>
      </c>
      <c r="L86" s="96" t="s">
        <v>203</v>
      </c>
      <c r="M86" s="96" t="s">
        <v>324</v>
      </c>
      <c r="N86" s="96" t="s">
        <v>339</v>
      </c>
      <c r="O86" s="96" t="s">
        <v>446</v>
      </c>
      <c r="P86" s="96" t="s">
        <v>337</v>
      </c>
      <c r="Q86" s="96" t="s">
        <v>1200</v>
      </c>
      <c r="R86" s="97">
        <v>14614.935889</v>
      </c>
      <c r="S86" s="97">
        <v>1</v>
      </c>
      <c r="T86" s="97">
        <v>1209</v>
      </c>
      <c r="U86" s="96"/>
      <c r="V86" s="97">
        <v>176.69457399999999</v>
      </c>
      <c r="W86" s="98">
        <v>5.1999999999999997E-5</v>
      </c>
      <c r="X86" s="98">
        <v>4.5269999999999998E-3</v>
      </c>
      <c r="Y86" s="98">
        <v>2.8410000000000002E-3</v>
      </c>
      <c r="Z86" s="106"/>
    </row>
    <row r="87" spans="1:26" ht="15" customHeight="1">
      <c r="A87" s="106"/>
      <c r="B87" s="96">
        <v>286</v>
      </c>
      <c r="C87" s="96">
        <v>1446</v>
      </c>
      <c r="D87" s="96" t="s">
        <v>2599</v>
      </c>
      <c r="E87" s="96">
        <v>512714494</v>
      </c>
      <c r="F87" s="96" t="s">
        <v>308</v>
      </c>
      <c r="G87" s="96" t="s">
        <v>2600</v>
      </c>
      <c r="H87" s="96" t="s">
        <v>2601</v>
      </c>
      <c r="I87" s="96" t="s">
        <v>320</v>
      </c>
      <c r="J87" s="96" t="s">
        <v>918</v>
      </c>
      <c r="K87" s="96" t="s">
        <v>203</v>
      </c>
      <c r="L87" s="96" t="s">
        <v>203</v>
      </c>
      <c r="M87" s="96" t="s">
        <v>324</v>
      </c>
      <c r="N87" s="96" t="s">
        <v>339</v>
      </c>
      <c r="O87" s="96" t="s">
        <v>462</v>
      </c>
      <c r="P87" s="96" t="s">
        <v>338</v>
      </c>
      <c r="Q87" s="96" t="s">
        <v>1200</v>
      </c>
      <c r="R87" s="97">
        <v>4285.5061489999998</v>
      </c>
      <c r="S87" s="97">
        <v>1</v>
      </c>
      <c r="T87" s="97">
        <v>488.3</v>
      </c>
      <c r="U87" s="96"/>
      <c r="V87" s="97">
        <v>20.926126</v>
      </c>
      <c r="W87" s="98">
        <v>1.4E-5</v>
      </c>
      <c r="X87" s="98">
        <v>5.3600000000000002E-4</v>
      </c>
      <c r="Y87" s="98">
        <v>3.3599999999999998E-4</v>
      </c>
      <c r="Z87" s="106"/>
    </row>
    <row r="88" spans="1:26" ht="15" customHeight="1">
      <c r="A88" s="106"/>
      <c r="B88" s="96">
        <v>286</v>
      </c>
      <c r="C88" s="96">
        <v>1446</v>
      </c>
      <c r="D88" s="96" t="s">
        <v>1565</v>
      </c>
      <c r="E88" s="96">
        <v>520033234</v>
      </c>
      <c r="F88" s="96" t="s">
        <v>308</v>
      </c>
      <c r="G88" s="96" t="s">
        <v>2602</v>
      </c>
      <c r="H88" s="96" t="s">
        <v>2595</v>
      </c>
      <c r="I88" s="96" t="s">
        <v>320</v>
      </c>
      <c r="J88" s="96" t="s">
        <v>918</v>
      </c>
      <c r="K88" s="96" t="s">
        <v>203</v>
      </c>
      <c r="L88" s="96" t="s">
        <v>203</v>
      </c>
      <c r="M88" s="96" t="s">
        <v>326</v>
      </c>
      <c r="N88" s="96" t="s">
        <v>339</v>
      </c>
      <c r="O88" s="96" t="s">
        <v>464</v>
      </c>
      <c r="P88" s="96" t="s">
        <v>337</v>
      </c>
      <c r="Q88" s="96" t="s">
        <v>1200</v>
      </c>
      <c r="R88" s="97">
        <v>363.16603500000002</v>
      </c>
      <c r="S88" s="97">
        <v>1</v>
      </c>
      <c r="T88" s="97">
        <v>881.8</v>
      </c>
      <c r="U88" s="96"/>
      <c r="V88" s="97">
        <v>3.2023980000000001</v>
      </c>
      <c r="W88" s="98">
        <v>9.9999999999999995E-7</v>
      </c>
      <c r="X88" s="98">
        <v>8.2000000000000001E-5</v>
      </c>
      <c r="Y88" s="98">
        <v>5.1E-5</v>
      </c>
      <c r="Z88" s="106"/>
    </row>
    <row r="89" spans="1:26" ht="15" customHeight="1">
      <c r="A89" s="106"/>
      <c r="B89" s="96">
        <v>286</v>
      </c>
      <c r="C89" s="96">
        <v>1446</v>
      </c>
      <c r="D89" s="96" t="s">
        <v>2603</v>
      </c>
      <c r="E89" s="96">
        <v>520036872</v>
      </c>
      <c r="F89" s="96" t="s">
        <v>308</v>
      </c>
      <c r="G89" s="96" t="s">
        <v>2604</v>
      </c>
      <c r="H89" s="96" t="s">
        <v>2605</v>
      </c>
      <c r="I89" s="96" t="s">
        <v>320</v>
      </c>
      <c r="J89" s="96" t="s">
        <v>918</v>
      </c>
      <c r="K89" s="96" t="s">
        <v>203</v>
      </c>
      <c r="L89" s="96" t="s">
        <v>203</v>
      </c>
      <c r="M89" s="96" t="s">
        <v>324</v>
      </c>
      <c r="N89" s="96" t="s">
        <v>339</v>
      </c>
      <c r="O89" s="96" t="s">
        <v>479</v>
      </c>
      <c r="P89" s="96" t="s">
        <v>338</v>
      </c>
      <c r="Q89" s="96" t="s">
        <v>1200</v>
      </c>
      <c r="R89" s="97">
        <v>325.69209999999998</v>
      </c>
      <c r="S89" s="97">
        <v>1</v>
      </c>
      <c r="T89" s="97">
        <v>64400</v>
      </c>
      <c r="U89" s="96"/>
      <c r="V89" s="97">
        <v>209.745711</v>
      </c>
      <c r="W89" s="98">
        <v>5.0000000000000004E-6</v>
      </c>
      <c r="X89" s="98">
        <v>5.3730000000000002E-3</v>
      </c>
      <c r="Y89" s="98">
        <v>3.372E-3</v>
      </c>
      <c r="Z89" s="106"/>
    </row>
    <row r="90" spans="1:26" ht="15" customHeight="1">
      <c r="A90" s="106"/>
      <c r="B90" s="96">
        <v>286</v>
      </c>
      <c r="C90" s="96">
        <v>1446</v>
      </c>
      <c r="D90" s="96" t="s">
        <v>1467</v>
      </c>
      <c r="E90" s="96">
        <v>515334662</v>
      </c>
      <c r="F90" s="96" t="s">
        <v>308</v>
      </c>
      <c r="G90" s="96" t="s">
        <v>2606</v>
      </c>
      <c r="H90" s="96" t="s">
        <v>2607</v>
      </c>
      <c r="I90" s="96" t="s">
        <v>320</v>
      </c>
      <c r="J90" s="96" t="s">
        <v>918</v>
      </c>
      <c r="K90" s="96" t="s">
        <v>203</v>
      </c>
      <c r="L90" s="96" t="s">
        <v>203</v>
      </c>
      <c r="M90" s="96" t="s">
        <v>324</v>
      </c>
      <c r="N90" s="96" t="s">
        <v>339</v>
      </c>
      <c r="O90" s="96" t="s">
        <v>453</v>
      </c>
      <c r="P90" s="96" t="s">
        <v>337</v>
      </c>
      <c r="Q90" s="96" t="s">
        <v>1200</v>
      </c>
      <c r="R90" s="97">
        <v>5399.1402250000001</v>
      </c>
      <c r="S90" s="97">
        <v>1</v>
      </c>
      <c r="T90" s="97">
        <v>2027</v>
      </c>
      <c r="U90" s="96"/>
      <c r="V90" s="97">
        <v>109.440572</v>
      </c>
      <c r="W90" s="98">
        <v>6.0999999999999999E-5</v>
      </c>
      <c r="X90" s="98">
        <v>2.8029999999999999E-3</v>
      </c>
      <c r="Y90" s="98">
        <v>1.7589999999999999E-3</v>
      </c>
      <c r="Z90" s="106"/>
    </row>
    <row r="91" spans="1:26" ht="15" customHeight="1">
      <c r="A91" s="106"/>
      <c r="B91" s="96">
        <v>286</v>
      </c>
      <c r="C91" s="96">
        <v>1446</v>
      </c>
      <c r="D91" s="96" t="s">
        <v>2608</v>
      </c>
      <c r="E91" s="96">
        <v>520020033</v>
      </c>
      <c r="F91" s="96" t="s">
        <v>308</v>
      </c>
      <c r="G91" s="96" t="s">
        <v>2609</v>
      </c>
      <c r="H91" s="96" t="s">
        <v>2610</v>
      </c>
      <c r="I91" s="96" t="s">
        <v>320</v>
      </c>
      <c r="J91" s="96" t="s">
        <v>918</v>
      </c>
      <c r="K91" s="96" t="s">
        <v>203</v>
      </c>
      <c r="L91" s="96" t="s">
        <v>203</v>
      </c>
      <c r="M91" s="96" t="s">
        <v>324</v>
      </c>
      <c r="N91" s="96" t="s">
        <v>339</v>
      </c>
      <c r="O91" s="96" t="s">
        <v>477</v>
      </c>
      <c r="P91" s="96" t="s">
        <v>338</v>
      </c>
      <c r="Q91" s="96" t="s">
        <v>1200</v>
      </c>
      <c r="R91" s="97">
        <v>494.087513</v>
      </c>
      <c r="S91" s="97">
        <v>1</v>
      </c>
      <c r="T91" s="97">
        <v>2761</v>
      </c>
      <c r="U91" s="96"/>
      <c r="V91" s="97">
        <v>13.641756000000001</v>
      </c>
      <c r="W91" s="98">
        <v>5.0000000000000004E-6</v>
      </c>
      <c r="X91" s="98">
        <v>3.4900000000000003E-4</v>
      </c>
      <c r="Y91" s="98">
        <v>2.1900000000000001E-4</v>
      </c>
      <c r="Z91" s="106"/>
    </row>
    <row r="92" spans="1:26" ht="15" customHeight="1">
      <c r="A92" s="106"/>
      <c r="B92" s="96">
        <v>286</v>
      </c>
      <c r="C92" s="96">
        <v>1446</v>
      </c>
      <c r="D92" s="96" t="s">
        <v>2611</v>
      </c>
      <c r="E92" s="96">
        <v>520039942</v>
      </c>
      <c r="F92" s="96" t="s">
        <v>308</v>
      </c>
      <c r="G92" s="96" t="s">
        <v>2612</v>
      </c>
      <c r="H92" s="96" t="s">
        <v>2613</v>
      </c>
      <c r="I92" s="96" t="s">
        <v>320</v>
      </c>
      <c r="J92" s="96" t="s">
        <v>918</v>
      </c>
      <c r="K92" s="96" t="s">
        <v>203</v>
      </c>
      <c r="L92" s="96" t="s">
        <v>203</v>
      </c>
      <c r="M92" s="96" t="s">
        <v>324</v>
      </c>
      <c r="N92" s="96" t="s">
        <v>339</v>
      </c>
      <c r="O92" s="96" t="s">
        <v>475</v>
      </c>
      <c r="P92" s="96" t="s">
        <v>338</v>
      </c>
      <c r="Q92" s="96" t="s">
        <v>1200</v>
      </c>
      <c r="R92" s="97">
        <v>145.10087100000001</v>
      </c>
      <c r="S92" s="97">
        <v>1</v>
      </c>
      <c r="T92" s="97">
        <v>19600</v>
      </c>
      <c r="U92" s="96"/>
      <c r="V92" s="97">
        <v>28.439769999999999</v>
      </c>
      <c r="W92" s="98">
        <v>6.0000000000000002E-6</v>
      </c>
      <c r="X92" s="98">
        <v>7.2800000000000002E-4</v>
      </c>
      <c r="Y92" s="98">
        <v>4.57E-4</v>
      </c>
      <c r="Z92" s="106"/>
    </row>
    <row r="93" spans="1:26" ht="15" customHeight="1">
      <c r="A93" s="106"/>
      <c r="B93" s="96">
        <v>286</v>
      </c>
      <c r="C93" s="96">
        <v>1446</v>
      </c>
      <c r="D93" s="96" t="s">
        <v>2614</v>
      </c>
      <c r="E93" s="96">
        <v>1635</v>
      </c>
      <c r="F93" s="96" t="s">
        <v>80</v>
      </c>
      <c r="G93" s="96" t="s">
        <v>2615</v>
      </c>
      <c r="H93" s="96" t="s">
        <v>2616</v>
      </c>
      <c r="I93" s="96" t="s">
        <v>320</v>
      </c>
      <c r="J93" s="96" t="s">
        <v>918</v>
      </c>
      <c r="K93" s="96" t="s">
        <v>203</v>
      </c>
      <c r="L93" s="96" t="s">
        <v>203</v>
      </c>
      <c r="M93" s="96" t="s">
        <v>324</v>
      </c>
      <c r="N93" s="96" t="s">
        <v>339</v>
      </c>
      <c r="O93" s="96" t="s">
        <v>450</v>
      </c>
      <c r="P93" s="96" t="s">
        <v>338</v>
      </c>
      <c r="Q93" s="96" t="s">
        <v>1200</v>
      </c>
      <c r="R93" s="97">
        <v>1082.3851099999999</v>
      </c>
      <c r="S93" s="97">
        <v>1</v>
      </c>
      <c r="T93" s="97">
        <v>9392</v>
      </c>
      <c r="U93" s="96"/>
      <c r="V93" s="97">
        <v>101.65760899999999</v>
      </c>
      <c r="W93" s="98">
        <v>2.0000000000000002E-5</v>
      </c>
      <c r="X93" s="98">
        <v>2.6029999999999998E-3</v>
      </c>
      <c r="Y93" s="98">
        <v>1.6329999999999999E-3</v>
      </c>
      <c r="Z93" s="106"/>
    </row>
    <row r="94" spans="1:26" ht="15" customHeight="1">
      <c r="A94" s="106"/>
      <c r="B94" s="96">
        <v>286</v>
      </c>
      <c r="C94" s="96">
        <v>1446</v>
      </c>
      <c r="D94" s="96" t="s">
        <v>1432</v>
      </c>
      <c r="E94" s="96">
        <v>515327120</v>
      </c>
      <c r="F94" s="96" t="s">
        <v>308</v>
      </c>
      <c r="G94" s="96" t="s">
        <v>2617</v>
      </c>
      <c r="H94" s="96" t="s">
        <v>2618</v>
      </c>
      <c r="I94" s="96" t="s">
        <v>320</v>
      </c>
      <c r="J94" s="96" t="s">
        <v>918</v>
      </c>
      <c r="K94" s="96" t="s">
        <v>203</v>
      </c>
      <c r="L94" s="96" t="s">
        <v>203</v>
      </c>
      <c r="M94" s="96" t="s">
        <v>324</v>
      </c>
      <c r="N94" s="96" t="s">
        <v>339</v>
      </c>
      <c r="O94" s="96" t="s">
        <v>463</v>
      </c>
      <c r="P94" s="96" t="s">
        <v>337</v>
      </c>
      <c r="Q94" s="96" t="s">
        <v>1200</v>
      </c>
      <c r="R94" s="97">
        <v>31271.699820999998</v>
      </c>
      <c r="S94" s="97">
        <v>1</v>
      </c>
      <c r="T94" s="97">
        <v>159.4</v>
      </c>
      <c r="U94" s="96"/>
      <c r="V94" s="97">
        <v>49.847088999999997</v>
      </c>
      <c r="W94" s="98">
        <v>4.1E-5</v>
      </c>
      <c r="X94" s="98">
        <v>1.2769999999999999E-3</v>
      </c>
      <c r="Y94" s="98">
        <v>8.0099999999999995E-4</v>
      </c>
      <c r="Z94" s="106"/>
    </row>
    <row r="95" spans="1:26" ht="15" customHeight="1">
      <c r="A95" s="106"/>
      <c r="B95" s="96">
        <v>286</v>
      </c>
      <c r="C95" s="96">
        <v>1446</v>
      </c>
      <c r="D95" s="96" t="s">
        <v>2619</v>
      </c>
      <c r="E95" s="96">
        <v>520033291</v>
      </c>
      <c r="F95" s="96" t="s">
        <v>308</v>
      </c>
      <c r="G95" s="96" t="s">
        <v>2620</v>
      </c>
      <c r="H95" s="96" t="s">
        <v>2621</v>
      </c>
      <c r="I95" s="96" t="s">
        <v>320</v>
      </c>
      <c r="J95" s="96" t="s">
        <v>918</v>
      </c>
      <c r="K95" s="96" t="s">
        <v>203</v>
      </c>
      <c r="L95" s="96" t="s">
        <v>203</v>
      </c>
      <c r="M95" s="96" t="s">
        <v>324</v>
      </c>
      <c r="N95" s="96" t="s">
        <v>339</v>
      </c>
      <c r="O95" s="96" t="s">
        <v>461</v>
      </c>
      <c r="P95" s="96" t="s">
        <v>337</v>
      </c>
      <c r="Q95" s="96" t="s">
        <v>1200</v>
      </c>
      <c r="R95" s="97">
        <v>2921.2801599999998</v>
      </c>
      <c r="S95" s="97">
        <v>1</v>
      </c>
      <c r="T95" s="97">
        <v>1897</v>
      </c>
      <c r="U95" s="96"/>
      <c r="V95" s="97">
        <v>55.416683999999997</v>
      </c>
      <c r="W95" s="98">
        <v>3.0000000000000001E-5</v>
      </c>
      <c r="X95" s="98">
        <v>1.4189999999999999E-3</v>
      </c>
      <c r="Y95" s="98">
        <v>8.9099999999999997E-4</v>
      </c>
      <c r="Z95" s="106"/>
    </row>
    <row r="96" spans="1:26" ht="15" customHeight="1">
      <c r="A96" s="106"/>
      <c r="B96" s="96">
        <v>286</v>
      </c>
      <c r="C96" s="96">
        <v>1446</v>
      </c>
      <c r="D96" s="96" t="s">
        <v>1373</v>
      </c>
      <c r="E96" s="96">
        <v>1476</v>
      </c>
      <c r="F96" s="96" t="s">
        <v>80</v>
      </c>
      <c r="G96" s="96" t="s">
        <v>2622</v>
      </c>
      <c r="H96" s="96" t="s">
        <v>2623</v>
      </c>
      <c r="I96" s="96" t="s">
        <v>320</v>
      </c>
      <c r="J96" s="96" t="s">
        <v>918</v>
      </c>
      <c r="K96" s="96" t="s">
        <v>203</v>
      </c>
      <c r="L96" s="96" t="s">
        <v>203</v>
      </c>
      <c r="M96" s="96" t="s">
        <v>324</v>
      </c>
      <c r="N96" s="96" t="s">
        <v>339</v>
      </c>
      <c r="O96" s="96" t="s">
        <v>446</v>
      </c>
      <c r="P96" s="96" t="s">
        <v>338</v>
      </c>
      <c r="Q96" s="96" t="s">
        <v>1200</v>
      </c>
      <c r="R96" s="97">
        <v>0.16166800000000001</v>
      </c>
      <c r="S96" s="97">
        <v>1</v>
      </c>
      <c r="T96" s="97">
        <v>119.3</v>
      </c>
      <c r="U96" s="96"/>
      <c r="V96" s="97">
        <v>1.92E-4</v>
      </c>
      <c r="W96" s="98">
        <v>0</v>
      </c>
      <c r="X96" s="98">
        <v>0</v>
      </c>
      <c r="Y96" s="98">
        <v>0</v>
      </c>
      <c r="Z96" s="106"/>
    </row>
    <row r="97" spans="1:26" ht="15" customHeight="1">
      <c r="A97" s="106"/>
      <c r="B97" s="96">
        <v>286</v>
      </c>
      <c r="C97" s="96">
        <v>1446</v>
      </c>
      <c r="D97" s="96" t="s">
        <v>2624</v>
      </c>
      <c r="E97" s="96">
        <v>520020942</v>
      </c>
      <c r="F97" s="96" t="s">
        <v>308</v>
      </c>
      <c r="G97" s="96" t="s">
        <v>2625</v>
      </c>
      <c r="H97" s="96" t="s">
        <v>2626</v>
      </c>
      <c r="I97" s="96" t="s">
        <v>320</v>
      </c>
      <c r="J97" s="96" t="s">
        <v>918</v>
      </c>
      <c r="K97" s="96" t="s">
        <v>203</v>
      </c>
      <c r="L97" s="96" t="s">
        <v>203</v>
      </c>
      <c r="M97" s="96" t="s">
        <v>324</v>
      </c>
      <c r="N97" s="96" t="s">
        <v>339</v>
      </c>
      <c r="O97" s="96" t="s">
        <v>453</v>
      </c>
      <c r="P97" s="96" t="s">
        <v>337</v>
      </c>
      <c r="Q97" s="96" t="s">
        <v>1200</v>
      </c>
      <c r="R97" s="97">
        <v>3580.0578190000001</v>
      </c>
      <c r="S97" s="97">
        <v>1</v>
      </c>
      <c r="T97" s="97">
        <v>2011</v>
      </c>
      <c r="U97" s="96"/>
      <c r="V97" s="97">
        <v>71.994961000000004</v>
      </c>
      <c r="W97" s="98">
        <v>3.6999999999999998E-5</v>
      </c>
      <c r="X97" s="98">
        <v>1.843E-3</v>
      </c>
      <c r="Y97" s="98">
        <v>1.1559999999999999E-3</v>
      </c>
      <c r="Z97" s="106"/>
    </row>
    <row r="98" spans="1:26" ht="15" customHeight="1">
      <c r="A98" s="106"/>
      <c r="B98" s="96">
        <v>286</v>
      </c>
      <c r="C98" s="96">
        <v>1446</v>
      </c>
      <c r="D98" s="96" t="s">
        <v>1771</v>
      </c>
      <c r="E98" s="96">
        <v>515364891</v>
      </c>
      <c r="F98" s="96" t="s">
        <v>308</v>
      </c>
      <c r="G98" s="96" t="s">
        <v>2627</v>
      </c>
      <c r="H98" s="96" t="s">
        <v>2538</v>
      </c>
      <c r="I98" s="96" t="s">
        <v>320</v>
      </c>
      <c r="J98" s="96" t="s">
        <v>918</v>
      </c>
      <c r="K98" s="96" t="s">
        <v>203</v>
      </c>
      <c r="L98" s="96" t="s">
        <v>203</v>
      </c>
      <c r="M98" s="96" t="s">
        <v>326</v>
      </c>
      <c r="N98" s="96" t="s">
        <v>339</v>
      </c>
      <c r="O98" s="96" t="s">
        <v>440</v>
      </c>
      <c r="P98" s="96" t="s">
        <v>338</v>
      </c>
      <c r="Q98" s="96" t="s">
        <v>1200</v>
      </c>
      <c r="R98" s="97">
        <v>256.76729499999999</v>
      </c>
      <c r="S98" s="97">
        <v>1</v>
      </c>
      <c r="T98" s="97">
        <v>994.52760000000001</v>
      </c>
      <c r="U98" s="96"/>
      <c r="V98" s="97">
        <v>2.5536210000000001</v>
      </c>
      <c r="W98" s="98">
        <v>9.9999999999999995E-7</v>
      </c>
      <c r="X98" s="98">
        <v>6.4999999999999994E-5</v>
      </c>
      <c r="Y98" s="98">
        <v>4.1E-5</v>
      </c>
      <c r="Z98" s="106"/>
    </row>
    <row r="99" spans="1:26" ht="15" customHeight="1">
      <c r="A99" s="106"/>
      <c r="B99" s="96">
        <v>286</v>
      </c>
      <c r="C99" s="96">
        <v>1446</v>
      </c>
      <c r="D99" s="96" t="s">
        <v>2628</v>
      </c>
      <c r="E99" s="96"/>
      <c r="F99" s="96" t="s">
        <v>308</v>
      </c>
      <c r="G99" s="96" t="s">
        <v>2629</v>
      </c>
      <c r="H99" s="96" t="s">
        <v>2630</v>
      </c>
      <c r="I99" s="96" t="s">
        <v>320</v>
      </c>
      <c r="J99" s="96" t="s">
        <v>918</v>
      </c>
      <c r="K99" s="96" t="s">
        <v>203</v>
      </c>
      <c r="L99" s="96" t="s">
        <v>203</v>
      </c>
      <c r="M99" s="96" t="s">
        <v>326</v>
      </c>
      <c r="N99" s="96" t="s">
        <v>339</v>
      </c>
      <c r="O99" s="96" t="s">
        <v>438</v>
      </c>
      <c r="P99" s="96" t="s">
        <v>338</v>
      </c>
      <c r="Q99" s="96" t="s">
        <v>1200</v>
      </c>
      <c r="R99" s="97">
        <v>7.3622540000000001</v>
      </c>
      <c r="S99" s="97">
        <v>1</v>
      </c>
      <c r="T99" s="97">
        <v>1002</v>
      </c>
      <c r="U99" s="96"/>
      <c r="V99" s="97">
        <v>7.3769000000000001E-2</v>
      </c>
      <c r="W99" s="98">
        <v>0</v>
      </c>
      <c r="X99" s="98">
        <v>9.9999999999999995E-7</v>
      </c>
      <c r="Y99" s="98">
        <v>9.9999999999999995E-7</v>
      </c>
      <c r="Z99" s="106"/>
    </row>
    <row r="100" spans="1:26" ht="15" customHeight="1">
      <c r="A100" s="106"/>
      <c r="B100" s="96">
        <v>286</v>
      </c>
      <c r="C100" s="96">
        <v>1446</v>
      </c>
      <c r="D100" s="96" t="s">
        <v>2631</v>
      </c>
      <c r="E100" s="96">
        <v>513817817</v>
      </c>
      <c r="F100" s="96" t="s">
        <v>308</v>
      </c>
      <c r="G100" s="96" t="s">
        <v>2632</v>
      </c>
      <c r="H100" s="96" t="s">
        <v>2633</v>
      </c>
      <c r="I100" s="96" t="s">
        <v>320</v>
      </c>
      <c r="J100" s="96" t="s">
        <v>918</v>
      </c>
      <c r="K100" s="96" t="s">
        <v>203</v>
      </c>
      <c r="L100" s="96" t="s">
        <v>203</v>
      </c>
      <c r="M100" s="96" t="s">
        <v>324</v>
      </c>
      <c r="N100" s="96" t="s">
        <v>339</v>
      </c>
      <c r="O100" s="96" t="s">
        <v>446</v>
      </c>
      <c r="P100" s="96" t="s">
        <v>338</v>
      </c>
      <c r="Q100" s="96" t="s">
        <v>1200</v>
      </c>
      <c r="R100" s="97">
        <v>339.14663000000002</v>
      </c>
      <c r="S100" s="97">
        <v>1</v>
      </c>
      <c r="T100" s="97">
        <v>7294</v>
      </c>
      <c r="U100" s="96"/>
      <c r="V100" s="97">
        <v>24.737355000000001</v>
      </c>
      <c r="W100" s="98">
        <v>1.5999999999999999E-5</v>
      </c>
      <c r="X100" s="98">
        <v>6.3299999999999999E-4</v>
      </c>
      <c r="Y100" s="98">
        <v>3.97E-4</v>
      </c>
      <c r="Z100" s="106"/>
    </row>
    <row r="101" spans="1:26" ht="15" customHeight="1">
      <c r="A101" s="106"/>
      <c r="B101" s="96">
        <v>286</v>
      </c>
      <c r="C101" s="96">
        <v>1446</v>
      </c>
      <c r="D101" s="96" t="s">
        <v>1310</v>
      </c>
      <c r="E101" s="96">
        <v>520017450</v>
      </c>
      <c r="F101" s="96" t="s">
        <v>308</v>
      </c>
      <c r="G101" s="96" t="s">
        <v>2634</v>
      </c>
      <c r="H101" s="96" t="s">
        <v>2635</v>
      </c>
      <c r="I101" s="96" t="s">
        <v>320</v>
      </c>
      <c r="J101" s="96" t="s">
        <v>918</v>
      </c>
      <c r="K101" s="96" t="s">
        <v>203</v>
      </c>
      <c r="L101" s="96" t="s">
        <v>203</v>
      </c>
      <c r="M101" s="96" t="s">
        <v>324</v>
      </c>
      <c r="N101" s="96" t="s">
        <v>339</v>
      </c>
      <c r="O101" s="96" t="s">
        <v>444</v>
      </c>
      <c r="P101" s="96" t="s">
        <v>338</v>
      </c>
      <c r="Q101" s="96" t="s">
        <v>1200</v>
      </c>
      <c r="R101" s="97">
        <v>5781.3207030000003</v>
      </c>
      <c r="S101" s="97">
        <v>1</v>
      </c>
      <c r="T101" s="97">
        <v>3419</v>
      </c>
      <c r="U101" s="96"/>
      <c r="V101" s="97">
        <v>197.663354</v>
      </c>
      <c r="W101" s="98">
        <v>2.3E-5</v>
      </c>
      <c r="X101" s="98">
        <v>5.0629999999999998E-3</v>
      </c>
      <c r="Y101" s="98">
        <v>3.1779999999999998E-3</v>
      </c>
      <c r="Z101" s="106"/>
    </row>
    <row r="102" spans="1:26" ht="15" customHeight="1">
      <c r="A102" s="106"/>
      <c r="B102" s="96">
        <v>286</v>
      </c>
      <c r="C102" s="96">
        <v>1446</v>
      </c>
      <c r="D102" s="96" t="s">
        <v>2636</v>
      </c>
      <c r="E102" s="96">
        <v>513955252</v>
      </c>
      <c r="F102" s="96" t="s">
        <v>308</v>
      </c>
      <c r="G102" s="96" t="s">
        <v>2637</v>
      </c>
      <c r="H102" s="96" t="s">
        <v>2638</v>
      </c>
      <c r="I102" s="96" t="s">
        <v>320</v>
      </c>
      <c r="J102" s="96" t="s">
        <v>918</v>
      </c>
      <c r="K102" s="96" t="s">
        <v>203</v>
      </c>
      <c r="L102" s="96" t="s">
        <v>203</v>
      </c>
      <c r="M102" s="96" t="s">
        <v>324</v>
      </c>
      <c r="N102" s="96" t="s">
        <v>339</v>
      </c>
      <c r="O102" s="96" t="s">
        <v>461</v>
      </c>
      <c r="P102" s="96" t="s">
        <v>338</v>
      </c>
      <c r="Q102" s="96" t="s">
        <v>1200</v>
      </c>
      <c r="R102" s="97">
        <v>1175.453115</v>
      </c>
      <c r="S102" s="97">
        <v>1</v>
      </c>
      <c r="T102" s="97">
        <v>382.8</v>
      </c>
      <c r="U102" s="96"/>
      <c r="V102" s="97">
        <v>4.4996340000000004</v>
      </c>
      <c r="W102" s="98">
        <v>2.0000000000000002E-5</v>
      </c>
      <c r="X102" s="98">
        <v>1.15E-4</v>
      </c>
      <c r="Y102" s="98">
        <v>7.2000000000000002E-5</v>
      </c>
      <c r="Z102" s="106"/>
    </row>
    <row r="103" spans="1:26" ht="15" customHeight="1">
      <c r="A103" s="106"/>
      <c r="B103" s="96">
        <v>286</v>
      </c>
      <c r="C103" s="96">
        <v>1446</v>
      </c>
      <c r="D103" s="96" t="s">
        <v>2639</v>
      </c>
      <c r="E103" s="96">
        <v>520025990</v>
      </c>
      <c r="F103" s="96" t="s">
        <v>308</v>
      </c>
      <c r="G103" s="96" t="s">
        <v>2640</v>
      </c>
      <c r="H103" s="96" t="s">
        <v>2641</v>
      </c>
      <c r="I103" s="96" t="s">
        <v>320</v>
      </c>
      <c r="J103" s="96" t="s">
        <v>918</v>
      </c>
      <c r="K103" s="96" t="s">
        <v>203</v>
      </c>
      <c r="L103" s="96" t="s">
        <v>203</v>
      </c>
      <c r="M103" s="96" t="s">
        <v>324</v>
      </c>
      <c r="N103" s="96" t="s">
        <v>339</v>
      </c>
      <c r="O103" s="96" t="s">
        <v>446</v>
      </c>
      <c r="P103" s="96" t="s">
        <v>338</v>
      </c>
      <c r="Q103" s="96" t="s">
        <v>1200</v>
      </c>
      <c r="R103" s="97">
        <v>4409.4222200000004</v>
      </c>
      <c r="S103" s="97">
        <v>1</v>
      </c>
      <c r="T103" s="97">
        <v>1549</v>
      </c>
      <c r="U103" s="96"/>
      <c r="V103" s="97">
        <v>68.301950000000005</v>
      </c>
      <c r="W103" s="98">
        <v>2.0000000000000002E-5</v>
      </c>
      <c r="X103" s="98">
        <v>1.7489999999999999E-3</v>
      </c>
      <c r="Y103" s="98">
        <v>1.098E-3</v>
      </c>
      <c r="Z103" s="106"/>
    </row>
    <row r="104" spans="1:26" ht="15" customHeight="1">
      <c r="A104" s="106"/>
      <c r="B104" s="96">
        <v>286</v>
      </c>
      <c r="C104" s="96">
        <v>1446</v>
      </c>
      <c r="D104" s="96" t="s">
        <v>2642</v>
      </c>
      <c r="E104" s="96">
        <v>550013098</v>
      </c>
      <c r="F104" s="96" t="s">
        <v>309</v>
      </c>
      <c r="G104" s="96" t="s">
        <v>2643</v>
      </c>
      <c r="H104" s="96" t="s">
        <v>2644</v>
      </c>
      <c r="I104" s="96" t="s">
        <v>320</v>
      </c>
      <c r="J104" s="96" t="s">
        <v>959</v>
      </c>
      <c r="K104" s="96" t="s">
        <v>203</v>
      </c>
      <c r="L104" s="96" t="s">
        <v>203</v>
      </c>
      <c r="M104" s="96" t="s">
        <v>324</v>
      </c>
      <c r="N104" s="96" t="s">
        <v>339</v>
      </c>
      <c r="O104" s="96" t="s">
        <v>453</v>
      </c>
      <c r="P104" s="96" t="s">
        <v>338</v>
      </c>
      <c r="Q104" s="96" t="s">
        <v>1200</v>
      </c>
      <c r="R104" s="97">
        <v>22140.326870000001</v>
      </c>
      <c r="S104" s="97">
        <v>1</v>
      </c>
      <c r="T104" s="97">
        <v>895.6</v>
      </c>
      <c r="U104" s="96"/>
      <c r="V104" s="97">
        <v>198.28876600000001</v>
      </c>
      <c r="W104" s="98">
        <v>1.8E-5</v>
      </c>
      <c r="X104" s="98">
        <v>5.0790000000000002E-3</v>
      </c>
      <c r="Y104" s="98">
        <v>3.1879999999999999E-3</v>
      </c>
      <c r="Z104" s="106"/>
    </row>
    <row r="105" spans="1:26" ht="15" customHeight="1">
      <c r="A105" s="106"/>
      <c r="B105" s="96">
        <v>286</v>
      </c>
      <c r="C105" s="96">
        <v>1446</v>
      </c>
      <c r="D105" s="96" t="s">
        <v>1427</v>
      </c>
      <c r="E105" s="96">
        <v>520031931</v>
      </c>
      <c r="F105" s="96" t="s">
        <v>308</v>
      </c>
      <c r="G105" s="96" t="s">
        <v>2645</v>
      </c>
      <c r="H105" s="96" t="s">
        <v>2646</v>
      </c>
      <c r="I105" s="96" t="s">
        <v>320</v>
      </c>
      <c r="J105" s="96" t="s">
        <v>918</v>
      </c>
      <c r="K105" s="96" t="s">
        <v>203</v>
      </c>
      <c r="L105" s="96" t="s">
        <v>203</v>
      </c>
      <c r="M105" s="96" t="s">
        <v>324</v>
      </c>
      <c r="N105" s="96" t="s">
        <v>339</v>
      </c>
      <c r="O105" s="96" t="s">
        <v>483</v>
      </c>
      <c r="P105" s="96" t="s">
        <v>338</v>
      </c>
      <c r="Q105" s="96" t="s">
        <v>1200</v>
      </c>
      <c r="R105" s="97">
        <v>65352.476225999999</v>
      </c>
      <c r="S105" s="97">
        <v>1</v>
      </c>
      <c r="T105" s="97">
        <v>423.6</v>
      </c>
      <c r="U105" s="96"/>
      <c r="V105" s="97">
        <v>276.83308899999997</v>
      </c>
      <c r="W105" s="98">
        <v>2.3E-5</v>
      </c>
      <c r="X105" s="98">
        <v>7.0920000000000002E-3</v>
      </c>
      <c r="Y105" s="98">
        <v>4.45E-3</v>
      </c>
      <c r="Z105" s="106"/>
    </row>
    <row r="106" spans="1:26" ht="15" customHeight="1">
      <c r="A106" s="106"/>
      <c r="B106" s="96">
        <v>286</v>
      </c>
      <c r="C106" s="96">
        <v>1446</v>
      </c>
      <c r="D106" s="96" t="s">
        <v>1337</v>
      </c>
      <c r="E106" s="96">
        <v>520028010</v>
      </c>
      <c r="F106" s="96" t="s">
        <v>308</v>
      </c>
      <c r="G106" s="96" t="s">
        <v>2647</v>
      </c>
      <c r="H106" s="96" t="s">
        <v>2648</v>
      </c>
      <c r="I106" s="96" t="s">
        <v>320</v>
      </c>
      <c r="J106" s="96" t="s">
        <v>918</v>
      </c>
      <c r="K106" s="96" t="s">
        <v>203</v>
      </c>
      <c r="L106" s="96" t="s">
        <v>203</v>
      </c>
      <c r="M106" s="96" t="s">
        <v>324</v>
      </c>
      <c r="N106" s="96" t="s">
        <v>339</v>
      </c>
      <c r="O106" s="96" t="s">
        <v>450</v>
      </c>
      <c r="P106" s="96" t="s">
        <v>338</v>
      </c>
      <c r="Q106" s="96" t="s">
        <v>1200</v>
      </c>
      <c r="R106" s="97">
        <v>180.448699</v>
      </c>
      <c r="S106" s="97">
        <v>1</v>
      </c>
      <c r="T106" s="97">
        <v>83740</v>
      </c>
      <c r="U106" s="96"/>
      <c r="V106" s="97">
        <v>151.107741</v>
      </c>
      <c r="W106" s="98">
        <v>2.3E-5</v>
      </c>
      <c r="X106" s="98">
        <v>3.8709999999999999E-3</v>
      </c>
      <c r="Y106" s="98">
        <v>2.4290000000000002E-3</v>
      </c>
      <c r="Z106" s="106"/>
    </row>
    <row r="107" spans="1:26" ht="15" customHeight="1">
      <c r="A107" s="106"/>
      <c r="B107" s="96">
        <v>286</v>
      </c>
      <c r="C107" s="96">
        <v>1446</v>
      </c>
      <c r="D107" s="96" t="s">
        <v>2649</v>
      </c>
      <c r="E107" s="96">
        <v>511812463</v>
      </c>
      <c r="F107" s="96" t="s">
        <v>308</v>
      </c>
      <c r="G107" s="96" t="s">
        <v>2650</v>
      </c>
      <c r="H107" s="96" t="s">
        <v>2651</v>
      </c>
      <c r="I107" s="96" t="s">
        <v>320</v>
      </c>
      <c r="J107" s="96" t="s">
        <v>918</v>
      </c>
      <c r="K107" s="96" t="s">
        <v>203</v>
      </c>
      <c r="L107" s="96" t="s">
        <v>203</v>
      </c>
      <c r="M107" s="96" t="s">
        <v>324</v>
      </c>
      <c r="N107" s="96" t="s">
        <v>339</v>
      </c>
      <c r="O107" s="96" t="s">
        <v>457</v>
      </c>
      <c r="P107" s="96" t="s">
        <v>337</v>
      </c>
      <c r="Q107" s="96" t="s">
        <v>1200</v>
      </c>
      <c r="R107" s="97">
        <v>370.39556099999999</v>
      </c>
      <c r="S107" s="97">
        <v>1</v>
      </c>
      <c r="T107" s="97">
        <v>87800</v>
      </c>
      <c r="U107" s="96"/>
      <c r="V107" s="97">
        <v>325.20730200000003</v>
      </c>
      <c r="W107" s="98">
        <v>1.2E-5</v>
      </c>
      <c r="X107" s="98">
        <v>8.3320000000000009E-3</v>
      </c>
      <c r="Y107" s="98">
        <v>5.228E-3</v>
      </c>
      <c r="Z107" s="106"/>
    </row>
    <row r="108" spans="1:26" ht="15" customHeight="1">
      <c r="A108" s="106"/>
      <c r="B108" s="96">
        <v>286</v>
      </c>
      <c r="C108" s="96">
        <v>1446</v>
      </c>
      <c r="D108" s="96" t="s">
        <v>2652</v>
      </c>
      <c r="E108" s="96">
        <v>512726712</v>
      </c>
      <c r="F108" s="96" t="s">
        <v>308</v>
      </c>
      <c r="G108" s="96" t="s">
        <v>2653</v>
      </c>
      <c r="H108" s="96" t="s">
        <v>2654</v>
      </c>
      <c r="I108" s="96" t="s">
        <v>320</v>
      </c>
      <c r="J108" s="96" t="s">
        <v>918</v>
      </c>
      <c r="K108" s="96" t="s">
        <v>203</v>
      </c>
      <c r="L108" s="96" t="s">
        <v>203</v>
      </c>
      <c r="M108" s="96" t="s">
        <v>324</v>
      </c>
      <c r="N108" s="96" t="s">
        <v>339</v>
      </c>
      <c r="O108" s="96" t="s">
        <v>446</v>
      </c>
      <c r="P108" s="96" t="s">
        <v>338</v>
      </c>
      <c r="Q108" s="96" t="s">
        <v>1200</v>
      </c>
      <c r="R108" s="97">
        <v>57.822007999999997</v>
      </c>
      <c r="S108" s="97">
        <v>1</v>
      </c>
      <c r="T108" s="97">
        <v>1291</v>
      </c>
      <c r="U108" s="96"/>
      <c r="V108" s="97">
        <v>0.74648199999999998</v>
      </c>
      <c r="W108" s="98">
        <v>1.9999999999999999E-6</v>
      </c>
      <c r="X108" s="98">
        <v>1.9000000000000001E-5</v>
      </c>
      <c r="Y108" s="98">
        <v>1.2E-5</v>
      </c>
      <c r="Z108" s="106"/>
    </row>
    <row r="109" spans="1:26" ht="15" customHeight="1">
      <c r="A109" s="106"/>
      <c r="B109" s="96">
        <v>286</v>
      </c>
      <c r="C109" s="96">
        <v>1446</v>
      </c>
      <c r="D109" s="96" t="s">
        <v>2655</v>
      </c>
      <c r="E109" s="96"/>
      <c r="F109" s="96" t="s">
        <v>308</v>
      </c>
      <c r="G109" s="96" t="s">
        <v>2656</v>
      </c>
      <c r="H109" s="96" t="s">
        <v>2657</v>
      </c>
      <c r="I109" s="96" t="s">
        <v>320</v>
      </c>
      <c r="J109" s="96" t="s">
        <v>918</v>
      </c>
      <c r="K109" s="96" t="s">
        <v>203</v>
      </c>
      <c r="L109" s="96" t="s">
        <v>203</v>
      </c>
      <c r="M109" s="96" t="s">
        <v>324</v>
      </c>
      <c r="N109" s="96" t="s">
        <v>339</v>
      </c>
      <c r="O109" s="96" t="s">
        <v>458</v>
      </c>
      <c r="P109" s="96" t="s">
        <v>338</v>
      </c>
      <c r="Q109" s="96" t="s">
        <v>1200</v>
      </c>
      <c r="R109" s="97">
        <v>82.749939999999995</v>
      </c>
      <c r="S109" s="97">
        <v>1</v>
      </c>
      <c r="T109" s="97">
        <v>1708</v>
      </c>
      <c r="U109" s="96"/>
      <c r="V109" s="97">
        <v>1.413368</v>
      </c>
      <c r="W109" s="98">
        <v>0</v>
      </c>
      <c r="X109" s="98">
        <v>3.6000000000000001E-5</v>
      </c>
      <c r="Y109" s="98">
        <v>2.1999999999999999E-5</v>
      </c>
      <c r="Z109" s="106"/>
    </row>
    <row r="110" spans="1:26" ht="15" customHeight="1">
      <c r="A110" s="106"/>
      <c r="B110" s="96">
        <v>286</v>
      </c>
      <c r="C110" s="96">
        <v>1446</v>
      </c>
      <c r="D110" s="96" t="s">
        <v>1340</v>
      </c>
      <c r="E110" s="96">
        <v>520036658</v>
      </c>
      <c r="F110" s="96" t="s">
        <v>308</v>
      </c>
      <c r="G110" s="96" t="s">
        <v>2658</v>
      </c>
      <c r="H110" s="96" t="s">
        <v>2659</v>
      </c>
      <c r="I110" s="96" t="s">
        <v>320</v>
      </c>
      <c r="J110" s="96" t="s">
        <v>918</v>
      </c>
      <c r="K110" s="96" t="s">
        <v>203</v>
      </c>
      <c r="L110" s="96" t="s">
        <v>203</v>
      </c>
      <c r="M110" s="96" t="s">
        <v>324</v>
      </c>
      <c r="N110" s="96" t="s">
        <v>339</v>
      </c>
      <c r="O110" s="96" t="s">
        <v>439</v>
      </c>
      <c r="P110" s="96" t="s">
        <v>338</v>
      </c>
      <c r="Q110" s="96" t="s">
        <v>1200</v>
      </c>
      <c r="R110" s="97">
        <v>67259.484519000005</v>
      </c>
      <c r="S110" s="97">
        <v>1</v>
      </c>
      <c r="T110" s="97">
        <v>86.7</v>
      </c>
      <c r="U110" s="96"/>
      <c r="V110" s="97">
        <v>58.313972</v>
      </c>
      <c r="W110" s="98">
        <v>2.0999999999999999E-5</v>
      </c>
      <c r="X110" s="98">
        <v>1.493E-3</v>
      </c>
      <c r="Y110" s="98">
        <v>9.3700000000000001E-4</v>
      </c>
      <c r="Z110" s="106"/>
    </row>
    <row r="111" spans="1:26" ht="15" customHeight="1">
      <c r="A111" s="106"/>
      <c r="B111" s="96">
        <v>286</v>
      </c>
      <c r="C111" s="96">
        <v>1446</v>
      </c>
      <c r="D111" s="96" t="s">
        <v>2660</v>
      </c>
      <c r="E111" s="96">
        <v>1884</v>
      </c>
      <c r="F111" s="96" t="s">
        <v>80</v>
      </c>
      <c r="G111" s="96" t="s">
        <v>2661</v>
      </c>
      <c r="H111" s="96" t="s">
        <v>2662</v>
      </c>
      <c r="I111" s="96" t="s">
        <v>320</v>
      </c>
      <c r="J111" s="96" t="s">
        <v>918</v>
      </c>
      <c r="K111" s="96" t="s">
        <v>203</v>
      </c>
      <c r="L111" s="96" t="s">
        <v>203</v>
      </c>
      <c r="M111" s="96" t="s">
        <v>324</v>
      </c>
      <c r="N111" s="96" t="s">
        <v>339</v>
      </c>
      <c r="O111" s="96" t="s">
        <v>464</v>
      </c>
      <c r="P111" s="96" t="s">
        <v>337</v>
      </c>
      <c r="Q111" s="96" t="s">
        <v>1200</v>
      </c>
      <c r="R111" s="97">
        <v>521.66756099999998</v>
      </c>
      <c r="S111" s="97">
        <v>1</v>
      </c>
      <c r="T111" s="97">
        <v>7921</v>
      </c>
      <c r="U111" s="96"/>
      <c r="V111" s="97">
        <v>41.321286999999998</v>
      </c>
      <c r="W111" s="98">
        <v>2.8E-5</v>
      </c>
      <c r="X111" s="98">
        <v>1.0579999999999999E-3</v>
      </c>
      <c r="Y111" s="98">
        <v>6.6399999999999999E-4</v>
      </c>
      <c r="Z111" s="106"/>
    </row>
    <row r="112" spans="1:26" ht="15" customHeight="1">
      <c r="A112" s="106"/>
      <c r="B112" s="96">
        <v>286</v>
      </c>
      <c r="C112" s="96">
        <v>1446</v>
      </c>
      <c r="D112" s="96" t="s">
        <v>1209</v>
      </c>
      <c r="E112" s="96">
        <v>520000522</v>
      </c>
      <c r="F112" s="96" t="s">
        <v>308</v>
      </c>
      <c r="G112" s="96" t="s">
        <v>2663</v>
      </c>
      <c r="H112" s="96" t="s">
        <v>2664</v>
      </c>
      <c r="I112" s="96" t="s">
        <v>320</v>
      </c>
      <c r="J112" s="96" t="s">
        <v>918</v>
      </c>
      <c r="K112" s="96" t="s">
        <v>203</v>
      </c>
      <c r="L112" s="96" t="s">
        <v>203</v>
      </c>
      <c r="M112" s="96" t="s">
        <v>324</v>
      </c>
      <c r="N112" s="96" t="s">
        <v>339</v>
      </c>
      <c r="O112" s="96" t="s">
        <v>447</v>
      </c>
      <c r="P112" s="96" t="s">
        <v>338</v>
      </c>
      <c r="Q112" s="96" t="s">
        <v>1200</v>
      </c>
      <c r="R112" s="97">
        <v>4078.5406899999998</v>
      </c>
      <c r="S112" s="97">
        <v>1</v>
      </c>
      <c r="T112" s="97">
        <v>13080</v>
      </c>
      <c r="U112" s="96"/>
      <c r="V112" s="97">
        <v>533.47312099999999</v>
      </c>
      <c r="W112" s="98">
        <v>1.5E-5</v>
      </c>
      <c r="X112" s="98">
        <v>1.3667E-2</v>
      </c>
      <c r="Y112" s="98">
        <v>8.5780000000000006E-3</v>
      </c>
      <c r="Z112" s="106"/>
    </row>
    <row r="113" spans="1:26" ht="15" customHeight="1">
      <c r="A113" s="106"/>
      <c r="B113" s="96">
        <v>286</v>
      </c>
      <c r="C113" s="96">
        <v>1446</v>
      </c>
      <c r="D113" s="96" t="s">
        <v>1382</v>
      </c>
      <c r="E113" s="96">
        <v>520036690</v>
      </c>
      <c r="F113" s="96" t="s">
        <v>308</v>
      </c>
      <c r="G113" s="96" t="s">
        <v>2665</v>
      </c>
      <c r="H113" s="96" t="s">
        <v>2666</v>
      </c>
      <c r="I113" s="96" t="s">
        <v>320</v>
      </c>
      <c r="J113" s="96" t="s">
        <v>918</v>
      </c>
      <c r="K113" s="96" t="s">
        <v>203</v>
      </c>
      <c r="L113" s="96" t="s">
        <v>203</v>
      </c>
      <c r="M113" s="96" t="s">
        <v>324</v>
      </c>
      <c r="N113" s="96" t="s">
        <v>339</v>
      </c>
      <c r="O113" s="96" t="s">
        <v>475</v>
      </c>
      <c r="P113" s="96" t="s">
        <v>337</v>
      </c>
      <c r="Q113" s="96" t="s">
        <v>1200</v>
      </c>
      <c r="R113" s="97">
        <v>528.72261600000002</v>
      </c>
      <c r="S113" s="97">
        <v>1</v>
      </c>
      <c r="T113" s="97">
        <v>26800</v>
      </c>
      <c r="U113" s="96"/>
      <c r="V113" s="97">
        <v>141.69766000000001</v>
      </c>
      <c r="W113" s="98">
        <v>3.4E-5</v>
      </c>
      <c r="X113" s="98">
        <v>3.63E-3</v>
      </c>
      <c r="Y113" s="98">
        <v>2.2780000000000001E-3</v>
      </c>
      <c r="Z113" s="106"/>
    </row>
    <row r="114" spans="1:26" ht="15" customHeight="1">
      <c r="A114" s="106"/>
      <c r="B114" s="96">
        <v>286</v>
      </c>
      <c r="C114" s="96">
        <v>1446</v>
      </c>
      <c r="D114" s="96" t="s">
        <v>1735</v>
      </c>
      <c r="E114" s="96">
        <v>550010003</v>
      </c>
      <c r="F114" s="96" t="s">
        <v>309</v>
      </c>
      <c r="G114" s="96" t="s">
        <v>2667</v>
      </c>
      <c r="H114" s="96" t="s">
        <v>2668</v>
      </c>
      <c r="I114" s="96" t="s">
        <v>320</v>
      </c>
      <c r="J114" s="96" t="s">
        <v>959</v>
      </c>
      <c r="K114" s="96" t="s">
        <v>203</v>
      </c>
      <c r="L114" s="96" t="s">
        <v>203</v>
      </c>
      <c r="M114" s="96" t="s">
        <v>324</v>
      </c>
      <c r="N114" s="96" t="s">
        <v>339</v>
      </c>
      <c r="O114" s="96" t="s">
        <v>453</v>
      </c>
      <c r="P114" s="96" t="s">
        <v>338</v>
      </c>
      <c r="Q114" s="96" t="s">
        <v>1200</v>
      </c>
      <c r="R114" s="97">
        <v>58077.118721999999</v>
      </c>
      <c r="S114" s="97">
        <v>1</v>
      </c>
      <c r="T114" s="97">
        <v>147.19999999999999</v>
      </c>
      <c r="U114" s="96"/>
      <c r="V114" s="97">
        <v>85.489518000000004</v>
      </c>
      <c r="W114" s="98">
        <v>2.1999999999999999E-5</v>
      </c>
      <c r="X114" s="98">
        <v>2.1900000000000001E-3</v>
      </c>
      <c r="Y114" s="98">
        <v>1.374E-3</v>
      </c>
      <c r="Z114" s="106"/>
    </row>
    <row r="115" spans="1:26" ht="15" customHeight="1">
      <c r="A115" s="106"/>
      <c r="B115" s="96">
        <v>286</v>
      </c>
      <c r="C115" s="96">
        <v>1446</v>
      </c>
      <c r="D115" s="96" t="s">
        <v>1814</v>
      </c>
      <c r="E115" s="96">
        <v>514599943</v>
      </c>
      <c r="F115" s="96" t="s">
        <v>308</v>
      </c>
      <c r="G115" s="96" t="s">
        <v>2669</v>
      </c>
      <c r="H115" s="96" t="s">
        <v>2463</v>
      </c>
      <c r="I115" s="96" t="s">
        <v>320</v>
      </c>
      <c r="J115" s="96" t="s">
        <v>918</v>
      </c>
      <c r="K115" s="96" t="s">
        <v>203</v>
      </c>
      <c r="L115" s="96" t="s">
        <v>203</v>
      </c>
      <c r="M115" s="96" t="s">
        <v>326</v>
      </c>
      <c r="N115" s="96" t="s">
        <v>339</v>
      </c>
      <c r="O115" s="96" t="s">
        <v>440</v>
      </c>
      <c r="P115" s="96" t="s">
        <v>338</v>
      </c>
      <c r="Q115" s="96" t="s">
        <v>1200</v>
      </c>
      <c r="R115" s="97">
        <v>2.4171770000000001</v>
      </c>
      <c r="S115" s="97">
        <v>1</v>
      </c>
      <c r="T115" s="97">
        <v>7941.8741</v>
      </c>
      <c r="U115" s="96"/>
      <c r="V115" s="97">
        <v>0.191969</v>
      </c>
      <c r="W115" s="98">
        <v>0</v>
      </c>
      <c r="X115" s="98">
        <v>3.9999999999999998E-6</v>
      </c>
      <c r="Y115" s="98">
        <v>3.0000000000000001E-6</v>
      </c>
      <c r="Z115" s="106"/>
    </row>
    <row r="116" spans="1:26" ht="15" customHeight="1">
      <c r="A116" s="106"/>
      <c r="B116" s="96">
        <v>286</v>
      </c>
      <c r="C116" s="96">
        <v>1446</v>
      </c>
      <c r="D116" s="96" t="s">
        <v>1351</v>
      </c>
      <c r="E116" s="96">
        <v>520033986</v>
      </c>
      <c r="F116" s="96" t="s">
        <v>308</v>
      </c>
      <c r="G116" s="96" t="s">
        <v>2670</v>
      </c>
      <c r="H116" s="96" t="s">
        <v>2671</v>
      </c>
      <c r="I116" s="96" t="s">
        <v>320</v>
      </c>
      <c r="J116" s="96" t="s">
        <v>918</v>
      </c>
      <c r="K116" s="96" t="s">
        <v>203</v>
      </c>
      <c r="L116" s="96" t="s">
        <v>203</v>
      </c>
      <c r="M116" s="96" t="s">
        <v>324</v>
      </c>
      <c r="N116" s="96" t="s">
        <v>339</v>
      </c>
      <c r="O116" s="96" t="s">
        <v>444</v>
      </c>
      <c r="P116" s="96" t="s">
        <v>338</v>
      </c>
      <c r="Q116" s="96" t="s">
        <v>1200</v>
      </c>
      <c r="R116" s="97">
        <v>4814.7524439999997</v>
      </c>
      <c r="S116" s="97">
        <v>1</v>
      </c>
      <c r="T116" s="97">
        <v>2997</v>
      </c>
      <c r="U116" s="96"/>
      <c r="V116" s="97">
        <v>144.29812999999999</v>
      </c>
      <c r="W116" s="98">
        <v>2.3E-5</v>
      </c>
      <c r="X116" s="98">
        <v>3.6960000000000001E-3</v>
      </c>
      <c r="Y116" s="98">
        <v>2.3189999999999999E-3</v>
      </c>
      <c r="Z116" s="106"/>
    </row>
    <row r="117" spans="1:26" ht="15" customHeight="1">
      <c r="A117" s="106"/>
      <c r="B117" s="96">
        <v>286</v>
      </c>
      <c r="C117" s="96">
        <v>1446</v>
      </c>
      <c r="D117" s="96" t="s">
        <v>1570</v>
      </c>
      <c r="E117" s="96">
        <v>512719485</v>
      </c>
      <c r="F117" s="96" t="s">
        <v>308</v>
      </c>
      <c r="G117" s="96" t="s">
        <v>2672</v>
      </c>
      <c r="H117" s="96" t="s">
        <v>2673</v>
      </c>
      <c r="I117" s="96" t="s">
        <v>320</v>
      </c>
      <c r="J117" s="96" t="s">
        <v>918</v>
      </c>
      <c r="K117" s="96" t="s">
        <v>203</v>
      </c>
      <c r="L117" s="96" t="s">
        <v>203</v>
      </c>
      <c r="M117" s="96" t="s">
        <v>324</v>
      </c>
      <c r="N117" s="96" t="s">
        <v>339</v>
      </c>
      <c r="O117" s="96" t="s">
        <v>463</v>
      </c>
      <c r="P117" s="96" t="s">
        <v>337</v>
      </c>
      <c r="Q117" s="96" t="s">
        <v>1200</v>
      </c>
      <c r="R117" s="97">
        <v>6848.6428880000003</v>
      </c>
      <c r="S117" s="97">
        <v>1</v>
      </c>
      <c r="T117" s="97">
        <v>729.3</v>
      </c>
      <c r="U117" s="96"/>
      <c r="V117" s="97">
        <v>49.947150999999998</v>
      </c>
      <c r="W117" s="98">
        <v>4.5000000000000003E-5</v>
      </c>
      <c r="X117" s="98">
        <v>1.279E-3</v>
      </c>
      <c r="Y117" s="98">
        <v>8.0199999999999998E-4</v>
      </c>
      <c r="Z117" s="106"/>
    </row>
    <row r="118" spans="1:26" ht="15" customHeight="1">
      <c r="A118" s="106"/>
      <c r="B118" s="96">
        <v>286</v>
      </c>
      <c r="C118" s="96">
        <v>1446</v>
      </c>
      <c r="D118" s="96" t="s">
        <v>2674</v>
      </c>
      <c r="E118" s="96">
        <v>514259019</v>
      </c>
      <c r="F118" s="96" t="s">
        <v>308</v>
      </c>
      <c r="G118" s="96" t="s">
        <v>2675</v>
      </c>
      <c r="H118" s="96" t="s">
        <v>2676</v>
      </c>
      <c r="I118" s="96" t="s">
        <v>320</v>
      </c>
      <c r="J118" s="96" t="s">
        <v>918</v>
      </c>
      <c r="K118" s="96" t="s">
        <v>203</v>
      </c>
      <c r="L118" s="96" t="s">
        <v>203</v>
      </c>
      <c r="M118" s="96" t="s">
        <v>324</v>
      </c>
      <c r="N118" s="96" t="s">
        <v>339</v>
      </c>
      <c r="O118" s="96" t="s">
        <v>438</v>
      </c>
      <c r="P118" s="96" t="s">
        <v>338</v>
      </c>
      <c r="Q118" s="96" t="s">
        <v>1200</v>
      </c>
      <c r="R118" s="97">
        <v>960.29719699999998</v>
      </c>
      <c r="S118" s="97">
        <v>1</v>
      </c>
      <c r="T118" s="97">
        <v>5368</v>
      </c>
      <c r="U118" s="96"/>
      <c r="V118" s="97">
        <v>51.548752999999998</v>
      </c>
      <c r="W118" s="98">
        <v>1.2E-5</v>
      </c>
      <c r="X118" s="98">
        <v>1.32E-3</v>
      </c>
      <c r="Y118" s="98">
        <v>8.2799999999999996E-4</v>
      </c>
      <c r="Z118" s="106"/>
    </row>
    <row r="119" spans="1:26" ht="15" customHeight="1">
      <c r="A119" s="106"/>
      <c r="B119" s="96">
        <v>286</v>
      </c>
      <c r="C119" s="96">
        <v>1446</v>
      </c>
      <c r="D119" s="96" t="s">
        <v>1414</v>
      </c>
      <c r="E119" s="96">
        <v>520037789</v>
      </c>
      <c r="F119" s="96" t="s">
        <v>308</v>
      </c>
      <c r="G119" s="96" t="s">
        <v>2677</v>
      </c>
      <c r="H119" s="96" t="s">
        <v>2678</v>
      </c>
      <c r="I119" s="96" t="s">
        <v>320</v>
      </c>
      <c r="J119" s="96" t="s">
        <v>918</v>
      </c>
      <c r="K119" s="96" t="s">
        <v>203</v>
      </c>
      <c r="L119" s="96" t="s">
        <v>203</v>
      </c>
      <c r="M119" s="96" t="s">
        <v>324</v>
      </c>
      <c r="N119" s="96" t="s">
        <v>339</v>
      </c>
      <c r="O119" s="96" t="s">
        <v>463</v>
      </c>
      <c r="P119" s="96" t="s">
        <v>337</v>
      </c>
      <c r="Q119" s="96" t="s">
        <v>1200</v>
      </c>
      <c r="R119" s="97">
        <v>1243.3453280000001</v>
      </c>
      <c r="S119" s="97">
        <v>1</v>
      </c>
      <c r="T119" s="97">
        <v>24710</v>
      </c>
      <c r="U119" s="96"/>
      <c r="V119" s="97">
        <v>307.23063000000002</v>
      </c>
      <c r="W119" s="98">
        <v>2.5999999999999998E-5</v>
      </c>
      <c r="X119" s="98">
        <v>7.8709999999999995E-3</v>
      </c>
      <c r="Y119" s="98">
        <v>4.9399999999999999E-3</v>
      </c>
      <c r="Z119" s="106"/>
    </row>
    <row r="120" spans="1:26" ht="15" customHeight="1">
      <c r="A120" s="106"/>
      <c r="B120" s="96">
        <v>286</v>
      </c>
      <c r="C120" s="96">
        <v>1446</v>
      </c>
      <c r="D120" s="96" t="s">
        <v>1658</v>
      </c>
      <c r="E120" s="96">
        <v>520038506</v>
      </c>
      <c r="F120" s="96" t="s">
        <v>308</v>
      </c>
      <c r="G120" s="96" t="s">
        <v>2679</v>
      </c>
      <c r="H120" s="96" t="s">
        <v>2680</v>
      </c>
      <c r="I120" s="96" t="s">
        <v>320</v>
      </c>
      <c r="J120" s="96" t="s">
        <v>918</v>
      </c>
      <c r="K120" s="96" t="s">
        <v>203</v>
      </c>
      <c r="L120" s="96" t="s">
        <v>203</v>
      </c>
      <c r="M120" s="96" t="s">
        <v>324</v>
      </c>
      <c r="N120" s="96" t="s">
        <v>339</v>
      </c>
      <c r="O120" s="96" t="s">
        <v>463</v>
      </c>
      <c r="P120" s="96" t="s">
        <v>337</v>
      </c>
      <c r="Q120" s="96" t="s">
        <v>1200</v>
      </c>
      <c r="R120" s="97">
        <v>7670.9418889999997</v>
      </c>
      <c r="S120" s="97">
        <v>1</v>
      </c>
      <c r="T120" s="97">
        <v>2350</v>
      </c>
      <c r="U120" s="96"/>
      <c r="V120" s="97">
        <v>180.267133</v>
      </c>
      <c r="W120" s="98">
        <v>4.1999999999999998E-5</v>
      </c>
      <c r="X120" s="98">
        <v>4.6169999999999996E-3</v>
      </c>
      <c r="Y120" s="98">
        <v>2.8969999999999998E-3</v>
      </c>
      <c r="Z120" s="106"/>
    </row>
    <row r="121" spans="1:26" ht="15" customHeight="1">
      <c r="A121" s="106"/>
      <c r="B121" s="96">
        <v>286</v>
      </c>
      <c r="C121" s="96">
        <v>1446</v>
      </c>
      <c r="D121" s="96" t="s">
        <v>1364</v>
      </c>
      <c r="E121" s="96">
        <v>513821488</v>
      </c>
      <c r="F121" s="96" t="s">
        <v>308</v>
      </c>
      <c r="G121" s="96" t="s">
        <v>2681</v>
      </c>
      <c r="H121" s="96" t="s">
        <v>2682</v>
      </c>
      <c r="I121" s="96" t="s">
        <v>320</v>
      </c>
      <c r="J121" s="96" t="s">
        <v>918</v>
      </c>
      <c r="K121" s="96" t="s">
        <v>203</v>
      </c>
      <c r="L121" s="96" t="s">
        <v>203</v>
      </c>
      <c r="M121" s="96" t="s">
        <v>324</v>
      </c>
      <c r="N121" s="96" t="s">
        <v>339</v>
      </c>
      <c r="O121" s="96" t="s">
        <v>463</v>
      </c>
      <c r="P121" s="96" t="s">
        <v>337</v>
      </c>
      <c r="Q121" s="96" t="s">
        <v>1200</v>
      </c>
      <c r="R121" s="97">
        <v>6555.5369190000001</v>
      </c>
      <c r="S121" s="97">
        <v>1</v>
      </c>
      <c r="T121" s="97">
        <v>1391</v>
      </c>
      <c r="U121" s="96"/>
      <c r="V121" s="97">
        <v>91.187517999999997</v>
      </c>
      <c r="W121" s="98">
        <v>3.3000000000000003E-5</v>
      </c>
      <c r="X121" s="98">
        <v>2.336E-3</v>
      </c>
      <c r="Y121" s="98">
        <v>1.4649999999999999E-3</v>
      </c>
      <c r="Z121" s="106"/>
    </row>
    <row r="122" spans="1:26" ht="15" customHeight="1">
      <c r="A122" s="106"/>
      <c r="B122" s="96">
        <v>286</v>
      </c>
      <c r="C122" s="96">
        <v>1446</v>
      </c>
      <c r="D122" s="96" t="s">
        <v>1672</v>
      </c>
      <c r="E122" s="96">
        <v>1146</v>
      </c>
      <c r="F122" s="96" t="s">
        <v>80</v>
      </c>
      <c r="G122" s="96" t="s">
        <v>2683</v>
      </c>
      <c r="H122" s="96" t="s">
        <v>2684</v>
      </c>
      <c r="I122" s="96" t="s">
        <v>320</v>
      </c>
      <c r="J122" s="96" t="s">
        <v>918</v>
      </c>
      <c r="K122" s="96" t="s">
        <v>203</v>
      </c>
      <c r="L122" s="96" t="s">
        <v>203</v>
      </c>
      <c r="M122" s="96" t="s">
        <v>324</v>
      </c>
      <c r="N122" s="96" t="s">
        <v>339</v>
      </c>
      <c r="O122" s="96" t="s">
        <v>479</v>
      </c>
      <c r="P122" s="96" t="s">
        <v>338</v>
      </c>
      <c r="Q122" s="96" t="s">
        <v>1200</v>
      </c>
      <c r="R122" s="97">
        <v>490.02240399999999</v>
      </c>
      <c r="S122" s="97">
        <v>1</v>
      </c>
      <c r="T122" s="97">
        <v>12820</v>
      </c>
      <c r="U122" s="96"/>
      <c r="V122" s="97">
        <v>62.820872000000001</v>
      </c>
      <c r="W122" s="98">
        <v>7.9999999999999996E-6</v>
      </c>
      <c r="X122" s="98">
        <v>1.609E-3</v>
      </c>
      <c r="Y122" s="98">
        <v>1.01E-3</v>
      </c>
      <c r="Z122" s="106"/>
    </row>
    <row r="123" spans="1:26" ht="15" customHeight="1">
      <c r="A123" s="106"/>
      <c r="B123" s="96">
        <v>286</v>
      </c>
      <c r="C123" s="96">
        <v>1446</v>
      </c>
      <c r="D123" s="96" t="s">
        <v>2685</v>
      </c>
      <c r="E123" s="96">
        <v>520029984</v>
      </c>
      <c r="F123" s="96" t="s">
        <v>308</v>
      </c>
      <c r="G123" s="96" t="s">
        <v>2686</v>
      </c>
      <c r="H123" s="96" t="s">
        <v>2687</v>
      </c>
      <c r="I123" s="96" t="s">
        <v>320</v>
      </c>
      <c r="J123" s="96" t="s">
        <v>918</v>
      </c>
      <c r="K123" s="96" t="s">
        <v>203</v>
      </c>
      <c r="L123" s="96" t="s">
        <v>203</v>
      </c>
      <c r="M123" s="96" t="s">
        <v>324</v>
      </c>
      <c r="N123" s="96" t="s">
        <v>339</v>
      </c>
      <c r="O123" s="96" t="s">
        <v>444</v>
      </c>
      <c r="P123" s="96" t="s">
        <v>338</v>
      </c>
      <c r="Q123" s="96" t="s">
        <v>1200</v>
      </c>
      <c r="R123" s="97">
        <v>15482.014443</v>
      </c>
      <c r="S123" s="97">
        <v>1</v>
      </c>
      <c r="T123" s="97">
        <v>422.2</v>
      </c>
      <c r="U123" s="96"/>
      <c r="V123" s="97">
        <v>65.365064000000004</v>
      </c>
      <c r="W123" s="98">
        <v>1.4E-5</v>
      </c>
      <c r="X123" s="98">
        <v>1.6739999999999999E-3</v>
      </c>
      <c r="Y123" s="98">
        <v>1.0510000000000001E-3</v>
      </c>
      <c r="Z123" s="106"/>
    </row>
    <row r="124" spans="1:26" ht="15" customHeight="1">
      <c r="A124" s="106"/>
      <c r="B124" s="96">
        <v>286</v>
      </c>
      <c r="C124" s="96">
        <v>1446</v>
      </c>
      <c r="D124" s="96" t="s">
        <v>2688</v>
      </c>
      <c r="E124" s="96">
        <v>510095987</v>
      </c>
      <c r="F124" s="96" t="s">
        <v>308</v>
      </c>
      <c r="G124" s="96" t="s">
        <v>2689</v>
      </c>
      <c r="H124" s="96" t="s">
        <v>2690</v>
      </c>
      <c r="I124" s="96" t="s">
        <v>320</v>
      </c>
      <c r="J124" s="96" t="s">
        <v>918</v>
      </c>
      <c r="K124" s="96" t="s">
        <v>203</v>
      </c>
      <c r="L124" s="96" t="s">
        <v>203</v>
      </c>
      <c r="M124" s="96" t="s">
        <v>324</v>
      </c>
      <c r="N124" s="96" t="s">
        <v>339</v>
      </c>
      <c r="O124" s="96" t="s">
        <v>476</v>
      </c>
      <c r="P124" s="96" t="s">
        <v>337</v>
      </c>
      <c r="Q124" s="96" t="s">
        <v>1200</v>
      </c>
      <c r="R124" s="97">
        <v>5629.3943490000001</v>
      </c>
      <c r="S124" s="97">
        <v>1</v>
      </c>
      <c r="T124" s="97">
        <v>486.7</v>
      </c>
      <c r="U124" s="96"/>
      <c r="V124" s="97">
        <v>27.398261999999999</v>
      </c>
      <c r="W124" s="98">
        <v>6.9999999999999994E-5</v>
      </c>
      <c r="X124" s="98">
        <v>7.0100000000000002E-4</v>
      </c>
      <c r="Y124" s="98">
        <v>4.4000000000000002E-4</v>
      </c>
      <c r="Z124" s="106"/>
    </row>
    <row r="125" spans="1:26" ht="15" customHeight="1">
      <c r="A125" s="106"/>
      <c r="B125" s="96">
        <v>286</v>
      </c>
      <c r="C125" s="96">
        <v>1446</v>
      </c>
      <c r="D125" s="96" t="s">
        <v>1757</v>
      </c>
      <c r="E125" s="96">
        <v>520041146</v>
      </c>
      <c r="F125" s="96" t="s">
        <v>308</v>
      </c>
      <c r="G125" s="96" t="s">
        <v>2691</v>
      </c>
      <c r="H125" s="96" t="s">
        <v>2692</v>
      </c>
      <c r="I125" s="96" t="s">
        <v>320</v>
      </c>
      <c r="J125" s="96" t="s">
        <v>918</v>
      </c>
      <c r="K125" s="96" t="s">
        <v>203</v>
      </c>
      <c r="L125" s="96" t="s">
        <v>203</v>
      </c>
      <c r="M125" s="96" t="s">
        <v>324</v>
      </c>
      <c r="N125" s="96" t="s">
        <v>339</v>
      </c>
      <c r="O125" s="96" t="s">
        <v>440</v>
      </c>
      <c r="P125" s="96" t="s">
        <v>337</v>
      </c>
      <c r="Q125" s="96" t="s">
        <v>1200</v>
      </c>
      <c r="R125" s="97">
        <v>3257.0899250000002</v>
      </c>
      <c r="S125" s="97">
        <v>1</v>
      </c>
      <c r="T125" s="97">
        <v>5985</v>
      </c>
      <c r="U125" s="96"/>
      <c r="V125" s="97">
        <v>194.93683200000001</v>
      </c>
      <c r="W125" s="98">
        <v>2.6999999999999999E-5</v>
      </c>
      <c r="X125" s="98">
        <v>4.9940000000000002E-3</v>
      </c>
      <c r="Y125" s="98">
        <v>3.1340000000000001E-3</v>
      </c>
      <c r="Z125" s="106"/>
    </row>
    <row r="126" spans="1:26" ht="15" customHeight="1">
      <c r="A126" s="106"/>
      <c r="B126" s="96">
        <v>286</v>
      </c>
      <c r="C126" s="96">
        <v>1446</v>
      </c>
      <c r="D126" s="96" t="s">
        <v>2693</v>
      </c>
      <c r="E126" s="96">
        <v>515983476</v>
      </c>
      <c r="F126" s="96" t="s">
        <v>308</v>
      </c>
      <c r="G126" s="96" t="s">
        <v>2694</v>
      </c>
      <c r="H126" s="96" t="s">
        <v>2695</v>
      </c>
      <c r="I126" s="96" t="s">
        <v>320</v>
      </c>
      <c r="J126" s="96" t="s">
        <v>918</v>
      </c>
      <c r="K126" s="96" t="s">
        <v>203</v>
      </c>
      <c r="L126" s="96" t="s">
        <v>203</v>
      </c>
      <c r="M126" s="96" t="s">
        <v>324</v>
      </c>
      <c r="N126" s="96" t="s">
        <v>339</v>
      </c>
      <c r="O126" s="96" t="s">
        <v>450</v>
      </c>
      <c r="P126" s="96" t="s">
        <v>337</v>
      </c>
      <c r="Q126" s="96" t="s">
        <v>1200</v>
      </c>
      <c r="R126" s="97">
        <v>9078.4162259999994</v>
      </c>
      <c r="S126" s="97">
        <v>1</v>
      </c>
      <c r="T126" s="97">
        <v>537.4</v>
      </c>
      <c r="U126" s="96"/>
      <c r="V126" s="97">
        <v>48.787407999999999</v>
      </c>
      <c r="W126" s="98">
        <v>4.8000000000000001E-5</v>
      </c>
      <c r="X126" s="98">
        <v>1.2489999999999999E-3</v>
      </c>
      <c r="Y126" s="98">
        <v>7.8399999999999997E-4</v>
      </c>
      <c r="Z126" s="106"/>
    </row>
    <row r="127" spans="1:26" ht="15" customHeight="1">
      <c r="A127" s="106"/>
      <c r="B127" s="96">
        <v>286</v>
      </c>
      <c r="C127" s="96">
        <v>1446</v>
      </c>
      <c r="D127" s="96" t="s">
        <v>1529</v>
      </c>
      <c r="E127" s="96">
        <v>520003781</v>
      </c>
      <c r="F127" s="96" t="s">
        <v>308</v>
      </c>
      <c r="G127" s="96" t="s">
        <v>2696</v>
      </c>
      <c r="H127" s="96" t="s">
        <v>2697</v>
      </c>
      <c r="I127" s="96" t="s">
        <v>320</v>
      </c>
      <c r="J127" s="96" t="s">
        <v>918</v>
      </c>
      <c r="K127" s="96" t="s">
        <v>203</v>
      </c>
      <c r="L127" s="96" t="s">
        <v>203</v>
      </c>
      <c r="M127" s="96" t="s">
        <v>324</v>
      </c>
      <c r="N127" s="96" t="s">
        <v>339</v>
      </c>
      <c r="O127" s="96" t="s">
        <v>458</v>
      </c>
      <c r="P127" s="96" t="s">
        <v>338</v>
      </c>
      <c r="Q127" s="96" t="s">
        <v>1200</v>
      </c>
      <c r="R127" s="97">
        <v>2480.7595150000002</v>
      </c>
      <c r="S127" s="97">
        <v>1</v>
      </c>
      <c r="T127" s="97">
        <v>5599</v>
      </c>
      <c r="U127" s="96"/>
      <c r="V127" s="97">
        <v>138.89772500000001</v>
      </c>
      <c r="W127" s="98">
        <v>2.0999999999999999E-5</v>
      </c>
      <c r="X127" s="98">
        <v>3.5569999999999998E-3</v>
      </c>
      <c r="Y127" s="98">
        <v>2.232E-3</v>
      </c>
      <c r="Z127" s="106"/>
    </row>
    <row r="128" spans="1:26" ht="15" customHeight="1">
      <c r="A128" s="106"/>
      <c r="B128" s="96">
        <v>286</v>
      </c>
      <c r="C128" s="96">
        <v>1446</v>
      </c>
      <c r="D128" s="96" t="s">
        <v>1432</v>
      </c>
      <c r="E128" s="96">
        <v>515327120</v>
      </c>
      <c r="F128" s="96" t="s">
        <v>308</v>
      </c>
      <c r="G128" s="96" t="s">
        <v>2698</v>
      </c>
      <c r="H128" s="96" t="s">
        <v>2618</v>
      </c>
      <c r="I128" s="96" t="s">
        <v>320</v>
      </c>
      <c r="J128" s="96" t="s">
        <v>918</v>
      </c>
      <c r="K128" s="96" t="s">
        <v>203</v>
      </c>
      <c r="L128" s="96" t="s">
        <v>203</v>
      </c>
      <c r="M128" s="96" t="s">
        <v>326</v>
      </c>
      <c r="N128" s="96" t="s">
        <v>339</v>
      </c>
      <c r="O128" s="96" t="s">
        <v>463</v>
      </c>
      <c r="P128" s="96" t="s">
        <v>337</v>
      </c>
      <c r="Q128" s="96" t="s">
        <v>1200</v>
      </c>
      <c r="R128" s="97">
        <v>2448.8606559999998</v>
      </c>
      <c r="S128" s="97">
        <v>1</v>
      </c>
      <c r="T128" s="97">
        <v>156.39660000000001</v>
      </c>
      <c r="U128" s="96"/>
      <c r="V128" s="97">
        <v>3.8299340000000002</v>
      </c>
      <c r="W128" s="98">
        <v>3.0000000000000001E-6</v>
      </c>
      <c r="X128" s="98">
        <v>9.7999999999999997E-5</v>
      </c>
      <c r="Y128" s="98">
        <v>6.0999999999999999E-5</v>
      </c>
      <c r="Z128" s="106"/>
    </row>
    <row r="129" spans="1:26" ht="15" customHeight="1">
      <c r="A129" s="106"/>
      <c r="B129" s="96">
        <v>286</v>
      </c>
      <c r="C129" s="96">
        <v>1446</v>
      </c>
      <c r="D129" s="96" t="s">
        <v>1597</v>
      </c>
      <c r="E129" s="96">
        <v>520020116</v>
      </c>
      <c r="F129" s="96" t="s">
        <v>308</v>
      </c>
      <c r="G129" s="96" t="s">
        <v>2699</v>
      </c>
      <c r="H129" s="96" t="s">
        <v>2568</v>
      </c>
      <c r="I129" s="96" t="s">
        <v>320</v>
      </c>
      <c r="J129" s="96" t="s">
        <v>918</v>
      </c>
      <c r="K129" s="96" t="s">
        <v>203</v>
      </c>
      <c r="L129" s="96" t="s">
        <v>203</v>
      </c>
      <c r="M129" s="96" t="s">
        <v>326</v>
      </c>
      <c r="N129" s="96" t="s">
        <v>339</v>
      </c>
      <c r="O129" s="96" t="s">
        <v>463</v>
      </c>
      <c r="P129" s="96" t="s">
        <v>337</v>
      </c>
      <c r="Q129" s="96" t="s">
        <v>1200</v>
      </c>
      <c r="R129" s="97">
        <v>326.51491700000003</v>
      </c>
      <c r="S129" s="97">
        <v>1</v>
      </c>
      <c r="T129" s="97">
        <v>2651.4641999999999</v>
      </c>
      <c r="U129" s="96"/>
      <c r="V129" s="97">
        <v>8.6574259999999992</v>
      </c>
      <c r="W129" s="98">
        <v>7.9999999999999996E-6</v>
      </c>
      <c r="X129" s="98">
        <v>2.2100000000000001E-4</v>
      </c>
      <c r="Y129" s="98">
        <v>1.3899999999999999E-4</v>
      </c>
      <c r="Z129" s="106"/>
    </row>
    <row r="130" spans="1:26" ht="15" customHeight="1">
      <c r="A130" s="106"/>
      <c r="B130" s="96">
        <v>286</v>
      </c>
      <c r="C130" s="96">
        <v>1446</v>
      </c>
      <c r="D130" s="96" t="s">
        <v>2700</v>
      </c>
      <c r="E130" s="96">
        <v>520042763</v>
      </c>
      <c r="F130" s="96" t="s">
        <v>308</v>
      </c>
      <c r="G130" s="96" t="s">
        <v>2701</v>
      </c>
      <c r="H130" s="96" t="s">
        <v>2702</v>
      </c>
      <c r="I130" s="96" t="s">
        <v>320</v>
      </c>
      <c r="J130" s="96" t="s">
        <v>918</v>
      </c>
      <c r="K130" s="96" t="s">
        <v>203</v>
      </c>
      <c r="L130" s="96" t="s">
        <v>203</v>
      </c>
      <c r="M130" s="96" t="s">
        <v>324</v>
      </c>
      <c r="N130" s="96" t="s">
        <v>339</v>
      </c>
      <c r="O130" s="96" t="s">
        <v>460</v>
      </c>
      <c r="P130" s="96" t="s">
        <v>337</v>
      </c>
      <c r="Q130" s="96" t="s">
        <v>1200</v>
      </c>
      <c r="R130" s="97">
        <v>595.36945000000003</v>
      </c>
      <c r="S130" s="97">
        <v>1</v>
      </c>
      <c r="T130" s="97">
        <v>6972</v>
      </c>
      <c r="U130" s="96"/>
      <c r="V130" s="97">
        <v>41.509157000000002</v>
      </c>
      <c r="W130" s="98">
        <v>3.4E-5</v>
      </c>
      <c r="X130" s="98">
        <v>1.0629999999999999E-3</v>
      </c>
      <c r="Y130" s="98">
        <v>6.6600000000000003E-4</v>
      </c>
      <c r="Z130" s="106"/>
    </row>
    <row r="131" spans="1:26" ht="15" customHeight="1">
      <c r="A131" s="106"/>
      <c r="B131" s="96">
        <v>286</v>
      </c>
      <c r="C131" s="96">
        <v>1446</v>
      </c>
      <c r="D131" s="96" t="s">
        <v>2703</v>
      </c>
      <c r="E131" s="96">
        <v>513639013</v>
      </c>
      <c r="F131" s="96" t="s">
        <v>308</v>
      </c>
      <c r="G131" s="96" t="s">
        <v>2704</v>
      </c>
      <c r="H131" s="96" t="s">
        <v>2705</v>
      </c>
      <c r="I131" s="96" t="s">
        <v>320</v>
      </c>
      <c r="J131" s="96" t="s">
        <v>918</v>
      </c>
      <c r="K131" s="96" t="s">
        <v>203</v>
      </c>
      <c r="L131" s="96" t="s">
        <v>203</v>
      </c>
      <c r="M131" s="96" t="s">
        <v>324</v>
      </c>
      <c r="N131" s="96" t="s">
        <v>339</v>
      </c>
      <c r="O131" s="96" t="s">
        <v>479</v>
      </c>
      <c r="P131" s="96" t="s">
        <v>338</v>
      </c>
      <c r="Q131" s="96" t="s">
        <v>1200</v>
      </c>
      <c r="R131" s="97">
        <v>205.52895599999999</v>
      </c>
      <c r="S131" s="97">
        <v>1</v>
      </c>
      <c r="T131" s="97">
        <v>8000</v>
      </c>
      <c r="U131" s="96"/>
      <c r="V131" s="97">
        <v>16.442316000000002</v>
      </c>
      <c r="W131" s="98">
        <v>5.0000000000000004E-6</v>
      </c>
      <c r="X131" s="98">
        <v>4.2099999999999999E-4</v>
      </c>
      <c r="Y131" s="98">
        <v>2.6400000000000002E-4</v>
      </c>
      <c r="Z131" s="106"/>
    </row>
    <row r="132" spans="1:26" ht="15" customHeight="1">
      <c r="A132" s="106"/>
      <c r="B132" s="96">
        <v>286</v>
      </c>
      <c r="C132" s="96">
        <v>1446</v>
      </c>
      <c r="D132" s="96" t="s">
        <v>2706</v>
      </c>
      <c r="E132" s="96">
        <v>520043480</v>
      </c>
      <c r="F132" s="96" t="s">
        <v>308</v>
      </c>
      <c r="G132" s="96" t="s">
        <v>2707</v>
      </c>
      <c r="H132" s="96" t="s">
        <v>2708</v>
      </c>
      <c r="I132" s="96" t="s">
        <v>320</v>
      </c>
      <c r="J132" s="96" t="s">
        <v>918</v>
      </c>
      <c r="K132" s="96" t="s">
        <v>203</v>
      </c>
      <c r="L132" s="96" t="s">
        <v>203</v>
      </c>
      <c r="M132" s="96" t="s">
        <v>324</v>
      </c>
      <c r="N132" s="96" t="s">
        <v>339</v>
      </c>
      <c r="O132" s="96" t="s">
        <v>462</v>
      </c>
      <c r="P132" s="96" t="s">
        <v>337</v>
      </c>
      <c r="Q132" s="96" t="s">
        <v>1200</v>
      </c>
      <c r="R132" s="97">
        <v>372.794465</v>
      </c>
      <c r="S132" s="97">
        <v>1</v>
      </c>
      <c r="T132" s="97">
        <v>21460</v>
      </c>
      <c r="U132" s="96"/>
      <c r="V132" s="97">
        <v>80.001692000000006</v>
      </c>
      <c r="W132" s="98">
        <v>4.1E-5</v>
      </c>
      <c r="X132" s="98">
        <v>2.049E-3</v>
      </c>
      <c r="Y132" s="98">
        <v>1.286E-3</v>
      </c>
      <c r="Z132" s="106"/>
    </row>
    <row r="133" spans="1:26" ht="15" customHeight="1">
      <c r="A133" s="106"/>
      <c r="B133" s="96">
        <v>286</v>
      </c>
      <c r="C133" s="96">
        <v>1446</v>
      </c>
      <c r="D133" s="96" t="s">
        <v>2011</v>
      </c>
      <c r="E133" s="96">
        <v>514892801</v>
      </c>
      <c r="F133" s="96" t="s">
        <v>308</v>
      </c>
      <c r="G133" s="96" t="s">
        <v>2709</v>
      </c>
      <c r="H133" s="96" t="s">
        <v>2710</v>
      </c>
      <c r="I133" s="96" t="s">
        <v>320</v>
      </c>
      <c r="J133" s="96" t="s">
        <v>918</v>
      </c>
      <c r="K133" s="96" t="s">
        <v>203</v>
      </c>
      <c r="L133" s="96" t="s">
        <v>203</v>
      </c>
      <c r="M133" s="96" t="s">
        <v>324</v>
      </c>
      <c r="N133" s="96" t="s">
        <v>339</v>
      </c>
      <c r="O133" s="96" t="s">
        <v>462</v>
      </c>
      <c r="P133" s="96" t="s">
        <v>338</v>
      </c>
      <c r="Q133" s="96" t="s">
        <v>1200</v>
      </c>
      <c r="R133" s="97">
        <v>7194.6708170000002</v>
      </c>
      <c r="S133" s="97">
        <v>1</v>
      </c>
      <c r="T133" s="97">
        <v>1920</v>
      </c>
      <c r="U133" s="96"/>
      <c r="V133" s="97">
        <v>138.13767899999999</v>
      </c>
      <c r="W133" s="98">
        <v>2.0000000000000002E-5</v>
      </c>
      <c r="X133" s="98">
        <v>3.539E-3</v>
      </c>
      <c r="Y133" s="98">
        <v>2.2209999999999999E-3</v>
      </c>
      <c r="Z133" s="106"/>
    </row>
    <row r="134" spans="1:26" ht="15" customHeight="1">
      <c r="A134" s="106"/>
      <c r="B134" s="96">
        <v>286</v>
      </c>
      <c r="C134" s="96">
        <v>1446</v>
      </c>
      <c r="D134" s="96" t="s">
        <v>1302</v>
      </c>
      <c r="E134" s="96">
        <v>513623314</v>
      </c>
      <c r="F134" s="96" t="s">
        <v>308</v>
      </c>
      <c r="G134" s="96" t="s">
        <v>2711</v>
      </c>
      <c r="H134" s="96" t="s">
        <v>2712</v>
      </c>
      <c r="I134" s="96" t="s">
        <v>320</v>
      </c>
      <c r="J134" s="96" t="s">
        <v>918</v>
      </c>
      <c r="K134" s="96" t="s">
        <v>203</v>
      </c>
      <c r="L134" s="96" t="s">
        <v>203</v>
      </c>
      <c r="M134" s="96" t="s">
        <v>324</v>
      </c>
      <c r="N134" s="96" t="s">
        <v>339</v>
      </c>
      <c r="O134" s="96" t="s">
        <v>463</v>
      </c>
      <c r="P134" s="96" t="s">
        <v>337</v>
      </c>
      <c r="Q134" s="96" t="s">
        <v>1200</v>
      </c>
      <c r="R134" s="97">
        <v>710.31685900000002</v>
      </c>
      <c r="S134" s="97">
        <v>1</v>
      </c>
      <c r="T134" s="97">
        <v>35740</v>
      </c>
      <c r="U134" s="96"/>
      <c r="V134" s="97">
        <v>253.867245</v>
      </c>
      <c r="W134" s="98">
        <v>2.9E-5</v>
      </c>
      <c r="X134" s="98">
        <v>6.5040000000000002E-3</v>
      </c>
      <c r="Y134" s="98">
        <v>4.0819999999999997E-3</v>
      </c>
      <c r="Z134" s="106"/>
    </row>
    <row r="135" spans="1:26" ht="15" customHeight="1">
      <c r="A135" s="106"/>
      <c r="B135" s="96">
        <v>286</v>
      </c>
      <c r="C135" s="96">
        <v>1446</v>
      </c>
      <c r="D135" s="96" t="s">
        <v>2559</v>
      </c>
      <c r="E135" s="96">
        <v>520039298</v>
      </c>
      <c r="F135" s="96" t="s">
        <v>308</v>
      </c>
      <c r="G135" s="96" t="s">
        <v>2713</v>
      </c>
      <c r="H135" s="96" t="s">
        <v>2561</v>
      </c>
      <c r="I135" s="96" t="s">
        <v>320</v>
      </c>
      <c r="J135" s="96" t="s">
        <v>918</v>
      </c>
      <c r="K135" s="96" t="s">
        <v>203</v>
      </c>
      <c r="L135" s="96" t="s">
        <v>203</v>
      </c>
      <c r="M135" s="96" t="s">
        <v>326</v>
      </c>
      <c r="N135" s="96" t="s">
        <v>339</v>
      </c>
      <c r="O135" s="96" t="s">
        <v>446</v>
      </c>
      <c r="P135" s="96" t="s">
        <v>337</v>
      </c>
      <c r="Q135" s="96" t="s">
        <v>1200</v>
      </c>
      <c r="R135" s="97">
        <v>1104.7334470000001</v>
      </c>
      <c r="S135" s="97">
        <v>1</v>
      </c>
      <c r="T135" s="97">
        <v>1140.7186999999999</v>
      </c>
      <c r="U135" s="96"/>
      <c r="V135" s="97">
        <v>12.601900000000001</v>
      </c>
      <c r="W135" s="98">
        <v>3.0000000000000001E-6</v>
      </c>
      <c r="X135" s="98">
        <v>3.2200000000000002E-4</v>
      </c>
      <c r="Y135" s="98">
        <v>2.02E-4</v>
      </c>
      <c r="Z135" s="106"/>
    </row>
    <row r="136" spans="1:26" ht="15" customHeight="1">
      <c r="A136" s="106"/>
      <c r="B136" s="96">
        <v>286</v>
      </c>
      <c r="C136" s="96">
        <v>1446</v>
      </c>
      <c r="D136" s="96" t="s">
        <v>2714</v>
      </c>
      <c r="E136" s="96">
        <v>511399388</v>
      </c>
      <c r="F136" s="96" t="s">
        <v>308</v>
      </c>
      <c r="G136" s="96" t="s">
        <v>2715</v>
      </c>
      <c r="H136" s="96" t="s">
        <v>2716</v>
      </c>
      <c r="I136" s="96" t="s">
        <v>320</v>
      </c>
      <c r="J136" s="96" t="s">
        <v>918</v>
      </c>
      <c r="K136" s="96" t="s">
        <v>203</v>
      </c>
      <c r="L136" s="96" t="s">
        <v>203</v>
      </c>
      <c r="M136" s="96" t="s">
        <v>324</v>
      </c>
      <c r="N136" s="96" t="s">
        <v>339</v>
      </c>
      <c r="O136" s="96" t="s">
        <v>446</v>
      </c>
      <c r="P136" s="96" t="s">
        <v>338</v>
      </c>
      <c r="Q136" s="96" t="s">
        <v>1200</v>
      </c>
      <c r="R136" s="97">
        <v>436.07743299999998</v>
      </c>
      <c r="S136" s="97">
        <v>1</v>
      </c>
      <c r="T136" s="97">
        <v>27830</v>
      </c>
      <c r="U136" s="96"/>
      <c r="V136" s="97">
        <v>121.360349</v>
      </c>
      <c r="W136" s="98">
        <v>2.1999999999999999E-5</v>
      </c>
      <c r="X136" s="98">
        <v>3.1089999999999998E-3</v>
      </c>
      <c r="Y136" s="98">
        <v>1.951E-3</v>
      </c>
      <c r="Z136" s="106"/>
    </row>
    <row r="137" spans="1:26" ht="15" customHeight="1">
      <c r="A137" s="106"/>
      <c r="B137" s="96">
        <v>286</v>
      </c>
      <c r="C137" s="96">
        <v>1446</v>
      </c>
      <c r="D137" s="96" t="s">
        <v>2717</v>
      </c>
      <c r="E137" s="96">
        <v>512157603</v>
      </c>
      <c r="F137" s="96" t="s">
        <v>308</v>
      </c>
      <c r="G137" s="96" t="s">
        <v>2718</v>
      </c>
      <c r="H137" s="96" t="s">
        <v>2719</v>
      </c>
      <c r="I137" s="96" t="s">
        <v>320</v>
      </c>
      <c r="J137" s="96" t="s">
        <v>918</v>
      </c>
      <c r="K137" s="96" t="s">
        <v>203</v>
      </c>
      <c r="L137" s="96" t="s">
        <v>203</v>
      </c>
      <c r="M137" s="96" t="s">
        <v>324</v>
      </c>
      <c r="N137" s="96" t="s">
        <v>339</v>
      </c>
      <c r="O137" s="96" t="s">
        <v>474</v>
      </c>
      <c r="P137" s="96" t="s">
        <v>338</v>
      </c>
      <c r="Q137" s="96" t="s">
        <v>1200</v>
      </c>
      <c r="R137" s="97">
        <v>294.03322900000001</v>
      </c>
      <c r="S137" s="97">
        <v>1</v>
      </c>
      <c r="T137" s="97">
        <v>23750</v>
      </c>
      <c r="U137" s="96"/>
      <c r="V137" s="97">
        <v>69.832892000000001</v>
      </c>
      <c r="W137" s="98">
        <v>2.0999999999999999E-5</v>
      </c>
      <c r="X137" s="98">
        <v>1.789E-3</v>
      </c>
      <c r="Y137" s="98">
        <v>1.122E-3</v>
      </c>
      <c r="Z137" s="106"/>
    </row>
    <row r="138" spans="1:26" ht="15" customHeight="1">
      <c r="A138" s="106"/>
      <c r="B138" s="96">
        <v>286</v>
      </c>
      <c r="C138" s="96">
        <v>1446</v>
      </c>
      <c r="D138" s="96" t="s">
        <v>2720</v>
      </c>
      <c r="E138" s="96">
        <v>520037565</v>
      </c>
      <c r="F138" s="96" t="s">
        <v>308</v>
      </c>
      <c r="G138" s="96" t="s">
        <v>2721</v>
      </c>
      <c r="H138" s="96" t="s">
        <v>2722</v>
      </c>
      <c r="I138" s="96" t="s">
        <v>320</v>
      </c>
      <c r="J138" s="96" t="s">
        <v>918</v>
      </c>
      <c r="K138" s="96" t="s">
        <v>203</v>
      </c>
      <c r="L138" s="96" t="s">
        <v>203</v>
      </c>
      <c r="M138" s="96" t="s">
        <v>324</v>
      </c>
      <c r="N138" s="96" t="s">
        <v>339</v>
      </c>
      <c r="O138" s="96" t="s">
        <v>476</v>
      </c>
      <c r="P138" s="96" t="s">
        <v>337</v>
      </c>
      <c r="Q138" s="96" t="s">
        <v>1200</v>
      </c>
      <c r="R138" s="97">
        <v>169.73547300000001</v>
      </c>
      <c r="S138" s="97">
        <v>1</v>
      </c>
      <c r="T138" s="97">
        <v>30090</v>
      </c>
      <c r="U138" s="96"/>
      <c r="V138" s="97">
        <v>51.073403999999996</v>
      </c>
      <c r="W138" s="98">
        <v>2.9E-5</v>
      </c>
      <c r="X138" s="98">
        <v>1.3079999999999999E-3</v>
      </c>
      <c r="Y138" s="98">
        <v>8.2100000000000001E-4</v>
      </c>
      <c r="Z138" s="106"/>
    </row>
    <row r="139" spans="1:26" ht="15" customHeight="1">
      <c r="A139" s="106"/>
      <c r="B139" s="96">
        <v>286</v>
      </c>
      <c r="C139" s="96">
        <v>1446</v>
      </c>
      <c r="D139" s="96" t="s">
        <v>2723</v>
      </c>
      <c r="E139" s="96">
        <v>520036740</v>
      </c>
      <c r="F139" s="96" t="s">
        <v>308</v>
      </c>
      <c r="G139" s="96" t="s">
        <v>2724</v>
      </c>
      <c r="H139" s="96" t="s">
        <v>2725</v>
      </c>
      <c r="I139" s="96" t="s">
        <v>320</v>
      </c>
      <c r="J139" s="96" t="s">
        <v>918</v>
      </c>
      <c r="K139" s="96" t="s">
        <v>203</v>
      </c>
      <c r="L139" s="96" t="s">
        <v>203</v>
      </c>
      <c r="M139" s="96" t="s">
        <v>324</v>
      </c>
      <c r="N139" s="96" t="s">
        <v>339</v>
      </c>
      <c r="O139" s="96" t="s">
        <v>479</v>
      </c>
      <c r="P139" s="96" t="s">
        <v>338</v>
      </c>
      <c r="Q139" s="96" t="s">
        <v>1200</v>
      </c>
      <c r="R139" s="97">
        <v>472.55664000000002</v>
      </c>
      <c r="S139" s="97">
        <v>1</v>
      </c>
      <c r="T139" s="97">
        <v>3667</v>
      </c>
      <c r="U139" s="96"/>
      <c r="V139" s="97">
        <v>17.328651000000001</v>
      </c>
      <c r="W139" s="98">
        <v>9.0000000000000002E-6</v>
      </c>
      <c r="X139" s="98">
        <v>4.4299999999999998E-4</v>
      </c>
      <c r="Y139" s="98">
        <v>2.7700000000000001E-4</v>
      </c>
      <c r="Z139" s="106"/>
    </row>
    <row r="140" spans="1:26" ht="15" customHeight="1">
      <c r="A140" s="106"/>
      <c r="B140" s="96">
        <v>286</v>
      </c>
      <c r="C140" s="96">
        <v>1446</v>
      </c>
      <c r="D140" s="96" t="s">
        <v>2726</v>
      </c>
      <c r="E140" s="96"/>
      <c r="F140" s="96" t="s">
        <v>308</v>
      </c>
      <c r="G140" s="96" t="s">
        <v>2727</v>
      </c>
      <c r="H140" s="96" t="s">
        <v>2728</v>
      </c>
      <c r="I140" s="96" t="s">
        <v>320</v>
      </c>
      <c r="J140" s="96" t="s">
        <v>918</v>
      </c>
      <c r="K140" s="96" t="s">
        <v>203</v>
      </c>
      <c r="L140" s="96" t="s">
        <v>203</v>
      </c>
      <c r="M140" s="96" t="s">
        <v>326</v>
      </c>
      <c r="N140" s="96" t="s">
        <v>339</v>
      </c>
      <c r="O140" s="96" t="s">
        <v>470</v>
      </c>
      <c r="P140" s="96" t="s">
        <v>338</v>
      </c>
      <c r="Q140" s="96" t="s">
        <v>1200</v>
      </c>
      <c r="R140" s="97">
        <v>12.836501</v>
      </c>
      <c r="S140" s="97">
        <v>1</v>
      </c>
      <c r="T140" s="97">
        <v>532.67229999999995</v>
      </c>
      <c r="U140" s="96"/>
      <c r="V140" s="97">
        <v>6.8376000000000006E-2</v>
      </c>
      <c r="W140" s="98">
        <v>0</v>
      </c>
      <c r="X140" s="98">
        <v>9.9999999999999995E-7</v>
      </c>
      <c r="Y140" s="98">
        <v>9.9999999999999995E-7</v>
      </c>
      <c r="Z140" s="106"/>
    </row>
    <row r="141" spans="1:26" ht="15" customHeight="1">
      <c r="A141" s="106"/>
      <c r="B141" s="96">
        <v>286</v>
      </c>
      <c r="C141" s="96">
        <v>1446</v>
      </c>
      <c r="D141" s="96" t="s">
        <v>1376</v>
      </c>
      <c r="E141" s="96">
        <v>520025438</v>
      </c>
      <c r="F141" s="96" t="s">
        <v>308</v>
      </c>
      <c r="G141" s="96" t="s">
        <v>2729</v>
      </c>
      <c r="H141" s="96" t="s">
        <v>2730</v>
      </c>
      <c r="I141" s="96" t="s">
        <v>320</v>
      </c>
      <c r="J141" s="96" t="s">
        <v>918</v>
      </c>
      <c r="K141" s="96" t="s">
        <v>203</v>
      </c>
      <c r="L141" s="96" t="s">
        <v>203</v>
      </c>
      <c r="M141" s="96" t="s">
        <v>324</v>
      </c>
      <c r="N141" s="96" t="s">
        <v>339</v>
      </c>
      <c r="O141" s="96" t="s">
        <v>463</v>
      </c>
      <c r="P141" s="96" t="s">
        <v>338</v>
      </c>
      <c r="Q141" s="96" t="s">
        <v>1200</v>
      </c>
      <c r="R141" s="97">
        <v>145.51374799999999</v>
      </c>
      <c r="S141" s="97">
        <v>1</v>
      </c>
      <c r="T141" s="97">
        <v>16290</v>
      </c>
      <c r="U141" s="96"/>
      <c r="V141" s="97">
        <v>23.704189</v>
      </c>
      <c r="W141" s="98">
        <v>1.9000000000000001E-5</v>
      </c>
      <c r="X141" s="98">
        <v>6.0599999999999998E-4</v>
      </c>
      <c r="Y141" s="98">
        <v>3.8000000000000002E-4</v>
      </c>
      <c r="Z141" s="106"/>
    </row>
    <row r="142" spans="1:26" ht="15" customHeight="1">
      <c r="A142" s="106"/>
      <c r="B142" s="96">
        <v>286</v>
      </c>
      <c r="C142" s="96">
        <v>1446</v>
      </c>
      <c r="D142" s="96" t="s">
        <v>2731</v>
      </c>
      <c r="E142" s="96" t="s">
        <v>2732</v>
      </c>
      <c r="F142" s="96" t="s">
        <v>312</v>
      </c>
      <c r="G142" s="96" t="s">
        <v>2733</v>
      </c>
      <c r="H142" s="96" t="s">
        <v>2734</v>
      </c>
      <c r="I142" s="96" t="s">
        <v>320</v>
      </c>
      <c r="J142" s="96" t="s">
        <v>918</v>
      </c>
      <c r="K142" s="96" t="s">
        <v>203</v>
      </c>
      <c r="L142" s="96" t="s">
        <v>203</v>
      </c>
      <c r="M142" s="96" t="s">
        <v>324</v>
      </c>
      <c r="N142" s="96" t="s">
        <v>339</v>
      </c>
      <c r="O142" s="96" t="s">
        <v>453</v>
      </c>
      <c r="P142" s="96" t="s">
        <v>338</v>
      </c>
      <c r="Q142" s="96" t="s">
        <v>1200</v>
      </c>
      <c r="R142" s="97">
        <v>38.989778999999999</v>
      </c>
      <c r="S142" s="97">
        <v>1</v>
      </c>
      <c r="T142" s="97">
        <v>4611</v>
      </c>
      <c r="U142" s="96"/>
      <c r="V142" s="97">
        <v>1.7978179999999999</v>
      </c>
      <c r="W142" s="98">
        <v>0</v>
      </c>
      <c r="X142" s="98">
        <v>4.6E-5</v>
      </c>
      <c r="Y142" s="98">
        <v>2.8E-5</v>
      </c>
      <c r="Z142" s="106"/>
    </row>
    <row r="143" spans="1:26" ht="15" customHeight="1">
      <c r="A143" s="106"/>
      <c r="B143" s="96">
        <v>286</v>
      </c>
      <c r="C143" s="96">
        <v>1446</v>
      </c>
      <c r="D143" s="96" t="s">
        <v>1206</v>
      </c>
      <c r="E143" s="96">
        <v>520029083</v>
      </c>
      <c r="F143" s="96" t="s">
        <v>308</v>
      </c>
      <c r="G143" s="96" t="s">
        <v>2735</v>
      </c>
      <c r="H143" s="96" t="s">
        <v>2736</v>
      </c>
      <c r="I143" s="96" t="s">
        <v>320</v>
      </c>
      <c r="J143" s="96" t="s">
        <v>918</v>
      </c>
      <c r="K143" s="96" t="s">
        <v>203</v>
      </c>
      <c r="L143" s="96" t="s">
        <v>203</v>
      </c>
      <c r="M143" s="96" t="s">
        <v>324</v>
      </c>
      <c r="N143" s="96" t="s">
        <v>339</v>
      </c>
      <c r="O143" s="96" t="s">
        <v>447</v>
      </c>
      <c r="P143" s="96" t="s">
        <v>338</v>
      </c>
      <c r="Q143" s="96" t="s">
        <v>1200</v>
      </c>
      <c r="R143" s="97">
        <v>628.10932700000001</v>
      </c>
      <c r="S143" s="97">
        <v>1</v>
      </c>
      <c r="T143" s="97">
        <v>14410</v>
      </c>
      <c r="U143" s="96"/>
      <c r="V143" s="97">
        <v>90.510553000000002</v>
      </c>
      <c r="W143" s="98">
        <v>6.0000000000000002E-6</v>
      </c>
      <c r="X143" s="98">
        <v>2.3180000000000002E-3</v>
      </c>
      <c r="Y143" s="98">
        <v>1.454E-3</v>
      </c>
      <c r="Z143" s="106"/>
    </row>
    <row r="144" spans="1:26" ht="15" customHeight="1">
      <c r="A144" s="106"/>
      <c r="B144" s="96">
        <v>286</v>
      </c>
      <c r="C144" s="96">
        <v>1446</v>
      </c>
      <c r="D144" s="96" t="s">
        <v>2737</v>
      </c>
      <c r="E144" s="96">
        <v>515001659</v>
      </c>
      <c r="F144" s="96" t="s">
        <v>308</v>
      </c>
      <c r="G144" s="96" t="s">
        <v>2738</v>
      </c>
      <c r="H144" s="96" t="s">
        <v>2739</v>
      </c>
      <c r="I144" s="96" t="s">
        <v>320</v>
      </c>
      <c r="J144" s="96" t="s">
        <v>918</v>
      </c>
      <c r="K144" s="96" t="s">
        <v>203</v>
      </c>
      <c r="L144" s="96" t="s">
        <v>203</v>
      </c>
      <c r="M144" s="96" t="s">
        <v>324</v>
      </c>
      <c r="N144" s="96" t="s">
        <v>339</v>
      </c>
      <c r="O144" s="96" t="s">
        <v>462</v>
      </c>
      <c r="P144" s="96" t="s">
        <v>338</v>
      </c>
      <c r="Q144" s="96" t="s">
        <v>1200</v>
      </c>
      <c r="R144" s="97">
        <v>2273.8474419999998</v>
      </c>
      <c r="S144" s="97">
        <v>1</v>
      </c>
      <c r="T144" s="97">
        <v>992.1</v>
      </c>
      <c r="U144" s="96"/>
      <c r="V144" s="97">
        <v>22.55884</v>
      </c>
      <c r="W144" s="98">
        <v>1.5E-5</v>
      </c>
      <c r="X144" s="98">
        <v>5.7700000000000004E-4</v>
      </c>
      <c r="Y144" s="98">
        <v>3.6200000000000002E-4</v>
      </c>
      <c r="Z144" s="106"/>
    </row>
    <row r="145" spans="1:26" ht="15" customHeight="1">
      <c r="A145" s="106"/>
      <c r="B145" s="96">
        <v>286</v>
      </c>
      <c r="C145" s="96">
        <v>1446</v>
      </c>
      <c r="D145" s="96" t="s">
        <v>2740</v>
      </c>
      <c r="E145" s="96">
        <v>550012777</v>
      </c>
      <c r="F145" s="96" t="s">
        <v>309</v>
      </c>
      <c r="G145" s="96" t="s">
        <v>2741</v>
      </c>
      <c r="H145" s="96" t="s">
        <v>2742</v>
      </c>
      <c r="I145" s="96" t="s">
        <v>320</v>
      </c>
      <c r="J145" s="96" t="s">
        <v>959</v>
      </c>
      <c r="K145" s="96" t="s">
        <v>203</v>
      </c>
      <c r="L145" s="96" t="s">
        <v>203</v>
      </c>
      <c r="M145" s="96" t="s">
        <v>324</v>
      </c>
      <c r="N145" s="96" t="s">
        <v>339</v>
      </c>
      <c r="O145" s="96" t="s">
        <v>453</v>
      </c>
      <c r="P145" s="96" t="s">
        <v>337</v>
      </c>
      <c r="Q145" s="96" t="s">
        <v>1200</v>
      </c>
      <c r="R145" s="97">
        <v>50357.371397000003</v>
      </c>
      <c r="S145" s="97">
        <v>1</v>
      </c>
      <c r="T145" s="97">
        <v>259.2</v>
      </c>
      <c r="U145" s="96"/>
      <c r="V145" s="97">
        <v>130.52630600000001</v>
      </c>
      <c r="W145" s="98">
        <v>4.3999999999999999E-5</v>
      </c>
      <c r="X145" s="98">
        <v>3.3430000000000001E-3</v>
      </c>
      <c r="Y145" s="98">
        <v>2.098E-3</v>
      </c>
      <c r="Z145" s="106"/>
    </row>
    <row r="146" spans="1:26" ht="15" customHeight="1">
      <c r="A146" s="106"/>
      <c r="B146" s="96">
        <v>286</v>
      </c>
      <c r="C146" s="96">
        <v>1446</v>
      </c>
      <c r="D146" s="96" t="s">
        <v>1511</v>
      </c>
      <c r="E146" s="96">
        <v>513765859</v>
      </c>
      <c r="F146" s="96" t="s">
        <v>308</v>
      </c>
      <c r="G146" s="96" t="s">
        <v>2743</v>
      </c>
      <c r="H146" s="96" t="s">
        <v>2744</v>
      </c>
      <c r="I146" s="96" t="s">
        <v>320</v>
      </c>
      <c r="J146" s="96" t="s">
        <v>918</v>
      </c>
      <c r="K146" s="96" t="s">
        <v>203</v>
      </c>
      <c r="L146" s="96" t="s">
        <v>203</v>
      </c>
      <c r="M146" s="96" t="s">
        <v>324</v>
      </c>
      <c r="N146" s="96" t="s">
        <v>339</v>
      </c>
      <c r="O146" s="96" t="s">
        <v>463</v>
      </c>
      <c r="P146" s="96" t="s">
        <v>337</v>
      </c>
      <c r="Q146" s="96" t="s">
        <v>1200</v>
      </c>
      <c r="R146" s="97">
        <v>656.50236199999995</v>
      </c>
      <c r="S146" s="97">
        <v>1</v>
      </c>
      <c r="T146" s="97">
        <v>25430</v>
      </c>
      <c r="U146" s="96"/>
      <c r="V146" s="97">
        <v>166.94855000000001</v>
      </c>
      <c r="W146" s="98">
        <v>5.3000000000000001E-5</v>
      </c>
      <c r="X146" s="98">
        <v>4.2760000000000003E-3</v>
      </c>
      <c r="Y146" s="98">
        <v>2.6830000000000001E-3</v>
      </c>
      <c r="Z146" s="106"/>
    </row>
    <row r="147" spans="1:26" ht="15" customHeight="1">
      <c r="A147" s="106"/>
      <c r="B147" s="96">
        <v>286</v>
      </c>
      <c r="C147" s="96">
        <v>1446</v>
      </c>
      <c r="D147" s="96" t="s">
        <v>1774</v>
      </c>
      <c r="E147" s="96">
        <v>520039967</v>
      </c>
      <c r="F147" s="96" t="s">
        <v>308</v>
      </c>
      <c r="G147" s="96" t="s">
        <v>2745</v>
      </c>
      <c r="H147" s="96" t="s">
        <v>2456</v>
      </c>
      <c r="I147" s="96" t="s">
        <v>320</v>
      </c>
      <c r="J147" s="96" t="s">
        <v>918</v>
      </c>
      <c r="K147" s="96" t="s">
        <v>203</v>
      </c>
      <c r="L147" s="96" t="s">
        <v>203</v>
      </c>
      <c r="M147" s="96" t="s">
        <v>326</v>
      </c>
      <c r="N147" s="96" t="s">
        <v>339</v>
      </c>
      <c r="O147" s="96" t="s">
        <v>474</v>
      </c>
      <c r="P147" s="96" t="s">
        <v>337</v>
      </c>
      <c r="Q147" s="96" t="s">
        <v>1200</v>
      </c>
      <c r="R147" s="97">
        <v>40.652065999999998</v>
      </c>
      <c r="S147" s="97">
        <v>1</v>
      </c>
      <c r="T147" s="97">
        <v>7219.1570000000002</v>
      </c>
      <c r="U147" s="96"/>
      <c r="V147" s="97">
        <v>2.934736</v>
      </c>
      <c r="W147" s="98">
        <v>9.9999999999999995E-7</v>
      </c>
      <c r="X147" s="98">
        <v>7.4999999999999993E-5</v>
      </c>
      <c r="Y147" s="98">
        <v>4.6999999999999997E-5</v>
      </c>
      <c r="Z147" s="106"/>
    </row>
    <row r="148" spans="1:26" ht="15" customHeight="1">
      <c r="A148" s="106"/>
      <c r="B148" s="96">
        <v>286</v>
      </c>
      <c r="C148" s="96">
        <v>1446</v>
      </c>
      <c r="D148" s="96" t="s">
        <v>1648</v>
      </c>
      <c r="E148" s="96">
        <v>515846558</v>
      </c>
      <c r="F148" s="96" t="s">
        <v>308</v>
      </c>
      <c r="G148" s="96" t="s">
        <v>2746</v>
      </c>
      <c r="H148" s="96" t="s">
        <v>2747</v>
      </c>
      <c r="I148" s="96" t="s">
        <v>320</v>
      </c>
      <c r="J148" s="96" t="s">
        <v>918</v>
      </c>
      <c r="K148" s="96" t="s">
        <v>203</v>
      </c>
      <c r="L148" s="96" t="s">
        <v>203</v>
      </c>
      <c r="M148" s="96" t="s">
        <v>324</v>
      </c>
      <c r="N148" s="96" t="s">
        <v>339</v>
      </c>
      <c r="O148" s="96" t="s">
        <v>450</v>
      </c>
      <c r="P148" s="96" t="s">
        <v>337</v>
      </c>
      <c r="Q148" s="96" t="s">
        <v>1200</v>
      </c>
      <c r="R148" s="97">
        <v>42936.747155999998</v>
      </c>
      <c r="S148" s="97">
        <v>1</v>
      </c>
      <c r="T148" s="97">
        <v>52</v>
      </c>
      <c r="U148" s="96"/>
      <c r="V148" s="97">
        <v>22.327107999999999</v>
      </c>
      <c r="W148" s="98">
        <v>3.3000000000000003E-5</v>
      </c>
      <c r="X148" s="98">
        <v>5.7200000000000003E-4</v>
      </c>
      <c r="Y148" s="98">
        <v>3.59E-4</v>
      </c>
      <c r="Z148" s="106"/>
    </row>
    <row r="149" spans="1:26" ht="15" customHeight="1">
      <c r="A149" s="106"/>
      <c r="B149" s="96">
        <v>286</v>
      </c>
      <c r="C149" s="96">
        <v>1446</v>
      </c>
      <c r="D149" s="96" t="s">
        <v>2748</v>
      </c>
      <c r="E149" s="96">
        <v>512467994</v>
      </c>
      <c r="F149" s="96" t="s">
        <v>308</v>
      </c>
      <c r="G149" s="96" t="s">
        <v>2749</v>
      </c>
      <c r="H149" s="96" t="s">
        <v>2750</v>
      </c>
      <c r="I149" s="96" t="s">
        <v>320</v>
      </c>
      <c r="J149" s="96" t="s">
        <v>918</v>
      </c>
      <c r="K149" s="96" t="s">
        <v>203</v>
      </c>
      <c r="L149" s="96" t="s">
        <v>203</v>
      </c>
      <c r="M149" s="96" t="s">
        <v>324</v>
      </c>
      <c r="N149" s="96" t="s">
        <v>339</v>
      </c>
      <c r="O149" s="96" t="s">
        <v>446</v>
      </c>
      <c r="P149" s="96" t="s">
        <v>337</v>
      </c>
      <c r="Q149" s="96" t="s">
        <v>1200</v>
      </c>
      <c r="R149" s="97">
        <v>883.99216799999999</v>
      </c>
      <c r="S149" s="97">
        <v>1</v>
      </c>
      <c r="T149" s="97">
        <v>2906</v>
      </c>
      <c r="U149" s="96"/>
      <c r="V149" s="97">
        <v>25.688811999999999</v>
      </c>
      <c r="W149" s="98">
        <v>2.4000000000000001E-5</v>
      </c>
      <c r="X149" s="98">
        <v>6.5799999999999995E-4</v>
      </c>
      <c r="Y149" s="98">
        <v>4.1300000000000001E-4</v>
      </c>
      <c r="Z149" s="106"/>
    </row>
    <row r="150" spans="1:26" ht="15" customHeight="1">
      <c r="A150" s="106"/>
      <c r="B150" s="96">
        <v>286</v>
      </c>
      <c r="C150" s="96">
        <v>1446</v>
      </c>
      <c r="D150" s="96" t="s">
        <v>2751</v>
      </c>
      <c r="E150" s="96">
        <v>513901371</v>
      </c>
      <c r="F150" s="96" t="s">
        <v>308</v>
      </c>
      <c r="G150" s="96" t="s">
        <v>2752</v>
      </c>
      <c r="H150" s="96" t="s">
        <v>2753</v>
      </c>
      <c r="I150" s="96" t="s">
        <v>320</v>
      </c>
      <c r="J150" s="96" t="s">
        <v>918</v>
      </c>
      <c r="K150" s="96" t="s">
        <v>203</v>
      </c>
      <c r="L150" s="96" t="s">
        <v>203</v>
      </c>
      <c r="M150" s="96" t="s">
        <v>324</v>
      </c>
      <c r="N150" s="96" t="s">
        <v>339</v>
      </c>
      <c r="O150" s="96" t="s">
        <v>440</v>
      </c>
      <c r="P150" s="96" t="s">
        <v>338</v>
      </c>
      <c r="Q150" s="96" t="s">
        <v>1200</v>
      </c>
      <c r="R150" s="97">
        <v>8445.1565329999994</v>
      </c>
      <c r="S150" s="97">
        <v>1</v>
      </c>
      <c r="T150" s="97">
        <v>1395</v>
      </c>
      <c r="U150" s="96"/>
      <c r="V150" s="97">
        <v>117.809933</v>
      </c>
      <c r="W150" s="98">
        <v>1.5E-5</v>
      </c>
      <c r="X150" s="98">
        <v>3.0179999999999998E-3</v>
      </c>
      <c r="Y150" s="98">
        <v>1.8940000000000001E-3</v>
      </c>
      <c r="Z150" s="106"/>
    </row>
    <row r="151" spans="1:26" ht="15" customHeight="1">
      <c r="A151" s="106"/>
      <c r="B151" s="96">
        <v>286</v>
      </c>
      <c r="C151" s="96">
        <v>1446</v>
      </c>
      <c r="D151" s="96" t="s">
        <v>1675</v>
      </c>
      <c r="E151" s="96">
        <v>520043720</v>
      </c>
      <c r="F151" s="96" t="s">
        <v>308</v>
      </c>
      <c r="G151" s="96" t="s">
        <v>2754</v>
      </c>
      <c r="H151" s="96" t="s">
        <v>2755</v>
      </c>
      <c r="I151" s="96" t="s">
        <v>320</v>
      </c>
      <c r="J151" s="96" t="s">
        <v>918</v>
      </c>
      <c r="K151" s="96" t="s">
        <v>203</v>
      </c>
      <c r="L151" s="96" t="s">
        <v>203</v>
      </c>
      <c r="M151" s="96" t="s">
        <v>324</v>
      </c>
      <c r="N151" s="96" t="s">
        <v>339</v>
      </c>
      <c r="O151" s="96" t="s">
        <v>464</v>
      </c>
      <c r="P151" s="96" t="s">
        <v>337</v>
      </c>
      <c r="Q151" s="96" t="s">
        <v>1200</v>
      </c>
      <c r="R151" s="97">
        <v>3720.4369390000002</v>
      </c>
      <c r="S151" s="97">
        <v>1</v>
      </c>
      <c r="T151" s="97">
        <v>4210</v>
      </c>
      <c r="U151" s="96"/>
      <c r="V151" s="97">
        <v>156.630394</v>
      </c>
      <c r="W151" s="98">
        <v>5.0000000000000002E-5</v>
      </c>
      <c r="X151" s="98">
        <v>4.0119999999999999E-3</v>
      </c>
      <c r="Y151" s="98">
        <v>2.5170000000000001E-3</v>
      </c>
      <c r="Z151" s="106"/>
    </row>
    <row r="152" spans="1:26" ht="15" customHeight="1">
      <c r="A152" s="106"/>
      <c r="B152" s="96">
        <v>286</v>
      </c>
      <c r="C152" s="96">
        <v>1446</v>
      </c>
      <c r="D152" s="96" t="s">
        <v>2756</v>
      </c>
      <c r="E152" s="96">
        <v>520037425</v>
      </c>
      <c r="F152" s="96" t="s">
        <v>308</v>
      </c>
      <c r="G152" s="96" t="s">
        <v>2757</v>
      </c>
      <c r="H152" s="96" t="s">
        <v>2758</v>
      </c>
      <c r="I152" s="96" t="s">
        <v>320</v>
      </c>
      <c r="J152" s="96" t="s">
        <v>918</v>
      </c>
      <c r="K152" s="96" t="s">
        <v>203</v>
      </c>
      <c r="L152" s="96" t="s">
        <v>203</v>
      </c>
      <c r="M152" s="96" t="s">
        <v>324</v>
      </c>
      <c r="N152" s="96" t="s">
        <v>339</v>
      </c>
      <c r="O152" s="96" t="s">
        <v>461</v>
      </c>
      <c r="P152" s="96" t="s">
        <v>337</v>
      </c>
      <c r="Q152" s="96" t="s">
        <v>1200</v>
      </c>
      <c r="R152" s="97">
        <v>336.61891600000001</v>
      </c>
      <c r="S152" s="97">
        <v>1</v>
      </c>
      <c r="T152" s="97">
        <v>10700</v>
      </c>
      <c r="U152" s="96"/>
      <c r="V152" s="97">
        <v>36.018222999999999</v>
      </c>
      <c r="W152" s="98">
        <v>2.6999999999999999E-5</v>
      </c>
      <c r="X152" s="98">
        <v>9.2199999999999997E-4</v>
      </c>
      <c r="Y152" s="98">
        <v>5.7799999999999995E-4</v>
      </c>
      <c r="Z152" s="106"/>
    </row>
    <row r="153" spans="1:26" ht="15" customHeight="1">
      <c r="A153" s="106"/>
      <c r="B153" s="96">
        <v>286</v>
      </c>
      <c r="C153" s="96">
        <v>1446</v>
      </c>
      <c r="D153" s="96" t="s">
        <v>1452</v>
      </c>
      <c r="E153" s="96">
        <v>514065283</v>
      </c>
      <c r="F153" s="96" t="s">
        <v>308</v>
      </c>
      <c r="G153" s="96" t="s">
        <v>2759</v>
      </c>
      <c r="H153" s="96" t="s">
        <v>2760</v>
      </c>
      <c r="I153" s="96" t="s">
        <v>320</v>
      </c>
      <c r="J153" s="96" t="s">
        <v>918</v>
      </c>
      <c r="K153" s="96" t="s">
        <v>203</v>
      </c>
      <c r="L153" s="96" t="s">
        <v>203</v>
      </c>
      <c r="M153" s="96" t="s">
        <v>324</v>
      </c>
      <c r="N153" s="96" t="s">
        <v>339</v>
      </c>
      <c r="O153" s="96" t="s">
        <v>461</v>
      </c>
      <c r="P153" s="96" t="s">
        <v>337</v>
      </c>
      <c r="Q153" s="96" t="s">
        <v>1200</v>
      </c>
      <c r="R153" s="97">
        <v>3226.1892699999999</v>
      </c>
      <c r="S153" s="97">
        <v>1</v>
      </c>
      <c r="T153" s="97">
        <v>1745</v>
      </c>
      <c r="U153" s="96"/>
      <c r="V153" s="97">
        <v>56.297001999999999</v>
      </c>
      <c r="W153" s="98">
        <v>3.6000000000000001E-5</v>
      </c>
      <c r="X153" s="98">
        <v>1.441E-3</v>
      </c>
      <c r="Y153" s="98">
        <v>9.0499999999999999E-4</v>
      </c>
      <c r="Z153" s="106"/>
    </row>
    <row r="154" spans="1:26" ht="15" customHeight="1">
      <c r="A154" s="106"/>
      <c r="B154" s="96">
        <v>286</v>
      </c>
      <c r="C154" s="96">
        <v>1446</v>
      </c>
      <c r="D154" s="96" t="s">
        <v>2720</v>
      </c>
      <c r="E154" s="96">
        <v>520037565</v>
      </c>
      <c r="F154" s="96" t="s">
        <v>308</v>
      </c>
      <c r="G154" s="96" t="s">
        <v>2761</v>
      </c>
      <c r="H154" s="96" t="s">
        <v>2722</v>
      </c>
      <c r="I154" s="96" t="s">
        <v>320</v>
      </c>
      <c r="J154" s="96" t="s">
        <v>918</v>
      </c>
      <c r="K154" s="96" t="s">
        <v>203</v>
      </c>
      <c r="L154" s="96" t="s">
        <v>203</v>
      </c>
      <c r="M154" s="96" t="s">
        <v>326</v>
      </c>
      <c r="N154" s="96" t="s">
        <v>339</v>
      </c>
      <c r="O154" s="96" t="s">
        <v>476</v>
      </c>
      <c r="P154" s="96" t="s">
        <v>337</v>
      </c>
      <c r="Q154" s="96" t="s">
        <v>1200</v>
      </c>
      <c r="R154" s="97">
        <v>1.615224</v>
      </c>
      <c r="S154" s="97">
        <v>1</v>
      </c>
      <c r="T154" s="97">
        <v>29882.278699999999</v>
      </c>
      <c r="U154" s="96"/>
      <c r="V154" s="97">
        <v>0.48266500000000001</v>
      </c>
      <c r="W154" s="98">
        <v>0</v>
      </c>
      <c r="X154" s="98">
        <v>1.2E-5</v>
      </c>
      <c r="Y154" s="98">
        <v>6.9999999999999999E-6</v>
      </c>
      <c r="Z154" s="106"/>
    </row>
    <row r="155" spans="1:26" ht="15" customHeight="1">
      <c r="A155" s="106"/>
      <c r="B155" s="96">
        <v>286</v>
      </c>
      <c r="C155" s="96">
        <v>1446</v>
      </c>
      <c r="D155" s="96" t="s">
        <v>2762</v>
      </c>
      <c r="E155" s="96">
        <v>511898835</v>
      </c>
      <c r="F155" s="96" t="s">
        <v>308</v>
      </c>
      <c r="G155" s="96" t="s">
        <v>2763</v>
      </c>
      <c r="H155" s="96" t="s">
        <v>2764</v>
      </c>
      <c r="I155" s="96" t="s">
        <v>320</v>
      </c>
      <c r="J155" s="96" t="s">
        <v>918</v>
      </c>
      <c r="K155" s="96" t="s">
        <v>203</v>
      </c>
      <c r="L155" s="96" t="s">
        <v>203</v>
      </c>
      <c r="M155" s="96" t="s">
        <v>324</v>
      </c>
      <c r="N155" s="96" t="s">
        <v>339</v>
      </c>
      <c r="O155" s="96" t="s">
        <v>449</v>
      </c>
      <c r="P155" s="96" t="s">
        <v>338</v>
      </c>
      <c r="Q155" s="96" t="s">
        <v>1200</v>
      </c>
      <c r="R155" s="97">
        <v>1004.2253490000001</v>
      </c>
      <c r="S155" s="97">
        <v>1</v>
      </c>
      <c r="T155" s="97">
        <v>32.6</v>
      </c>
      <c r="U155" s="96"/>
      <c r="V155" s="97">
        <v>0.32737699999999997</v>
      </c>
      <c r="W155" s="98">
        <v>6.0000000000000002E-6</v>
      </c>
      <c r="X155" s="98">
        <v>7.9999999999999996E-6</v>
      </c>
      <c r="Y155" s="98">
        <v>5.0000000000000004E-6</v>
      </c>
      <c r="Z155" s="106"/>
    </row>
    <row r="156" spans="1:26" ht="15" customHeight="1">
      <c r="A156" s="106"/>
      <c r="B156" s="96">
        <v>286</v>
      </c>
      <c r="C156" s="96">
        <v>1446</v>
      </c>
      <c r="D156" s="96" t="s">
        <v>1558</v>
      </c>
      <c r="E156" s="96">
        <v>510459928</v>
      </c>
      <c r="F156" s="96" t="s">
        <v>308</v>
      </c>
      <c r="G156" s="96" t="s">
        <v>2765</v>
      </c>
      <c r="H156" s="96" t="s">
        <v>2766</v>
      </c>
      <c r="I156" s="96" t="s">
        <v>320</v>
      </c>
      <c r="J156" s="96" t="s">
        <v>918</v>
      </c>
      <c r="K156" s="96" t="s">
        <v>203</v>
      </c>
      <c r="L156" s="96" t="s">
        <v>203</v>
      </c>
      <c r="M156" s="96" t="s">
        <v>324</v>
      </c>
      <c r="N156" s="96" t="s">
        <v>339</v>
      </c>
      <c r="O156" s="96" t="s">
        <v>439</v>
      </c>
      <c r="P156" s="96" t="s">
        <v>337</v>
      </c>
      <c r="Q156" s="96" t="s">
        <v>1200</v>
      </c>
      <c r="R156" s="97">
        <v>23233.763347</v>
      </c>
      <c r="S156" s="97">
        <v>1</v>
      </c>
      <c r="T156" s="97">
        <v>253.5</v>
      </c>
      <c r="U156" s="96"/>
      <c r="V156" s="97">
        <v>58.897590000000001</v>
      </c>
      <c r="W156" s="98">
        <v>2.5000000000000001E-5</v>
      </c>
      <c r="X156" s="98">
        <v>1.5089999999999999E-3</v>
      </c>
      <c r="Y156" s="98">
        <v>9.4700000000000003E-4</v>
      </c>
      <c r="Z156" s="106"/>
    </row>
    <row r="157" spans="1:26" ht="15" customHeight="1">
      <c r="A157" s="106"/>
      <c r="B157" s="96">
        <v>286</v>
      </c>
      <c r="C157" s="96">
        <v>1446</v>
      </c>
      <c r="D157" s="96" t="s">
        <v>2767</v>
      </c>
      <c r="E157" s="96">
        <v>520029026</v>
      </c>
      <c r="F157" s="96" t="s">
        <v>308</v>
      </c>
      <c r="G157" s="96" t="s">
        <v>2768</v>
      </c>
      <c r="H157" s="96" t="s">
        <v>2769</v>
      </c>
      <c r="I157" s="96" t="s">
        <v>320</v>
      </c>
      <c r="J157" s="96" t="s">
        <v>918</v>
      </c>
      <c r="K157" s="96" t="s">
        <v>203</v>
      </c>
      <c r="L157" s="96" t="s">
        <v>203</v>
      </c>
      <c r="M157" s="96" t="s">
        <v>324</v>
      </c>
      <c r="N157" s="96" t="s">
        <v>339</v>
      </c>
      <c r="O157" s="96" t="s">
        <v>447</v>
      </c>
      <c r="P157" s="96" t="s">
        <v>338</v>
      </c>
      <c r="Q157" s="96" t="s">
        <v>1200</v>
      </c>
      <c r="R157" s="97">
        <v>435.29738099999997</v>
      </c>
      <c r="S157" s="97">
        <v>1</v>
      </c>
      <c r="T157" s="97">
        <v>15200</v>
      </c>
      <c r="U157" s="96"/>
      <c r="V157" s="97">
        <v>66.165200999999996</v>
      </c>
      <c r="W157" s="98">
        <v>1.2E-5</v>
      </c>
      <c r="X157" s="98">
        <v>1.694E-3</v>
      </c>
      <c r="Y157" s="98">
        <v>1.0629999999999999E-3</v>
      </c>
      <c r="Z157" s="106"/>
    </row>
    <row r="158" spans="1:26" ht="15" customHeight="1">
      <c r="A158" s="106"/>
      <c r="B158" s="96">
        <v>286</v>
      </c>
      <c r="C158" s="96">
        <v>1446</v>
      </c>
      <c r="D158" s="96" t="s">
        <v>1955</v>
      </c>
      <c r="E158" s="96">
        <v>516167343</v>
      </c>
      <c r="F158" s="96" t="s">
        <v>308</v>
      </c>
      <c r="G158" s="96" t="s">
        <v>2770</v>
      </c>
      <c r="H158" s="96" t="s">
        <v>2498</v>
      </c>
      <c r="I158" s="96" t="s">
        <v>320</v>
      </c>
      <c r="J158" s="96" t="s">
        <v>918</v>
      </c>
      <c r="K158" s="96" t="s">
        <v>203</v>
      </c>
      <c r="L158" s="96" t="s">
        <v>203</v>
      </c>
      <c r="M158" s="96" t="s">
        <v>326</v>
      </c>
      <c r="N158" s="96" t="s">
        <v>339</v>
      </c>
      <c r="O158" s="96" t="s">
        <v>439</v>
      </c>
      <c r="P158" s="96" t="s">
        <v>338</v>
      </c>
      <c r="Q158" s="96" t="s">
        <v>1200</v>
      </c>
      <c r="R158" s="97">
        <v>4183.8255360000003</v>
      </c>
      <c r="S158" s="97">
        <v>1</v>
      </c>
      <c r="T158" s="97">
        <v>247.12809999999999</v>
      </c>
      <c r="U158" s="96"/>
      <c r="V158" s="97">
        <v>10.339407</v>
      </c>
      <c r="W158" s="98">
        <v>5.0000000000000004E-6</v>
      </c>
      <c r="X158" s="98">
        <v>2.6400000000000002E-4</v>
      </c>
      <c r="Y158" s="98">
        <v>1.66E-4</v>
      </c>
      <c r="Z158" s="106"/>
    </row>
    <row r="159" spans="1:26" ht="15" customHeight="1">
      <c r="A159" s="106"/>
      <c r="B159" s="96">
        <v>286</v>
      </c>
      <c r="C159" s="96">
        <v>1446</v>
      </c>
      <c r="D159" s="96" t="s">
        <v>2771</v>
      </c>
      <c r="E159" s="96" t="s">
        <v>2772</v>
      </c>
      <c r="F159" s="96" t="s">
        <v>312</v>
      </c>
      <c r="G159" s="96" t="s">
        <v>2773</v>
      </c>
      <c r="H159" s="96" t="s">
        <v>2774</v>
      </c>
      <c r="I159" s="96" t="s">
        <v>320</v>
      </c>
      <c r="J159" s="96" t="s">
        <v>918</v>
      </c>
      <c r="K159" s="96" t="s">
        <v>204</v>
      </c>
      <c r="L159" s="96" t="s">
        <v>223</v>
      </c>
      <c r="M159" s="96" t="s">
        <v>324</v>
      </c>
      <c r="N159" s="96" t="s">
        <v>345</v>
      </c>
      <c r="O159" s="96" t="s">
        <v>547</v>
      </c>
      <c r="P159" s="96" t="s">
        <v>338</v>
      </c>
      <c r="Q159" s="96" t="s">
        <v>1201</v>
      </c>
      <c r="R159" s="97">
        <v>286.28281900000002</v>
      </c>
      <c r="S159" s="97">
        <v>3.7589999999999999</v>
      </c>
      <c r="T159" s="97">
        <v>19453</v>
      </c>
      <c r="U159" s="96"/>
      <c r="V159" s="97">
        <v>209.34095199999999</v>
      </c>
      <c r="W159" s="98">
        <v>0</v>
      </c>
      <c r="X159" s="98">
        <v>5.3629999999999997E-3</v>
      </c>
      <c r="Y159" s="98">
        <v>3.3660000000000001E-3</v>
      </c>
      <c r="Z159" s="106"/>
    </row>
    <row r="160" spans="1:26" ht="15" customHeight="1">
      <c r="A160" s="106"/>
      <c r="B160" s="96">
        <v>286</v>
      </c>
      <c r="C160" s="96">
        <v>1446</v>
      </c>
      <c r="D160" s="96" t="s">
        <v>2731</v>
      </c>
      <c r="E160" s="96" t="s">
        <v>2732</v>
      </c>
      <c r="F160" s="96" t="s">
        <v>312</v>
      </c>
      <c r="G160" s="96" t="s">
        <v>2775</v>
      </c>
      <c r="H160" s="96" t="s">
        <v>2734</v>
      </c>
      <c r="I160" s="96" t="s">
        <v>320</v>
      </c>
      <c r="J160" s="96" t="s">
        <v>918</v>
      </c>
      <c r="K160" s="96" t="s">
        <v>204</v>
      </c>
      <c r="L160" s="96" t="s">
        <v>232</v>
      </c>
      <c r="M160" s="96" t="s">
        <v>324</v>
      </c>
      <c r="N160" s="96" t="s">
        <v>369</v>
      </c>
      <c r="O160" s="96" t="s">
        <v>486</v>
      </c>
      <c r="P160" s="96" t="s">
        <v>338</v>
      </c>
      <c r="Q160" s="96" t="s">
        <v>1205</v>
      </c>
      <c r="R160" s="97">
        <v>976.80447700000002</v>
      </c>
      <c r="S160" s="97">
        <v>4.7504999999999997</v>
      </c>
      <c r="T160" s="97">
        <v>986</v>
      </c>
      <c r="U160" s="96"/>
      <c r="V160" s="97">
        <v>45.753453</v>
      </c>
      <c r="W160" s="98">
        <v>5.0000000000000004E-6</v>
      </c>
      <c r="X160" s="98">
        <v>1.1720000000000001E-3</v>
      </c>
      <c r="Y160" s="98">
        <v>7.3499999999999998E-4</v>
      </c>
      <c r="Z160" s="106"/>
    </row>
    <row r="161" spans="1:26" ht="15" customHeight="1">
      <c r="A161" s="106"/>
      <c r="B161" s="96">
        <v>286</v>
      </c>
      <c r="C161" s="96">
        <v>1446</v>
      </c>
      <c r="D161" s="96" t="s">
        <v>2776</v>
      </c>
      <c r="E161" s="96"/>
      <c r="F161" s="96" t="s">
        <v>312</v>
      </c>
      <c r="G161" s="96" t="s">
        <v>2777</v>
      </c>
      <c r="H161" s="96" t="s">
        <v>2778</v>
      </c>
      <c r="I161" s="96" t="s">
        <v>320</v>
      </c>
      <c r="J161" s="96" t="s">
        <v>918</v>
      </c>
      <c r="K161" s="96" t="s">
        <v>204</v>
      </c>
      <c r="L161" s="96" t="s">
        <v>281</v>
      </c>
      <c r="M161" s="96" t="s">
        <v>324</v>
      </c>
      <c r="N161" s="96" t="s">
        <v>343</v>
      </c>
      <c r="O161" s="96" t="s">
        <v>487</v>
      </c>
      <c r="P161" s="96" t="s">
        <v>338</v>
      </c>
      <c r="Q161" s="96" t="s">
        <v>1201</v>
      </c>
      <c r="R161" s="97">
        <v>558.10210199999995</v>
      </c>
      <c r="S161" s="97">
        <v>3.7589999999999999</v>
      </c>
      <c r="T161" s="97">
        <v>5091</v>
      </c>
      <c r="U161" s="96"/>
      <c r="V161" s="97">
        <v>106.804384</v>
      </c>
      <c r="W161" s="98">
        <v>9.9999999999999995E-7</v>
      </c>
      <c r="X161" s="98">
        <v>2.7360000000000002E-3</v>
      </c>
      <c r="Y161" s="98">
        <v>1.717E-3</v>
      </c>
      <c r="Z161" s="106"/>
    </row>
    <row r="162" spans="1:26" ht="15" customHeight="1">
      <c r="A162" s="106"/>
      <c r="B162" s="96">
        <v>286</v>
      </c>
      <c r="C162" s="96">
        <v>1446</v>
      </c>
      <c r="D162" s="96" t="s">
        <v>2779</v>
      </c>
      <c r="E162" s="96" t="s">
        <v>2780</v>
      </c>
      <c r="F162" s="96" t="s">
        <v>312</v>
      </c>
      <c r="G162" s="96" t="s">
        <v>2781</v>
      </c>
      <c r="H162" s="96" t="s">
        <v>2782</v>
      </c>
      <c r="I162" s="96" t="s">
        <v>320</v>
      </c>
      <c r="J162" s="96" t="s">
        <v>918</v>
      </c>
      <c r="K162" s="96" t="s">
        <v>204</v>
      </c>
      <c r="L162" s="96" t="s">
        <v>223</v>
      </c>
      <c r="M162" s="96" t="s">
        <v>324</v>
      </c>
      <c r="N162" s="96" t="s">
        <v>345</v>
      </c>
      <c r="O162" s="96" t="s">
        <v>518</v>
      </c>
      <c r="P162" s="96" t="s">
        <v>338</v>
      </c>
      <c r="Q162" s="96" t="s">
        <v>1201</v>
      </c>
      <c r="R162" s="97">
        <v>1373.7165190000001</v>
      </c>
      <c r="S162" s="97">
        <v>3.7589999999999999</v>
      </c>
      <c r="T162" s="97">
        <v>19325</v>
      </c>
      <c r="U162" s="96"/>
      <c r="V162" s="97">
        <v>997.90442599999994</v>
      </c>
      <c r="W162" s="98">
        <v>0</v>
      </c>
      <c r="X162" s="98">
        <v>2.5566999999999999E-2</v>
      </c>
      <c r="Y162" s="98">
        <v>1.6046000000000001E-2</v>
      </c>
      <c r="Z162" s="106"/>
    </row>
    <row r="163" spans="1:26" ht="15" customHeight="1">
      <c r="A163" s="106"/>
      <c r="B163" s="96">
        <v>286</v>
      </c>
      <c r="C163" s="96">
        <v>1446</v>
      </c>
      <c r="D163" s="96" t="s">
        <v>2783</v>
      </c>
      <c r="E163" s="96" t="s">
        <v>2784</v>
      </c>
      <c r="F163" s="96" t="s">
        <v>312</v>
      </c>
      <c r="G163" s="96" t="s">
        <v>2785</v>
      </c>
      <c r="H163" s="96" t="s">
        <v>2786</v>
      </c>
      <c r="I163" s="96" t="s">
        <v>320</v>
      </c>
      <c r="J163" s="96" t="s">
        <v>918</v>
      </c>
      <c r="K163" s="96" t="s">
        <v>204</v>
      </c>
      <c r="L163" s="96" t="s">
        <v>223</v>
      </c>
      <c r="M163" s="96" t="s">
        <v>324</v>
      </c>
      <c r="N163" s="96" t="s">
        <v>343</v>
      </c>
      <c r="O163" s="96" t="s">
        <v>553</v>
      </c>
      <c r="P163" s="96" t="s">
        <v>338</v>
      </c>
      <c r="Q163" s="96" t="s">
        <v>1201</v>
      </c>
      <c r="R163" s="97">
        <v>761.44117200000005</v>
      </c>
      <c r="S163" s="97">
        <v>3.7589999999999999</v>
      </c>
      <c r="T163" s="97">
        <v>7081</v>
      </c>
      <c r="U163" s="96"/>
      <c r="V163" s="97">
        <v>202.67644300000001</v>
      </c>
      <c r="W163" s="98">
        <v>0</v>
      </c>
      <c r="X163" s="98">
        <v>5.1910000000000003E-3</v>
      </c>
      <c r="Y163" s="98">
        <v>3.258E-3</v>
      </c>
      <c r="Z163" s="106"/>
    </row>
    <row r="164" spans="1:26" ht="15" customHeight="1">
      <c r="A164" s="106"/>
      <c r="B164" s="96">
        <v>286</v>
      </c>
      <c r="C164" s="96">
        <v>1446</v>
      </c>
      <c r="D164" s="96" t="s">
        <v>2787</v>
      </c>
      <c r="E164" s="96"/>
      <c r="F164" s="96" t="s">
        <v>310</v>
      </c>
      <c r="G164" s="96" t="s">
        <v>2788</v>
      </c>
      <c r="H164" s="96" t="s">
        <v>2789</v>
      </c>
      <c r="I164" s="96" t="s">
        <v>320</v>
      </c>
      <c r="J164" s="96" t="s">
        <v>918</v>
      </c>
      <c r="K164" s="96" t="s">
        <v>204</v>
      </c>
      <c r="L164" s="96" t="s">
        <v>223</v>
      </c>
      <c r="M164" s="96" t="s">
        <v>324</v>
      </c>
      <c r="N164" s="96" t="s">
        <v>343</v>
      </c>
      <c r="O164" s="96" t="s">
        <v>486</v>
      </c>
      <c r="P164" s="96" t="s">
        <v>338</v>
      </c>
      <c r="Q164" s="96" t="s">
        <v>1201</v>
      </c>
      <c r="R164" s="97">
        <v>240.893091</v>
      </c>
      <c r="S164" s="97">
        <v>3.7589999999999999</v>
      </c>
      <c r="T164" s="97">
        <v>17348</v>
      </c>
      <c r="U164" s="96"/>
      <c r="V164" s="97">
        <v>157.089111</v>
      </c>
      <c r="W164" s="98">
        <v>0</v>
      </c>
      <c r="X164" s="98">
        <v>4.0239999999999998E-3</v>
      </c>
      <c r="Y164" s="98">
        <v>2.526E-3</v>
      </c>
      <c r="Z164" s="106"/>
    </row>
    <row r="165" spans="1:26" ht="15" customHeight="1">
      <c r="A165" s="106"/>
      <c r="B165" s="96">
        <v>286</v>
      </c>
      <c r="C165" s="96">
        <v>1446</v>
      </c>
      <c r="D165" s="96" t="s">
        <v>2790</v>
      </c>
      <c r="E165" s="96">
        <v>512849498</v>
      </c>
      <c r="F165" s="96" t="s">
        <v>308</v>
      </c>
      <c r="G165" s="96" t="s">
        <v>2791</v>
      </c>
      <c r="H165" s="96" t="s">
        <v>2792</v>
      </c>
      <c r="I165" s="96" t="s">
        <v>320</v>
      </c>
      <c r="J165" s="96" t="s">
        <v>918</v>
      </c>
      <c r="K165" s="96" t="s">
        <v>204</v>
      </c>
      <c r="L165" s="96" t="s">
        <v>203</v>
      </c>
      <c r="M165" s="96" t="s">
        <v>324</v>
      </c>
      <c r="N165" s="96" t="s">
        <v>345</v>
      </c>
      <c r="O165" s="96" t="s">
        <v>550</v>
      </c>
      <c r="P165" s="96" t="s">
        <v>338</v>
      </c>
      <c r="Q165" s="96" t="s">
        <v>1201</v>
      </c>
      <c r="R165" s="97">
        <v>692.85908400000005</v>
      </c>
      <c r="S165" s="97">
        <v>3.7589999999999999</v>
      </c>
      <c r="T165" s="97">
        <v>835</v>
      </c>
      <c r="U165" s="96"/>
      <c r="V165" s="97">
        <v>21.747218</v>
      </c>
      <c r="W165" s="98">
        <v>1.4E-5</v>
      </c>
      <c r="X165" s="98">
        <v>5.5699999999999999E-4</v>
      </c>
      <c r="Y165" s="98">
        <v>3.4900000000000003E-4</v>
      </c>
      <c r="Z165" s="106"/>
    </row>
    <row r="166" spans="1:26" ht="15" customHeight="1">
      <c r="A166" s="106"/>
      <c r="B166" s="96">
        <v>286</v>
      </c>
      <c r="C166" s="96">
        <v>1446</v>
      </c>
      <c r="D166" s="96" t="s">
        <v>2793</v>
      </c>
      <c r="E166" s="96"/>
      <c r="F166" s="96" t="s">
        <v>312</v>
      </c>
      <c r="G166" s="96" t="s">
        <v>2794</v>
      </c>
      <c r="H166" s="96" t="s">
        <v>2795</v>
      </c>
      <c r="I166" s="96" t="s">
        <v>320</v>
      </c>
      <c r="J166" s="96" t="s">
        <v>918</v>
      </c>
      <c r="K166" s="96" t="s">
        <v>204</v>
      </c>
      <c r="L166" s="96" t="s">
        <v>203</v>
      </c>
      <c r="M166" s="96" t="s">
        <v>324</v>
      </c>
      <c r="N166" s="96" t="s">
        <v>313</v>
      </c>
      <c r="O166" s="96" t="s">
        <v>543</v>
      </c>
      <c r="P166" s="96" t="s">
        <v>338</v>
      </c>
      <c r="Q166" s="96" t="s">
        <v>1201</v>
      </c>
      <c r="R166" s="97">
        <v>520.82760199999996</v>
      </c>
      <c r="S166" s="97">
        <v>3.7589999999999999</v>
      </c>
      <c r="T166" s="97">
        <v>777</v>
      </c>
      <c r="U166" s="96"/>
      <c r="V166" s="97">
        <v>15.212035</v>
      </c>
      <c r="W166" s="98">
        <v>6.0000000000000002E-6</v>
      </c>
      <c r="X166" s="98">
        <v>3.8900000000000002E-4</v>
      </c>
      <c r="Y166" s="98">
        <v>2.4399999999999999E-4</v>
      </c>
      <c r="Z166" s="106"/>
    </row>
    <row r="167" spans="1:26" ht="15" customHeight="1">
      <c r="A167" s="106"/>
      <c r="B167" s="96">
        <v>286</v>
      </c>
      <c r="C167" s="96">
        <v>1446</v>
      </c>
      <c r="D167" s="96" t="s">
        <v>2796</v>
      </c>
      <c r="E167" s="96">
        <v>513870683</v>
      </c>
      <c r="F167" s="96" t="s">
        <v>308</v>
      </c>
      <c r="G167" s="96" t="s">
        <v>2797</v>
      </c>
      <c r="H167" s="96" t="s">
        <v>2798</v>
      </c>
      <c r="I167" s="96" t="s">
        <v>320</v>
      </c>
      <c r="J167" s="96" t="s">
        <v>918</v>
      </c>
      <c r="K167" s="96" t="s">
        <v>204</v>
      </c>
      <c r="L167" s="96" t="s">
        <v>203</v>
      </c>
      <c r="M167" s="96" t="s">
        <v>324</v>
      </c>
      <c r="N167" s="96" t="s">
        <v>345</v>
      </c>
      <c r="O167" s="96" t="s">
        <v>552</v>
      </c>
      <c r="P167" s="96" t="s">
        <v>338</v>
      </c>
      <c r="Q167" s="96" t="s">
        <v>1201</v>
      </c>
      <c r="R167" s="97">
        <v>2063.2801989999998</v>
      </c>
      <c r="S167" s="97">
        <v>3.7589999999999999</v>
      </c>
      <c r="T167" s="97">
        <v>344</v>
      </c>
      <c r="U167" s="96"/>
      <c r="V167" s="97">
        <v>26.680192999999999</v>
      </c>
      <c r="W167" s="98">
        <v>6.9999999999999999E-6</v>
      </c>
      <c r="X167" s="98">
        <v>6.8300000000000001E-4</v>
      </c>
      <c r="Y167" s="98">
        <v>4.28E-4</v>
      </c>
      <c r="Z167" s="106"/>
    </row>
    <row r="168" spans="1:26" ht="15" customHeight="1">
      <c r="A168" s="106"/>
      <c r="B168" s="96">
        <v>286</v>
      </c>
      <c r="C168" s="96">
        <v>1446</v>
      </c>
      <c r="D168" s="96" t="s">
        <v>2799</v>
      </c>
      <c r="E168" s="96" t="s">
        <v>2800</v>
      </c>
      <c r="F168" s="96" t="s">
        <v>312</v>
      </c>
      <c r="G168" s="96" t="s">
        <v>2801</v>
      </c>
      <c r="H168" s="96" t="s">
        <v>2802</v>
      </c>
      <c r="I168" s="96" t="s">
        <v>320</v>
      </c>
      <c r="J168" s="96" t="s">
        <v>918</v>
      </c>
      <c r="K168" s="96" t="s">
        <v>204</v>
      </c>
      <c r="L168" s="96" t="s">
        <v>223</v>
      </c>
      <c r="M168" s="96" t="s">
        <v>324</v>
      </c>
      <c r="N168" s="96" t="s">
        <v>345</v>
      </c>
      <c r="O168" s="96" t="s">
        <v>552</v>
      </c>
      <c r="P168" s="96" t="s">
        <v>338</v>
      </c>
      <c r="Q168" s="96" t="s">
        <v>1201</v>
      </c>
      <c r="R168" s="97">
        <v>2317.6728210000001</v>
      </c>
      <c r="S168" s="97">
        <v>3.7589999999999999</v>
      </c>
      <c r="T168" s="97">
        <v>18215</v>
      </c>
      <c r="U168" s="96"/>
      <c r="V168" s="97">
        <v>1586.9148680000001</v>
      </c>
      <c r="W168" s="98">
        <v>0</v>
      </c>
      <c r="X168" s="98">
        <v>4.0658E-2</v>
      </c>
      <c r="Y168" s="98">
        <v>2.5517000000000001E-2</v>
      </c>
      <c r="Z168" s="106"/>
    </row>
    <row r="169" spans="1:26" ht="15" customHeight="1">
      <c r="A169" s="106"/>
      <c r="B169" s="96">
        <v>286</v>
      </c>
      <c r="C169" s="96">
        <v>1446</v>
      </c>
      <c r="D169" s="96" t="s">
        <v>2803</v>
      </c>
      <c r="E169" s="96" t="s">
        <v>2804</v>
      </c>
      <c r="F169" s="96" t="s">
        <v>312</v>
      </c>
      <c r="G169" s="96" t="s">
        <v>2805</v>
      </c>
      <c r="H169" s="96" t="s">
        <v>2806</v>
      </c>
      <c r="I169" s="96" t="s">
        <v>320</v>
      </c>
      <c r="J169" s="96" t="s">
        <v>918</v>
      </c>
      <c r="K169" s="96" t="s">
        <v>204</v>
      </c>
      <c r="L169" s="96" t="s">
        <v>223</v>
      </c>
      <c r="M169" s="96" t="s">
        <v>324</v>
      </c>
      <c r="N169" s="96" t="s">
        <v>343</v>
      </c>
      <c r="O169" s="96" t="s">
        <v>497</v>
      </c>
      <c r="P169" s="96" t="s">
        <v>338</v>
      </c>
      <c r="Q169" s="96" t="s">
        <v>1201</v>
      </c>
      <c r="R169" s="97">
        <v>1130.4764990000001</v>
      </c>
      <c r="S169" s="97">
        <v>3.7589999999999999</v>
      </c>
      <c r="T169" s="97">
        <v>9626</v>
      </c>
      <c r="U169" s="96"/>
      <c r="V169" s="97">
        <v>409.05313100000001</v>
      </c>
      <c r="W169" s="98">
        <v>1.9999999999999999E-6</v>
      </c>
      <c r="X169" s="98">
        <v>1.048E-2</v>
      </c>
      <c r="Y169" s="98">
        <v>6.5770000000000004E-3</v>
      </c>
      <c r="Z169" s="106"/>
    </row>
    <row r="170" spans="1:26" ht="15" customHeight="1">
      <c r="A170" s="106"/>
      <c r="B170" s="96">
        <v>286</v>
      </c>
      <c r="C170" s="96">
        <v>1446</v>
      </c>
      <c r="D170" s="96" t="s">
        <v>2807</v>
      </c>
      <c r="E170" s="96" t="s">
        <v>2808</v>
      </c>
      <c r="F170" s="96" t="s">
        <v>312</v>
      </c>
      <c r="G170" s="96" t="s">
        <v>2809</v>
      </c>
      <c r="H170" s="96" t="s">
        <v>2810</v>
      </c>
      <c r="I170" s="96" t="s">
        <v>320</v>
      </c>
      <c r="J170" s="96" t="s">
        <v>918</v>
      </c>
      <c r="K170" s="96" t="s">
        <v>204</v>
      </c>
      <c r="L170" s="96" t="s">
        <v>280</v>
      </c>
      <c r="M170" s="96" t="s">
        <v>324</v>
      </c>
      <c r="N170" s="96" t="s">
        <v>363</v>
      </c>
      <c r="O170" s="96" t="s">
        <v>514</v>
      </c>
      <c r="P170" s="96" t="s">
        <v>338</v>
      </c>
      <c r="Q170" s="96" t="s">
        <v>1202</v>
      </c>
      <c r="R170" s="97">
        <v>97.228651999999997</v>
      </c>
      <c r="S170" s="97">
        <v>4.0202</v>
      </c>
      <c r="T170" s="97">
        <v>71360</v>
      </c>
      <c r="U170" s="96"/>
      <c r="V170" s="97">
        <v>278.93099000000001</v>
      </c>
      <c r="W170" s="98">
        <v>0</v>
      </c>
      <c r="X170" s="98">
        <v>7.1459999999999996E-3</v>
      </c>
      <c r="Y170" s="98">
        <v>4.4850000000000003E-3</v>
      </c>
      <c r="Z170" s="106"/>
    </row>
    <row r="171" spans="1:26" ht="15" customHeight="1">
      <c r="A171" s="106"/>
      <c r="B171" s="96">
        <v>286</v>
      </c>
      <c r="C171" s="96">
        <v>1446</v>
      </c>
      <c r="D171" s="96" t="s">
        <v>2811</v>
      </c>
      <c r="E171" s="96" t="s">
        <v>2812</v>
      </c>
      <c r="F171" s="96" t="s">
        <v>312</v>
      </c>
      <c r="G171" s="96" t="s">
        <v>2813</v>
      </c>
      <c r="H171" s="96" t="s">
        <v>2814</v>
      </c>
      <c r="I171" s="96" t="s">
        <v>320</v>
      </c>
      <c r="J171" s="96" t="s">
        <v>918</v>
      </c>
      <c r="K171" s="96" t="s">
        <v>204</v>
      </c>
      <c r="L171" s="96" t="s">
        <v>223</v>
      </c>
      <c r="M171" s="96" t="s">
        <v>324</v>
      </c>
      <c r="N171" s="96" t="s">
        <v>343</v>
      </c>
      <c r="O171" s="96" t="s">
        <v>486</v>
      </c>
      <c r="P171" s="96" t="s">
        <v>338</v>
      </c>
      <c r="Q171" s="96" t="s">
        <v>1201</v>
      </c>
      <c r="R171" s="97">
        <v>176.65700000000001</v>
      </c>
      <c r="S171" s="97">
        <v>3.7589999999999999</v>
      </c>
      <c r="T171" s="97">
        <v>14752</v>
      </c>
      <c r="U171" s="96"/>
      <c r="V171" s="97">
        <v>97.961196000000001</v>
      </c>
      <c r="W171" s="98">
        <v>0</v>
      </c>
      <c r="X171" s="98">
        <v>2.5089999999999999E-3</v>
      </c>
      <c r="Y171" s="98">
        <v>1.575E-3</v>
      </c>
      <c r="Z171" s="106"/>
    </row>
    <row r="172" spans="1:26" ht="15" customHeight="1">
      <c r="A172" s="106"/>
      <c r="B172" s="96">
        <v>286</v>
      </c>
      <c r="C172" s="96">
        <v>1446</v>
      </c>
      <c r="D172" s="96" t="s">
        <v>2815</v>
      </c>
      <c r="E172" s="96" t="s">
        <v>2816</v>
      </c>
      <c r="F172" s="96" t="s">
        <v>312</v>
      </c>
      <c r="G172" s="96" t="s">
        <v>2817</v>
      </c>
      <c r="H172" s="96" t="s">
        <v>2818</v>
      </c>
      <c r="I172" s="96" t="s">
        <v>320</v>
      </c>
      <c r="J172" s="96" t="s">
        <v>918</v>
      </c>
      <c r="K172" s="96" t="s">
        <v>204</v>
      </c>
      <c r="L172" s="96" t="s">
        <v>223</v>
      </c>
      <c r="M172" s="96" t="s">
        <v>324</v>
      </c>
      <c r="N172" s="96" t="s">
        <v>345</v>
      </c>
      <c r="O172" s="96" t="s">
        <v>543</v>
      </c>
      <c r="P172" s="96" t="s">
        <v>338</v>
      </c>
      <c r="Q172" s="96" t="s">
        <v>1201</v>
      </c>
      <c r="R172" s="97">
        <v>1325.950965</v>
      </c>
      <c r="S172" s="97">
        <v>3.7589999999999999</v>
      </c>
      <c r="T172" s="97">
        <v>44695</v>
      </c>
      <c r="U172" s="96"/>
      <c r="V172" s="97">
        <v>2227.7103929999998</v>
      </c>
      <c r="W172" s="98">
        <v>0</v>
      </c>
      <c r="X172" s="98">
        <v>5.7076000000000002E-2</v>
      </c>
      <c r="Y172" s="98">
        <v>3.5822E-2</v>
      </c>
      <c r="Z172" s="106"/>
    </row>
    <row r="173" spans="1:26" ht="15" customHeight="1">
      <c r="A173" s="106"/>
      <c r="B173" s="96">
        <v>286</v>
      </c>
      <c r="C173" s="96">
        <v>1446</v>
      </c>
      <c r="D173" s="96" t="s">
        <v>2819</v>
      </c>
      <c r="E173" s="96" t="s">
        <v>2820</v>
      </c>
      <c r="F173" s="96" t="s">
        <v>312</v>
      </c>
      <c r="G173" s="96" t="s">
        <v>2821</v>
      </c>
      <c r="H173" s="96" t="s">
        <v>2822</v>
      </c>
      <c r="I173" s="96" t="s">
        <v>320</v>
      </c>
      <c r="J173" s="96" t="s">
        <v>918</v>
      </c>
      <c r="K173" s="96" t="s">
        <v>204</v>
      </c>
      <c r="L173" s="96" t="s">
        <v>223</v>
      </c>
      <c r="M173" s="96" t="s">
        <v>324</v>
      </c>
      <c r="N173" s="96" t="s">
        <v>343</v>
      </c>
      <c r="O173" s="96" t="s">
        <v>532</v>
      </c>
      <c r="P173" s="96" t="s">
        <v>338</v>
      </c>
      <c r="Q173" s="96" t="s">
        <v>1201</v>
      </c>
      <c r="R173" s="97">
        <v>717.79312100000004</v>
      </c>
      <c r="S173" s="97">
        <v>3.7589999999999999</v>
      </c>
      <c r="T173" s="97">
        <v>17152</v>
      </c>
      <c r="U173" s="96"/>
      <c r="V173" s="97">
        <v>462.79257799999999</v>
      </c>
      <c r="W173" s="98">
        <v>0</v>
      </c>
      <c r="X173" s="98">
        <v>1.1856999999999999E-2</v>
      </c>
      <c r="Y173" s="98">
        <v>7.4409999999999997E-3</v>
      </c>
      <c r="Z173" s="106"/>
    </row>
    <row r="174" spans="1:26" ht="15" customHeight="1">
      <c r="A174" s="106"/>
      <c r="B174" s="96">
        <v>286</v>
      </c>
      <c r="C174" s="96">
        <v>1446</v>
      </c>
      <c r="D174" s="96" t="s">
        <v>2823</v>
      </c>
      <c r="E174" s="96" t="s">
        <v>2824</v>
      </c>
      <c r="F174" s="96" t="s">
        <v>312</v>
      </c>
      <c r="G174" s="96" t="s">
        <v>2825</v>
      </c>
      <c r="H174" s="96" t="s">
        <v>2826</v>
      </c>
      <c r="I174" s="96" t="s">
        <v>320</v>
      </c>
      <c r="J174" s="96" t="s">
        <v>918</v>
      </c>
      <c r="K174" s="96" t="s">
        <v>204</v>
      </c>
      <c r="L174" s="96" t="s">
        <v>240</v>
      </c>
      <c r="M174" s="96" t="s">
        <v>324</v>
      </c>
      <c r="N174" s="96" t="s">
        <v>313</v>
      </c>
      <c r="O174" s="96" t="s">
        <v>501</v>
      </c>
      <c r="P174" s="96" t="s">
        <v>338</v>
      </c>
      <c r="Q174" s="96" t="s">
        <v>1219</v>
      </c>
      <c r="R174" s="97">
        <v>248.321618</v>
      </c>
      <c r="S174" s="97">
        <v>0.53900000000000003</v>
      </c>
      <c r="T174" s="97">
        <v>106700</v>
      </c>
      <c r="U174" s="96"/>
      <c r="V174" s="97">
        <v>142.81299200000001</v>
      </c>
      <c r="W174" s="98">
        <v>9.9999999999999995E-7</v>
      </c>
      <c r="X174" s="98">
        <v>3.6589999999999999E-3</v>
      </c>
      <c r="Y174" s="98">
        <v>2.2959999999999999E-3</v>
      </c>
      <c r="Z174" s="106"/>
    </row>
    <row r="175" spans="1:26" ht="15" customHeight="1">
      <c r="A175" s="106"/>
      <c r="B175" s="96">
        <v>286</v>
      </c>
      <c r="C175" s="96">
        <v>1446</v>
      </c>
      <c r="D175" s="96" t="s">
        <v>2827</v>
      </c>
      <c r="E175" s="96" t="s">
        <v>2828</v>
      </c>
      <c r="F175" s="96" t="s">
        <v>312</v>
      </c>
      <c r="G175" s="96" t="s">
        <v>2829</v>
      </c>
      <c r="H175" s="96" t="s">
        <v>2830</v>
      </c>
      <c r="I175" s="96" t="s">
        <v>320</v>
      </c>
      <c r="J175" s="96" t="s">
        <v>918</v>
      </c>
      <c r="K175" s="96" t="s">
        <v>204</v>
      </c>
      <c r="L175" s="96" t="s">
        <v>223</v>
      </c>
      <c r="M175" s="96" t="s">
        <v>324</v>
      </c>
      <c r="N175" s="96" t="s">
        <v>345</v>
      </c>
      <c r="O175" s="96" t="s">
        <v>543</v>
      </c>
      <c r="P175" s="96" t="s">
        <v>338</v>
      </c>
      <c r="Q175" s="96" t="s">
        <v>1201</v>
      </c>
      <c r="R175" s="97">
        <v>72.160087000000004</v>
      </c>
      <c r="S175" s="97">
        <v>3.7589999999999999</v>
      </c>
      <c r="T175" s="97">
        <v>33901</v>
      </c>
      <c r="U175" s="96"/>
      <c r="V175" s="97">
        <v>91.956383000000002</v>
      </c>
      <c r="W175" s="98">
        <v>0</v>
      </c>
      <c r="X175" s="98">
        <v>2.356E-3</v>
      </c>
      <c r="Y175" s="98">
        <v>1.4779999999999999E-3</v>
      </c>
      <c r="Z175" s="106"/>
    </row>
    <row r="176" spans="1:26" ht="15" customHeight="1">
      <c r="A176" s="106"/>
      <c r="B176" s="96">
        <v>286</v>
      </c>
      <c r="C176" s="96">
        <v>1446</v>
      </c>
      <c r="D176" s="96" t="s">
        <v>2831</v>
      </c>
      <c r="E176" s="96" t="s">
        <v>2832</v>
      </c>
      <c r="F176" s="96" t="s">
        <v>312</v>
      </c>
      <c r="G176" s="96" t="s">
        <v>2833</v>
      </c>
      <c r="H176" s="96" t="s">
        <v>2834</v>
      </c>
      <c r="I176" s="96" t="s">
        <v>320</v>
      </c>
      <c r="J176" s="96" t="s">
        <v>918</v>
      </c>
      <c r="K176" s="96" t="s">
        <v>204</v>
      </c>
      <c r="L176" s="96" t="s">
        <v>223</v>
      </c>
      <c r="M176" s="96" t="s">
        <v>324</v>
      </c>
      <c r="N176" s="96" t="s">
        <v>345</v>
      </c>
      <c r="O176" s="96" t="s">
        <v>545</v>
      </c>
      <c r="P176" s="96" t="s">
        <v>338</v>
      </c>
      <c r="Q176" s="96" t="s">
        <v>1201</v>
      </c>
      <c r="R176" s="97">
        <v>2146.624914</v>
      </c>
      <c r="S176" s="97">
        <v>3.7589999999999999</v>
      </c>
      <c r="T176" s="97">
        <v>21062</v>
      </c>
      <c r="U176" s="96"/>
      <c r="V176" s="97">
        <v>1699.527122</v>
      </c>
      <c r="W176" s="98">
        <v>0</v>
      </c>
      <c r="X176" s="98">
        <v>4.3542999999999998E-2</v>
      </c>
      <c r="Y176" s="98">
        <v>2.7328000000000002E-2</v>
      </c>
      <c r="Z176" s="106"/>
    </row>
    <row r="177" spans="1:26" ht="15" customHeight="1">
      <c r="A177" s="106"/>
      <c r="B177" s="96">
        <v>286</v>
      </c>
      <c r="C177" s="96">
        <v>1446</v>
      </c>
      <c r="D177" s="96" t="s">
        <v>2835</v>
      </c>
      <c r="E177" s="96" t="s">
        <v>2836</v>
      </c>
      <c r="F177" s="96" t="s">
        <v>312</v>
      </c>
      <c r="G177" s="96" t="s">
        <v>2837</v>
      </c>
      <c r="H177" s="96" t="s">
        <v>2838</v>
      </c>
      <c r="I177" s="96" t="s">
        <v>320</v>
      </c>
      <c r="J177" s="96" t="s">
        <v>918</v>
      </c>
      <c r="K177" s="96" t="s">
        <v>204</v>
      </c>
      <c r="L177" s="96" t="s">
        <v>223</v>
      </c>
      <c r="M177" s="96" t="s">
        <v>324</v>
      </c>
      <c r="N177" s="96" t="s">
        <v>345</v>
      </c>
      <c r="O177" s="96" t="s">
        <v>542</v>
      </c>
      <c r="P177" s="96" t="s">
        <v>338</v>
      </c>
      <c r="Q177" s="96" t="s">
        <v>1201</v>
      </c>
      <c r="R177" s="97">
        <v>336.89857599999999</v>
      </c>
      <c r="S177" s="97">
        <v>3.7589999999999999</v>
      </c>
      <c r="T177" s="97">
        <v>7892</v>
      </c>
      <c r="U177" s="96"/>
      <c r="V177" s="97">
        <v>99.944426000000007</v>
      </c>
      <c r="W177" s="98">
        <v>1.9999999999999999E-6</v>
      </c>
      <c r="X177" s="98">
        <v>2.5600000000000002E-3</v>
      </c>
      <c r="Y177" s="98">
        <v>1.6069999999999999E-3</v>
      </c>
      <c r="Z177" s="106"/>
    </row>
    <row r="178" spans="1:26" ht="15" customHeight="1">
      <c r="A178" s="106"/>
      <c r="B178" s="96">
        <v>286</v>
      </c>
      <c r="C178" s="96">
        <v>1446</v>
      </c>
      <c r="D178" s="96" t="s">
        <v>2839</v>
      </c>
      <c r="E178" s="96" t="s">
        <v>2840</v>
      </c>
      <c r="F178" s="96" t="s">
        <v>312</v>
      </c>
      <c r="G178" s="96" t="s">
        <v>2841</v>
      </c>
      <c r="H178" s="96" t="s">
        <v>2842</v>
      </c>
      <c r="I178" s="96" t="s">
        <v>320</v>
      </c>
      <c r="J178" s="96" t="s">
        <v>918</v>
      </c>
      <c r="K178" s="96" t="s">
        <v>204</v>
      </c>
      <c r="L178" s="96" t="s">
        <v>223</v>
      </c>
      <c r="M178" s="96" t="s">
        <v>324</v>
      </c>
      <c r="N178" s="96" t="s">
        <v>345</v>
      </c>
      <c r="O178" s="96" t="s">
        <v>524</v>
      </c>
      <c r="P178" s="96" t="s">
        <v>338</v>
      </c>
      <c r="Q178" s="96" t="s">
        <v>1201</v>
      </c>
      <c r="R178" s="97">
        <v>1541.7150469999999</v>
      </c>
      <c r="S178" s="97">
        <v>3.7589999999999999</v>
      </c>
      <c r="T178" s="97">
        <v>6544</v>
      </c>
      <c r="U178" s="96"/>
      <c r="V178" s="97">
        <v>379.24488100000002</v>
      </c>
      <c r="W178" s="98">
        <v>9.9999999999999995E-7</v>
      </c>
      <c r="X178" s="98">
        <v>9.7160000000000007E-3</v>
      </c>
      <c r="Y178" s="98">
        <v>6.0980000000000001E-3</v>
      </c>
      <c r="Z178" s="106"/>
    </row>
    <row r="179" spans="1:26" ht="15" customHeight="1">
      <c r="A179" s="106"/>
      <c r="B179" s="96">
        <v>286</v>
      </c>
      <c r="C179" s="96">
        <v>1446</v>
      </c>
      <c r="D179" s="96" t="s">
        <v>2843</v>
      </c>
      <c r="E179" s="96" t="s">
        <v>2844</v>
      </c>
      <c r="F179" s="96" t="s">
        <v>312</v>
      </c>
      <c r="G179" s="96" t="s">
        <v>2845</v>
      </c>
      <c r="H179" s="96" t="s">
        <v>2846</v>
      </c>
      <c r="I179" s="96" t="s">
        <v>320</v>
      </c>
      <c r="J179" s="96" t="s">
        <v>918</v>
      </c>
      <c r="K179" s="96" t="s">
        <v>204</v>
      </c>
      <c r="L179" s="96" t="s">
        <v>237</v>
      </c>
      <c r="M179" s="96" t="s">
        <v>324</v>
      </c>
      <c r="N179" s="96" t="s">
        <v>313</v>
      </c>
      <c r="O179" s="96" t="s">
        <v>567</v>
      </c>
      <c r="P179" s="96" t="s">
        <v>338</v>
      </c>
      <c r="Q179" s="96" t="s">
        <v>1202</v>
      </c>
      <c r="R179" s="97">
        <v>8381.7633669999996</v>
      </c>
      <c r="S179" s="97">
        <v>4.0202</v>
      </c>
      <c r="T179" s="97">
        <v>196.55</v>
      </c>
      <c r="U179" s="96"/>
      <c r="V179" s="97">
        <v>66.230204999999998</v>
      </c>
      <c r="W179" s="98">
        <v>5.0000000000000004E-6</v>
      </c>
      <c r="X179" s="98">
        <v>1.696E-3</v>
      </c>
      <c r="Y179" s="98">
        <v>1.0640000000000001E-3</v>
      </c>
      <c r="Z179" s="106"/>
    </row>
    <row r="180" spans="1:26" ht="15" customHeight="1">
      <c r="A180" s="106"/>
      <c r="B180" s="96">
        <v>286</v>
      </c>
      <c r="C180" s="96">
        <v>1446</v>
      </c>
      <c r="D180" s="96" t="s">
        <v>2847</v>
      </c>
      <c r="E180" s="96" t="s">
        <v>2848</v>
      </c>
      <c r="F180" s="96" t="s">
        <v>312</v>
      </c>
      <c r="G180" s="96" t="s">
        <v>2849</v>
      </c>
      <c r="H180" s="96" t="s">
        <v>2850</v>
      </c>
      <c r="I180" s="96" t="s">
        <v>320</v>
      </c>
      <c r="J180" s="96" t="s">
        <v>918</v>
      </c>
      <c r="K180" s="96" t="s">
        <v>204</v>
      </c>
      <c r="L180" s="96" t="s">
        <v>223</v>
      </c>
      <c r="M180" s="96" t="s">
        <v>324</v>
      </c>
      <c r="N180" s="96" t="s">
        <v>343</v>
      </c>
      <c r="O180" s="96" t="s">
        <v>509</v>
      </c>
      <c r="P180" s="96" t="s">
        <v>338</v>
      </c>
      <c r="Q180" s="96" t="s">
        <v>1201</v>
      </c>
      <c r="R180" s="97">
        <v>459.88728700000001</v>
      </c>
      <c r="S180" s="97">
        <v>3.7589999999999999</v>
      </c>
      <c r="T180" s="97">
        <v>10699</v>
      </c>
      <c r="U180" s="96"/>
      <c r="V180" s="97">
        <v>184.95535799999999</v>
      </c>
      <c r="W180" s="98">
        <v>5.0000000000000004E-6</v>
      </c>
      <c r="X180" s="98">
        <v>4.738E-3</v>
      </c>
      <c r="Y180" s="98">
        <v>2.9740000000000001E-3</v>
      </c>
      <c r="Z180" s="106"/>
    </row>
    <row r="181" spans="1:26" ht="15" customHeight="1">
      <c r="A181" s="106"/>
      <c r="B181" s="96">
        <v>286</v>
      </c>
      <c r="C181" s="96">
        <v>1446</v>
      </c>
      <c r="D181" s="96" t="s">
        <v>2851</v>
      </c>
      <c r="E181" s="96" t="s">
        <v>2852</v>
      </c>
      <c r="F181" s="96" t="s">
        <v>312</v>
      </c>
      <c r="G181" s="96" t="s">
        <v>2853</v>
      </c>
      <c r="H181" s="96" t="s">
        <v>2854</v>
      </c>
      <c r="I181" s="96" t="s">
        <v>320</v>
      </c>
      <c r="J181" s="96" t="s">
        <v>918</v>
      </c>
      <c r="K181" s="96" t="s">
        <v>204</v>
      </c>
      <c r="L181" s="96" t="s">
        <v>223</v>
      </c>
      <c r="M181" s="96" t="s">
        <v>324</v>
      </c>
      <c r="N181" s="96" t="s">
        <v>345</v>
      </c>
      <c r="O181" s="96" t="s">
        <v>547</v>
      </c>
      <c r="P181" s="96" t="s">
        <v>338</v>
      </c>
      <c r="Q181" s="96" t="s">
        <v>1201</v>
      </c>
      <c r="R181" s="97">
        <v>232.94542000000001</v>
      </c>
      <c r="S181" s="97">
        <v>3.7589999999999999</v>
      </c>
      <c r="T181" s="97">
        <v>2526</v>
      </c>
      <c r="U181" s="96"/>
      <c r="V181" s="97">
        <v>22.118711000000001</v>
      </c>
      <c r="W181" s="98">
        <v>3.9999999999999998E-6</v>
      </c>
      <c r="X181" s="98">
        <v>5.6599999999999999E-4</v>
      </c>
      <c r="Y181" s="98">
        <v>3.5399999999999999E-4</v>
      </c>
      <c r="Z181" s="106"/>
    </row>
    <row r="182" spans="1:26" ht="15" customHeight="1">
      <c r="A182" s="106"/>
      <c r="B182" s="96">
        <v>286</v>
      </c>
      <c r="C182" s="96">
        <v>1446</v>
      </c>
      <c r="D182" s="96" t="s">
        <v>2603</v>
      </c>
      <c r="E182" s="96">
        <v>520036872</v>
      </c>
      <c r="F182" s="96" t="s">
        <v>308</v>
      </c>
      <c r="G182" s="96" t="s">
        <v>2855</v>
      </c>
      <c r="H182" s="96" t="s">
        <v>2856</v>
      </c>
      <c r="I182" s="96" t="s">
        <v>320</v>
      </c>
      <c r="J182" s="96" t="s">
        <v>918</v>
      </c>
      <c r="K182" s="96" t="s">
        <v>204</v>
      </c>
      <c r="L182" s="96" t="s">
        <v>203</v>
      </c>
      <c r="M182" s="96" t="s">
        <v>324</v>
      </c>
      <c r="N182" s="96" t="s">
        <v>345</v>
      </c>
      <c r="O182" s="96" t="s">
        <v>543</v>
      </c>
      <c r="P182" s="96" t="s">
        <v>338</v>
      </c>
      <c r="Q182" s="96" t="s">
        <v>1201</v>
      </c>
      <c r="R182" s="97">
        <v>512.83109200000001</v>
      </c>
      <c r="S182" s="97">
        <v>3.7589999999999999</v>
      </c>
      <c r="T182" s="97">
        <v>17197</v>
      </c>
      <c r="U182" s="96"/>
      <c r="V182" s="97">
        <v>331.51208400000002</v>
      </c>
      <c r="W182" s="98">
        <v>7.9999999999999996E-6</v>
      </c>
      <c r="X182" s="98">
        <v>8.4919999999999995E-3</v>
      </c>
      <c r="Y182" s="98">
        <v>5.3299999999999997E-3</v>
      </c>
      <c r="Z182" s="106"/>
    </row>
    <row r="183" spans="1:26" ht="15" customHeight="1">
      <c r="A183" s="106"/>
      <c r="B183" s="96">
        <v>286</v>
      </c>
      <c r="C183" s="96">
        <v>1446</v>
      </c>
      <c r="D183" s="96" t="s">
        <v>2857</v>
      </c>
      <c r="E183" s="96" t="s">
        <v>2858</v>
      </c>
      <c r="F183" s="96" t="s">
        <v>312</v>
      </c>
      <c r="G183" s="96" t="s">
        <v>2859</v>
      </c>
      <c r="H183" s="96" t="s">
        <v>2860</v>
      </c>
      <c r="I183" s="96" t="s">
        <v>320</v>
      </c>
      <c r="J183" s="96" t="s">
        <v>918</v>
      </c>
      <c r="K183" s="96" t="s">
        <v>204</v>
      </c>
      <c r="L183" s="96" t="s">
        <v>223</v>
      </c>
      <c r="M183" s="96" t="s">
        <v>324</v>
      </c>
      <c r="N183" s="96" t="s">
        <v>343</v>
      </c>
      <c r="O183" s="96" t="s">
        <v>487</v>
      </c>
      <c r="P183" s="96" t="s">
        <v>338</v>
      </c>
      <c r="Q183" s="96" t="s">
        <v>1201</v>
      </c>
      <c r="R183" s="97">
        <v>1053.423978</v>
      </c>
      <c r="S183" s="97">
        <v>3.7589999999999999</v>
      </c>
      <c r="T183" s="97">
        <v>7412</v>
      </c>
      <c r="U183" s="96"/>
      <c r="V183" s="97">
        <v>293.501912</v>
      </c>
      <c r="W183" s="98">
        <v>5.0000000000000004E-6</v>
      </c>
      <c r="X183" s="98">
        <v>7.5189999999999996E-3</v>
      </c>
      <c r="Y183" s="98">
        <v>4.7190000000000001E-3</v>
      </c>
      <c r="Z183" s="106"/>
    </row>
    <row r="184" spans="1:26" ht="15" customHeight="1">
      <c r="A184" s="106"/>
      <c r="B184" s="96">
        <v>286</v>
      </c>
      <c r="C184" s="96">
        <v>1446</v>
      </c>
      <c r="D184" s="96" t="s">
        <v>1757</v>
      </c>
      <c r="E184" s="96">
        <v>520041146</v>
      </c>
      <c r="F184" s="96" t="s">
        <v>308</v>
      </c>
      <c r="G184" s="96" t="s">
        <v>2861</v>
      </c>
      <c r="H184" s="96" t="s">
        <v>2692</v>
      </c>
      <c r="I184" s="96" t="s">
        <v>320</v>
      </c>
      <c r="J184" s="96" t="s">
        <v>918</v>
      </c>
      <c r="K184" s="96" t="s">
        <v>204</v>
      </c>
      <c r="L184" s="96" t="s">
        <v>203</v>
      </c>
      <c r="M184" s="96" t="s">
        <v>324</v>
      </c>
      <c r="N184" s="96" t="s">
        <v>345</v>
      </c>
      <c r="O184" s="96" t="s">
        <v>557</v>
      </c>
      <c r="P184" s="96" t="s">
        <v>337</v>
      </c>
      <c r="Q184" s="96" t="s">
        <v>1201</v>
      </c>
      <c r="R184" s="97">
        <v>437.25092599999999</v>
      </c>
      <c r="S184" s="97">
        <v>3.7589999999999999</v>
      </c>
      <c r="T184" s="97">
        <v>1616</v>
      </c>
      <c r="U184" s="96"/>
      <c r="V184" s="97">
        <v>26.560998999999999</v>
      </c>
      <c r="W184" s="98">
        <v>3.0000000000000001E-6</v>
      </c>
      <c r="X184" s="98">
        <v>6.7900000000000002E-4</v>
      </c>
      <c r="Y184" s="98">
        <v>4.26E-4</v>
      </c>
      <c r="Z184" s="106"/>
    </row>
    <row r="185" spans="1:26" ht="15" customHeight="1">
      <c r="A185" s="106"/>
      <c r="B185" s="96">
        <v>286</v>
      </c>
      <c r="C185" s="96">
        <v>1446</v>
      </c>
      <c r="D185" s="96" t="s">
        <v>2823</v>
      </c>
      <c r="E185" s="96" t="s">
        <v>2824</v>
      </c>
      <c r="F185" s="96" t="s">
        <v>312</v>
      </c>
      <c r="G185" s="96" t="s">
        <v>2825</v>
      </c>
      <c r="H185" s="96" t="s">
        <v>2826</v>
      </c>
      <c r="I185" s="96" t="s">
        <v>320</v>
      </c>
      <c r="J185" s="96" t="s">
        <v>918</v>
      </c>
      <c r="K185" s="96" t="s">
        <v>204</v>
      </c>
      <c r="L185" s="96" t="s">
        <v>240</v>
      </c>
      <c r="M185" s="96" t="s">
        <v>332</v>
      </c>
      <c r="N185" s="96" t="s">
        <v>313</v>
      </c>
      <c r="O185" s="96" t="s">
        <v>501</v>
      </c>
      <c r="P185" s="96" t="s">
        <v>338</v>
      </c>
      <c r="Q185" s="96" t="s">
        <v>1219</v>
      </c>
      <c r="R185" s="97">
        <v>30.200099000000002</v>
      </c>
      <c r="S185" s="97">
        <v>0.53900000000000003</v>
      </c>
      <c r="T185" s="97">
        <v>106700</v>
      </c>
      <c r="U185" s="96"/>
      <c r="V185" s="97">
        <v>17.368469000000001</v>
      </c>
      <c r="W185" s="98">
        <v>0</v>
      </c>
      <c r="X185" s="98">
        <v>4.4499999999999997E-4</v>
      </c>
      <c r="Y185" s="98">
        <v>2.7900000000000001E-4</v>
      </c>
      <c r="Z185" s="106"/>
    </row>
    <row r="186" spans="1:26" ht="15" customHeight="1">
      <c r="A186" s="106"/>
      <c r="B186" s="96">
        <v>286</v>
      </c>
      <c r="C186" s="96">
        <v>1446</v>
      </c>
      <c r="D186" s="96" t="s">
        <v>2862</v>
      </c>
      <c r="E186" s="96"/>
      <c r="F186" s="96" t="s">
        <v>312</v>
      </c>
      <c r="G186" s="96" t="s">
        <v>2863</v>
      </c>
      <c r="H186" s="96" t="s">
        <v>2864</v>
      </c>
      <c r="I186" s="96" t="s">
        <v>320</v>
      </c>
      <c r="J186" s="96" t="s">
        <v>918</v>
      </c>
      <c r="K186" s="96" t="s">
        <v>204</v>
      </c>
      <c r="L186" s="96" t="s">
        <v>223</v>
      </c>
      <c r="M186" s="96" t="s">
        <v>324</v>
      </c>
      <c r="N186" s="96" t="s">
        <v>343</v>
      </c>
      <c r="O186" s="96" t="s">
        <v>492</v>
      </c>
      <c r="P186" s="96" t="s">
        <v>338</v>
      </c>
      <c r="Q186" s="96" t="s">
        <v>1201</v>
      </c>
      <c r="R186" s="97">
        <v>296.45915100000002</v>
      </c>
      <c r="S186" s="97">
        <v>3.7589999999999999</v>
      </c>
      <c r="T186" s="97">
        <v>18201</v>
      </c>
      <c r="U186" s="96"/>
      <c r="V186" s="97">
        <v>202.83011400000001</v>
      </c>
      <c r="W186" s="98">
        <v>0</v>
      </c>
      <c r="X186" s="98">
        <v>5.1960000000000001E-3</v>
      </c>
      <c r="Y186" s="98">
        <v>3.261E-3</v>
      </c>
      <c r="Z186" s="106"/>
    </row>
    <row r="187" spans="1:26" ht="15" customHeight="1">
      <c r="A187" s="106"/>
      <c r="B187" s="96">
        <v>286</v>
      </c>
      <c r="C187" s="96">
        <v>1446</v>
      </c>
      <c r="D187" s="96" t="s">
        <v>2865</v>
      </c>
      <c r="E187" s="96" t="s">
        <v>2866</v>
      </c>
      <c r="F187" s="96" t="s">
        <v>312</v>
      </c>
      <c r="G187" s="96" t="s">
        <v>2867</v>
      </c>
      <c r="H187" s="96" t="s">
        <v>2868</v>
      </c>
      <c r="I187" s="96" t="s">
        <v>320</v>
      </c>
      <c r="J187" s="96" t="s">
        <v>918</v>
      </c>
      <c r="K187" s="96" t="s">
        <v>204</v>
      </c>
      <c r="L187" s="96" t="s">
        <v>232</v>
      </c>
      <c r="M187" s="96" t="s">
        <v>324</v>
      </c>
      <c r="N187" s="96" t="s">
        <v>369</v>
      </c>
      <c r="O187" s="96" t="s">
        <v>523</v>
      </c>
      <c r="P187" s="96" t="s">
        <v>338</v>
      </c>
      <c r="Q187" s="96" t="s">
        <v>1205</v>
      </c>
      <c r="R187" s="97">
        <v>1413.9573989999999</v>
      </c>
      <c r="S187" s="97">
        <v>4.7504999999999997</v>
      </c>
      <c r="T187" s="97">
        <v>2489.5</v>
      </c>
      <c r="U187" s="96"/>
      <c r="V187" s="97">
        <v>167.21983</v>
      </c>
      <c r="W187" s="98">
        <v>0</v>
      </c>
      <c r="X187" s="98">
        <v>4.2839999999999996E-3</v>
      </c>
      <c r="Y187" s="98">
        <v>2.6879999999999999E-3</v>
      </c>
      <c r="Z187" s="106"/>
    </row>
    <row r="188" spans="1:26" ht="15" customHeight="1">
      <c r="A188" s="106"/>
      <c r="B188" s="96">
        <v>286</v>
      </c>
      <c r="C188" s="96">
        <v>1446</v>
      </c>
      <c r="D188" s="96" t="s">
        <v>2869</v>
      </c>
      <c r="E188" s="96" t="s">
        <v>2870</v>
      </c>
      <c r="F188" s="96" t="s">
        <v>312</v>
      </c>
      <c r="G188" s="96" t="s">
        <v>2871</v>
      </c>
      <c r="H188" s="96" t="s">
        <v>2872</v>
      </c>
      <c r="I188" s="96" t="s">
        <v>320</v>
      </c>
      <c r="J188" s="96" t="s">
        <v>918</v>
      </c>
      <c r="K188" s="96" t="s">
        <v>204</v>
      </c>
      <c r="L188" s="96" t="s">
        <v>223</v>
      </c>
      <c r="M188" s="96" t="s">
        <v>324</v>
      </c>
      <c r="N188" s="96" t="s">
        <v>343</v>
      </c>
      <c r="O188" s="96" t="s">
        <v>535</v>
      </c>
      <c r="P188" s="96" t="s">
        <v>338</v>
      </c>
      <c r="Q188" s="96" t="s">
        <v>1201</v>
      </c>
      <c r="R188" s="97">
        <v>401.31860799999998</v>
      </c>
      <c r="S188" s="97">
        <v>3.7589999999999999</v>
      </c>
      <c r="T188" s="97">
        <v>15136</v>
      </c>
      <c r="U188" s="96"/>
      <c r="V188" s="97">
        <v>228.33513400000001</v>
      </c>
      <c r="W188" s="98">
        <v>1.9999999999999999E-6</v>
      </c>
      <c r="X188" s="98">
        <v>5.8500000000000002E-3</v>
      </c>
      <c r="Y188" s="98">
        <v>3.6709999999999998E-3</v>
      </c>
      <c r="Z188" s="106"/>
    </row>
    <row r="189" spans="1:26" ht="15" customHeight="1">
      <c r="A189" s="106"/>
      <c r="B189" s="96">
        <v>286</v>
      </c>
      <c r="C189" s="96">
        <v>1446</v>
      </c>
      <c r="D189" s="96" t="s">
        <v>2873</v>
      </c>
      <c r="E189" s="96" t="s">
        <v>2874</v>
      </c>
      <c r="F189" s="96" t="s">
        <v>312</v>
      </c>
      <c r="G189" s="96" t="s">
        <v>2875</v>
      </c>
      <c r="H189" s="96" t="s">
        <v>2876</v>
      </c>
      <c r="I189" s="96" t="s">
        <v>320</v>
      </c>
      <c r="J189" s="96" t="s">
        <v>918</v>
      </c>
      <c r="K189" s="96" t="s">
        <v>204</v>
      </c>
      <c r="L189" s="96" t="s">
        <v>223</v>
      </c>
      <c r="M189" s="96" t="s">
        <v>324</v>
      </c>
      <c r="N189" s="96" t="s">
        <v>345</v>
      </c>
      <c r="O189" s="96" t="s">
        <v>547</v>
      </c>
      <c r="P189" s="96" t="s">
        <v>338</v>
      </c>
      <c r="Q189" s="96" t="s">
        <v>1201</v>
      </c>
      <c r="R189" s="97">
        <v>911.58160099999998</v>
      </c>
      <c r="S189" s="97">
        <v>3.7589999999999999</v>
      </c>
      <c r="T189" s="97">
        <v>13153</v>
      </c>
      <c r="U189" s="96"/>
      <c r="V189" s="97">
        <v>450.705333</v>
      </c>
      <c r="W189" s="98">
        <v>0</v>
      </c>
      <c r="X189" s="98">
        <v>1.1547E-2</v>
      </c>
      <c r="Y189" s="98">
        <v>7.247E-3</v>
      </c>
      <c r="Z189" s="106"/>
    </row>
    <row r="190" spans="1:26" ht="15" customHeight="1">
      <c r="A190" s="106"/>
      <c r="B190" s="96">
        <v>286</v>
      </c>
      <c r="C190" s="96">
        <v>1446</v>
      </c>
      <c r="D190" s="96" t="s">
        <v>2877</v>
      </c>
      <c r="E190" s="96">
        <v>514073618</v>
      </c>
      <c r="F190" s="96" t="s">
        <v>308</v>
      </c>
      <c r="G190" s="96" t="s">
        <v>2878</v>
      </c>
      <c r="H190" s="96" t="s">
        <v>2879</v>
      </c>
      <c r="I190" s="96" t="s">
        <v>320</v>
      </c>
      <c r="J190" s="96" t="s">
        <v>918</v>
      </c>
      <c r="K190" s="96" t="s">
        <v>204</v>
      </c>
      <c r="L190" s="96" t="s">
        <v>203</v>
      </c>
      <c r="M190" s="96" t="s">
        <v>324</v>
      </c>
      <c r="N190" s="96" t="s">
        <v>345</v>
      </c>
      <c r="O190" s="96" t="s">
        <v>529</v>
      </c>
      <c r="P190" s="96" t="s">
        <v>338</v>
      </c>
      <c r="Q190" s="96" t="s">
        <v>1201</v>
      </c>
      <c r="R190" s="97">
        <v>575.20553299999995</v>
      </c>
      <c r="S190" s="97">
        <v>3.7589999999999999</v>
      </c>
      <c r="T190" s="97">
        <v>1824</v>
      </c>
      <c r="U190" s="96"/>
      <c r="V190" s="97">
        <v>39.438484000000003</v>
      </c>
      <c r="W190" s="98">
        <v>6.0000000000000002E-6</v>
      </c>
      <c r="X190" s="98">
        <v>1.01E-3</v>
      </c>
      <c r="Y190" s="98">
        <v>6.3400000000000001E-4</v>
      </c>
      <c r="Z190" s="106"/>
    </row>
    <row r="191" spans="1:26" ht="15" customHeight="1">
      <c r="A191" s="106"/>
      <c r="B191" s="96">
        <v>286</v>
      </c>
      <c r="C191" s="96">
        <v>1446</v>
      </c>
      <c r="D191" s="96" t="s">
        <v>2880</v>
      </c>
      <c r="E191" s="96" t="s">
        <v>2881</v>
      </c>
      <c r="F191" s="96" t="s">
        <v>312</v>
      </c>
      <c r="G191" s="96" t="s">
        <v>2882</v>
      </c>
      <c r="H191" s="96" t="s">
        <v>2883</v>
      </c>
      <c r="I191" s="96" t="s">
        <v>320</v>
      </c>
      <c r="J191" s="96" t="s">
        <v>918</v>
      </c>
      <c r="K191" s="96" t="s">
        <v>204</v>
      </c>
      <c r="L191" s="96" t="s">
        <v>223</v>
      </c>
      <c r="M191" s="96" t="s">
        <v>324</v>
      </c>
      <c r="N191" s="96" t="s">
        <v>345</v>
      </c>
      <c r="O191" s="96" t="s">
        <v>547</v>
      </c>
      <c r="P191" s="96" t="s">
        <v>338</v>
      </c>
      <c r="Q191" s="96" t="s">
        <v>1201</v>
      </c>
      <c r="R191" s="97">
        <v>2014.565875</v>
      </c>
      <c r="S191" s="97">
        <v>3.7589999999999999</v>
      </c>
      <c r="T191" s="97">
        <v>12354</v>
      </c>
      <c r="U191" s="96"/>
      <c r="V191" s="97">
        <v>935.53792099999998</v>
      </c>
      <c r="W191" s="98">
        <v>0</v>
      </c>
      <c r="X191" s="98">
        <v>2.3969000000000001E-2</v>
      </c>
      <c r="Y191" s="98">
        <v>1.5043000000000001E-2</v>
      </c>
      <c r="Z191" s="106"/>
    </row>
    <row r="192" spans="1:26" ht="15" customHeight="1">
      <c r="A192" s="106"/>
      <c r="B192" s="96">
        <v>286</v>
      </c>
      <c r="C192" s="96">
        <v>1446</v>
      </c>
      <c r="D192" s="96" t="s">
        <v>2884</v>
      </c>
      <c r="E192" s="96">
        <v>511235434</v>
      </c>
      <c r="F192" s="96" t="s">
        <v>308</v>
      </c>
      <c r="G192" s="96" t="s">
        <v>2885</v>
      </c>
      <c r="H192" s="96" t="s">
        <v>2886</v>
      </c>
      <c r="I192" s="96" t="s">
        <v>320</v>
      </c>
      <c r="J192" s="96" t="s">
        <v>918</v>
      </c>
      <c r="K192" s="96" t="s">
        <v>204</v>
      </c>
      <c r="L192" s="96" t="s">
        <v>203</v>
      </c>
      <c r="M192" s="96" t="s">
        <v>324</v>
      </c>
      <c r="N192" s="96" t="s">
        <v>345</v>
      </c>
      <c r="O192" s="96" t="s">
        <v>547</v>
      </c>
      <c r="P192" s="96" t="s">
        <v>338</v>
      </c>
      <c r="Q192" s="96" t="s">
        <v>1201</v>
      </c>
      <c r="R192" s="97">
        <v>261.75038899999998</v>
      </c>
      <c r="S192" s="97">
        <v>3.7589999999999999</v>
      </c>
      <c r="T192" s="97">
        <v>12524</v>
      </c>
      <c r="U192" s="96"/>
      <c r="V192" s="97">
        <v>123.22610400000001</v>
      </c>
      <c r="W192" s="98">
        <v>5.0000000000000004E-6</v>
      </c>
      <c r="X192" s="98">
        <v>3.156E-3</v>
      </c>
      <c r="Y192" s="98">
        <v>1.9810000000000001E-3</v>
      </c>
      <c r="Z192" s="106"/>
    </row>
    <row r="193" spans="1:26" ht="15" customHeight="1">
      <c r="A193" s="106"/>
      <c r="B193" s="96">
        <v>286</v>
      </c>
      <c r="C193" s="96">
        <v>1446</v>
      </c>
      <c r="D193" s="96" t="s">
        <v>2887</v>
      </c>
      <c r="E193" s="96" t="s">
        <v>2888</v>
      </c>
      <c r="F193" s="96" t="s">
        <v>312</v>
      </c>
      <c r="G193" s="96" t="s">
        <v>2889</v>
      </c>
      <c r="H193" s="96" t="s">
        <v>2890</v>
      </c>
      <c r="I193" s="96" t="s">
        <v>320</v>
      </c>
      <c r="J193" s="96" t="s">
        <v>918</v>
      </c>
      <c r="K193" s="96" t="s">
        <v>204</v>
      </c>
      <c r="L193" s="96" t="s">
        <v>223</v>
      </c>
      <c r="M193" s="96" t="s">
        <v>324</v>
      </c>
      <c r="N193" s="96" t="s">
        <v>343</v>
      </c>
      <c r="O193" s="96" t="s">
        <v>536</v>
      </c>
      <c r="P193" s="96" t="s">
        <v>338</v>
      </c>
      <c r="Q193" s="96" t="s">
        <v>1201</v>
      </c>
      <c r="R193" s="97">
        <v>472.68112600000001</v>
      </c>
      <c r="S193" s="97">
        <v>3.7589999999999999</v>
      </c>
      <c r="T193" s="97">
        <v>44116</v>
      </c>
      <c r="U193" s="96"/>
      <c r="V193" s="97">
        <v>783.85677299999998</v>
      </c>
      <c r="W193" s="98">
        <v>0</v>
      </c>
      <c r="X193" s="98">
        <v>2.0083E-2</v>
      </c>
      <c r="Y193" s="98">
        <v>1.2604000000000001E-2</v>
      </c>
      <c r="Z193" s="106"/>
    </row>
    <row r="194" spans="1:26" ht="15" customHeight="1">
      <c r="A194" s="106"/>
      <c r="B194" s="96">
        <v>286</v>
      </c>
      <c r="C194" s="96">
        <v>1446</v>
      </c>
      <c r="D194" s="96" t="s">
        <v>2891</v>
      </c>
      <c r="E194" s="96" t="s">
        <v>2892</v>
      </c>
      <c r="F194" s="96" t="s">
        <v>312</v>
      </c>
      <c r="G194" s="96" t="s">
        <v>2893</v>
      </c>
      <c r="H194" s="96" t="s">
        <v>2894</v>
      </c>
      <c r="I194" s="96" t="s">
        <v>320</v>
      </c>
      <c r="J194" s="96" t="s">
        <v>918</v>
      </c>
      <c r="K194" s="96" t="s">
        <v>204</v>
      </c>
      <c r="L194" s="96" t="s">
        <v>223</v>
      </c>
      <c r="M194" s="96" t="s">
        <v>324</v>
      </c>
      <c r="N194" s="96" t="s">
        <v>343</v>
      </c>
      <c r="O194" s="96" t="s">
        <v>499</v>
      </c>
      <c r="P194" s="96" t="s">
        <v>338</v>
      </c>
      <c r="Q194" s="96" t="s">
        <v>1201</v>
      </c>
      <c r="R194" s="97">
        <v>1004.868232</v>
      </c>
      <c r="S194" s="97">
        <v>3.7589999999999999</v>
      </c>
      <c r="T194" s="97">
        <v>4879</v>
      </c>
      <c r="U194" s="96"/>
      <c r="V194" s="97">
        <v>184.29445100000001</v>
      </c>
      <c r="W194" s="98">
        <v>1.9999999999999999E-6</v>
      </c>
      <c r="X194" s="98">
        <v>4.7210000000000004E-3</v>
      </c>
      <c r="Y194" s="98">
        <v>2.9629999999999999E-3</v>
      </c>
      <c r="Z194" s="106"/>
    </row>
    <row r="195" spans="1:26" ht="15" customHeight="1">
      <c r="A195" s="106"/>
      <c r="B195" s="96">
        <v>286</v>
      </c>
      <c r="C195" s="96">
        <v>1446</v>
      </c>
      <c r="D195" s="96" t="s">
        <v>2895</v>
      </c>
      <c r="E195" s="96" t="s">
        <v>2896</v>
      </c>
      <c r="F195" s="96" t="s">
        <v>312</v>
      </c>
      <c r="G195" s="96" t="s">
        <v>2897</v>
      </c>
      <c r="H195" s="96" t="s">
        <v>2898</v>
      </c>
      <c r="I195" s="96" t="s">
        <v>320</v>
      </c>
      <c r="J195" s="96" t="s">
        <v>918</v>
      </c>
      <c r="K195" s="96" t="s">
        <v>204</v>
      </c>
      <c r="L195" s="96" t="s">
        <v>223</v>
      </c>
      <c r="M195" s="96" t="s">
        <v>324</v>
      </c>
      <c r="N195" s="96" t="s">
        <v>345</v>
      </c>
      <c r="O195" s="96" t="s">
        <v>548</v>
      </c>
      <c r="P195" s="96" t="s">
        <v>338</v>
      </c>
      <c r="Q195" s="96" t="s">
        <v>1201</v>
      </c>
      <c r="R195" s="97">
        <v>0.52454500000000004</v>
      </c>
      <c r="S195" s="97">
        <v>3.7589999999999999</v>
      </c>
      <c r="T195" s="97">
        <v>457</v>
      </c>
      <c r="U195" s="96"/>
      <c r="V195" s="97">
        <v>9.0100000000000006E-3</v>
      </c>
      <c r="W195" s="98">
        <v>0</v>
      </c>
      <c r="X195" s="98">
        <v>0</v>
      </c>
      <c r="Y195" s="98">
        <v>0</v>
      </c>
      <c r="Z195" s="106"/>
    </row>
    <row r="196" spans="1:26" ht="15" customHeight="1">
      <c r="A196" s="106"/>
      <c r="B196" s="96">
        <v>286</v>
      </c>
      <c r="C196" s="96">
        <v>1446</v>
      </c>
      <c r="D196" s="96" t="s">
        <v>2899</v>
      </c>
      <c r="E196" s="96" t="s">
        <v>2900</v>
      </c>
      <c r="F196" s="96" t="s">
        <v>312</v>
      </c>
      <c r="G196" s="96" t="s">
        <v>2901</v>
      </c>
      <c r="H196" s="96" t="s">
        <v>2902</v>
      </c>
      <c r="I196" s="96" t="s">
        <v>320</v>
      </c>
      <c r="J196" s="96" t="s">
        <v>918</v>
      </c>
      <c r="K196" s="96" t="s">
        <v>204</v>
      </c>
      <c r="L196" s="96" t="s">
        <v>223</v>
      </c>
      <c r="M196" s="96" t="s">
        <v>324</v>
      </c>
      <c r="N196" s="96" t="s">
        <v>345</v>
      </c>
      <c r="O196" s="96" t="s">
        <v>547</v>
      </c>
      <c r="P196" s="96" t="s">
        <v>338</v>
      </c>
      <c r="Q196" s="96" t="s">
        <v>1201</v>
      </c>
      <c r="R196" s="97">
        <v>1420.6503769999999</v>
      </c>
      <c r="S196" s="97">
        <v>3.7589999999999999</v>
      </c>
      <c r="T196" s="97">
        <v>23599</v>
      </c>
      <c r="U196" s="96"/>
      <c r="V196" s="97">
        <v>1260.2396429999999</v>
      </c>
      <c r="W196" s="98">
        <v>9.9999999999999995E-7</v>
      </c>
      <c r="X196" s="98">
        <v>3.2287999999999997E-2</v>
      </c>
      <c r="Y196" s="98">
        <v>2.0264000000000001E-2</v>
      </c>
      <c r="Z196" s="106"/>
    </row>
    <row r="197" spans="1:26" ht="15" customHeight="1">
      <c r="A197" s="106"/>
      <c r="B197" s="96">
        <v>286</v>
      </c>
      <c r="C197" s="96">
        <v>1446</v>
      </c>
      <c r="D197" s="96" t="s">
        <v>2903</v>
      </c>
      <c r="E197" s="96" t="s">
        <v>2904</v>
      </c>
      <c r="F197" s="96" t="s">
        <v>312</v>
      </c>
      <c r="G197" s="96" t="s">
        <v>2905</v>
      </c>
      <c r="H197" s="96" t="s">
        <v>2906</v>
      </c>
      <c r="I197" s="96" t="s">
        <v>320</v>
      </c>
      <c r="J197" s="96" t="s">
        <v>918</v>
      </c>
      <c r="K197" s="96" t="s">
        <v>204</v>
      </c>
      <c r="L197" s="96" t="s">
        <v>223</v>
      </c>
      <c r="M197" s="96" t="s">
        <v>324</v>
      </c>
      <c r="N197" s="96" t="s">
        <v>343</v>
      </c>
      <c r="O197" s="96" t="s">
        <v>490</v>
      </c>
      <c r="P197" s="96" t="s">
        <v>338</v>
      </c>
      <c r="Q197" s="96" t="s">
        <v>1201</v>
      </c>
      <c r="R197" s="97">
        <v>292.550229</v>
      </c>
      <c r="S197" s="97">
        <v>3.7589999999999999</v>
      </c>
      <c r="T197" s="97">
        <v>4860</v>
      </c>
      <c r="U197" s="96"/>
      <c r="V197" s="97">
        <v>53.445239999999998</v>
      </c>
      <c r="W197" s="98">
        <v>0</v>
      </c>
      <c r="X197" s="98">
        <v>1.369E-3</v>
      </c>
      <c r="Y197" s="98">
        <v>8.5899999999999995E-4</v>
      </c>
      <c r="Z197" s="106"/>
    </row>
    <row r="198" spans="1:26" ht="15" customHeight="1">
      <c r="A198" s="106"/>
      <c r="B198" s="96">
        <v>286</v>
      </c>
      <c r="C198" s="96">
        <v>1446</v>
      </c>
      <c r="D198" s="96" t="s">
        <v>2431</v>
      </c>
      <c r="E198" s="96">
        <v>520041997</v>
      </c>
      <c r="F198" s="96" t="s">
        <v>308</v>
      </c>
      <c r="G198" s="96" t="s">
        <v>2907</v>
      </c>
      <c r="H198" s="96" t="s">
        <v>2433</v>
      </c>
      <c r="I198" s="96" t="s">
        <v>320</v>
      </c>
      <c r="J198" s="96" t="s">
        <v>918</v>
      </c>
      <c r="K198" s="96" t="s">
        <v>204</v>
      </c>
      <c r="L198" s="96" t="s">
        <v>203</v>
      </c>
      <c r="M198" s="96" t="s">
        <v>324</v>
      </c>
      <c r="N198" s="96" t="s">
        <v>345</v>
      </c>
      <c r="O198" s="96" t="s">
        <v>547</v>
      </c>
      <c r="P198" s="96" t="s">
        <v>338</v>
      </c>
      <c r="Q198" s="96" t="s">
        <v>1201</v>
      </c>
      <c r="R198" s="97">
        <v>566.063446</v>
      </c>
      <c r="S198" s="97">
        <v>3.7589999999999999</v>
      </c>
      <c r="T198" s="97">
        <v>3931</v>
      </c>
      <c r="U198" s="96"/>
      <c r="V198" s="97">
        <v>83.645094</v>
      </c>
      <c r="W198" s="98">
        <v>5.0000000000000004E-6</v>
      </c>
      <c r="X198" s="98">
        <v>2.1419999999999998E-3</v>
      </c>
      <c r="Y198" s="98">
        <v>1.3439999999999999E-3</v>
      </c>
      <c r="Z198" s="106"/>
    </row>
    <row r="199" spans="1:26" ht="15" customHeight="1">
      <c r="A199" s="106"/>
      <c r="B199" s="96">
        <v>286</v>
      </c>
      <c r="C199" s="96">
        <v>1446</v>
      </c>
      <c r="D199" s="96" t="s">
        <v>2908</v>
      </c>
      <c r="E199" s="96" t="s">
        <v>2909</v>
      </c>
      <c r="F199" s="96" t="s">
        <v>312</v>
      </c>
      <c r="G199" s="96" t="s">
        <v>2910</v>
      </c>
      <c r="H199" s="96" t="s">
        <v>2911</v>
      </c>
      <c r="I199" s="96" t="s">
        <v>320</v>
      </c>
      <c r="J199" s="96" t="s">
        <v>918</v>
      </c>
      <c r="K199" s="96" t="s">
        <v>204</v>
      </c>
      <c r="L199" s="96" t="s">
        <v>223</v>
      </c>
      <c r="M199" s="96" t="s">
        <v>324</v>
      </c>
      <c r="N199" s="96" t="s">
        <v>343</v>
      </c>
      <c r="O199" s="96" t="s">
        <v>529</v>
      </c>
      <c r="P199" s="96" t="s">
        <v>338</v>
      </c>
      <c r="Q199" s="96" t="s">
        <v>1201</v>
      </c>
      <c r="R199" s="97">
        <v>1437.157166</v>
      </c>
      <c r="S199" s="97">
        <v>3.7589999999999999</v>
      </c>
      <c r="T199" s="97">
        <v>10391</v>
      </c>
      <c r="U199" s="96"/>
      <c r="V199" s="97">
        <v>561.35026900000003</v>
      </c>
      <c r="W199" s="98">
        <v>0</v>
      </c>
      <c r="X199" s="98">
        <v>1.4382000000000001E-2</v>
      </c>
      <c r="Y199" s="98">
        <v>9.0259999999999993E-3</v>
      </c>
      <c r="Z199" s="106"/>
    </row>
    <row r="200" spans="1:26" ht="15" customHeight="1">
      <c r="A200" s="106"/>
      <c r="B200" s="96">
        <v>286</v>
      </c>
      <c r="C200" s="96">
        <v>1446</v>
      </c>
      <c r="D200" s="96" t="s">
        <v>1499</v>
      </c>
      <c r="E200" s="96">
        <v>520027830</v>
      </c>
      <c r="F200" s="96" t="s">
        <v>308</v>
      </c>
      <c r="G200" s="96" t="s">
        <v>2912</v>
      </c>
      <c r="H200" s="96" t="s">
        <v>2409</v>
      </c>
      <c r="I200" s="96" t="s">
        <v>320</v>
      </c>
      <c r="J200" s="96" t="s">
        <v>918</v>
      </c>
      <c r="K200" s="96" t="s">
        <v>204</v>
      </c>
      <c r="L200" s="96" t="s">
        <v>203</v>
      </c>
      <c r="M200" s="96" t="s">
        <v>324</v>
      </c>
      <c r="N200" s="96" t="s">
        <v>343</v>
      </c>
      <c r="O200" s="96" t="s">
        <v>487</v>
      </c>
      <c r="P200" s="96" t="s">
        <v>338</v>
      </c>
      <c r="Q200" s="96" t="s">
        <v>1201</v>
      </c>
      <c r="R200" s="97">
        <v>380.832605</v>
      </c>
      <c r="S200" s="97">
        <v>3.7589999999999999</v>
      </c>
      <c r="T200" s="97">
        <v>428</v>
      </c>
      <c r="U200" s="96"/>
      <c r="V200" s="97">
        <v>6.1270319999999998</v>
      </c>
      <c r="W200" s="98">
        <v>0</v>
      </c>
      <c r="X200" s="98">
        <v>1.56E-4</v>
      </c>
      <c r="Y200" s="98">
        <v>9.7999999999999997E-5</v>
      </c>
      <c r="Z200" s="106"/>
    </row>
    <row r="201" spans="1:26" ht="15" customHeight="1">
      <c r="A201" s="106"/>
      <c r="B201" s="96">
        <v>286</v>
      </c>
      <c r="C201" s="96">
        <v>1446</v>
      </c>
      <c r="D201" s="96" t="s">
        <v>2913</v>
      </c>
      <c r="E201" s="96" t="s">
        <v>2223</v>
      </c>
      <c r="F201" s="96" t="s">
        <v>312</v>
      </c>
      <c r="G201" s="96" t="s">
        <v>2914</v>
      </c>
      <c r="H201" s="96" t="s">
        <v>2915</v>
      </c>
      <c r="I201" s="96" t="s">
        <v>320</v>
      </c>
      <c r="J201" s="96" t="s">
        <v>918</v>
      </c>
      <c r="K201" s="96" t="s">
        <v>204</v>
      </c>
      <c r="L201" s="96" t="s">
        <v>280</v>
      </c>
      <c r="M201" s="96" t="s">
        <v>324</v>
      </c>
      <c r="N201" s="96" t="s">
        <v>313</v>
      </c>
      <c r="O201" s="96" t="s">
        <v>535</v>
      </c>
      <c r="P201" s="96" t="s">
        <v>338</v>
      </c>
      <c r="Q201" s="96" t="s">
        <v>1202</v>
      </c>
      <c r="R201" s="97">
        <v>1079.3957150000001</v>
      </c>
      <c r="S201" s="97">
        <v>4.0202</v>
      </c>
      <c r="T201" s="97">
        <v>5953</v>
      </c>
      <c r="U201" s="96"/>
      <c r="V201" s="97">
        <v>258.32368700000001</v>
      </c>
      <c r="W201" s="98">
        <v>0</v>
      </c>
      <c r="X201" s="98">
        <v>6.6169999999999996E-3</v>
      </c>
      <c r="Y201" s="98">
        <v>4.1529999999999996E-3</v>
      </c>
      <c r="Z201" s="106"/>
    </row>
    <row r="202" spans="1:26" ht="15" customHeight="1">
      <c r="A202" s="106"/>
      <c r="B202" s="96">
        <v>286</v>
      </c>
      <c r="C202" s="96">
        <v>1446</v>
      </c>
      <c r="D202" s="96" t="s">
        <v>2916</v>
      </c>
      <c r="E202" s="96" t="s">
        <v>2917</v>
      </c>
      <c r="F202" s="96" t="s">
        <v>312</v>
      </c>
      <c r="G202" s="96" t="s">
        <v>2918</v>
      </c>
      <c r="H202" s="96" t="s">
        <v>2919</v>
      </c>
      <c r="I202" s="96" t="s">
        <v>320</v>
      </c>
      <c r="J202" s="96" t="s">
        <v>918</v>
      </c>
      <c r="K202" s="96" t="s">
        <v>204</v>
      </c>
      <c r="L202" s="96" t="s">
        <v>223</v>
      </c>
      <c r="M202" s="96" t="s">
        <v>324</v>
      </c>
      <c r="N202" s="96" t="s">
        <v>343</v>
      </c>
      <c r="O202" s="96" t="s">
        <v>521</v>
      </c>
      <c r="P202" s="96" t="s">
        <v>338</v>
      </c>
      <c r="Q202" s="96" t="s">
        <v>1201</v>
      </c>
      <c r="R202" s="97">
        <v>2553.0981499999998</v>
      </c>
      <c r="S202" s="97">
        <v>3.7589999999999999</v>
      </c>
      <c r="T202" s="97">
        <v>6771</v>
      </c>
      <c r="U202" s="96"/>
      <c r="V202" s="97">
        <v>649.81936599999995</v>
      </c>
      <c r="W202" s="98">
        <v>0</v>
      </c>
      <c r="X202" s="98">
        <v>1.6649000000000001E-2</v>
      </c>
      <c r="Y202" s="98">
        <v>1.0449E-2</v>
      </c>
      <c r="Z202" s="106"/>
    </row>
    <row r="203" spans="1:26" ht="15" customHeight="1">
      <c r="A203" s="106"/>
      <c r="B203" s="96">
        <v>286</v>
      </c>
      <c r="C203" s="96">
        <v>1446</v>
      </c>
      <c r="D203" s="96" t="s">
        <v>1672</v>
      </c>
      <c r="E203" s="96">
        <v>1146</v>
      </c>
      <c r="F203" s="96" t="s">
        <v>80</v>
      </c>
      <c r="G203" s="96" t="s">
        <v>2920</v>
      </c>
      <c r="H203" s="96" t="s">
        <v>2684</v>
      </c>
      <c r="I203" s="96" t="s">
        <v>320</v>
      </c>
      <c r="J203" s="96" t="s">
        <v>918</v>
      </c>
      <c r="K203" s="96" t="s">
        <v>204</v>
      </c>
      <c r="L203" s="96" t="s">
        <v>203</v>
      </c>
      <c r="M203" s="96" t="s">
        <v>324</v>
      </c>
      <c r="N203" s="96" t="s">
        <v>345</v>
      </c>
      <c r="O203" s="96" t="s">
        <v>543</v>
      </c>
      <c r="P203" s="96" t="s">
        <v>338</v>
      </c>
      <c r="Q203" s="96" t="s">
        <v>1201</v>
      </c>
      <c r="R203" s="97">
        <v>157.90302399999999</v>
      </c>
      <c r="S203" s="97">
        <v>3.7589999999999999</v>
      </c>
      <c r="T203" s="97">
        <v>3393</v>
      </c>
      <c r="U203" s="96"/>
      <c r="V203" s="97">
        <v>20.139403999999999</v>
      </c>
      <c r="W203" s="98">
        <v>1.9999999999999999E-6</v>
      </c>
      <c r="X203" s="98">
        <v>5.1500000000000005E-4</v>
      </c>
      <c r="Y203" s="98">
        <v>3.2299999999999999E-4</v>
      </c>
      <c r="Z203" s="106"/>
    </row>
    <row r="204" spans="1:26" ht="15" customHeight="1">
      <c r="A204" s="106"/>
      <c r="B204" s="96">
        <v>286</v>
      </c>
      <c r="C204" s="96">
        <v>1446</v>
      </c>
      <c r="D204" s="96" t="s">
        <v>2549</v>
      </c>
      <c r="E204" s="96">
        <v>520013954</v>
      </c>
      <c r="F204" s="96" t="s">
        <v>308</v>
      </c>
      <c r="G204" s="96" t="s">
        <v>2921</v>
      </c>
      <c r="H204" s="96" t="s">
        <v>2922</v>
      </c>
      <c r="I204" s="96" t="s">
        <v>320</v>
      </c>
      <c r="J204" s="96" t="s">
        <v>918</v>
      </c>
      <c r="K204" s="96" t="s">
        <v>204</v>
      </c>
      <c r="L204" s="96" t="s">
        <v>203</v>
      </c>
      <c r="M204" s="96" t="s">
        <v>324</v>
      </c>
      <c r="N204" s="96" t="s">
        <v>343</v>
      </c>
      <c r="O204" s="96" t="s">
        <v>533</v>
      </c>
      <c r="P204" s="96" t="s">
        <v>338</v>
      </c>
      <c r="Q204" s="96" t="s">
        <v>1201</v>
      </c>
      <c r="R204" s="97">
        <v>14124.067822000001</v>
      </c>
      <c r="S204" s="97">
        <v>3.7589999999999999</v>
      </c>
      <c r="T204" s="97">
        <v>1625</v>
      </c>
      <c r="U204" s="96"/>
      <c r="V204" s="97">
        <v>862.75102700000002</v>
      </c>
      <c r="W204" s="98">
        <v>1.2E-5</v>
      </c>
      <c r="X204" s="98">
        <v>2.2103000000000001E-2</v>
      </c>
      <c r="Y204" s="98">
        <v>1.3872000000000001E-2</v>
      </c>
      <c r="Z204" s="106"/>
    </row>
    <row r="205" spans="1:26" ht="15" customHeight="1">
      <c r="A205" s="106"/>
      <c r="B205" s="96">
        <v>286</v>
      </c>
      <c r="C205" s="96">
        <v>1446</v>
      </c>
      <c r="D205" s="96" t="s">
        <v>1514</v>
      </c>
      <c r="E205" s="96">
        <v>520043027</v>
      </c>
      <c r="F205" s="96" t="s">
        <v>308</v>
      </c>
      <c r="G205" s="96" t="s">
        <v>2923</v>
      </c>
      <c r="H205" s="96" t="s">
        <v>2479</v>
      </c>
      <c r="I205" s="96" t="s">
        <v>320</v>
      </c>
      <c r="J205" s="96" t="s">
        <v>918</v>
      </c>
      <c r="K205" s="96" t="s">
        <v>204</v>
      </c>
      <c r="L205" s="96" t="s">
        <v>203</v>
      </c>
      <c r="M205" s="96" t="s">
        <v>324</v>
      </c>
      <c r="N205" s="96" t="s">
        <v>345</v>
      </c>
      <c r="O205" s="96" t="s">
        <v>492</v>
      </c>
      <c r="P205" s="96" t="s">
        <v>338</v>
      </c>
      <c r="Q205" s="96" t="s">
        <v>1201</v>
      </c>
      <c r="R205" s="97">
        <v>3.5919880000000002</v>
      </c>
      <c r="S205" s="97">
        <v>3.7589999999999999</v>
      </c>
      <c r="T205" s="97">
        <v>17663</v>
      </c>
      <c r="U205" s="96"/>
      <c r="V205" s="97">
        <v>2.3849079999999998</v>
      </c>
      <c r="W205" s="98">
        <v>0</v>
      </c>
      <c r="X205" s="98">
        <v>6.0999999999999999E-5</v>
      </c>
      <c r="Y205" s="98">
        <v>3.8000000000000002E-5</v>
      </c>
      <c r="Z205" s="106"/>
    </row>
    <row r="206" spans="1:26" ht="15" customHeight="1">
      <c r="A206" s="106"/>
      <c r="B206" s="96">
        <v>286</v>
      </c>
      <c r="C206" s="96">
        <v>1446</v>
      </c>
      <c r="D206" s="96" t="s">
        <v>2649</v>
      </c>
      <c r="E206" s="96">
        <v>511812463</v>
      </c>
      <c r="F206" s="96" t="s">
        <v>308</v>
      </c>
      <c r="G206" s="96" t="s">
        <v>2924</v>
      </c>
      <c r="H206" s="96" t="s">
        <v>2651</v>
      </c>
      <c r="I206" s="96" t="s">
        <v>320</v>
      </c>
      <c r="J206" s="96" t="s">
        <v>918</v>
      </c>
      <c r="K206" s="96" t="s">
        <v>204</v>
      </c>
      <c r="L206" s="96" t="s">
        <v>203</v>
      </c>
      <c r="M206" s="96" t="s">
        <v>324</v>
      </c>
      <c r="N206" s="96" t="s">
        <v>345</v>
      </c>
      <c r="O206" s="96" t="s">
        <v>547</v>
      </c>
      <c r="P206" s="96" t="s">
        <v>337</v>
      </c>
      <c r="Q206" s="96" t="s">
        <v>1201</v>
      </c>
      <c r="R206" s="97">
        <v>632.35508300000004</v>
      </c>
      <c r="S206" s="97">
        <v>3.7589999999999999</v>
      </c>
      <c r="T206" s="97">
        <v>23453</v>
      </c>
      <c r="U206" s="96"/>
      <c r="V206" s="97">
        <v>557.48314700000003</v>
      </c>
      <c r="W206" s="98">
        <v>2.0999999999999999E-5</v>
      </c>
      <c r="X206" s="98">
        <v>1.4283000000000001E-2</v>
      </c>
      <c r="Y206" s="98">
        <v>8.9639999999999997E-3</v>
      </c>
      <c r="Z206" s="106"/>
    </row>
    <row r="207" spans="1:26" ht="15" customHeight="1">
      <c r="A207" s="106"/>
      <c r="B207" s="96">
        <v>286</v>
      </c>
      <c r="C207" s="96">
        <v>1446</v>
      </c>
      <c r="D207" s="96" t="s">
        <v>2925</v>
      </c>
      <c r="E207" s="96" t="s">
        <v>2926</v>
      </c>
      <c r="F207" s="96" t="s">
        <v>312</v>
      </c>
      <c r="G207" s="96" t="s">
        <v>2927</v>
      </c>
      <c r="H207" s="96" t="s">
        <v>2928</v>
      </c>
      <c r="I207" s="96" t="s">
        <v>320</v>
      </c>
      <c r="J207" s="96" t="s">
        <v>918</v>
      </c>
      <c r="K207" s="96" t="s">
        <v>204</v>
      </c>
      <c r="L207" s="96" t="s">
        <v>223</v>
      </c>
      <c r="M207" s="96" t="s">
        <v>324</v>
      </c>
      <c r="N207" s="96" t="s">
        <v>345</v>
      </c>
      <c r="O207" s="96" t="s">
        <v>511</v>
      </c>
      <c r="P207" s="96" t="s">
        <v>338</v>
      </c>
      <c r="Q207" s="96" t="s">
        <v>1201</v>
      </c>
      <c r="R207" s="97">
        <v>148.227474</v>
      </c>
      <c r="S207" s="97">
        <v>3.7589999999999999</v>
      </c>
      <c r="T207" s="97">
        <v>19788</v>
      </c>
      <c r="U207" s="96"/>
      <c r="V207" s="97">
        <v>110.25617800000001</v>
      </c>
      <c r="W207" s="98">
        <v>0</v>
      </c>
      <c r="X207" s="98">
        <v>2.8240000000000001E-3</v>
      </c>
      <c r="Y207" s="98">
        <v>1.7719999999999999E-3</v>
      </c>
      <c r="Z207" s="106"/>
    </row>
    <row r="208" spans="1:26" ht="15" customHeight="1">
      <c r="A208" s="106"/>
      <c r="B208" s="96">
        <v>286</v>
      </c>
      <c r="C208" s="96">
        <v>1446</v>
      </c>
      <c r="D208" s="96" t="s">
        <v>2929</v>
      </c>
      <c r="E208" s="96"/>
      <c r="F208" s="96" t="s">
        <v>312</v>
      </c>
      <c r="G208" s="96" t="s">
        <v>2930</v>
      </c>
      <c r="H208" s="96" t="s">
        <v>2931</v>
      </c>
      <c r="I208" s="96" t="s">
        <v>320</v>
      </c>
      <c r="J208" s="96" t="s">
        <v>918</v>
      </c>
      <c r="K208" s="96" t="s">
        <v>204</v>
      </c>
      <c r="L208" s="96" t="s">
        <v>223</v>
      </c>
      <c r="M208" s="96" t="s">
        <v>324</v>
      </c>
      <c r="N208" s="96" t="s">
        <v>345</v>
      </c>
      <c r="O208" s="96" t="s">
        <v>509</v>
      </c>
      <c r="P208" s="96" t="s">
        <v>338</v>
      </c>
      <c r="Q208" s="96" t="s">
        <v>1201</v>
      </c>
      <c r="R208" s="97">
        <v>188.56227000000001</v>
      </c>
      <c r="S208" s="97">
        <v>3.7589999999999999</v>
      </c>
      <c r="T208" s="97">
        <v>2808.5</v>
      </c>
      <c r="U208" s="96"/>
      <c r="V208" s="97">
        <v>19.906804000000001</v>
      </c>
      <c r="W208" s="98">
        <v>9.9999999999999995E-7</v>
      </c>
      <c r="X208" s="98">
        <v>5.1000000000000004E-4</v>
      </c>
      <c r="Y208" s="98">
        <v>3.2000000000000003E-4</v>
      </c>
      <c r="Z208" s="106"/>
    </row>
    <row r="209" spans="1:26" ht="15" customHeight="1">
      <c r="A209" s="106"/>
      <c r="B209" s="96">
        <v>286</v>
      </c>
      <c r="C209" s="96">
        <v>1446</v>
      </c>
      <c r="D209" s="96" t="s">
        <v>2932</v>
      </c>
      <c r="E209" s="96">
        <v>513537621</v>
      </c>
      <c r="F209" s="96" t="s">
        <v>308</v>
      </c>
      <c r="G209" s="96" t="s">
        <v>2933</v>
      </c>
      <c r="H209" s="96" t="s">
        <v>2934</v>
      </c>
      <c r="I209" s="96" t="s">
        <v>320</v>
      </c>
      <c r="J209" s="96" t="s">
        <v>918</v>
      </c>
      <c r="K209" s="96" t="s">
        <v>204</v>
      </c>
      <c r="L209" s="96" t="s">
        <v>203</v>
      </c>
      <c r="M209" s="96" t="s">
        <v>324</v>
      </c>
      <c r="N209" s="96" t="s">
        <v>345</v>
      </c>
      <c r="O209" s="96" t="s">
        <v>532</v>
      </c>
      <c r="P209" s="96" t="s">
        <v>337</v>
      </c>
      <c r="Q209" s="96" t="s">
        <v>1201</v>
      </c>
      <c r="R209" s="97">
        <v>1127.960401</v>
      </c>
      <c r="S209" s="97">
        <v>3.7589999999999999</v>
      </c>
      <c r="T209" s="97">
        <v>1678</v>
      </c>
      <c r="U209" s="96"/>
      <c r="V209" s="97">
        <v>71.147251999999995</v>
      </c>
      <c r="W209" s="98">
        <v>2.6999999999999999E-5</v>
      </c>
      <c r="X209" s="98">
        <v>1.8220000000000001E-3</v>
      </c>
      <c r="Y209" s="98">
        <v>1.1440000000000001E-3</v>
      </c>
      <c r="Z209" s="106"/>
    </row>
    <row r="210" spans="1:26" ht="15" customHeight="1">
      <c r="A210" s="106"/>
      <c r="B210" s="96">
        <v>286</v>
      </c>
      <c r="C210" s="96">
        <v>1446</v>
      </c>
      <c r="D210" s="96" t="s">
        <v>2935</v>
      </c>
      <c r="E210" s="96" t="s">
        <v>2936</v>
      </c>
      <c r="F210" s="96" t="s">
        <v>312</v>
      </c>
      <c r="G210" s="96" t="s">
        <v>2937</v>
      </c>
      <c r="H210" s="96" t="s">
        <v>2938</v>
      </c>
      <c r="I210" s="96" t="s">
        <v>320</v>
      </c>
      <c r="J210" s="96" t="s">
        <v>918</v>
      </c>
      <c r="K210" s="96" t="s">
        <v>204</v>
      </c>
      <c r="L210" s="96" t="s">
        <v>223</v>
      </c>
      <c r="M210" s="96" t="s">
        <v>324</v>
      </c>
      <c r="N210" s="96" t="s">
        <v>343</v>
      </c>
      <c r="O210" s="96" t="s">
        <v>514</v>
      </c>
      <c r="P210" s="96" t="s">
        <v>338</v>
      </c>
      <c r="Q210" s="96" t="s">
        <v>1201</v>
      </c>
      <c r="R210" s="97">
        <v>513.26876500000003</v>
      </c>
      <c r="S210" s="97">
        <v>3.7589999999999999</v>
      </c>
      <c r="T210" s="97">
        <v>7537</v>
      </c>
      <c r="U210" s="96"/>
      <c r="V210" s="97">
        <v>145.41716600000001</v>
      </c>
      <c r="W210" s="98">
        <v>0</v>
      </c>
      <c r="X210" s="98">
        <v>3.725E-3</v>
      </c>
      <c r="Y210" s="98">
        <v>2.3379999999999998E-3</v>
      </c>
      <c r="Z210" s="106"/>
    </row>
    <row r="211" spans="1:26" ht="15" customHeight="1">
      <c r="A211" s="106"/>
      <c r="B211" s="96">
        <v>286</v>
      </c>
      <c r="C211" s="96">
        <v>1446</v>
      </c>
      <c r="D211" s="96" t="s">
        <v>2939</v>
      </c>
      <c r="E211" s="96" t="s">
        <v>2940</v>
      </c>
      <c r="F211" s="96" t="s">
        <v>312</v>
      </c>
      <c r="G211" s="96" t="s">
        <v>2941</v>
      </c>
      <c r="H211" s="96" t="s">
        <v>2942</v>
      </c>
      <c r="I211" s="96" t="s">
        <v>320</v>
      </c>
      <c r="J211" s="96" t="s">
        <v>918</v>
      </c>
      <c r="K211" s="96" t="s">
        <v>204</v>
      </c>
      <c r="L211" s="96" t="s">
        <v>223</v>
      </c>
      <c r="M211" s="96" t="s">
        <v>324</v>
      </c>
      <c r="N211" s="96" t="s">
        <v>343</v>
      </c>
      <c r="O211" s="96" t="s">
        <v>539</v>
      </c>
      <c r="P211" s="96" t="s">
        <v>338</v>
      </c>
      <c r="Q211" s="96" t="s">
        <v>1201</v>
      </c>
      <c r="R211" s="97">
        <v>176.88764699999999</v>
      </c>
      <c r="S211" s="97">
        <v>3.7589999999999999</v>
      </c>
      <c r="T211" s="97">
        <v>44600</v>
      </c>
      <c r="U211" s="96"/>
      <c r="V211" s="97">
        <v>296.55461700000001</v>
      </c>
      <c r="W211" s="98">
        <v>0</v>
      </c>
      <c r="X211" s="98">
        <v>7.5979999999999997E-3</v>
      </c>
      <c r="Y211" s="98">
        <v>4.7679999999999997E-3</v>
      </c>
      <c r="Z211" s="106"/>
    </row>
    <row r="212" spans="1:26" ht="15" customHeight="1">
      <c r="A212" s="106"/>
      <c r="B212" s="96">
        <v>286</v>
      </c>
      <c r="C212" s="96">
        <v>1446</v>
      </c>
      <c r="D212" s="96" t="s">
        <v>2943</v>
      </c>
      <c r="E212" s="96" t="s">
        <v>2944</v>
      </c>
      <c r="F212" s="96" t="s">
        <v>312</v>
      </c>
      <c r="G212" s="96" t="s">
        <v>2945</v>
      </c>
      <c r="H212" s="96" t="s">
        <v>2946</v>
      </c>
      <c r="I212" s="96" t="s">
        <v>320</v>
      </c>
      <c r="J212" s="96" t="s">
        <v>918</v>
      </c>
      <c r="K212" s="96" t="s">
        <v>204</v>
      </c>
      <c r="L212" s="96" t="s">
        <v>232</v>
      </c>
      <c r="M212" s="96" t="s">
        <v>324</v>
      </c>
      <c r="N212" s="96" t="s">
        <v>369</v>
      </c>
      <c r="O212" s="96" t="s">
        <v>490</v>
      </c>
      <c r="P212" s="96" t="s">
        <v>338</v>
      </c>
      <c r="Q212" s="96" t="s">
        <v>1205</v>
      </c>
      <c r="R212" s="97">
        <v>11567.574317000001</v>
      </c>
      <c r="S212" s="97">
        <v>4.7504999999999997</v>
      </c>
      <c r="T212" s="97">
        <v>451.1</v>
      </c>
      <c r="U212" s="96"/>
      <c r="V212" s="97">
        <v>247.88739699999999</v>
      </c>
      <c r="W212" s="98">
        <v>0</v>
      </c>
      <c r="X212" s="98">
        <v>6.3509999999999999E-3</v>
      </c>
      <c r="Y212" s="98">
        <v>3.986E-3</v>
      </c>
      <c r="Z212" s="106"/>
    </row>
    <row r="213" spans="1:26" ht="15" customHeight="1">
      <c r="A213" s="106"/>
      <c r="B213" s="96">
        <v>286</v>
      </c>
      <c r="C213" s="96">
        <v>1446</v>
      </c>
      <c r="D213" s="96" t="s">
        <v>2070</v>
      </c>
      <c r="E213" s="96" t="s">
        <v>2071</v>
      </c>
      <c r="F213" s="96" t="s">
        <v>312</v>
      </c>
      <c r="G213" s="96" t="s">
        <v>2947</v>
      </c>
      <c r="H213" s="96" t="s">
        <v>2948</v>
      </c>
      <c r="I213" s="96" t="s">
        <v>320</v>
      </c>
      <c r="J213" s="96" t="s">
        <v>918</v>
      </c>
      <c r="K213" s="96" t="s">
        <v>204</v>
      </c>
      <c r="L213" s="96" t="s">
        <v>223</v>
      </c>
      <c r="M213" s="96" t="s">
        <v>324</v>
      </c>
      <c r="N213" s="96" t="s">
        <v>343</v>
      </c>
      <c r="O213" s="96" t="s">
        <v>535</v>
      </c>
      <c r="P213" s="96" t="s">
        <v>338</v>
      </c>
      <c r="Q213" s="96" t="s">
        <v>1201</v>
      </c>
      <c r="R213" s="97">
        <v>777.99997499999995</v>
      </c>
      <c r="S213" s="97">
        <v>3.7589999999999999</v>
      </c>
      <c r="T213" s="97">
        <v>20226</v>
      </c>
      <c r="U213" s="96"/>
      <c r="V213" s="97">
        <v>591.50975500000004</v>
      </c>
      <c r="W213" s="98">
        <v>0</v>
      </c>
      <c r="X213" s="98">
        <v>1.5155E-2</v>
      </c>
      <c r="Y213" s="98">
        <v>9.5110000000000004E-3</v>
      </c>
      <c r="Z213" s="106"/>
    </row>
    <row r="214" spans="1:26" ht="15" customHeight="1">
      <c r="A214" s="106"/>
      <c r="B214" s="96">
        <v>286</v>
      </c>
      <c r="C214" s="96">
        <v>1446</v>
      </c>
      <c r="D214" s="96" t="s">
        <v>2949</v>
      </c>
      <c r="E214" s="96" t="s">
        <v>2950</v>
      </c>
      <c r="F214" s="96" t="s">
        <v>312</v>
      </c>
      <c r="G214" s="96" t="s">
        <v>2951</v>
      </c>
      <c r="H214" s="96" t="s">
        <v>2952</v>
      </c>
      <c r="I214" s="96" t="s">
        <v>320</v>
      </c>
      <c r="J214" s="96" t="s">
        <v>918</v>
      </c>
      <c r="K214" s="96" t="s">
        <v>204</v>
      </c>
      <c r="L214" s="96" t="s">
        <v>237</v>
      </c>
      <c r="M214" s="96" t="s">
        <v>324</v>
      </c>
      <c r="N214" s="96" t="s">
        <v>369</v>
      </c>
      <c r="O214" s="96" t="s">
        <v>562</v>
      </c>
      <c r="P214" s="96" t="s">
        <v>338</v>
      </c>
      <c r="Q214" s="96" t="s">
        <v>1202</v>
      </c>
      <c r="R214" s="97">
        <v>564.21210699999995</v>
      </c>
      <c r="S214" s="97">
        <v>4.0202</v>
      </c>
      <c r="T214" s="97">
        <v>244</v>
      </c>
      <c r="U214" s="96"/>
      <c r="V214" s="97">
        <v>5.5345190000000004</v>
      </c>
      <c r="W214" s="98">
        <v>1.9999999999999999E-6</v>
      </c>
      <c r="X214" s="98">
        <v>1.4100000000000001E-4</v>
      </c>
      <c r="Y214" s="98">
        <v>8.7999999999999998E-5</v>
      </c>
      <c r="Z214" s="106"/>
    </row>
    <row r="215" spans="1:26" ht="15" customHeight="1">
      <c r="A215" s="106"/>
      <c r="B215" s="96">
        <v>286</v>
      </c>
      <c r="C215" s="96">
        <v>1446</v>
      </c>
      <c r="D215" s="96" t="s">
        <v>2953</v>
      </c>
      <c r="E215" s="96" t="s">
        <v>2954</v>
      </c>
      <c r="F215" s="96" t="s">
        <v>312</v>
      </c>
      <c r="G215" s="96" t="s">
        <v>2955</v>
      </c>
      <c r="H215" s="96" t="s">
        <v>2956</v>
      </c>
      <c r="I215" s="96" t="s">
        <v>320</v>
      </c>
      <c r="J215" s="96" t="s">
        <v>918</v>
      </c>
      <c r="K215" s="96" t="s">
        <v>204</v>
      </c>
      <c r="L215" s="96" t="s">
        <v>223</v>
      </c>
      <c r="M215" s="96" t="s">
        <v>324</v>
      </c>
      <c r="N215" s="96" t="s">
        <v>313</v>
      </c>
      <c r="O215" s="96" t="s">
        <v>533</v>
      </c>
      <c r="P215" s="96" t="s">
        <v>338</v>
      </c>
      <c r="Q215" s="96" t="s">
        <v>1201</v>
      </c>
      <c r="R215" s="97">
        <v>25.642019000000001</v>
      </c>
      <c r="S215" s="97">
        <v>3.7589999999999999</v>
      </c>
      <c r="T215" s="97">
        <v>69</v>
      </c>
      <c r="U215" s="96"/>
      <c r="V215" s="97">
        <v>6.6506999999999997E-2</v>
      </c>
      <c r="W215" s="98">
        <v>7.9999999999999996E-6</v>
      </c>
      <c r="X215" s="98">
        <v>9.9999999999999995E-7</v>
      </c>
      <c r="Y215" s="98">
        <v>9.9999999999999995E-7</v>
      </c>
      <c r="Z215" s="106"/>
    </row>
    <row r="216" spans="1:26" ht="15" customHeight="1">
      <c r="A216" s="106"/>
      <c r="B216" s="96">
        <v>286</v>
      </c>
      <c r="C216" s="96">
        <v>1446</v>
      </c>
      <c r="D216" s="96" t="s">
        <v>2957</v>
      </c>
      <c r="E216" s="96" t="s">
        <v>2958</v>
      </c>
      <c r="F216" s="96" t="s">
        <v>312</v>
      </c>
      <c r="G216" s="96" t="s">
        <v>2959</v>
      </c>
      <c r="H216" s="96" t="s">
        <v>2960</v>
      </c>
      <c r="I216" s="96" t="s">
        <v>320</v>
      </c>
      <c r="J216" s="96" t="s">
        <v>918</v>
      </c>
      <c r="K216" s="96" t="s">
        <v>204</v>
      </c>
      <c r="L216" s="96" t="s">
        <v>223</v>
      </c>
      <c r="M216" s="96" t="s">
        <v>324</v>
      </c>
      <c r="N216" s="96" t="s">
        <v>343</v>
      </c>
      <c r="O216" s="96" t="s">
        <v>490</v>
      </c>
      <c r="P216" s="96" t="s">
        <v>338</v>
      </c>
      <c r="Q216" s="96" t="s">
        <v>1201</v>
      </c>
      <c r="R216" s="97">
        <v>873.74071500000002</v>
      </c>
      <c r="S216" s="97">
        <v>3.7589999999999999</v>
      </c>
      <c r="T216" s="97">
        <v>4790</v>
      </c>
      <c r="U216" s="96"/>
      <c r="V216" s="97">
        <v>157.32234500000001</v>
      </c>
      <c r="W216" s="98">
        <v>9.9999999999999995E-7</v>
      </c>
      <c r="X216" s="98">
        <v>4.0299999999999997E-3</v>
      </c>
      <c r="Y216" s="98">
        <v>2.529E-3</v>
      </c>
      <c r="Z216" s="106"/>
    </row>
    <row r="217" spans="1:26" ht="15" customHeight="1">
      <c r="A217" s="106"/>
      <c r="B217" s="96">
        <v>286</v>
      </c>
      <c r="C217" s="96">
        <v>1446</v>
      </c>
      <c r="D217" s="96" t="s">
        <v>2961</v>
      </c>
      <c r="E217" s="96" t="s">
        <v>2962</v>
      </c>
      <c r="F217" s="96" t="s">
        <v>312</v>
      </c>
      <c r="G217" s="96" t="s">
        <v>2963</v>
      </c>
      <c r="H217" s="96" t="s">
        <v>2964</v>
      </c>
      <c r="I217" s="96" t="s">
        <v>320</v>
      </c>
      <c r="J217" s="96" t="s">
        <v>918</v>
      </c>
      <c r="K217" s="96" t="s">
        <v>204</v>
      </c>
      <c r="L217" s="96" t="s">
        <v>223</v>
      </c>
      <c r="M217" s="96" t="s">
        <v>324</v>
      </c>
      <c r="N217" s="96" t="s">
        <v>345</v>
      </c>
      <c r="O217" s="96" t="s">
        <v>552</v>
      </c>
      <c r="P217" s="96" t="s">
        <v>338</v>
      </c>
      <c r="Q217" s="96" t="s">
        <v>1201</v>
      </c>
      <c r="R217" s="97">
        <v>568.74866099999997</v>
      </c>
      <c r="S217" s="97">
        <v>3.7589999999999999</v>
      </c>
      <c r="T217" s="97">
        <v>50422</v>
      </c>
      <c r="U217" s="96"/>
      <c r="V217" s="97">
        <v>1077.9851570000001</v>
      </c>
      <c r="W217" s="98">
        <v>0</v>
      </c>
      <c r="X217" s="98">
        <v>2.7619000000000001E-2</v>
      </c>
      <c r="Y217" s="98">
        <v>1.7333999999999999E-2</v>
      </c>
      <c r="Z217" s="106"/>
    </row>
    <row r="218" spans="1:26" ht="15" customHeight="1">
      <c r="A218" s="106"/>
      <c r="B218" s="96">
        <v>286</v>
      </c>
      <c r="C218" s="96">
        <v>1446</v>
      </c>
      <c r="D218" s="96" t="s">
        <v>2965</v>
      </c>
      <c r="E218" s="96" t="s">
        <v>2966</v>
      </c>
      <c r="F218" s="96" t="s">
        <v>312</v>
      </c>
      <c r="G218" s="96" t="s">
        <v>2967</v>
      </c>
      <c r="H218" s="96" t="s">
        <v>2968</v>
      </c>
      <c r="I218" s="96" t="s">
        <v>320</v>
      </c>
      <c r="J218" s="96" t="s">
        <v>918</v>
      </c>
      <c r="K218" s="96" t="s">
        <v>204</v>
      </c>
      <c r="L218" s="96" t="s">
        <v>223</v>
      </c>
      <c r="M218" s="96" t="s">
        <v>324</v>
      </c>
      <c r="N218" s="96" t="s">
        <v>343</v>
      </c>
      <c r="O218" s="96" t="s">
        <v>560</v>
      </c>
      <c r="P218" s="96" t="s">
        <v>338</v>
      </c>
      <c r="Q218" s="96" t="s">
        <v>1201</v>
      </c>
      <c r="R218" s="97">
        <v>593.199387</v>
      </c>
      <c r="S218" s="97">
        <v>3.7589999999999999</v>
      </c>
      <c r="T218" s="97">
        <v>11231</v>
      </c>
      <c r="U218" s="96"/>
      <c r="V218" s="97">
        <v>250.43293700000001</v>
      </c>
      <c r="W218" s="98">
        <v>0</v>
      </c>
      <c r="X218" s="98">
        <v>6.4159999999999998E-3</v>
      </c>
      <c r="Y218" s="98">
        <v>4.0270000000000002E-3</v>
      </c>
      <c r="Z218" s="106"/>
    </row>
    <row r="219" spans="1:26" ht="15" customHeight="1">
      <c r="A219" s="106"/>
      <c r="B219" s="96">
        <v>286</v>
      </c>
      <c r="C219" s="96">
        <v>1446</v>
      </c>
      <c r="D219" s="96" t="s">
        <v>2969</v>
      </c>
      <c r="E219" s="96">
        <v>520015041</v>
      </c>
      <c r="F219" s="96" t="s">
        <v>308</v>
      </c>
      <c r="G219" s="96" t="s">
        <v>2970</v>
      </c>
      <c r="H219" s="96" t="s">
        <v>2971</v>
      </c>
      <c r="I219" s="96" t="s">
        <v>320</v>
      </c>
      <c r="J219" s="96" t="s">
        <v>918</v>
      </c>
      <c r="K219" s="96" t="s">
        <v>204</v>
      </c>
      <c r="L219" s="96" t="s">
        <v>203</v>
      </c>
      <c r="M219" s="96" t="s">
        <v>324</v>
      </c>
      <c r="N219" s="96" t="s">
        <v>343</v>
      </c>
      <c r="O219" s="96" t="s">
        <v>504</v>
      </c>
      <c r="P219" s="96" t="s">
        <v>338</v>
      </c>
      <c r="Q219" s="96" t="s">
        <v>1201</v>
      </c>
      <c r="R219" s="97">
        <v>685.92782899999997</v>
      </c>
      <c r="S219" s="97">
        <v>3.7589999999999999</v>
      </c>
      <c r="T219" s="97">
        <v>2217</v>
      </c>
      <c r="U219" s="96"/>
      <c r="V219" s="97">
        <v>57.163187999999998</v>
      </c>
      <c r="W219" s="98">
        <v>5.0000000000000004E-6</v>
      </c>
      <c r="X219" s="98">
        <v>1.464E-3</v>
      </c>
      <c r="Y219" s="98">
        <v>9.19E-4</v>
      </c>
      <c r="Z219" s="106"/>
    </row>
    <row r="220" spans="1:26" ht="15" customHeight="1">
      <c r="A220" s="106"/>
      <c r="B220" s="96">
        <v>286</v>
      </c>
      <c r="C220" s="96">
        <v>1446</v>
      </c>
      <c r="D220" s="96" t="s">
        <v>2972</v>
      </c>
      <c r="E220" s="96" t="s">
        <v>2973</v>
      </c>
      <c r="F220" s="96" t="s">
        <v>312</v>
      </c>
      <c r="G220" s="96" t="s">
        <v>2974</v>
      </c>
      <c r="H220" s="96" t="s">
        <v>2975</v>
      </c>
      <c r="I220" s="96" t="s">
        <v>320</v>
      </c>
      <c r="J220" s="96" t="s">
        <v>918</v>
      </c>
      <c r="K220" s="96" t="s">
        <v>204</v>
      </c>
      <c r="L220" s="96" t="s">
        <v>223</v>
      </c>
      <c r="M220" s="96" t="s">
        <v>324</v>
      </c>
      <c r="N220" s="96" t="s">
        <v>345</v>
      </c>
      <c r="O220" s="96" t="s">
        <v>543</v>
      </c>
      <c r="P220" s="96" t="s">
        <v>338</v>
      </c>
      <c r="Q220" s="96" t="s">
        <v>1201</v>
      </c>
      <c r="R220" s="97">
        <v>211.88563300000001</v>
      </c>
      <c r="S220" s="97">
        <v>3.7589999999999999</v>
      </c>
      <c r="T220" s="97">
        <v>55554</v>
      </c>
      <c r="U220" s="96"/>
      <c r="V220" s="97">
        <v>442.47544099999999</v>
      </c>
      <c r="W220" s="98">
        <v>0</v>
      </c>
      <c r="X220" s="98">
        <v>1.1336000000000001E-2</v>
      </c>
      <c r="Y220" s="98">
        <v>7.1149999999999998E-3</v>
      </c>
      <c r="Z220" s="106"/>
    </row>
    <row r="221" spans="1:26" ht="15" customHeight="1">
      <c r="A221" s="106"/>
      <c r="B221" s="96">
        <v>286</v>
      </c>
      <c r="C221" s="96">
        <v>1446</v>
      </c>
      <c r="D221" s="96" t="s">
        <v>2976</v>
      </c>
      <c r="E221" s="96" t="s">
        <v>2977</v>
      </c>
      <c r="F221" s="96" t="s">
        <v>312</v>
      </c>
      <c r="G221" s="96" t="s">
        <v>2978</v>
      </c>
      <c r="H221" s="96" t="s">
        <v>2979</v>
      </c>
      <c r="I221" s="96" t="s">
        <v>320</v>
      </c>
      <c r="J221" s="96" t="s">
        <v>918</v>
      </c>
      <c r="K221" s="96" t="s">
        <v>204</v>
      </c>
      <c r="L221" s="96" t="s">
        <v>223</v>
      </c>
      <c r="M221" s="96" t="s">
        <v>324</v>
      </c>
      <c r="N221" s="96" t="s">
        <v>343</v>
      </c>
      <c r="O221" s="96" t="s">
        <v>536</v>
      </c>
      <c r="P221" s="96" t="s">
        <v>338</v>
      </c>
      <c r="Q221" s="96" t="s">
        <v>1201</v>
      </c>
      <c r="R221" s="97">
        <v>263.13821899999999</v>
      </c>
      <c r="S221" s="97">
        <v>3.7589999999999999</v>
      </c>
      <c r="T221" s="97">
        <v>40680</v>
      </c>
      <c r="U221" s="96"/>
      <c r="V221" s="97">
        <v>402.38075500000002</v>
      </c>
      <c r="W221" s="98">
        <v>0</v>
      </c>
      <c r="X221" s="98">
        <v>1.0309E-2</v>
      </c>
      <c r="Y221" s="98">
        <v>6.4700000000000001E-3</v>
      </c>
      <c r="Z221" s="106"/>
    </row>
    <row r="222" spans="1:26" ht="15" customHeight="1">
      <c r="A222" s="106"/>
      <c r="B222" s="96">
        <v>286</v>
      </c>
      <c r="C222" s="96">
        <v>1446</v>
      </c>
      <c r="D222" s="96" t="s">
        <v>2980</v>
      </c>
      <c r="E222" s="96" t="s">
        <v>2981</v>
      </c>
      <c r="F222" s="96" t="s">
        <v>312</v>
      </c>
      <c r="G222" s="96" t="s">
        <v>2982</v>
      </c>
      <c r="H222" s="96" t="s">
        <v>2983</v>
      </c>
      <c r="I222" s="96" t="s">
        <v>320</v>
      </c>
      <c r="J222" s="96" t="s">
        <v>918</v>
      </c>
      <c r="K222" s="96" t="s">
        <v>204</v>
      </c>
      <c r="L222" s="96" t="s">
        <v>223</v>
      </c>
      <c r="M222" s="96" t="s">
        <v>324</v>
      </c>
      <c r="N222" s="96" t="s">
        <v>343</v>
      </c>
      <c r="O222" s="96" t="s">
        <v>520</v>
      </c>
      <c r="P222" s="96" t="s">
        <v>338</v>
      </c>
      <c r="Q222" s="96" t="s">
        <v>1201</v>
      </c>
      <c r="R222" s="97">
        <v>245.15928</v>
      </c>
      <c r="S222" s="97">
        <v>3.7589999999999999</v>
      </c>
      <c r="T222" s="97">
        <v>34424</v>
      </c>
      <c r="U222" s="96"/>
      <c r="V222" s="97">
        <v>317.235657</v>
      </c>
      <c r="W222" s="98">
        <v>0</v>
      </c>
      <c r="X222" s="98">
        <v>8.1270000000000005E-3</v>
      </c>
      <c r="Y222" s="98">
        <v>5.1009999999999996E-3</v>
      </c>
      <c r="Z222" s="106"/>
    </row>
    <row r="223" spans="1:26" ht="15" customHeight="1">
      <c r="A223" s="106"/>
      <c r="B223" s="96">
        <v>286</v>
      </c>
      <c r="C223" s="96">
        <v>1446</v>
      </c>
      <c r="D223" s="96" t="s">
        <v>2984</v>
      </c>
      <c r="E223" s="96" t="s">
        <v>2985</v>
      </c>
      <c r="F223" s="96" t="s">
        <v>312</v>
      </c>
      <c r="G223" s="96" t="s">
        <v>2986</v>
      </c>
      <c r="H223" s="96" t="s">
        <v>2987</v>
      </c>
      <c r="I223" s="96" t="s">
        <v>320</v>
      </c>
      <c r="J223" s="96" t="s">
        <v>918</v>
      </c>
      <c r="K223" s="96" t="s">
        <v>204</v>
      </c>
      <c r="L223" s="96" t="s">
        <v>223</v>
      </c>
      <c r="M223" s="96" t="s">
        <v>324</v>
      </c>
      <c r="N223" s="96" t="s">
        <v>343</v>
      </c>
      <c r="O223" s="96" t="s">
        <v>567</v>
      </c>
      <c r="P223" s="96" t="s">
        <v>338</v>
      </c>
      <c r="Q223" s="96" t="s">
        <v>1201</v>
      </c>
      <c r="R223" s="97">
        <v>632.78825500000005</v>
      </c>
      <c r="S223" s="97">
        <v>3.7589999999999999</v>
      </c>
      <c r="T223" s="97">
        <v>8911</v>
      </c>
      <c r="U223" s="96"/>
      <c r="V223" s="97">
        <v>211.96159499999999</v>
      </c>
      <c r="W223" s="98">
        <v>1.9999999999999999E-6</v>
      </c>
      <c r="X223" s="98">
        <v>5.4299999999999999E-3</v>
      </c>
      <c r="Y223" s="98">
        <v>3.408E-3</v>
      </c>
      <c r="Z223" s="106"/>
    </row>
    <row r="224" spans="1:26" ht="15" customHeight="1">
      <c r="A224" s="106"/>
      <c r="B224" s="96">
        <v>286</v>
      </c>
      <c r="C224" s="96">
        <v>1446</v>
      </c>
      <c r="D224" s="96" t="s">
        <v>2988</v>
      </c>
      <c r="E224" s="96">
        <v>515960003</v>
      </c>
      <c r="F224" s="96" t="s">
        <v>308</v>
      </c>
      <c r="G224" s="96" t="s">
        <v>2989</v>
      </c>
      <c r="H224" s="96" t="s">
        <v>2990</v>
      </c>
      <c r="I224" s="96" t="s">
        <v>320</v>
      </c>
      <c r="J224" s="96" t="s">
        <v>918</v>
      </c>
      <c r="K224" s="96" t="s">
        <v>204</v>
      </c>
      <c r="L224" s="96" t="s">
        <v>223</v>
      </c>
      <c r="M224" s="96" t="s">
        <v>324</v>
      </c>
      <c r="N224" s="96" t="s">
        <v>343</v>
      </c>
      <c r="O224" s="96" t="s">
        <v>506</v>
      </c>
      <c r="P224" s="96" t="s">
        <v>338</v>
      </c>
      <c r="Q224" s="96" t="s">
        <v>1201</v>
      </c>
      <c r="R224" s="97">
        <v>399.32684399999999</v>
      </c>
      <c r="S224" s="97">
        <v>3.7589999999999999</v>
      </c>
      <c r="T224" s="97">
        <v>7268</v>
      </c>
      <c r="U224" s="96"/>
      <c r="V224" s="97">
        <v>109.097739</v>
      </c>
      <c r="W224" s="98">
        <v>0</v>
      </c>
      <c r="X224" s="98">
        <v>2.7950000000000002E-3</v>
      </c>
      <c r="Y224" s="98">
        <v>1.7539999999999999E-3</v>
      </c>
      <c r="Z224" s="106"/>
    </row>
    <row r="225" spans="1:26" ht="15" customHeight="1">
      <c r="A225" s="106"/>
      <c r="B225" s="96">
        <v>286</v>
      </c>
      <c r="C225" s="96">
        <v>1446</v>
      </c>
      <c r="D225" s="96" t="s">
        <v>2991</v>
      </c>
      <c r="E225" s="96" t="s">
        <v>2992</v>
      </c>
      <c r="F225" s="96" t="s">
        <v>312</v>
      </c>
      <c r="G225" s="96" t="s">
        <v>2993</v>
      </c>
      <c r="H225" s="96" t="s">
        <v>2994</v>
      </c>
      <c r="I225" s="96" t="s">
        <v>320</v>
      </c>
      <c r="J225" s="96" t="s">
        <v>918</v>
      </c>
      <c r="K225" s="96" t="s">
        <v>204</v>
      </c>
      <c r="L225" s="96" t="s">
        <v>244</v>
      </c>
      <c r="M225" s="96" t="s">
        <v>324</v>
      </c>
      <c r="N225" s="96" t="s">
        <v>363</v>
      </c>
      <c r="O225" s="96" t="s">
        <v>536</v>
      </c>
      <c r="P225" s="96" t="s">
        <v>338</v>
      </c>
      <c r="Q225" s="96" t="s">
        <v>1202</v>
      </c>
      <c r="R225" s="97">
        <v>45.825279000000002</v>
      </c>
      <c r="S225" s="97">
        <v>4.0202</v>
      </c>
      <c r="T225" s="97">
        <v>111320</v>
      </c>
      <c r="U225" s="96"/>
      <c r="V225" s="97">
        <v>205.08125899999999</v>
      </c>
      <c r="W225" s="98">
        <v>9.9999999999999995E-7</v>
      </c>
      <c r="X225" s="98">
        <v>5.254E-3</v>
      </c>
      <c r="Y225" s="98">
        <v>3.297E-3</v>
      </c>
      <c r="Z225" s="106"/>
    </row>
    <row r="226" spans="1:26" ht="15" customHeight="1">
      <c r="A226" s="106"/>
      <c r="B226" s="96">
        <v>286</v>
      </c>
      <c r="C226" s="96">
        <v>1446</v>
      </c>
      <c r="D226" s="96" t="s">
        <v>2995</v>
      </c>
      <c r="E226" s="96" t="s">
        <v>2996</v>
      </c>
      <c r="F226" s="96" t="s">
        <v>312</v>
      </c>
      <c r="G226" s="96" t="s">
        <v>2997</v>
      </c>
      <c r="H226" s="96" t="s">
        <v>2998</v>
      </c>
      <c r="I226" s="96" t="s">
        <v>320</v>
      </c>
      <c r="J226" s="96" t="s">
        <v>918</v>
      </c>
      <c r="K226" s="96" t="s">
        <v>204</v>
      </c>
      <c r="L226" s="96" t="s">
        <v>232</v>
      </c>
      <c r="M226" s="96" t="s">
        <v>324</v>
      </c>
      <c r="N226" s="96" t="s">
        <v>369</v>
      </c>
      <c r="O226" s="96" t="s">
        <v>515</v>
      </c>
      <c r="P226" s="96" t="s">
        <v>338</v>
      </c>
      <c r="Q226" s="96" t="s">
        <v>1205</v>
      </c>
      <c r="R226" s="97">
        <v>612.21516399999996</v>
      </c>
      <c r="S226" s="97">
        <v>4.7504999999999997</v>
      </c>
      <c r="T226" s="97">
        <v>1300</v>
      </c>
      <c r="U226" s="96"/>
      <c r="V226" s="97">
        <v>37.808264999999999</v>
      </c>
      <c r="W226" s="98">
        <v>1.4E-5</v>
      </c>
      <c r="X226" s="98">
        <v>9.68E-4</v>
      </c>
      <c r="Y226" s="98">
        <v>6.0700000000000001E-4</v>
      </c>
      <c r="Z226" s="106"/>
    </row>
    <row r="227" spans="1:26" ht="15" customHeight="1">
      <c r="A227" s="106"/>
      <c r="B227" s="96">
        <v>286</v>
      </c>
      <c r="C227" s="96">
        <v>1446</v>
      </c>
      <c r="D227" s="96" t="s">
        <v>2999</v>
      </c>
      <c r="E227" s="96" t="s">
        <v>3000</v>
      </c>
      <c r="F227" s="96" t="s">
        <v>312</v>
      </c>
      <c r="G227" s="96" t="s">
        <v>3001</v>
      </c>
      <c r="H227" s="96" t="s">
        <v>3002</v>
      </c>
      <c r="I227" s="96" t="s">
        <v>320</v>
      </c>
      <c r="J227" s="96" t="s">
        <v>918</v>
      </c>
      <c r="K227" s="96" t="s">
        <v>204</v>
      </c>
      <c r="L227" s="96" t="s">
        <v>223</v>
      </c>
      <c r="M227" s="96" t="s">
        <v>324</v>
      </c>
      <c r="N227" s="96" t="s">
        <v>313</v>
      </c>
      <c r="O227" s="96" t="s">
        <v>536</v>
      </c>
      <c r="P227" s="96" t="s">
        <v>338</v>
      </c>
      <c r="Q227" s="96" t="s">
        <v>1201</v>
      </c>
      <c r="R227" s="97">
        <v>636.54113500000005</v>
      </c>
      <c r="S227" s="97">
        <v>3.7589999999999999</v>
      </c>
      <c r="T227" s="97">
        <v>11807</v>
      </c>
      <c r="U227" s="96"/>
      <c r="V227" s="97">
        <v>282.51295199999998</v>
      </c>
      <c r="W227" s="98">
        <v>9.9999999999999995E-7</v>
      </c>
      <c r="X227" s="98">
        <v>7.2379999999999996E-3</v>
      </c>
      <c r="Y227" s="98">
        <v>4.542E-3</v>
      </c>
      <c r="Z227" s="106"/>
    </row>
    <row r="228" spans="1:26" ht="15" customHeight="1">
      <c r="A228" s="106"/>
      <c r="B228" s="96">
        <v>286</v>
      </c>
      <c r="C228" s="96">
        <v>1446</v>
      </c>
      <c r="D228" s="96" t="s">
        <v>2703</v>
      </c>
      <c r="E228" s="96">
        <v>513639013</v>
      </c>
      <c r="F228" s="96" t="s">
        <v>308</v>
      </c>
      <c r="G228" s="96" t="s">
        <v>3003</v>
      </c>
      <c r="H228" s="96" t="s">
        <v>2705</v>
      </c>
      <c r="I228" s="96" t="s">
        <v>320</v>
      </c>
      <c r="J228" s="96" t="s">
        <v>918</v>
      </c>
      <c r="K228" s="96" t="s">
        <v>204</v>
      </c>
      <c r="L228" s="96" t="s">
        <v>203</v>
      </c>
      <c r="M228" s="96" t="s">
        <v>324</v>
      </c>
      <c r="N228" s="96" t="s">
        <v>345</v>
      </c>
      <c r="O228" s="96" t="s">
        <v>546</v>
      </c>
      <c r="P228" s="96" t="s">
        <v>338</v>
      </c>
      <c r="Q228" s="96" t="s">
        <v>1201</v>
      </c>
      <c r="R228" s="97">
        <v>146.93163899999999</v>
      </c>
      <c r="S228" s="97">
        <v>3.7589999999999999</v>
      </c>
      <c r="T228" s="97">
        <v>2180</v>
      </c>
      <c r="U228" s="96"/>
      <c r="V228" s="97">
        <v>12.040489000000001</v>
      </c>
      <c r="W228" s="98">
        <v>3.9999999999999998E-6</v>
      </c>
      <c r="X228" s="98">
        <v>3.0800000000000001E-4</v>
      </c>
      <c r="Y228" s="98">
        <v>1.93E-4</v>
      </c>
      <c r="Z228" s="106"/>
    </row>
    <row r="229" spans="1:26" ht="15" customHeight="1">
      <c r="A229" s="106"/>
      <c r="B229" s="96">
        <v>286</v>
      </c>
      <c r="C229" s="96">
        <v>1446</v>
      </c>
      <c r="D229" s="96" t="s">
        <v>3004</v>
      </c>
      <c r="E229" s="96" t="s">
        <v>3005</v>
      </c>
      <c r="F229" s="96" t="s">
        <v>312</v>
      </c>
      <c r="G229" s="96" t="s">
        <v>3006</v>
      </c>
      <c r="H229" s="96" t="s">
        <v>3007</v>
      </c>
      <c r="I229" s="96" t="s">
        <v>320</v>
      </c>
      <c r="J229" s="96" t="s">
        <v>918</v>
      </c>
      <c r="K229" s="96" t="s">
        <v>204</v>
      </c>
      <c r="L229" s="96" t="s">
        <v>248</v>
      </c>
      <c r="M229" s="96" t="s">
        <v>324</v>
      </c>
      <c r="N229" s="96" t="s">
        <v>343</v>
      </c>
      <c r="O229" s="96" t="s">
        <v>547</v>
      </c>
      <c r="P229" s="96" t="s">
        <v>338</v>
      </c>
      <c r="Q229" s="96" t="s">
        <v>1201</v>
      </c>
      <c r="R229" s="97">
        <v>709.90907700000002</v>
      </c>
      <c r="S229" s="97">
        <v>3.7589999999999999</v>
      </c>
      <c r="T229" s="97">
        <v>17381</v>
      </c>
      <c r="U229" s="96"/>
      <c r="V229" s="97">
        <v>463.82036599999998</v>
      </c>
      <c r="W229" s="98">
        <v>0</v>
      </c>
      <c r="X229" s="98">
        <v>1.1882999999999999E-2</v>
      </c>
      <c r="Y229" s="98">
        <v>7.4570000000000001E-3</v>
      </c>
      <c r="Z229" s="106"/>
    </row>
    <row r="230" spans="1:26" ht="15" customHeight="1">
      <c r="A230" s="106"/>
      <c r="B230" s="96">
        <v>286</v>
      </c>
      <c r="C230" s="96">
        <v>1446</v>
      </c>
      <c r="D230" s="96" t="s">
        <v>3008</v>
      </c>
      <c r="E230" s="96" t="s">
        <v>3009</v>
      </c>
      <c r="F230" s="96" t="s">
        <v>312</v>
      </c>
      <c r="G230" s="96" t="s">
        <v>3010</v>
      </c>
      <c r="H230" s="96" t="s">
        <v>3011</v>
      </c>
      <c r="I230" s="96" t="s">
        <v>320</v>
      </c>
      <c r="J230" s="96" t="s">
        <v>918</v>
      </c>
      <c r="K230" s="96" t="s">
        <v>204</v>
      </c>
      <c r="L230" s="96" t="s">
        <v>223</v>
      </c>
      <c r="M230" s="96" t="s">
        <v>324</v>
      </c>
      <c r="N230" s="96" t="s">
        <v>343</v>
      </c>
      <c r="O230" s="96" t="s">
        <v>534</v>
      </c>
      <c r="P230" s="96" t="s">
        <v>338</v>
      </c>
      <c r="Q230" s="96" t="s">
        <v>1201</v>
      </c>
      <c r="R230" s="97">
        <v>217.75689600000001</v>
      </c>
      <c r="S230" s="97">
        <v>3.7589999999999999</v>
      </c>
      <c r="T230" s="97">
        <v>55300</v>
      </c>
      <c r="U230" s="96"/>
      <c r="V230" s="97">
        <v>452.65714100000002</v>
      </c>
      <c r="W230" s="98">
        <v>0</v>
      </c>
      <c r="X230" s="98">
        <v>1.1597E-2</v>
      </c>
      <c r="Y230" s="98">
        <v>7.2779999999999997E-3</v>
      </c>
      <c r="Z230" s="106"/>
    </row>
    <row r="231" spans="1:26" ht="15" customHeight="1">
      <c r="A231" s="106"/>
      <c r="B231" s="96">
        <v>286</v>
      </c>
      <c r="C231" s="96">
        <v>1446</v>
      </c>
      <c r="D231" s="96" t="s">
        <v>3012</v>
      </c>
      <c r="E231" s="96"/>
      <c r="F231" s="96" t="s">
        <v>310</v>
      </c>
      <c r="G231" s="96" t="s">
        <v>3013</v>
      </c>
      <c r="H231" s="96" t="s">
        <v>3014</v>
      </c>
      <c r="I231" s="96" t="s">
        <v>320</v>
      </c>
      <c r="J231" s="96" t="s">
        <v>918</v>
      </c>
      <c r="K231" s="96" t="s">
        <v>204</v>
      </c>
      <c r="L231" s="96" t="s">
        <v>281</v>
      </c>
      <c r="M231" s="96" t="s">
        <v>324</v>
      </c>
      <c r="N231" s="96" t="s">
        <v>343</v>
      </c>
      <c r="O231" s="96" t="s">
        <v>490</v>
      </c>
      <c r="P231" s="96" t="s">
        <v>338</v>
      </c>
      <c r="Q231" s="96" t="s">
        <v>1201</v>
      </c>
      <c r="R231" s="97">
        <v>1456.5394289999999</v>
      </c>
      <c r="S231" s="97">
        <v>3.7589999999999999</v>
      </c>
      <c r="T231" s="97">
        <v>1988</v>
      </c>
      <c r="U231" s="96"/>
      <c r="V231" s="97">
        <v>108.845618</v>
      </c>
      <c r="W231" s="98">
        <v>3.9999999999999998E-6</v>
      </c>
      <c r="X231" s="98">
        <v>2.7880000000000001E-3</v>
      </c>
      <c r="Y231" s="98">
        <v>1.75E-3</v>
      </c>
      <c r="Z231" s="106"/>
    </row>
    <row r="232" spans="1:26" ht="15" customHeight="1">
      <c r="A232" s="106"/>
      <c r="B232" s="96">
        <v>286</v>
      </c>
      <c r="C232" s="96">
        <v>1446</v>
      </c>
      <c r="D232" s="96" t="s">
        <v>3015</v>
      </c>
      <c r="E232" s="96" t="s">
        <v>3016</v>
      </c>
      <c r="F232" s="96" t="s">
        <v>312</v>
      </c>
      <c r="G232" s="96" t="s">
        <v>3017</v>
      </c>
      <c r="H232" s="96" t="s">
        <v>3018</v>
      </c>
      <c r="I232" s="96" t="s">
        <v>320</v>
      </c>
      <c r="J232" s="96" t="s">
        <v>918</v>
      </c>
      <c r="K232" s="96" t="s">
        <v>204</v>
      </c>
      <c r="L232" s="96" t="s">
        <v>223</v>
      </c>
      <c r="M232" s="96" t="s">
        <v>324</v>
      </c>
      <c r="N232" s="96" t="s">
        <v>343</v>
      </c>
      <c r="O232" s="96" t="s">
        <v>530</v>
      </c>
      <c r="P232" s="96" t="s">
        <v>338</v>
      </c>
      <c r="Q232" s="96" t="s">
        <v>1201</v>
      </c>
      <c r="R232" s="97">
        <v>313.46716400000003</v>
      </c>
      <c r="S232" s="97">
        <v>3.7589999999999999</v>
      </c>
      <c r="T232" s="97">
        <v>50926</v>
      </c>
      <c r="U232" s="96"/>
      <c r="V232" s="97">
        <v>600.07280700000001</v>
      </c>
      <c r="W232" s="98">
        <v>0</v>
      </c>
      <c r="X232" s="98">
        <v>1.5374000000000001E-2</v>
      </c>
      <c r="Y232" s="98">
        <v>9.6489999999999996E-3</v>
      </c>
      <c r="Z232" s="106"/>
    </row>
    <row r="233" spans="1:26" ht="15" customHeight="1">
      <c r="A233" s="106"/>
      <c r="B233" s="96">
        <v>286</v>
      </c>
      <c r="C233" s="96">
        <v>286</v>
      </c>
      <c r="D233" s="96" t="s">
        <v>2631</v>
      </c>
      <c r="E233" s="96">
        <v>513817817</v>
      </c>
      <c r="F233" s="96" t="s">
        <v>308</v>
      </c>
      <c r="G233" s="96" t="s">
        <v>2632</v>
      </c>
      <c r="H233" s="96" t="s">
        <v>2633</v>
      </c>
      <c r="I233" s="96" t="s">
        <v>320</v>
      </c>
      <c r="J233" s="96" t="s">
        <v>918</v>
      </c>
      <c r="K233" s="96" t="s">
        <v>203</v>
      </c>
      <c r="L233" s="96" t="s">
        <v>203</v>
      </c>
      <c r="M233" s="96" t="s">
        <v>324</v>
      </c>
      <c r="N233" s="96" t="s">
        <v>339</v>
      </c>
      <c r="O233" s="96" t="s">
        <v>446</v>
      </c>
      <c r="P233" s="96" t="s">
        <v>338</v>
      </c>
      <c r="Q233" s="96" t="s">
        <v>1200</v>
      </c>
      <c r="R233" s="97">
        <v>4166.5387270000001</v>
      </c>
      <c r="S233" s="97">
        <v>1</v>
      </c>
      <c r="T233" s="97">
        <v>7294</v>
      </c>
      <c r="U233" s="96"/>
      <c r="V233" s="97">
        <v>303.90733399999999</v>
      </c>
      <c r="W233" s="98">
        <v>1.9699999999999999E-4</v>
      </c>
      <c r="X233" s="98">
        <v>5.44E-4</v>
      </c>
      <c r="Y233" s="98">
        <v>1.5799999999999999E-4</v>
      </c>
      <c r="Z233" s="106"/>
    </row>
    <row r="234" spans="1:26" ht="15" customHeight="1">
      <c r="A234" s="106"/>
      <c r="B234" s="96">
        <v>286</v>
      </c>
      <c r="C234" s="96">
        <v>286</v>
      </c>
      <c r="D234" s="96" t="s">
        <v>1669</v>
      </c>
      <c r="E234" s="96">
        <v>511344186</v>
      </c>
      <c r="F234" s="96" t="s">
        <v>308</v>
      </c>
      <c r="G234" s="96" t="s">
        <v>2552</v>
      </c>
      <c r="H234" s="96" t="s">
        <v>2553</v>
      </c>
      <c r="I234" s="96" t="s">
        <v>320</v>
      </c>
      <c r="J234" s="96" t="s">
        <v>918</v>
      </c>
      <c r="K234" s="96" t="s">
        <v>203</v>
      </c>
      <c r="L234" s="96" t="s">
        <v>203</v>
      </c>
      <c r="M234" s="96" t="s">
        <v>324</v>
      </c>
      <c r="N234" s="96" t="s">
        <v>339</v>
      </c>
      <c r="O234" s="96" t="s">
        <v>474</v>
      </c>
      <c r="P234" s="96" t="s">
        <v>338</v>
      </c>
      <c r="Q234" s="96" t="s">
        <v>1200</v>
      </c>
      <c r="R234" s="97">
        <v>3838.3098850000001</v>
      </c>
      <c r="S234" s="97">
        <v>1</v>
      </c>
      <c r="T234" s="97">
        <v>17990</v>
      </c>
      <c r="U234" s="96"/>
      <c r="V234" s="97">
        <v>690.51194799999996</v>
      </c>
      <c r="W234" s="98">
        <v>2.6400000000000002E-4</v>
      </c>
      <c r="X234" s="98">
        <v>1.2359999999999999E-3</v>
      </c>
      <c r="Y234" s="98">
        <v>3.59E-4</v>
      </c>
      <c r="Z234" s="106"/>
    </row>
    <row r="235" spans="1:26" ht="15" customHeight="1">
      <c r="A235" s="106"/>
      <c r="B235" s="96">
        <v>286</v>
      </c>
      <c r="C235" s="96">
        <v>286</v>
      </c>
      <c r="D235" s="96" t="s">
        <v>1565</v>
      </c>
      <c r="E235" s="96">
        <v>520033234</v>
      </c>
      <c r="F235" s="96" t="s">
        <v>308</v>
      </c>
      <c r="G235" s="96" t="s">
        <v>2602</v>
      </c>
      <c r="H235" s="96" t="s">
        <v>2595</v>
      </c>
      <c r="I235" s="96" t="s">
        <v>320</v>
      </c>
      <c r="J235" s="96" t="s">
        <v>918</v>
      </c>
      <c r="K235" s="96" t="s">
        <v>203</v>
      </c>
      <c r="L235" s="96" t="s">
        <v>203</v>
      </c>
      <c r="M235" s="96" t="s">
        <v>326</v>
      </c>
      <c r="N235" s="96" t="s">
        <v>339</v>
      </c>
      <c r="O235" s="96" t="s">
        <v>464</v>
      </c>
      <c r="P235" s="96" t="s">
        <v>337</v>
      </c>
      <c r="Q235" s="96" t="s">
        <v>1200</v>
      </c>
      <c r="R235" s="97">
        <v>4461.6257830000004</v>
      </c>
      <c r="S235" s="97">
        <v>1</v>
      </c>
      <c r="T235" s="97">
        <v>881.8</v>
      </c>
      <c r="U235" s="96"/>
      <c r="V235" s="97">
        <v>39.342616</v>
      </c>
      <c r="W235" s="98">
        <v>2.4000000000000001E-5</v>
      </c>
      <c r="X235" s="98">
        <v>6.9999999999999994E-5</v>
      </c>
      <c r="Y235" s="98">
        <v>2.0000000000000002E-5</v>
      </c>
      <c r="Z235" s="106"/>
    </row>
    <row r="236" spans="1:26" ht="15" customHeight="1">
      <c r="A236" s="106"/>
      <c r="B236" s="96">
        <v>286</v>
      </c>
      <c r="C236" s="96">
        <v>286</v>
      </c>
      <c r="D236" s="96" t="s">
        <v>2549</v>
      </c>
      <c r="E236" s="96">
        <v>520013954</v>
      </c>
      <c r="F236" s="96" t="s">
        <v>308</v>
      </c>
      <c r="G236" s="96" t="s">
        <v>2550</v>
      </c>
      <c r="H236" s="96" t="s">
        <v>2551</v>
      </c>
      <c r="I236" s="96" t="s">
        <v>320</v>
      </c>
      <c r="J236" s="96" t="s">
        <v>918</v>
      </c>
      <c r="K236" s="96" t="s">
        <v>203</v>
      </c>
      <c r="L236" s="96" t="s">
        <v>203</v>
      </c>
      <c r="M236" s="96" t="s">
        <v>324</v>
      </c>
      <c r="N236" s="96" t="s">
        <v>339</v>
      </c>
      <c r="O236" s="96" t="s">
        <v>466</v>
      </c>
      <c r="P236" s="96" t="s">
        <v>338</v>
      </c>
      <c r="Q236" s="96" t="s">
        <v>1200</v>
      </c>
      <c r="R236" s="97">
        <v>43186.245092999998</v>
      </c>
      <c r="S236" s="97">
        <v>1</v>
      </c>
      <c r="T236" s="97">
        <v>6120</v>
      </c>
      <c r="U236" s="96"/>
      <c r="V236" s="97">
        <v>2642.9981990000001</v>
      </c>
      <c r="W236" s="98">
        <v>3.8000000000000002E-5</v>
      </c>
      <c r="X236" s="98">
        <v>4.7299999999999998E-3</v>
      </c>
      <c r="Y236" s="98">
        <v>1.3749999999999999E-3</v>
      </c>
      <c r="Z236" s="106"/>
    </row>
    <row r="237" spans="1:26" ht="15" customHeight="1">
      <c r="A237" s="106"/>
      <c r="B237" s="96">
        <v>286</v>
      </c>
      <c r="C237" s="96">
        <v>286</v>
      </c>
      <c r="D237" s="96" t="s">
        <v>1597</v>
      </c>
      <c r="E237" s="96">
        <v>520020116</v>
      </c>
      <c r="F237" s="96" t="s">
        <v>308</v>
      </c>
      <c r="G237" s="96" t="s">
        <v>2699</v>
      </c>
      <c r="H237" s="96" t="s">
        <v>2568</v>
      </c>
      <c r="I237" s="96" t="s">
        <v>320</v>
      </c>
      <c r="J237" s="96" t="s">
        <v>918</v>
      </c>
      <c r="K237" s="96" t="s">
        <v>203</v>
      </c>
      <c r="L237" s="96" t="s">
        <v>203</v>
      </c>
      <c r="M237" s="96" t="s">
        <v>326</v>
      </c>
      <c r="N237" s="96" t="s">
        <v>339</v>
      </c>
      <c r="O237" s="96" t="s">
        <v>463</v>
      </c>
      <c r="P237" s="96" t="s">
        <v>337</v>
      </c>
      <c r="Q237" s="96" t="s">
        <v>1200</v>
      </c>
      <c r="R237" s="97">
        <v>4011.3535750000001</v>
      </c>
      <c r="S237" s="97">
        <v>1</v>
      </c>
      <c r="T237" s="97">
        <v>2651.4641999999999</v>
      </c>
      <c r="U237" s="96"/>
      <c r="V237" s="97">
        <v>106.359604</v>
      </c>
      <c r="W237" s="98">
        <v>9.8999999999999994E-5</v>
      </c>
      <c r="X237" s="98">
        <v>1.9000000000000001E-4</v>
      </c>
      <c r="Y237" s="98">
        <v>5.5000000000000002E-5</v>
      </c>
      <c r="Z237" s="106"/>
    </row>
    <row r="238" spans="1:26" ht="15" customHeight="1">
      <c r="A238" s="106"/>
      <c r="B238" s="96">
        <v>286</v>
      </c>
      <c r="C238" s="96">
        <v>286</v>
      </c>
      <c r="D238" s="96" t="s">
        <v>1325</v>
      </c>
      <c r="E238" s="96">
        <v>510488190</v>
      </c>
      <c r="F238" s="96" t="s">
        <v>308</v>
      </c>
      <c r="G238" s="96" t="s">
        <v>2557</v>
      </c>
      <c r="H238" s="96" t="s">
        <v>2558</v>
      </c>
      <c r="I238" s="96" t="s">
        <v>320</v>
      </c>
      <c r="J238" s="96" t="s">
        <v>918</v>
      </c>
      <c r="K238" s="96" t="s">
        <v>203</v>
      </c>
      <c r="L238" s="96" t="s">
        <v>203</v>
      </c>
      <c r="M238" s="96" t="s">
        <v>324</v>
      </c>
      <c r="N238" s="96" t="s">
        <v>339</v>
      </c>
      <c r="O238" s="96" t="s">
        <v>446</v>
      </c>
      <c r="P238" s="96" t="s">
        <v>338</v>
      </c>
      <c r="Q238" s="96" t="s">
        <v>1200</v>
      </c>
      <c r="R238" s="97">
        <v>15729.111207</v>
      </c>
      <c r="S238" s="97">
        <v>1</v>
      </c>
      <c r="T238" s="97">
        <v>2349</v>
      </c>
      <c r="U238" s="96"/>
      <c r="V238" s="97">
        <v>369.47682200000003</v>
      </c>
      <c r="W238" s="98">
        <v>2.9E-4</v>
      </c>
      <c r="X238" s="98">
        <v>6.6100000000000002E-4</v>
      </c>
      <c r="Y238" s="98">
        <v>1.92E-4</v>
      </c>
      <c r="Z238" s="106"/>
    </row>
    <row r="239" spans="1:26" ht="15" customHeight="1">
      <c r="A239" s="106"/>
      <c r="B239" s="96">
        <v>286</v>
      </c>
      <c r="C239" s="96">
        <v>286</v>
      </c>
      <c r="D239" s="96" t="s">
        <v>2706</v>
      </c>
      <c r="E239" s="96">
        <v>520043480</v>
      </c>
      <c r="F239" s="96" t="s">
        <v>308</v>
      </c>
      <c r="G239" s="96" t="s">
        <v>2707</v>
      </c>
      <c r="H239" s="96" t="s">
        <v>2708</v>
      </c>
      <c r="I239" s="96" t="s">
        <v>320</v>
      </c>
      <c r="J239" s="96" t="s">
        <v>918</v>
      </c>
      <c r="K239" s="96" t="s">
        <v>203</v>
      </c>
      <c r="L239" s="96" t="s">
        <v>203</v>
      </c>
      <c r="M239" s="96" t="s">
        <v>324</v>
      </c>
      <c r="N239" s="96" t="s">
        <v>339</v>
      </c>
      <c r="O239" s="96" t="s">
        <v>462</v>
      </c>
      <c r="P239" s="96" t="s">
        <v>337</v>
      </c>
      <c r="Q239" s="96" t="s">
        <v>1200</v>
      </c>
      <c r="R239" s="97">
        <v>4579.9145239999998</v>
      </c>
      <c r="S239" s="97">
        <v>1</v>
      </c>
      <c r="T239" s="97">
        <v>21460</v>
      </c>
      <c r="U239" s="96"/>
      <c r="V239" s="97">
        <v>982.84965599999998</v>
      </c>
      <c r="W239" s="98">
        <v>5.0799999999999999E-4</v>
      </c>
      <c r="X239" s="98">
        <v>1.7589999999999999E-3</v>
      </c>
      <c r="Y239" s="98">
        <v>5.1099999999999995E-4</v>
      </c>
      <c r="Z239" s="106"/>
    </row>
    <row r="240" spans="1:26" ht="15" customHeight="1">
      <c r="A240" s="106"/>
      <c r="B240" s="96">
        <v>286</v>
      </c>
      <c r="C240" s="96">
        <v>286</v>
      </c>
      <c r="D240" s="96" t="s">
        <v>2489</v>
      </c>
      <c r="E240" s="96">
        <v>516077989</v>
      </c>
      <c r="F240" s="96" t="s">
        <v>308</v>
      </c>
      <c r="G240" s="96" t="s">
        <v>2490</v>
      </c>
      <c r="H240" s="96" t="s">
        <v>2491</v>
      </c>
      <c r="I240" s="96" t="s">
        <v>320</v>
      </c>
      <c r="J240" s="96" t="s">
        <v>918</v>
      </c>
      <c r="K240" s="96" t="s">
        <v>203</v>
      </c>
      <c r="L240" s="96" t="s">
        <v>203</v>
      </c>
      <c r="M240" s="96" t="s">
        <v>324</v>
      </c>
      <c r="N240" s="96" t="s">
        <v>339</v>
      </c>
      <c r="O240" s="96" t="s">
        <v>439</v>
      </c>
      <c r="P240" s="96" t="s">
        <v>337</v>
      </c>
      <c r="Q240" s="96" t="s">
        <v>1200</v>
      </c>
      <c r="R240" s="97">
        <v>7611.5396030000002</v>
      </c>
      <c r="S240" s="97">
        <v>1</v>
      </c>
      <c r="T240" s="97">
        <v>1731</v>
      </c>
      <c r="U240" s="96"/>
      <c r="V240" s="97">
        <v>131.75575000000001</v>
      </c>
      <c r="W240" s="98">
        <v>4.2499999999999998E-4</v>
      </c>
      <c r="X240" s="98">
        <v>2.3499999999999999E-4</v>
      </c>
      <c r="Y240" s="98">
        <v>6.7999999999999999E-5</v>
      </c>
      <c r="Z240" s="106"/>
    </row>
    <row r="241" spans="1:26" ht="15" customHeight="1">
      <c r="A241" s="106"/>
      <c r="B241" s="96">
        <v>286</v>
      </c>
      <c r="C241" s="96">
        <v>286</v>
      </c>
      <c r="D241" s="96" t="s">
        <v>1424</v>
      </c>
      <c r="E241" s="96">
        <v>513775163</v>
      </c>
      <c r="F241" s="96" t="s">
        <v>308</v>
      </c>
      <c r="G241" s="96" t="s">
        <v>2528</v>
      </c>
      <c r="H241" s="96" t="s">
        <v>2529</v>
      </c>
      <c r="I241" s="96" t="s">
        <v>320</v>
      </c>
      <c r="J241" s="96" t="s">
        <v>918</v>
      </c>
      <c r="K241" s="96" t="s">
        <v>203</v>
      </c>
      <c r="L241" s="96" t="s">
        <v>203</v>
      </c>
      <c r="M241" s="96" t="s">
        <v>324</v>
      </c>
      <c r="N241" s="96" t="s">
        <v>339</v>
      </c>
      <c r="O241" s="96" t="s">
        <v>439</v>
      </c>
      <c r="P241" s="96" t="s">
        <v>337</v>
      </c>
      <c r="Q241" s="96" t="s">
        <v>1200</v>
      </c>
      <c r="R241" s="97">
        <v>6710.2925779999996</v>
      </c>
      <c r="S241" s="97">
        <v>1</v>
      </c>
      <c r="T241" s="97">
        <v>6189</v>
      </c>
      <c r="U241" s="96"/>
      <c r="V241" s="97">
        <v>415.300006</v>
      </c>
      <c r="W241" s="98">
        <v>5.3700000000000004E-4</v>
      </c>
      <c r="X241" s="98">
        <v>7.4299999999999995E-4</v>
      </c>
      <c r="Y241" s="98">
        <v>2.1499999999999999E-4</v>
      </c>
      <c r="Z241" s="106"/>
    </row>
    <row r="242" spans="1:26" ht="15" customHeight="1">
      <c r="A242" s="106"/>
      <c r="B242" s="96">
        <v>286</v>
      </c>
      <c r="C242" s="96">
        <v>286</v>
      </c>
      <c r="D242" s="96" t="s">
        <v>2436</v>
      </c>
      <c r="E242" s="96">
        <v>510607328</v>
      </c>
      <c r="F242" s="96" t="s">
        <v>308</v>
      </c>
      <c r="G242" s="96" t="s">
        <v>2437</v>
      </c>
      <c r="H242" s="96" t="s">
        <v>2438</v>
      </c>
      <c r="I242" s="96" t="s">
        <v>320</v>
      </c>
      <c r="J242" s="96" t="s">
        <v>918</v>
      </c>
      <c r="K242" s="96" t="s">
        <v>203</v>
      </c>
      <c r="L242" s="96" t="s">
        <v>203</v>
      </c>
      <c r="M242" s="96" t="s">
        <v>324</v>
      </c>
      <c r="N242" s="96" t="s">
        <v>339</v>
      </c>
      <c r="O242" s="96" t="s">
        <v>464</v>
      </c>
      <c r="P242" s="96" t="s">
        <v>338</v>
      </c>
      <c r="Q242" s="96" t="s">
        <v>1200</v>
      </c>
      <c r="R242" s="97">
        <v>12.035437999999999</v>
      </c>
      <c r="S242" s="97">
        <v>1</v>
      </c>
      <c r="T242" s="97">
        <v>3254</v>
      </c>
      <c r="U242" s="96"/>
      <c r="V242" s="97">
        <v>0.39163300000000001</v>
      </c>
      <c r="W242" s="98">
        <v>0</v>
      </c>
      <c r="X242" s="98">
        <v>0</v>
      </c>
      <c r="Y242" s="98">
        <v>0</v>
      </c>
      <c r="Z242" s="106"/>
    </row>
    <row r="243" spans="1:26" ht="15" customHeight="1">
      <c r="A243" s="106"/>
      <c r="B243" s="96">
        <v>286</v>
      </c>
      <c r="C243" s="96">
        <v>286</v>
      </c>
      <c r="D243" s="96" t="s">
        <v>1814</v>
      </c>
      <c r="E243" s="96">
        <v>514599943</v>
      </c>
      <c r="F243" s="96" t="s">
        <v>308</v>
      </c>
      <c r="G243" s="96" t="s">
        <v>2669</v>
      </c>
      <c r="H243" s="96" t="s">
        <v>2463</v>
      </c>
      <c r="I243" s="96" t="s">
        <v>320</v>
      </c>
      <c r="J243" s="96" t="s">
        <v>918</v>
      </c>
      <c r="K243" s="96" t="s">
        <v>203</v>
      </c>
      <c r="L243" s="96" t="s">
        <v>203</v>
      </c>
      <c r="M243" s="96" t="s">
        <v>326</v>
      </c>
      <c r="N243" s="96" t="s">
        <v>339</v>
      </c>
      <c r="O243" s="96" t="s">
        <v>440</v>
      </c>
      <c r="P243" s="96" t="s">
        <v>338</v>
      </c>
      <c r="Q243" s="96" t="s">
        <v>1200</v>
      </c>
      <c r="R243" s="97">
        <v>29.695895</v>
      </c>
      <c r="S243" s="97">
        <v>1</v>
      </c>
      <c r="T243" s="97">
        <v>7941.8741</v>
      </c>
      <c r="U243" s="96"/>
      <c r="V243" s="97">
        <v>2.3584100000000001</v>
      </c>
      <c r="W243" s="98">
        <v>0</v>
      </c>
      <c r="X243" s="98">
        <v>3.9999999999999998E-6</v>
      </c>
      <c r="Y243" s="98">
        <v>9.9999999999999995E-7</v>
      </c>
      <c r="Z243" s="106"/>
    </row>
    <row r="244" spans="1:26" ht="15" customHeight="1">
      <c r="A244" s="106"/>
      <c r="B244" s="96">
        <v>286</v>
      </c>
      <c r="C244" s="96">
        <v>286</v>
      </c>
      <c r="D244" s="96" t="s">
        <v>1926</v>
      </c>
      <c r="E244" s="96">
        <v>520030859</v>
      </c>
      <c r="F244" s="96" t="s">
        <v>308</v>
      </c>
      <c r="G244" s="96" t="s">
        <v>2523</v>
      </c>
      <c r="H244" s="96" t="s">
        <v>2524</v>
      </c>
      <c r="I244" s="96" t="s">
        <v>320</v>
      </c>
      <c r="J244" s="96" t="s">
        <v>918</v>
      </c>
      <c r="K244" s="96" t="s">
        <v>203</v>
      </c>
      <c r="L244" s="96" t="s">
        <v>203</v>
      </c>
      <c r="M244" s="96" t="s">
        <v>324</v>
      </c>
      <c r="N244" s="96" t="s">
        <v>339</v>
      </c>
      <c r="O244" s="96" t="s">
        <v>450</v>
      </c>
      <c r="P244" s="96" t="s">
        <v>337</v>
      </c>
      <c r="Q244" s="96" t="s">
        <v>1200</v>
      </c>
      <c r="R244" s="97">
        <v>15229.118796999999</v>
      </c>
      <c r="S244" s="97">
        <v>1</v>
      </c>
      <c r="T244" s="97">
        <v>10800</v>
      </c>
      <c r="U244" s="96"/>
      <c r="V244" s="97">
        <v>1644.744829</v>
      </c>
      <c r="W244" s="98">
        <v>4.1899999999999999E-4</v>
      </c>
      <c r="X244" s="98">
        <v>2.944E-3</v>
      </c>
      <c r="Y244" s="98">
        <v>8.5499999999999997E-4</v>
      </c>
      <c r="Z244" s="106"/>
    </row>
    <row r="245" spans="1:26" ht="15" customHeight="1">
      <c r="A245" s="106"/>
      <c r="B245" s="96">
        <v>286</v>
      </c>
      <c r="C245" s="96">
        <v>286</v>
      </c>
      <c r="D245" s="96" t="s">
        <v>1432</v>
      </c>
      <c r="E245" s="96">
        <v>515327120</v>
      </c>
      <c r="F245" s="96" t="s">
        <v>308</v>
      </c>
      <c r="G245" s="96" t="s">
        <v>2617</v>
      </c>
      <c r="H245" s="96" t="s">
        <v>2618</v>
      </c>
      <c r="I245" s="96" t="s">
        <v>320</v>
      </c>
      <c r="J245" s="96" t="s">
        <v>918</v>
      </c>
      <c r="K245" s="96" t="s">
        <v>203</v>
      </c>
      <c r="L245" s="96" t="s">
        <v>203</v>
      </c>
      <c r="M245" s="96" t="s">
        <v>324</v>
      </c>
      <c r="N245" s="96" t="s">
        <v>339</v>
      </c>
      <c r="O245" s="96" t="s">
        <v>463</v>
      </c>
      <c r="P245" s="96" t="s">
        <v>337</v>
      </c>
      <c r="Q245" s="96" t="s">
        <v>1200</v>
      </c>
      <c r="R245" s="97">
        <v>384184.11585900001</v>
      </c>
      <c r="S245" s="97">
        <v>1</v>
      </c>
      <c r="T245" s="97">
        <v>159.4</v>
      </c>
      <c r="U245" s="96"/>
      <c r="V245" s="97">
        <v>612.38948000000005</v>
      </c>
      <c r="W245" s="98">
        <v>5.1400000000000003E-4</v>
      </c>
      <c r="X245" s="98">
        <v>1.096E-3</v>
      </c>
      <c r="Y245" s="98">
        <v>3.1799999999999998E-4</v>
      </c>
      <c r="Z245" s="106"/>
    </row>
    <row r="246" spans="1:26" ht="15" customHeight="1">
      <c r="A246" s="106"/>
      <c r="B246" s="96">
        <v>286</v>
      </c>
      <c r="C246" s="96">
        <v>286</v>
      </c>
      <c r="D246" s="96" t="s">
        <v>2767</v>
      </c>
      <c r="E246" s="96">
        <v>520029026</v>
      </c>
      <c r="F246" s="96" t="s">
        <v>308</v>
      </c>
      <c r="G246" s="96" t="s">
        <v>2768</v>
      </c>
      <c r="H246" s="96" t="s">
        <v>2769</v>
      </c>
      <c r="I246" s="96" t="s">
        <v>320</v>
      </c>
      <c r="J246" s="96" t="s">
        <v>918</v>
      </c>
      <c r="K246" s="96" t="s">
        <v>203</v>
      </c>
      <c r="L246" s="96" t="s">
        <v>203</v>
      </c>
      <c r="M246" s="96" t="s">
        <v>324</v>
      </c>
      <c r="N246" s="96" t="s">
        <v>339</v>
      </c>
      <c r="O246" s="96" t="s">
        <v>447</v>
      </c>
      <c r="P246" s="96" t="s">
        <v>338</v>
      </c>
      <c r="Q246" s="96" t="s">
        <v>1200</v>
      </c>
      <c r="R246" s="97">
        <v>5347.7854109999998</v>
      </c>
      <c r="S246" s="97">
        <v>1</v>
      </c>
      <c r="T246" s="97">
        <v>15200</v>
      </c>
      <c r="U246" s="96"/>
      <c r="V246" s="97">
        <v>812.863382</v>
      </c>
      <c r="W246" s="98">
        <v>1.4999999999999999E-4</v>
      </c>
      <c r="X246" s="98">
        <v>1.4549999999999999E-3</v>
      </c>
      <c r="Y246" s="98">
        <v>4.2299999999999998E-4</v>
      </c>
      <c r="Z246" s="106"/>
    </row>
    <row r="247" spans="1:26" ht="15" customHeight="1">
      <c r="A247" s="106"/>
      <c r="B247" s="96">
        <v>286</v>
      </c>
      <c r="C247" s="96">
        <v>286</v>
      </c>
      <c r="D247" s="96" t="s">
        <v>2737</v>
      </c>
      <c r="E247" s="96">
        <v>515001659</v>
      </c>
      <c r="F247" s="96" t="s">
        <v>308</v>
      </c>
      <c r="G247" s="96" t="s">
        <v>2738</v>
      </c>
      <c r="H247" s="96" t="s">
        <v>2739</v>
      </c>
      <c r="I247" s="96" t="s">
        <v>320</v>
      </c>
      <c r="J247" s="96" t="s">
        <v>918</v>
      </c>
      <c r="K247" s="96" t="s">
        <v>203</v>
      </c>
      <c r="L247" s="96" t="s">
        <v>203</v>
      </c>
      <c r="M247" s="96" t="s">
        <v>324</v>
      </c>
      <c r="N247" s="96" t="s">
        <v>339</v>
      </c>
      <c r="O247" s="96" t="s">
        <v>462</v>
      </c>
      <c r="P247" s="96" t="s">
        <v>338</v>
      </c>
      <c r="Q247" s="96" t="s">
        <v>1200</v>
      </c>
      <c r="R247" s="97">
        <v>27935.036284999998</v>
      </c>
      <c r="S247" s="97">
        <v>1</v>
      </c>
      <c r="T247" s="97">
        <v>992.1</v>
      </c>
      <c r="U247" s="96"/>
      <c r="V247" s="97">
        <v>277.14349399999998</v>
      </c>
      <c r="W247" s="98">
        <v>1.9100000000000001E-4</v>
      </c>
      <c r="X247" s="98">
        <v>4.9600000000000002E-4</v>
      </c>
      <c r="Y247" s="98">
        <v>1.44E-4</v>
      </c>
      <c r="Z247" s="106"/>
    </row>
    <row r="248" spans="1:26" ht="15" customHeight="1">
      <c r="A248" s="106"/>
      <c r="B248" s="96">
        <v>286</v>
      </c>
      <c r="C248" s="96">
        <v>286</v>
      </c>
      <c r="D248" s="96" t="s">
        <v>2748</v>
      </c>
      <c r="E248" s="96">
        <v>512467994</v>
      </c>
      <c r="F248" s="96" t="s">
        <v>308</v>
      </c>
      <c r="G248" s="96" t="s">
        <v>2749</v>
      </c>
      <c r="H248" s="96" t="s">
        <v>2750</v>
      </c>
      <c r="I248" s="96" t="s">
        <v>320</v>
      </c>
      <c r="J248" s="96" t="s">
        <v>918</v>
      </c>
      <c r="K248" s="96" t="s">
        <v>203</v>
      </c>
      <c r="L248" s="96" t="s">
        <v>203</v>
      </c>
      <c r="M248" s="96" t="s">
        <v>324</v>
      </c>
      <c r="N248" s="96" t="s">
        <v>339</v>
      </c>
      <c r="O248" s="96" t="s">
        <v>446</v>
      </c>
      <c r="P248" s="96" t="s">
        <v>337</v>
      </c>
      <c r="Q248" s="96" t="s">
        <v>1200</v>
      </c>
      <c r="R248" s="97">
        <v>10860.162757</v>
      </c>
      <c r="S248" s="97">
        <v>1</v>
      </c>
      <c r="T248" s="97">
        <v>2906</v>
      </c>
      <c r="U248" s="96"/>
      <c r="V248" s="97">
        <v>315.59632900000003</v>
      </c>
      <c r="W248" s="98">
        <v>3.0400000000000002E-4</v>
      </c>
      <c r="X248" s="98">
        <v>5.6400000000000005E-4</v>
      </c>
      <c r="Y248" s="98">
        <v>1.64E-4</v>
      </c>
      <c r="Z248" s="106"/>
    </row>
    <row r="249" spans="1:26" ht="15" customHeight="1">
      <c r="A249" s="106"/>
      <c r="B249" s="96">
        <v>286</v>
      </c>
      <c r="C249" s="96">
        <v>286</v>
      </c>
      <c r="D249" s="96" t="s">
        <v>1406</v>
      </c>
      <c r="E249" s="96">
        <v>520025586</v>
      </c>
      <c r="F249" s="96" t="s">
        <v>308</v>
      </c>
      <c r="G249" s="96" t="s">
        <v>2544</v>
      </c>
      <c r="H249" s="96" t="s">
        <v>2545</v>
      </c>
      <c r="I249" s="96" t="s">
        <v>320</v>
      </c>
      <c r="J249" s="96" t="s">
        <v>918</v>
      </c>
      <c r="K249" s="96" t="s">
        <v>203</v>
      </c>
      <c r="L249" s="96" t="s">
        <v>203</v>
      </c>
      <c r="M249" s="96" t="s">
        <v>324</v>
      </c>
      <c r="N249" s="96" t="s">
        <v>339</v>
      </c>
      <c r="O249" s="96" t="s">
        <v>450</v>
      </c>
      <c r="P249" s="96" t="s">
        <v>338</v>
      </c>
      <c r="Q249" s="96" t="s">
        <v>1200</v>
      </c>
      <c r="R249" s="97">
        <v>17118.900117000001</v>
      </c>
      <c r="S249" s="97">
        <v>1</v>
      </c>
      <c r="T249" s="97">
        <v>499</v>
      </c>
      <c r="U249" s="96"/>
      <c r="V249" s="97">
        <v>85.423310999999998</v>
      </c>
      <c r="W249" s="98">
        <v>2.6200000000000003E-4</v>
      </c>
      <c r="X249" s="98">
        <v>1.5200000000000001E-4</v>
      </c>
      <c r="Y249" s="98">
        <v>4.3999999999999999E-5</v>
      </c>
      <c r="Z249" s="106"/>
    </row>
    <row r="250" spans="1:26" ht="15" customHeight="1">
      <c r="A250" s="106"/>
      <c r="B250" s="96">
        <v>286</v>
      </c>
      <c r="C250" s="96">
        <v>286</v>
      </c>
      <c r="D250" s="96" t="s">
        <v>1982</v>
      </c>
      <c r="E250" s="96">
        <v>520036732</v>
      </c>
      <c r="F250" s="96" t="s">
        <v>308</v>
      </c>
      <c r="G250" s="96" t="s">
        <v>2471</v>
      </c>
      <c r="H250" s="96" t="s">
        <v>2472</v>
      </c>
      <c r="I250" s="96" t="s">
        <v>320</v>
      </c>
      <c r="J250" s="96" t="s">
        <v>918</v>
      </c>
      <c r="K250" s="96" t="s">
        <v>203</v>
      </c>
      <c r="L250" s="96" t="s">
        <v>203</v>
      </c>
      <c r="M250" s="96" t="s">
        <v>324</v>
      </c>
      <c r="N250" s="96" t="s">
        <v>339</v>
      </c>
      <c r="O250" s="96" t="s">
        <v>461</v>
      </c>
      <c r="P250" s="96" t="s">
        <v>338</v>
      </c>
      <c r="Q250" s="96" t="s">
        <v>1200</v>
      </c>
      <c r="R250" s="97">
        <v>1649.8929680000001</v>
      </c>
      <c r="S250" s="97">
        <v>1</v>
      </c>
      <c r="T250" s="97">
        <v>19430</v>
      </c>
      <c r="U250" s="96"/>
      <c r="V250" s="97">
        <v>320.57420300000001</v>
      </c>
      <c r="W250" s="98">
        <v>1.92E-4</v>
      </c>
      <c r="X250" s="98">
        <v>5.7300000000000005E-4</v>
      </c>
      <c r="Y250" s="98">
        <v>1.66E-4</v>
      </c>
      <c r="Z250" s="106"/>
    </row>
    <row r="251" spans="1:26" ht="15" customHeight="1">
      <c r="A251" s="106"/>
      <c r="B251" s="96">
        <v>286</v>
      </c>
      <c r="C251" s="96">
        <v>286</v>
      </c>
      <c r="D251" s="96" t="s">
        <v>1467</v>
      </c>
      <c r="E251" s="96">
        <v>515334662</v>
      </c>
      <c r="F251" s="96" t="s">
        <v>308</v>
      </c>
      <c r="G251" s="96" t="s">
        <v>2606</v>
      </c>
      <c r="H251" s="96" t="s">
        <v>2607</v>
      </c>
      <c r="I251" s="96" t="s">
        <v>320</v>
      </c>
      <c r="J251" s="96" t="s">
        <v>918</v>
      </c>
      <c r="K251" s="96" t="s">
        <v>203</v>
      </c>
      <c r="L251" s="96" t="s">
        <v>203</v>
      </c>
      <c r="M251" s="96" t="s">
        <v>324</v>
      </c>
      <c r="N251" s="96" t="s">
        <v>339</v>
      </c>
      <c r="O251" s="96" t="s">
        <v>453</v>
      </c>
      <c r="P251" s="96" t="s">
        <v>337</v>
      </c>
      <c r="Q251" s="96" t="s">
        <v>1200</v>
      </c>
      <c r="R251" s="97">
        <v>66330.385806999999</v>
      </c>
      <c r="S251" s="97">
        <v>1</v>
      </c>
      <c r="T251" s="97">
        <v>2027</v>
      </c>
      <c r="U251" s="96"/>
      <c r="V251" s="97">
        <v>1344.5169189999999</v>
      </c>
      <c r="W251" s="98">
        <v>7.4899999999999999E-4</v>
      </c>
      <c r="X251" s="98">
        <v>2.4060000000000002E-3</v>
      </c>
      <c r="Y251" s="98">
        <v>6.9899999999999997E-4</v>
      </c>
      <c r="Z251" s="106"/>
    </row>
    <row r="252" spans="1:26" ht="15" customHeight="1">
      <c r="A252" s="106"/>
      <c r="B252" s="96">
        <v>286</v>
      </c>
      <c r="C252" s="96">
        <v>286</v>
      </c>
      <c r="D252" s="96" t="s">
        <v>2494</v>
      </c>
      <c r="E252" s="96">
        <v>513770669</v>
      </c>
      <c r="F252" s="96" t="s">
        <v>308</v>
      </c>
      <c r="G252" s="96" t="s">
        <v>2495</v>
      </c>
      <c r="H252" s="96" t="s">
        <v>2496</v>
      </c>
      <c r="I252" s="96" t="s">
        <v>320</v>
      </c>
      <c r="J252" s="96" t="s">
        <v>918</v>
      </c>
      <c r="K252" s="96" t="s">
        <v>203</v>
      </c>
      <c r="L252" s="96" t="s">
        <v>203</v>
      </c>
      <c r="M252" s="96" t="s">
        <v>324</v>
      </c>
      <c r="N252" s="96" t="s">
        <v>339</v>
      </c>
      <c r="O252" s="96" t="s">
        <v>474</v>
      </c>
      <c r="P252" s="96" t="s">
        <v>338</v>
      </c>
      <c r="Q252" s="96" t="s">
        <v>1200</v>
      </c>
      <c r="R252" s="97">
        <v>3426.2096980000001</v>
      </c>
      <c r="S252" s="97">
        <v>1</v>
      </c>
      <c r="T252" s="97">
        <v>19750</v>
      </c>
      <c r="U252" s="96"/>
      <c r="V252" s="97">
        <v>676.67641500000002</v>
      </c>
      <c r="W252" s="98">
        <v>2.4800000000000001E-4</v>
      </c>
      <c r="X252" s="98">
        <v>1.2099999999999999E-3</v>
      </c>
      <c r="Y252" s="98">
        <v>3.5100000000000002E-4</v>
      </c>
      <c r="Z252" s="106"/>
    </row>
    <row r="253" spans="1:26" ht="15" customHeight="1">
      <c r="A253" s="106"/>
      <c r="B253" s="96">
        <v>286</v>
      </c>
      <c r="C253" s="96">
        <v>286</v>
      </c>
      <c r="D253" s="96" t="s">
        <v>1565</v>
      </c>
      <c r="E253" s="96">
        <v>520033234</v>
      </c>
      <c r="F253" s="96" t="s">
        <v>308</v>
      </c>
      <c r="G253" s="96" t="s">
        <v>2594</v>
      </c>
      <c r="H253" s="96" t="s">
        <v>2595</v>
      </c>
      <c r="I253" s="96" t="s">
        <v>320</v>
      </c>
      <c r="J253" s="96" t="s">
        <v>918</v>
      </c>
      <c r="K253" s="96" t="s">
        <v>203</v>
      </c>
      <c r="L253" s="96" t="s">
        <v>203</v>
      </c>
      <c r="M253" s="96" t="s">
        <v>324</v>
      </c>
      <c r="N253" s="96" t="s">
        <v>339</v>
      </c>
      <c r="O253" s="96" t="s">
        <v>464</v>
      </c>
      <c r="P253" s="96" t="s">
        <v>337</v>
      </c>
      <c r="Q253" s="96" t="s">
        <v>1200</v>
      </c>
      <c r="R253" s="97">
        <v>106357.649422</v>
      </c>
      <c r="S253" s="97">
        <v>1</v>
      </c>
      <c r="T253" s="97">
        <v>881.8</v>
      </c>
      <c r="U253" s="96"/>
      <c r="V253" s="97">
        <v>937.86175200000002</v>
      </c>
      <c r="W253" s="98">
        <v>5.7399999999999997E-4</v>
      </c>
      <c r="X253" s="98">
        <v>1.678E-3</v>
      </c>
      <c r="Y253" s="98">
        <v>4.8700000000000002E-4</v>
      </c>
      <c r="Z253" s="106"/>
    </row>
    <row r="254" spans="1:26" ht="15" customHeight="1">
      <c r="A254" s="106"/>
      <c r="B254" s="96">
        <v>286</v>
      </c>
      <c r="C254" s="96">
        <v>286</v>
      </c>
      <c r="D254" s="96" t="s">
        <v>2674</v>
      </c>
      <c r="E254" s="96">
        <v>514259019</v>
      </c>
      <c r="F254" s="96" t="s">
        <v>308</v>
      </c>
      <c r="G254" s="96" t="s">
        <v>2675</v>
      </c>
      <c r="H254" s="96" t="s">
        <v>2676</v>
      </c>
      <c r="I254" s="96" t="s">
        <v>320</v>
      </c>
      <c r="J254" s="96" t="s">
        <v>918</v>
      </c>
      <c r="K254" s="96" t="s">
        <v>203</v>
      </c>
      <c r="L254" s="96" t="s">
        <v>203</v>
      </c>
      <c r="M254" s="96" t="s">
        <v>324</v>
      </c>
      <c r="N254" s="96" t="s">
        <v>339</v>
      </c>
      <c r="O254" s="96" t="s">
        <v>438</v>
      </c>
      <c r="P254" s="96" t="s">
        <v>338</v>
      </c>
      <c r="Q254" s="96" t="s">
        <v>1200</v>
      </c>
      <c r="R254" s="97">
        <v>11797.597567000001</v>
      </c>
      <c r="S254" s="97">
        <v>1</v>
      </c>
      <c r="T254" s="97">
        <v>5368</v>
      </c>
      <c r="U254" s="96"/>
      <c r="V254" s="97">
        <v>633.29503699999998</v>
      </c>
      <c r="W254" s="98">
        <v>1.47E-4</v>
      </c>
      <c r="X254" s="98">
        <v>1.1329999999999999E-3</v>
      </c>
      <c r="Y254" s="98">
        <v>3.2899999999999997E-4</v>
      </c>
      <c r="Z254" s="106"/>
    </row>
    <row r="255" spans="1:26" ht="15" customHeight="1">
      <c r="A255" s="106"/>
      <c r="B255" s="96">
        <v>286</v>
      </c>
      <c r="C255" s="96">
        <v>286</v>
      </c>
      <c r="D255" s="96" t="s">
        <v>2559</v>
      </c>
      <c r="E255" s="96">
        <v>520039298</v>
      </c>
      <c r="F255" s="96" t="s">
        <v>308</v>
      </c>
      <c r="G255" s="96" t="s">
        <v>2560</v>
      </c>
      <c r="H255" s="96" t="s">
        <v>2561</v>
      </c>
      <c r="I255" s="96" t="s">
        <v>320</v>
      </c>
      <c r="J255" s="96" t="s">
        <v>918</v>
      </c>
      <c r="K255" s="96" t="s">
        <v>203</v>
      </c>
      <c r="L255" s="96" t="s">
        <v>203</v>
      </c>
      <c r="M255" s="96" t="s">
        <v>326</v>
      </c>
      <c r="N255" s="96" t="s">
        <v>339</v>
      </c>
      <c r="O255" s="96" t="s">
        <v>446</v>
      </c>
      <c r="P255" s="96" t="s">
        <v>337</v>
      </c>
      <c r="Q255" s="96" t="s">
        <v>1200</v>
      </c>
      <c r="R255" s="97">
        <v>9345.9718059999996</v>
      </c>
      <c r="S255" s="97">
        <v>1</v>
      </c>
      <c r="T255" s="97">
        <v>1203.3756000000001</v>
      </c>
      <c r="U255" s="96"/>
      <c r="V255" s="97">
        <v>112.467147</v>
      </c>
      <c r="W255" s="98">
        <v>2.8E-5</v>
      </c>
      <c r="X255" s="98">
        <v>2.0100000000000001E-4</v>
      </c>
      <c r="Y255" s="98">
        <v>5.8E-5</v>
      </c>
      <c r="Z255" s="106"/>
    </row>
    <row r="256" spans="1:26" ht="15" customHeight="1">
      <c r="A256" s="106"/>
      <c r="B256" s="96">
        <v>286</v>
      </c>
      <c r="C256" s="96">
        <v>286</v>
      </c>
      <c r="D256" s="96" t="s">
        <v>2554</v>
      </c>
      <c r="E256" s="96">
        <v>513201582</v>
      </c>
      <c r="F256" s="96" t="s">
        <v>308</v>
      </c>
      <c r="G256" s="96" t="s">
        <v>2555</v>
      </c>
      <c r="H256" s="96" t="s">
        <v>2556</v>
      </c>
      <c r="I256" s="96" t="s">
        <v>320</v>
      </c>
      <c r="J256" s="96" t="s">
        <v>918</v>
      </c>
      <c r="K256" s="96" t="s">
        <v>203</v>
      </c>
      <c r="L256" s="96" t="s">
        <v>203</v>
      </c>
      <c r="M256" s="96" t="s">
        <v>324</v>
      </c>
      <c r="N256" s="96" t="s">
        <v>339</v>
      </c>
      <c r="O256" s="96" t="s">
        <v>446</v>
      </c>
      <c r="P256" s="96" t="s">
        <v>338</v>
      </c>
      <c r="Q256" s="96" t="s">
        <v>1200</v>
      </c>
      <c r="R256" s="97">
        <v>14440.86565</v>
      </c>
      <c r="S256" s="97">
        <v>1</v>
      </c>
      <c r="T256" s="97">
        <v>2107</v>
      </c>
      <c r="U256" s="96"/>
      <c r="V256" s="97">
        <v>304.26903900000002</v>
      </c>
      <c r="W256" s="98">
        <v>1.92E-4</v>
      </c>
      <c r="X256" s="98">
        <v>5.44E-4</v>
      </c>
      <c r="Y256" s="98">
        <v>1.5799999999999999E-4</v>
      </c>
      <c r="Z256" s="106"/>
    </row>
    <row r="257" spans="1:26" ht="15" customHeight="1">
      <c r="A257" s="106"/>
      <c r="B257" s="96">
        <v>286</v>
      </c>
      <c r="C257" s="96">
        <v>286</v>
      </c>
      <c r="D257" s="96" t="s">
        <v>2546</v>
      </c>
      <c r="E257" s="96">
        <v>520025198</v>
      </c>
      <c r="F257" s="96" t="s">
        <v>308</v>
      </c>
      <c r="G257" s="96" t="s">
        <v>2547</v>
      </c>
      <c r="H257" s="96" t="s">
        <v>2548</v>
      </c>
      <c r="I257" s="96" t="s">
        <v>320</v>
      </c>
      <c r="J257" s="96" t="s">
        <v>918</v>
      </c>
      <c r="K257" s="96" t="s">
        <v>203</v>
      </c>
      <c r="L257" s="96" t="s">
        <v>203</v>
      </c>
      <c r="M257" s="96" t="s">
        <v>324</v>
      </c>
      <c r="N257" s="96" t="s">
        <v>339</v>
      </c>
      <c r="O257" s="96" t="s">
        <v>475</v>
      </c>
      <c r="P257" s="96" t="s">
        <v>337</v>
      </c>
      <c r="Q257" s="96" t="s">
        <v>1200</v>
      </c>
      <c r="R257" s="97">
        <v>2626.733291</v>
      </c>
      <c r="S257" s="97">
        <v>1</v>
      </c>
      <c r="T257" s="97">
        <v>8237</v>
      </c>
      <c r="U257" s="96"/>
      <c r="V257" s="97">
        <v>216.36402100000001</v>
      </c>
      <c r="W257" s="98">
        <v>4.0999999999999999E-4</v>
      </c>
      <c r="X257" s="98">
        <v>3.8699999999999997E-4</v>
      </c>
      <c r="Y257" s="98">
        <v>1.12E-4</v>
      </c>
      <c r="Z257" s="106"/>
    </row>
    <row r="258" spans="1:26" ht="15" customHeight="1">
      <c r="A258" s="106"/>
      <c r="B258" s="96">
        <v>286</v>
      </c>
      <c r="C258" s="96">
        <v>286</v>
      </c>
      <c r="D258" s="96" t="s">
        <v>2559</v>
      </c>
      <c r="E258" s="96">
        <v>520039298</v>
      </c>
      <c r="F258" s="96" t="s">
        <v>308</v>
      </c>
      <c r="G258" s="96" t="s">
        <v>2571</v>
      </c>
      <c r="H258" s="96" t="s">
        <v>2561</v>
      </c>
      <c r="I258" s="96" t="s">
        <v>320</v>
      </c>
      <c r="J258" s="96" t="s">
        <v>918</v>
      </c>
      <c r="K258" s="96" t="s">
        <v>203</v>
      </c>
      <c r="L258" s="96" t="s">
        <v>203</v>
      </c>
      <c r="M258" s="96" t="s">
        <v>324</v>
      </c>
      <c r="N258" s="96" t="s">
        <v>339</v>
      </c>
      <c r="O258" s="96" t="s">
        <v>446</v>
      </c>
      <c r="P258" s="96" t="s">
        <v>337</v>
      </c>
      <c r="Q258" s="96" t="s">
        <v>1200</v>
      </c>
      <c r="R258" s="97">
        <v>120996.764091</v>
      </c>
      <c r="S258" s="97">
        <v>1</v>
      </c>
      <c r="T258" s="97">
        <v>1205</v>
      </c>
      <c r="U258" s="96"/>
      <c r="V258" s="97">
        <v>1458.0110070000001</v>
      </c>
      <c r="W258" s="98">
        <v>3.7500000000000001E-4</v>
      </c>
      <c r="X258" s="98">
        <v>2.6090000000000002E-3</v>
      </c>
      <c r="Y258" s="98">
        <v>7.5799999999999999E-4</v>
      </c>
      <c r="Z258" s="106"/>
    </row>
    <row r="259" spans="1:26" ht="15" customHeight="1">
      <c r="A259" s="106"/>
      <c r="B259" s="96">
        <v>286</v>
      </c>
      <c r="C259" s="96">
        <v>286</v>
      </c>
      <c r="D259" s="96" t="s">
        <v>1491</v>
      </c>
      <c r="E259" s="96">
        <v>520036104</v>
      </c>
      <c r="F259" s="96" t="s">
        <v>308</v>
      </c>
      <c r="G259" s="96" t="s">
        <v>2439</v>
      </c>
      <c r="H259" s="96" t="s">
        <v>2440</v>
      </c>
      <c r="I259" s="96" t="s">
        <v>320</v>
      </c>
      <c r="J259" s="96" t="s">
        <v>918</v>
      </c>
      <c r="K259" s="96" t="s">
        <v>203</v>
      </c>
      <c r="L259" s="96" t="s">
        <v>203</v>
      </c>
      <c r="M259" s="96" t="s">
        <v>324</v>
      </c>
      <c r="N259" s="96" t="s">
        <v>339</v>
      </c>
      <c r="O259" s="96" t="s">
        <v>446</v>
      </c>
      <c r="P259" s="96" t="s">
        <v>337</v>
      </c>
      <c r="Q259" s="96" t="s">
        <v>1200</v>
      </c>
      <c r="R259" s="97">
        <v>227034.55977200001</v>
      </c>
      <c r="S259" s="97">
        <v>1</v>
      </c>
      <c r="T259" s="97">
        <v>703.3</v>
      </c>
      <c r="U259" s="96"/>
      <c r="V259" s="97">
        <v>1596.734058</v>
      </c>
      <c r="W259" s="98">
        <v>4.1399999999999998E-4</v>
      </c>
      <c r="X259" s="98">
        <v>2.8579999999999999E-3</v>
      </c>
      <c r="Y259" s="98">
        <v>8.3100000000000003E-4</v>
      </c>
      <c r="Z259" s="106"/>
    </row>
    <row r="260" spans="1:26" ht="15" customHeight="1">
      <c r="A260" s="106"/>
      <c r="B260" s="96">
        <v>286</v>
      </c>
      <c r="C260" s="96">
        <v>286</v>
      </c>
      <c r="D260" s="96" t="s">
        <v>1774</v>
      </c>
      <c r="E260" s="96">
        <v>520039967</v>
      </c>
      <c r="F260" s="96" t="s">
        <v>308</v>
      </c>
      <c r="G260" s="96" t="s">
        <v>2745</v>
      </c>
      <c r="H260" s="96" t="s">
        <v>2456</v>
      </c>
      <c r="I260" s="96" t="s">
        <v>320</v>
      </c>
      <c r="J260" s="96" t="s">
        <v>918</v>
      </c>
      <c r="K260" s="96" t="s">
        <v>203</v>
      </c>
      <c r="L260" s="96" t="s">
        <v>203</v>
      </c>
      <c r="M260" s="96" t="s">
        <v>326</v>
      </c>
      <c r="N260" s="96" t="s">
        <v>339</v>
      </c>
      <c r="O260" s="96" t="s">
        <v>474</v>
      </c>
      <c r="P260" s="96" t="s">
        <v>337</v>
      </c>
      <c r="Q260" s="96" t="s">
        <v>1200</v>
      </c>
      <c r="R260" s="97">
        <v>499.42530399999998</v>
      </c>
      <c r="S260" s="97">
        <v>1</v>
      </c>
      <c r="T260" s="97">
        <v>7219.1570000000002</v>
      </c>
      <c r="U260" s="96"/>
      <c r="V260" s="97">
        <v>36.054296000000001</v>
      </c>
      <c r="W260" s="98">
        <v>2.0999999999999999E-5</v>
      </c>
      <c r="X260" s="98">
        <v>6.3999999999999997E-5</v>
      </c>
      <c r="Y260" s="98">
        <v>1.8E-5</v>
      </c>
      <c r="Z260" s="106"/>
    </row>
    <row r="261" spans="1:26" ht="15" customHeight="1">
      <c r="A261" s="106"/>
      <c r="B261" s="96">
        <v>286</v>
      </c>
      <c r="C261" s="96">
        <v>286</v>
      </c>
      <c r="D261" s="96" t="s">
        <v>1955</v>
      </c>
      <c r="E261" s="96">
        <v>516167343</v>
      </c>
      <c r="F261" s="96" t="s">
        <v>308</v>
      </c>
      <c r="G261" s="96" t="s">
        <v>2770</v>
      </c>
      <c r="H261" s="96" t="s">
        <v>2498</v>
      </c>
      <c r="I261" s="96" t="s">
        <v>320</v>
      </c>
      <c r="J261" s="96" t="s">
        <v>918</v>
      </c>
      <c r="K261" s="96" t="s">
        <v>203</v>
      </c>
      <c r="L261" s="96" t="s">
        <v>203</v>
      </c>
      <c r="M261" s="96" t="s">
        <v>326</v>
      </c>
      <c r="N261" s="96" t="s">
        <v>339</v>
      </c>
      <c r="O261" s="96" t="s">
        <v>439</v>
      </c>
      <c r="P261" s="96" t="s">
        <v>338</v>
      </c>
      <c r="Q261" s="96" t="s">
        <v>1200</v>
      </c>
      <c r="R261" s="97">
        <v>51399.806335000001</v>
      </c>
      <c r="S261" s="97">
        <v>1</v>
      </c>
      <c r="T261" s="97">
        <v>247.12809999999999</v>
      </c>
      <c r="U261" s="96"/>
      <c r="V261" s="97">
        <v>127.023346</v>
      </c>
      <c r="W261" s="98">
        <v>7.2000000000000002E-5</v>
      </c>
      <c r="X261" s="98">
        <v>2.2699999999999999E-4</v>
      </c>
      <c r="Y261" s="98">
        <v>6.6000000000000005E-5</v>
      </c>
      <c r="Z261" s="106"/>
    </row>
    <row r="262" spans="1:26" ht="15" customHeight="1">
      <c r="A262" s="106"/>
      <c r="B262" s="96">
        <v>286</v>
      </c>
      <c r="C262" s="96">
        <v>286</v>
      </c>
      <c r="D262" s="96" t="s">
        <v>2762</v>
      </c>
      <c r="E262" s="96">
        <v>511898835</v>
      </c>
      <c r="F262" s="96" t="s">
        <v>308</v>
      </c>
      <c r="G262" s="96" t="s">
        <v>2763</v>
      </c>
      <c r="H262" s="96" t="s">
        <v>2764</v>
      </c>
      <c r="I262" s="96" t="s">
        <v>320</v>
      </c>
      <c r="J262" s="96" t="s">
        <v>918</v>
      </c>
      <c r="K262" s="96" t="s">
        <v>203</v>
      </c>
      <c r="L262" s="96" t="s">
        <v>203</v>
      </c>
      <c r="M262" s="96" t="s">
        <v>324</v>
      </c>
      <c r="N262" s="96" t="s">
        <v>339</v>
      </c>
      <c r="O262" s="96" t="s">
        <v>449</v>
      </c>
      <c r="P262" s="96" t="s">
        <v>338</v>
      </c>
      <c r="Q262" s="96" t="s">
        <v>1200</v>
      </c>
      <c r="R262" s="97">
        <v>12337.270768</v>
      </c>
      <c r="S262" s="97">
        <v>1</v>
      </c>
      <c r="T262" s="97">
        <v>32.6</v>
      </c>
      <c r="U262" s="96"/>
      <c r="V262" s="97">
        <v>4.0219500000000004</v>
      </c>
      <c r="W262" s="98">
        <v>7.7999999999999999E-5</v>
      </c>
      <c r="X262" s="98">
        <v>6.9999999999999999E-6</v>
      </c>
      <c r="Y262" s="98">
        <v>1.9999999999999999E-6</v>
      </c>
      <c r="Z262" s="106"/>
    </row>
    <row r="263" spans="1:26" ht="15" customHeight="1">
      <c r="A263" s="106"/>
      <c r="B263" s="96">
        <v>286</v>
      </c>
      <c r="C263" s="96">
        <v>286</v>
      </c>
      <c r="D263" s="96" t="s">
        <v>1934</v>
      </c>
      <c r="E263" s="96">
        <v>520025602</v>
      </c>
      <c r="F263" s="96" t="s">
        <v>308</v>
      </c>
      <c r="G263" s="96" t="s">
        <v>2421</v>
      </c>
      <c r="H263" s="96" t="s">
        <v>2422</v>
      </c>
      <c r="I263" s="96" t="s">
        <v>320</v>
      </c>
      <c r="J263" s="96" t="s">
        <v>918</v>
      </c>
      <c r="K263" s="96" t="s">
        <v>203</v>
      </c>
      <c r="L263" s="96" t="s">
        <v>203</v>
      </c>
      <c r="M263" s="96" t="s">
        <v>324</v>
      </c>
      <c r="N263" s="96" t="s">
        <v>339</v>
      </c>
      <c r="O263" s="96" t="s">
        <v>436</v>
      </c>
      <c r="P263" s="96" t="s">
        <v>338</v>
      </c>
      <c r="Q263" s="96" t="s">
        <v>1200</v>
      </c>
      <c r="R263" s="97">
        <v>6162.8078930000001</v>
      </c>
      <c r="S263" s="97">
        <v>1</v>
      </c>
      <c r="T263" s="97">
        <v>15700</v>
      </c>
      <c r="U263" s="96"/>
      <c r="V263" s="97">
        <v>967.56083899999999</v>
      </c>
      <c r="W263" s="98">
        <v>2.3699999999999999E-4</v>
      </c>
      <c r="X263" s="98">
        <v>1.732E-3</v>
      </c>
      <c r="Y263" s="98">
        <v>5.0299999999999997E-4</v>
      </c>
      <c r="Z263" s="106"/>
    </row>
    <row r="264" spans="1:26" ht="15" customHeight="1">
      <c r="A264" s="106"/>
      <c r="B264" s="96">
        <v>286</v>
      </c>
      <c r="C264" s="96">
        <v>286</v>
      </c>
      <c r="D264" s="96" t="s">
        <v>2717</v>
      </c>
      <c r="E264" s="96">
        <v>512157603</v>
      </c>
      <c r="F264" s="96" t="s">
        <v>308</v>
      </c>
      <c r="G264" s="96" t="s">
        <v>2718</v>
      </c>
      <c r="H264" s="96" t="s">
        <v>2719</v>
      </c>
      <c r="I264" s="96" t="s">
        <v>320</v>
      </c>
      <c r="J264" s="96" t="s">
        <v>918</v>
      </c>
      <c r="K264" s="96" t="s">
        <v>203</v>
      </c>
      <c r="L264" s="96" t="s">
        <v>203</v>
      </c>
      <c r="M264" s="96" t="s">
        <v>324</v>
      </c>
      <c r="N264" s="96" t="s">
        <v>339</v>
      </c>
      <c r="O264" s="96" t="s">
        <v>474</v>
      </c>
      <c r="P264" s="96" t="s">
        <v>338</v>
      </c>
      <c r="Q264" s="96" t="s">
        <v>1200</v>
      </c>
      <c r="R264" s="97">
        <v>3612.3043210000001</v>
      </c>
      <c r="S264" s="97">
        <v>1</v>
      </c>
      <c r="T264" s="97">
        <v>23750</v>
      </c>
      <c r="U264" s="96"/>
      <c r="V264" s="97">
        <v>857.92227600000001</v>
      </c>
      <c r="W264" s="98">
        <v>2.61E-4</v>
      </c>
      <c r="X264" s="98">
        <v>1.5349999999999999E-3</v>
      </c>
      <c r="Y264" s="98">
        <v>4.46E-4</v>
      </c>
      <c r="Z264" s="106"/>
    </row>
    <row r="265" spans="1:26" ht="15" customHeight="1">
      <c r="A265" s="106"/>
      <c r="B265" s="96">
        <v>286</v>
      </c>
      <c r="C265" s="96">
        <v>286</v>
      </c>
      <c r="D265" s="96" t="s">
        <v>1340</v>
      </c>
      <c r="E265" s="96">
        <v>520036658</v>
      </c>
      <c r="F265" s="96" t="s">
        <v>308</v>
      </c>
      <c r="G265" s="96" t="s">
        <v>2658</v>
      </c>
      <c r="H265" s="96" t="s">
        <v>2659</v>
      </c>
      <c r="I265" s="96" t="s">
        <v>320</v>
      </c>
      <c r="J265" s="96" t="s">
        <v>918</v>
      </c>
      <c r="K265" s="96" t="s">
        <v>203</v>
      </c>
      <c r="L265" s="96" t="s">
        <v>203</v>
      </c>
      <c r="M265" s="96" t="s">
        <v>324</v>
      </c>
      <c r="N265" s="96" t="s">
        <v>339</v>
      </c>
      <c r="O265" s="96" t="s">
        <v>439</v>
      </c>
      <c r="P265" s="96" t="s">
        <v>338</v>
      </c>
      <c r="Q265" s="96" t="s">
        <v>1200</v>
      </c>
      <c r="R265" s="97">
        <v>826307.03609399998</v>
      </c>
      <c r="S265" s="97">
        <v>1</v>
      </c>
      <c r="T265" s="97">
        <v>86.7</v>
      </c>
      <c r="U265" s="96"/>
      <c r="V265" s="97">
        <v>716.40819899999997</v>
      </c>
      <c r="W265" s="98">
        <v>2.6400000000000002E-4</v>
      </c>
      <c r="X265" s="98">
        <v>1.281E-3</v>
      </c>
      <c r="Y265" s="98">
        <v>3.7199999999999999E-4</v>
      </c>
      <c r="Z265" s="106"/>
    </row>
    <row r="266" spans="1:26" ht="15" customHeight="1">
      <c r="A266" s="106"/>
      <c r="B266" s="96">
        <v>286</v>
      </c>
      <c r="C266" s="96">
        <v>286</v>
      </c>
      <c r="D266" s="96" t="s">
        <v>1421</v>
      </c>
      <c r="E266" s="96">
        <v>520026683</v>
      </c>
      <c r="F266" s="96" t="s">
        <v>308</v>
      </c>
      <c r="G266" s="96" t="s">
        <v>2569</v>
      </c>
      <c r="H266" s="96" t="s">
        <v>2570</v>
      </c>
      <c r="I266" s="96" t="s">
        <v>320</v>
      </c>
      <c r="J266" s="96" t="s">
        <v>918</v>
      </c>
      <c r="K266" s="96" t="s">
        <v>203</v>
      </c>
      <c r="L266" s="96" t="s">
        <v>203</v>
      </c>
      <c r="M266" s="96" t="s">
        <v>324</v>
      </c>
      <c r="N266" s="96" t="s">
        <v>339</v>
      </c>
      <c r="O266" s="96" t="s">
        <v>463</v>
      </c>
      <c r="P266" s="96" t="s">
        <v>338</v>
      </c>
      <c r="Q266" s="96" t="s">
        <v>1200</v>
      </c>
      <c r="R266" s="97">
        <v>38352.496253999998</v>
      </c>
      <c r="S266" s="97">
        <v>1</v>
      </c>
      <c r="T266" s="97">
        <v>1510</v>
      </c>
      <c r="U266" s="96"/>
      <c r="V266" s="97">
        <v>579.12269300000003</v>
      </c>
      <c r="W266" s="98">
        <v>8.1000000000000004E-5</v>
      </c>
      <c r="X266" s="98">
        <v>1.036E-3</v>
      </c>
      <c r="Y266" s="98">
        <v>3.01E-4</v>
      </c>
      <c r="Z266" s="106"/>
    </row>
    <row r="267" spans="1:26" ht="15" customHeight="1">
      <c r="A267" s="106"/>
      <c r="B267" s="96">
        <v>286</v>
      </c>
      <c r="C267" s="96">
        <v>286</v>
      </c>
      <c r="D267" s="96" t="s">
        <v>2649</v>
      </c>
      <c r="E267" s="96">
        <v>511812463</v>
      </c>
      <c r="F267" s="96" t="s">
        <v>308</v>
      </c>
      <c r="G267" s="96" t="s">
        <v>2650</v>
      </c>
      <c r="H267" s="96" t="s">
        <v>2651</v>
      </c>
      <c r="I267" s="96" t="s">
        <v>320</v>
      </c>
      <c r="J267" s="96" t="s">
        <v>918</v>
      </c>
      <c r="K267" s="96" t="s">
        <v>203</v>
      </c>
      <c r="L267" s="96" t="s">
        <v>203</v>
      </c>
      <c r="M267" s="96" t="s">
        <v>324</v>
      </c>
      <c r="N267" s="96" t="s">
        <v>339</v>
      </c>
      <c r="O267" s="96" t="s">
        <v>457</v>
      </c>
      <c r="P267" s="96" t="s">
        <v>337</v>
      </c>
      <c r="Q267" s="96" t="s">
        <v>1200</v>
      </c>
      <c r="R267" s="97">
        <v>4550.443123</v>
      </c>
      <c r="S267" s="97">
        <v>1</v>
      </c>
      <c r="T267" s="97">
        <v>87800</v>
      </c>
      <c r="U267" s="96"/>
      <c r="V267" s="97">
        <v>3995.2890619999998</v>
      </c>
      <c r="W267" s="98">
        <v>1.56E-4</v>
      </c>
      <c r="X267" s="98">
        <v>7.1510000000000002E-3</v>
      </c>
      <c r="Y267" s="98">
        <v>2.0799999999999998E-3</v>
      </c>
      <c r="Z267" s="106"/>
    </row>
    <row r="268" spans="1:26" ht="15" customHeight="1">
      <c r="A268" s="106"/>
      <c r="B268" s="96">
        <v>286</v>
      </c>
      <c r="C268" s="96">
        <v>286</v>
      </c>
      <c r="D268" s="96" t="s">
        <v>2449</v>
      </c>
      <c r="E268" s="96">
        <v>516632387</v>
      </c>
      <c r="F268" s="96" t="s">
        <v>308</v>
      </c>
      <c r="G268" s="96" t="s">
        <v>2450</v>
      </c>
      <c r="H268" s="96" t="s">
        <v>2451</v>
      </c>
      <c r="I268" s="96" t="s">
        <v>320</v>
      </c>
      <c r="J268" s="96" t="s">
        <v>918</v>
      </c>
      <c r="K268" s="96" t="s">
        <v>203</v>
      </c>
      <c r="L268" s="96" t="s">
        <v>203</v>
      </c>
      <c r="M268" s="96" t="s">
        <v>324</v>
      </c>
      <c r="N268" s="96" t="s">
        <v>339</v>
      </c>
      <c r="O268" s="96" t="s">
        <v>463</v>
      </c>
      <c r="P268" s="96" t="s">
        <v>337</v>
      </c>
      <c r="Q268" s="96" t="s">
        <v>1200</v>
      </c>
      <c r="R268" s="97">
        <v>2626.733291</v>
      </c>
      <c r="S268" s="97">
        <v>1</v>
      </c>
      <c r="T268" s="97">
        <v>28570</v>
      </c>
      <c r="U268" s="96"/>
      <c r="V268" s="97">
        <v>750.45770100000004</v>
      </c>
      <c r="W268" s="98">
        <v>4.0999999999999999E-4</v>
      </c>
      <c r="X268" s="98">
        <v>1.343E-3</v>
      </c>
      <c r="Y268" s="98">
        <v>3.8999999999999999E-4</v>
      </c>
      <c r="Z268" s="106"/>
    </row>
    <row r="269" spans="1:26" ht="15" customHeight="1">
      <c r="A269" s="106"/>
      <c r="B269" s="96">
        <v>286</v>
      </c>
      <c r="C269" s="96">
        <v>286</v>
      </c>
      <c r="D269" s="96" t="s">
        <v>2731</v>
      </c>
      <c r="E269" s="96" t="s">
        <v>2732</v>
      </c>
      <c r="F269" s="96" t="s">
        <v>312</v>
      </c>
      <c r="G269" s="96" t="s">
        <v>2733</v>
      </c>
      <c r="H269" s="96" t="s">
        <v>2734</v>
      </c>
      <c r="I269" s="96" t="s">
        <v>320</v>
      </c>
      <c r="J269" s="96" t="s">
        <v>918</v>
      </c>
      <c r="K269" s="96" t="s">
        <v>203</v>
      </c>
      <c r="L269" s="96" t="s">
        <v>203</v>
      </c>
      <c r="M269" s="96" t="s">
        <v>324</v>
      </c>
      <c r="N269" s="96" t="s">
        <v>339</v>
      </c>
      <c r="O269" s="96" t="s">
        <v>453</v>
      </c>
      <c r="P269" s="96" t="s">
        <v>338</v>
      </c>
      <c r="Q269" s="96" t="s">
        <v>1200</v>
      </c>
      <c r="R269" s="97">
        <v>479.003513</v>
      </c>
      <c r="S269" s="97">
        <v>1</v>
      </c>
      <c r="T269" s="97">
        <v>4611</v>
      </c>
      <c r="U269" s="96"/>
      <c r="V269" s="97">
        <v>22.086852</v>
      </c>
      <c r="W269" s="98">
        <v>1.9999999999999999E-6</v>
      </c>
      <c r="X269" s="98">
        <v>3.8999999999999999E-5</v>
      </c>
      <c r="Y269" s="98">
        <v>1.1E-5</v>
      </c>
      <c r="Z269" s="106"/>
    </row>
    <row r="270" spans="1:26" ht="15" customHeight="1">
      <c r="A270" s="106"/>
      <c r="B270" s="96">
        <v>286</v>
      </c>
      <c r="C270" s="96">
        <v>286</v>
      </c>
      <c r="D270" s="96" t="s">
        <v>2003</v>
      </c>
      <c r="E270" s="96">
        <v>511396046</v>
      </c>
      <c r="F270" s="96" t="s">
        <v>308</v>
      </c>
      <c r="G270" s="96" t="s">
        <v>2480</v>
      </c>
      <c r="H270" s="96" t="s">
        <v>2481</v>
      </c>
      <c r="I270" s="96" t="s">
        <v>320</v>
      </c>
      <c r="J270" s="96" t="s">
        <v>918</v>
      </c>
      <c r="K270" s="96" t="s">
        <v>203</v>
      </c>
      <c r="L270" s="96" t="s">
        <v>203</v>
      </c>
      <c r="M270" s="96" t="s">
        <v>324</v>
      </c>
      <c r="N270" s="96" t="s">
        <v>339</v>
      </c>
      <c r="O270" s="96" t="s">
        <v>483</v>
      </c>
      <c r="P270" s="96" t="s">
        <v>338</v>
      </c>
      <c r="Q270" s="96" t="s">
        <v>1200</v>
      </c>
      <c r="R270" s="97">
        <v>5973.6806889999998</v>
      </c>
      <c r="S270" s="97">
        <v>1</v>
      </c>
      <c r="T270" s="97">
        <v>39.1</v>
      </c>
      <c r="U270" s="96"/>
      <c r="V270" s="97">
        <v>2.3357079999999999</v>
      </c>
      <c r="W270" s="98">
        <v>1.66E-4</v>
      </c>
      <c r="X270" s="98">
        <v>3.0000000000000001E-6</v>
      </c>
      <c r="Y270" s="98">
        <v>9.9999999999999995E-7</v>
      </c>
      <c r="Z270" s="106"/>
    </row>
    <row r="271" spans="1:26" ht="15" customHeight="1">
      <c r="A271" s="106"/>
      <c r="B271" s="96">
        <v>286</v>
      </c>
      <c r="C271" s="96">
        <v>286</v>
      </c>
      <c r="D271" s="96" t="s">
        <v>2508</v>
      </c>
      <c r="E271" s="96">
        <v>511725459</v>
      </c>
      <c r="F271" s="96" t="s">
        <v>308</v>
      </c>
      <c r="G271" s="96" t="s">
        <v>2509</v>
      </c>
      <c r="H271" s="96" t="s">
        <v>2510</v>
      </c>
      <c r="I271" s="96" t="s">
        <v>320</v>
      </c>
      <c r="J271" s="96" t="s">
        <v>918</v>
      </c>
      <c r="K271" s="96" t="s">
        <v>203</v>
      </c>
      <c r="L271" s="96" t="s">
        <v>203</v>
      </c>
      <c r="M271" s="96" t="s">
        <v>324</v>
      </c>
      <c r="N271" s="96" t="s">
        <v>339</v>
      </c>
      <c r="O271" s="96" t="s">
        <v>461</v>
      </c>
      <c r="P271" s="96" t="s">
        <v>338</v>
      </c>
      <c r="Q271" s="96" t="s">
        <v>1200</v>
      </c>
      <c r="R271" s="97">
        <v>5550.5813760000001</v>
      </c>
      <c r="S271" s="97">
        <v>1</v>
      </c>
      <c r="T271" s="97">
        <v>5893</v>
      </c>
      <c r="U271" s="96"/>
      <c r="V271" s="97">
        <v>327.09575999999998</v>
      </c>
      <c r="W271" s="98">
        <v>2.6499999999999999E-4</v>
      </c>
      <c r="X271" s="98">
        <v>5.8500000000000002E-4</v>
      </c>
      <c r="Y271" s="98">
        <v>1.7000000000000001E-4</v>
      </c>
      <c r="Z271" s="106"/>
    </row>
    <row r="272" spans="1:26" ht="15" customHeight="1">
      <c r="A272" s="106"/>
      <c r="B272" s="96">
        <v>286</v>
      </c>
      <c r="C272" s="96">
        <v>286</v>
      </c>
      <c r="D272" s="96" t="s">
        <v>1597</v>
      </c>
      <c r="E272" s="96">
        <v>520020116</v>
      </c>
      <c r="F272" s="96" t="s">
        <v>308</v>
      </c>
      <c r="G272" s="96" t="s">
        <v>2567</v>
      </c>
      <c r="H272" s="96" t="s">
        <v>2568</v>
      </c>
      <c r="I272" s="96" t="s">
        <v>320</v>
      </c>
      <c r="J272" s="96" t="s">
        <v>918</v>
      </c>
      <c r="K272" s="96" t="s">
        <v>203</v>
      </c>
      <c r="L272" s="96" t="s">
        <v>203</v>
      </c>
      <c r="M272" s="96" t="s">
        <v>324</v>
      </c>
      <c r="N272" s="96" t="s">
        <v>339</v>
      </c>
      <c r="O272" s="96" t="s">
        <v>463</v>
      </c>
      <c r="P272" s="96" t="s">
        <v>337</v>
      </c>
      <c r="Q272" s="96" t="s">
        <v>1200</v>
      </c>
      <c r="R272" s="97">
        <v>25497.98978</v>
      </c>
      <c r="S272" s="97">
        <v>1</v>
      </c>
      <c r="T272" s="97">
        <v>2837</v>
      </c>
      <c r="U272" s="96"/>
      <c r="V272" s="97">
        <v>723.37796900000001</v>
      </c>
      <c r="W272" s="98">
        <v>6.3000000000000003E-4</v>
      </c>
      <c r="X272" s="98">
        <v>1.294E-3</v>
      </c>
      <c r="Y272" s="98">
        <v>3.7599999999999998E-4</v>
      </c>
      <c r="Z272" s="106"/>
    </row>
    <row r="273" spans="1:26" ht="15" customHeight="1">
      <c r="A273" s="106"/>
      <c r="B273" s="96">
        <v>286</v>
      </c>
      <c r="C273" s="96">
        <v>286</v>
      </c>
      <c r="D273" s="96" t="s">
        <v>2624</v>
      </c>
      <c r="E273" s="96">
        <v>520020942</v>
      </c>
      <c r="F273" s="96" t="s">
        <v>308</v>
      </c>
      <c r="G273" s="96" t="s">
        <v>2625</v>
      </c>
      <c r="H273" s="96" t="s">
        <v>2626</v>
      </c>
      <c r="I273" s="96" t="s">
        <v>320</v>
      </c>
      <c r="J273" s="96" t="s">
        <v>918</v>
      </c>
      <c r="K273" s="96" t="s">
        <v>203</v>
      </c>
      <c r="L273" s="96" t="s">
        <v>203</v>
      </c>
      <c r="M273" s="96" t="s">
        <v>324</v>
      </c>
      <c r="N273" s="96" t="s">
        <v>339</v>
      </c>
      <c r="O273" s="96" t="s">
        <v>453</v>
      </c>
      <c r="P273" s="96" t="s">
        <v>337</v>
      </c>
      <c r="Q273" s="96" t="s">
        <v>1200</v>
      </c>
      <c r="R273" s="97">
        <v>43982.302085000003</v>
      </c>
      <c r="S273" s="97">
        <v>1</v>
      </c>
      <c r="T273" s="97">
        <v>2011</v>
      </c>
      <c r="U273" s="96"/>
      <c r="V273" s="97">
        <v>884.48409400000003</v>
      </c>
      <c r="W273" s="98">
        <v>4.66E-4</v>
      </c>
      <c r="X273" s="98">
        <v>1.5820000000000001E-3</v>
      </c>
      <c r="Y273" s="98">
        <v>4.6000000000000001E-4</v>
      </c>
      <c r="Z273" s="106"/>
    </row>
    <row r="274" spans="1:26" ht="15" customHeight="1">
      <c r="A274" s="106"/>
      <c r="B274" s="96">
        <v>286</v>
      </c>
      <c r="C274" s="96">
        <v>286</v>
      </c>
      <c r="D274" s="96" t="s">
        <v>1333</v>
      </c>
      <c r="E274" s="96">
        <v>520024126</v>
      </c>
      <c r="F274" s="96" t="s">
        <v>308</v>
      </c>
      <c r="G274" s="96" t="s">
        <v>2518</v>
      </c>
      <c r="H274" s="96" t="s">
        <v>2519</v>
      </c>
      <c r="I274" s="96" t="s">
        <v>320</v>
      </c>
      <c r="J274" s="96" t="s">
        <v>918</v>
      </c>
      <c r="K274" s="96" t="s">
        <v>203</v>
      </c>
      <c r="L274" s="96" t="s">
        <v>203</v>
      </c>
      <c r="M274" s="96" t="s">
        <v>324</v>
      </c>
      <c r="N274" s="96" t="s">
        <v>339</v>
      </c>
      <c r="O274" s="96" t="s">
        <v>463</v>
      </c>
      <c r="P274" s="96" t="s">
        <v>337</v>
      </c>
      <c r="Q274" s="96" t="s">
        <v>1200</v>
      </c>
      <c r="R274" s="97">
        <v>479555.82005799998</v>
      </c>
      <c r="S274" s="97">
        <v>1</v>
      </c>
      <c r="T274" s="97">
        <v>881</v>
      </c>
      <c r="U274" s="96"/>
      <c r="V274" s="97">
        <v>4224.8867739999996</v>
      </c>
      <c r="W274" s="98">
        <v>6.3699999999999998E-4</v>
      </c>
      <c r="X274" s="98">
        <v>7.5630000000000003E-3</v>
      </c>
      <c r="Y274" s="98">
        <v>2.199E-3</v>
      </c>
      <c r="Z274" s="106"/>
    </row>
    <row r="275" spans="1:26" ht="15" customHeight="1">
      <c r="A275" s="106"/>
      <c r="B275" s="96">
        <v>286</v>
      </c>
      <c r="C275" s="96">
        <v>286</v>
      </c>
      <c r="D275" s="96" t="s">
        <v>1735</v>
      </c>
      <c r="E275" s="96">
        <v>550010003</v>
      </c>
      <c r="F275" s="96" t="s">
        <v>309</v>
      </c>
      <c r="G275" s="96" t="s">
        <v>2667</v>
      </c>
      <c r="H275" s="96" t="s">
        <v>2668</v>
      </c>
      <c r="I275" s="96" t="s">
        <v>320</v>
      </c>
      <c r="J275" s="96" t="s">
        <v>959</v>
      </c>
      <c r="K275" s="96" t="s">
        <v>203</v>
      </c>
      <c r="L275" s="96" t="s">
        <v>203</v>
      </c>
      <c r="M275" s="96" t="s">
        <v>324</v>
      </c>
      <c r="N275" s="96" t="s">
        <v>339</v>
      </c>
      <c r="O275" s="96" t="s">
        <v>453</v>
      </c>
      <c r="P275" s="96" t="s">
        <v>338</v>
      </c>
      <c r="Q275" s="96" t="s">
        <v>1200</v>
      </c>
      <c r="R275" s="97">
        <v>713498.35907600005</v>
      </c>
      <c r="S275" s="97">
        <v>1</v>
      </c>
      <c r="T275" s="97">
        <v>147.19999999999999</v>
      </c>
      <c r="U275" s="96"/>
      <c r="V275" s="97">
        <v>1050.2695839999999</v>
      </c>
      <c r="W275" s="98">
        <v>2.7399999999999999E-4</v>
      </c>
      <c r="X275" s="98">
        <v>1.8799999999999999E-3</v>
      </c>
      <c r="Y275" s="98">
        <v>5.4600000000000004E-4</v>
      </c>
      <c r="Z275" s="106"/>
    </row>
    <row r="276" spans="1:26" ht="15" customHeight="1">
      <c r="A276" s="106"/>
      <c r="B276" s="96">
        <v>286</v>
      </c>
      <c r="C276" s="96">
        <v>286</v>
      </c>
      <c r="D276" s="96" t="s">
        <v>2611</v>
      </c>
      <c r="E276" s="96">
        <v>520039942</v>
      </c>
      <c r="F276" s="96" t="s">
        <v>308</v>
      </c>
      <c r="G276" s="96" t="s">
        <v>2612</v>
      </c>
      <c r="H276" s="96" t="s">
        <v>2613</v>
      </c>
      <c r="I276" s="96" t="s">
        <v>320</v>
      </c>
      <c r="J276" s="96" t="s">
        <v>918</v>
      </c>
      <c r="K276" s="96" t="s">
        <v>203</v>
      </c>
      <c r="L276" s="96" t="s">
        <v>203</v>
      </c>
      <c r="M276" s="96" t="s">
        <v>324</v>
      </c>
      <c r="N276" s="96" t="s">
        <v>339</v>
      </c>
      <c r="O276" s="96" t="s">
        <v>475</v>
      </c>
      <c r="P276" s="96" t="s">
        <v>338</v>
      </c>
      <c r="Q276" s="96" t="s">
        <v>1200</v>
      </c>
      <c r="R276" s="97">
        <v>1782.6165579999999</v>
      </c>
      <c r="S276" s="97">
        <v>1</v>
      </c>
      <c r="T276" s="97">
        <v>19600</v>
      </c>
      <c r="U276" s="96"/>
      <c r="V276" s="97">
        <v>349.39284500000002</v>
      </c>
      <c r="W276" s="98">
        <v>7.7000000000000001E-5</v>
      </c>
      <c r="X276" s="98">
        <v>6.2500000000000001E-4</v>
      </c>
      <c r="Y276" s="98">
        <v>1.8100000000000001E-4</v>
      </c>
      <c r="Z276" s="106"/>
    </row>
    <row r="277" spans="1:26" ht="15" customHeight="1">
      <c r="A277" s="106"/>
      <c r="B277" s="96">
        <v>286</v>
      </c>
      <c r="C277" s="96">
        <v>286</v>
      </c>
      <c r="D277" s="96" t="s">
        <v>1658</v>
      </c>
      <c r="E277" s="96">
        <v>520038506</v>
      </c>
      <c r="F277" s="96" t="s">
        <v>308</v>
      </c>
      <c r="G277" s="96" t="s">
        <v>2679</v>
      </c>
      <c r="H277" s="96" t="s">
        <v>2680</v>
      </c>
      <c r="I277" s="96" t="s">
        <v>320</v>
      </c>
      <c r="J277" s="96" t="s">
        <v>918</v>
      </c>
      <c r="K277" s="96" t="s">
        <v>203</v>
      </c>
      <c r="L277" s="96" t="s">
        <v>203</v>
      </c>
      <c r="M277" s="96" t="s">
        <v>324</v>
      </c>
      <c r="N277" s="96" t="s">
        <v>339</v>
      </c>
      <c r="O277" s="96" t="s">
        <v>463</v>
      </c>
      <c r="P277" s="96" t="s">
        <v>337</v>
      </c>
      <c r="Q277" s="96" t="s">
        <v>1200</v>
      </c>
      <c r="R277" s="97">
        <v>94240.288969999994</v>
      </c>
      <c r="S277" s="97">
        <v>1</v>
      </c>
      <c r="T277" s="97">
        <v>2350</v>
      </c>
      <c r="U277" s="96"/>
      <c r="V277" s="97">
        <v>2214.6467899999998</v>
      </c>
      <c r="W277" s="98">
        <v>5.2400000000000005E-4</v>
      </c>
      <c r="X277" s="98">
        <v>3.9630000000000004E-3</v>
      </c>
      <c r="Y277" s="98">
        <v>1.1529999999999999E-3</v>
      </c>
      <c r="Z277" s="106"/>
    </row>
    <row r="278" spans="1:26" ht="15" customHeight="1">
      <c r="A278" s="106"/>
      <c r="B278" s="96">
        <v>286</v>
      </c>
      <c r="C278" s="96">
        <v>286</v>
      </c>
      <c r="D278" s="96" t="s">
        <v>1508</v>
      </c>
      <c r="E278" s="96">
        <v>511134298</v>
      </c>
      <c r="F278" s="96" t="s">
        <v>308</v>
      </c>
      <c r="G278" s="96" t="s">
        <v>2426</v>
      </c>
      <c r="H278" s="96" t="s">
        <v>2427</v>
      </c>
      <c r="I278" s="96" t="s">
        <v>320</v>
      </c>
      <c r="J278" s="96" t="s">
        <v>918</v>
      </c>
      <c r="K278" s="96" t="s">
        <v>203</v>
      </c>
      <c r="L278" s="96" t="s">
        <v>203</v>
      </c>
      <c r="M278" s="96" t="s">
        <v>324</v>
      </c>
      <c r="N278" s="96" t="s">
        <v>339</v>
      </c>
      <c r="O278" s="96" t="s">
        <v>463</v>
      </c>
      <c r="P278" s="96" t="s">
        <v>337</v>
      </c>
      <c r="Q278" s="96" t="s">
        <v>1200</v>
      </c>
      <c r="R278" s="97">
        <v>8540.6829500000003</v>
      </c>
      <c r="S278" s="97">
        <v>1</v>
      </c>
      <c r="T278" s="97">
        <v>5306</v>
      </c>
      <c r="U278" s="96"/>
      <c r="V278" s="97">
        <v>453.16863599999999</v>
      </c>
      <c r="W278" s="98">
        <v>5.9299999999999999E-4</v>
      </c>
      <c r="X278" s="98">
        <v>8.0999999999999996E-4</v>
      </c>
      <c r="Y278" s="98">
        <v>2.3499999999999999E-4</v>
      </c>
      <c r="Z278" s="106"/>
    </row>
    <row r="279" spans="1:26" ht="15" customHeight="1">
      <c r="A279" s="106"/>
      <c r="B279" s="96">
        <v>286</v>
      </c>
      <c r="C279" s="96">
        <v>286</v>
      </c>
      <c r="D279" s="96" t="s">
        <v>2652</v>
      </c>
      <c r="E279" s="96">
        <v>512726712</v>
      </c>
      <c r="F279" s="96" t="s">
        <v>308</v>
      </c>
      <c r="G279" s="96" t="s">
        <v>2653</v>
      </c>
      <c r="H279" s="96" t="s">
        <v>2654</v>
      </c>
      <c r="I279" s="96" t="s">
        <v>320</v>
      </c>
      <c r="J279" s="96" t="s">
        <v>918</v>
      </c>
      <c r="K279" s="96" t="s">
        <v>203</v>
      </c>
      <c r="L279" s="96" t="s">
        <v>203</v>
      </c>
      <c r="M279" s="96" t="s">
        <v>324</v>
      </c>
      <c r="N279" s="96" t="s">
        <v>339</v>
      </c>
      <c r="O279" s="96" t="s">
        <v>446</v>
      </c>
      <c r="P279" s="96" t="s">
        <v>338</v>
      </c>
      <c r="Q279" s="96" t="s">
        <v>1200</v>
      </c>
      <c r="R279" s="97">
        <v>710.36423200000002</v>
      </c>
      <c r="S279" s="97">
        <v>1</v>
      </c>
      <c r="T279" s="97">
        <v>1291</v>
      </c>
      <c r="U279" s="96"/>
      <c r="V279" s="97">
        <v>9.1708020000000001</v>
      </c>
      <c r="W279" s="98">
        <v>3.1000000000000001E-5</v>
      </c>
      <c r="X279" s="98">
        <v>1.5999999999999999E-5</v>
      </c>
      <c r="Y279" s="98">
        <v>3.9999999999999998E-6</v>
      </c>
      <c r="Z279" s="106"/>
    </row>
    <row r="280" spans="1:26" ht="15" customHeight="1">
      <c r="A280" s="106"/>
      <c r="B280" s="96">
        <v>286</v>
      </c>
      <c r="C280" s="96">
        <v>286</v>
      </c>
      <c r="D280" s="96" t="s">
        <v>1432</v>
      </c>
      <c r="E280" s="96">
        <v>515327120</v>
      </c>
      <c r="F280" s="96" t="s">
        <v>308</v>
      </c>
      <c r="G280" s="96" t="s">
        <v>2698</v>
      </c>
      <c r="H280" s="96" t="s">
        <v>2618</v>
      </c>
      <c r="I280" s="96" t="s">
        <v>320</v>
      </c>
      <c r="J280" s="96" t="s">
        <v>918</v>
      </c>
      <c r="K280" s="96" t="s">
        <v>203</v>
      </c>
      <c r="L280" s="96" t="s">
        <v>203</v>
      </c>
      <c r="M280" s="96" t="s">
        <v>326</v>
      </c>
      <c r="N280" s="96" t="s">
        <v>339</v>
      </c>
      <c r="O280" s="96" t="s">
        <v>463</v>
      </c>
      <c r="P280" s="96" t="s">
        <v>337</v>
      </c>
      <c r="Q280" s="96" t="s">
        <v>1200</v>
      </c>
      <c r="R280" s="97">
        <v>30085.136771000001</v>
      </c>
      <c r="S280" s="97">
        <v>1</v>
      </c>
      <c r="T280" s="97">
        <v>156.39660000000001</v>
      </c>
      <c r="U280" s="96"/>
      <c r="V280" s="97">
        <v>47.052121999999997</v>
      </c>
      <c r="W280" s="98">
        <v>4.0000000000000003E-5</v>
      </c>
      <c r="X280" s="98">
        <v>8.3999999999999995E-5</v>
      </c>
      <c r="Y280" s="98">
        <v>2.4000000000000001E-5</v>
      </c>
      <c r="Z280" s="106"/>
    </row>
    <row r="281" spans="1:26" ht="15" customHeight="1">
      <c r="A281" s="106"/>
      <c r="B281" s="96">
        <v>286</v>
      </c>
      <c r="C281" s="96">
        <v>286</v>
      </c>
      <c r="D281" s="96" t="s">
        <v>2642</v>
      </c>
      <c r="E281" s="96">
        <v>550013098</v>
      </c>
      <c r="F281" s="96" t="s">
        <v>309</v>
      </c>
      <c r="G281" s="96" t="s">
        <v>2643</v>
      </c>
      <c r="H281" s="96" t="s">
        <v>2644</v>
      </c>
      <c r="I281" s="96" t="s">
        <v>320</v>
      </c>
      <c r="J281" s="96" t="s">
        <v>959</v>
      </c>
      <c r="K281" s="96" t="s">
        <v>203</v>
      </c>
      <c r="L281" s="96" t="s">
        <v>203</v>
      </c>
      <c r="M281" s="96" t="s">
        <v>324</v>
      </c>
      <c r="N281" s="96" t="s">
        <v>339</v>
      </c>
      <c r="O281" s="96" t="s">
        <v>453</v>
      </c>
      <c r="P281" s="96" t="s">
        <v>338</v>
      </c>
      <c r="Q281" s="96" t="s">
        <v>1200</v>
      </c>
      <c r="R281" s="97">
        <v>272001.90435099998</v>
      </c>
      <c r="S281" s="97">
        <v>1</v>
      </c>
      <c r="T281" s="97">
        <v>895.6</v>
      </c>
      <c r="U281" s="96"/>
      <c r="V281" s="97">
        <v>2436.0490540000001</v>
      </c>
      <c r="W281" s="98">
        <v>2.31E-4</v>
      </c>
      <c r="X281" s="98">
        <v>4.3600000000000002E-3</v>
      </c>
      <c r="Y281" s="98">
        <v>1.2669999999999999E-3</v>
      </c>
      <c r="Z281" s="106"/>
    </row>
    <row r="282" spans="1:26" ht="15" customHeight="1">
      <c r="A282" s="106"/>
      <c r="B282" s="96">
        <v>286</v>
      </c>
      <c r="C282" s="96">
        <v>286</v>
      </c>
      <c r="D282" s="96" t="s">
        <v>1385</v>
      </c>
      <c r="E282" s="96">
        <v>520017807</v>
      </c>
      <c r="F282" s="96" t="s">
        <v>308</v>
      </c>
      <c r="G282" s="96" t="s">
        <v>2511</v>
      </c>
      <c r="H282" s="96" t="s">
        <v>2512</v>
      </c>
      <c r="I282" s="96" t="s">
        <v>320</v>
      </c>
      <c r="J282" s="96" t="s">
        <v>918</v>
      </c>
      <c r="K282" s="96" t="s">
        <v>203</v>
      </c>
      <c r="L282" s="96" t="s">
        <v>203</v>
      </c>
      <c r="M282" s="96" t="s">
        <v>324</v>
      </c>
      <c r="N282" s="96" t="s">
        <v>339</v>
      </c>
      <c r="O282" s="96" t="s">
        <v>463</v>
      </c>
      <c r="P282" s="96" t="s">
        <v>337</v>
      </c>
      <c r="Q282" s="96" t="s">
        <v>1200</v>
      </c>
      <c r="R282" s="97">
        <v>2326.1105699999998</v>
      </c>
      <c r="S282" s="97">
        <v>1</v>
      </c>
      <c r="T282" s="97">
        <v>65930</v>
      </c>
      <c r="U282" s="96"/>
      <c r="V282" s="97">
        <v>1533.604699</v>
      </c>
      <c r="W282" s="98">
        <v>4.6099999999999998E-4</v>
      </c>
      <c r="X282" s="98">
        <v>2.745E-3</v>
      </c>
      <c r="Y282" s="98">
        <v>7.9799999999999999E-4</v>
      </c>
      <c r="Z282" s="106"/>
    </row>
    <row r="283" spans="1:26" ht="15" customHeight="1">
      <c r="A283" s="106"/>
      <c r="B283" s="96">
        <v>286</v>
      </c>
      <c r="C283" s="96">
        <v>286</v>
      </c>
      <c r="D283" s="96" t="s">
        <v>1382</v>
      </c>
      <c r="E283" s="96">
        <v>520036690</v>
      </c>
      <c r="F283" s="96" t="s">
        <v>308</v>
      </c>
      <c r="G283" s="96" t="s">
        <v>2665</v>
      </c>
      <c r="H283" s="96" t="s">
        <v>2666</v>
      </c>
      <c r="I283" s="96" t="s">
        <v>320</v>
      </c>
      <c r="J283" s="96" t="s">
        <v>918</v>
      </c>
      <c r="K283" s="96" t="s">
        <v>203</v>
      </c>
      <c r="L283" s="96" t="s">
        <v>203</v>
      </c>
      <c r="M283" s="96" t="s">
        <v>324</v>
      </c>
      <c r="N283" s="96" t="s">
        <v>339</v>
      </c>
      <c r="O283" s="96" t="s">
        <v>475</v>
      </c>
      <c r="P283" s="96" t="s">
        <v>337</v>
      </c>
      <c r="Q283" s="96" t="s">
        <v>1200</v>
      </c>
      <c r="R283" s="97">
        <v>6495.5481209999998</v>
      </c>
      <c r="S283" s="97">
        <v>1</v>
      </c>
      <c r="T283" s="97">
        <v>26800</v>
      </c>
      <c r="U283" s="96"/>
      <c r="V283" s="97">
        <v>1740.8068949999999</v>
      </c>
      <c r="W283" s="98">
        <v>4.2299999999999998E-4</v>
      </c>
      <c r="X283" s="98">
        <v>3.1150000000000001E-3</v>
      </c>
      <c r="Y283" s="98">
        <v>9.0499999999999999E-4</v>
      </c>
      <c r="Z283" s="106"/>
    </row>
    <row r="284" spans="1:26" ht="15" customHeight="1">
      <c r="A284" s="106"/>
      <c r="B284" s="96">
        <v>286</v>
      </c>
      <c r="C284" s="96">
        <v>286</v>
      </c>
      <c r="D284" s="96" t="s">
        <v>2751</v>
      </c>
      <c r="E284" s="96">
        <v>513901371</v>
      </c>
      <c r="F284" s="96" t="s">
        <v>308</v>
      </c>
      <c r="G284" s="96" t="s">
        <v>2752</v>
      </c>
      <c r="H284" s="96" t="s">
        <v>2753</v>
      </c>
      <c r="I284" s="96" t="s">
        <v>320</v>
      </c>
      <c r="J284" s="96" t="s">
        <v>918</v>
      </c>
      <c r="K284" s="96" t="s">
        <v>203</v>
      </c>
      <c r="L284" s="96" t="s">
        <v>203</v>
      </c>
      <c r="M284" s="96" t="s">
        <v>324</v>
      </c>
      <c r="N284" s="96" t="s">
        <v>339</v>
      </c>
      <c r="O284" s="96" t="s">
        <v>440</v>
      </c>
      <c r="P284" s="96" t="s">
        <v>338</v>
      </c>
      <c r="Q284" s="96" t="s">
        <v>1200</v>
      </c>
      <c r="R284" s="97">
        <v>103751.795216</v>
      </c>
      <c r="S284" s="97">
        <v>1</v>
      </c>
      <c r="T284" s="97">
        <v>1395</v>
      </c>
      <c r="U284" s="96"/>
      <c r="V284" s="97">
        <v>1447.3375430000001</v>
      </c>
      <c r="W284" s="98">
        <v>1.8799999999999999E-4</v>
      </c>
      <c r="X284" s="98">
        <v>2.5899999999999999E-3</v>
      </c>
      <c r="Y284" s="98">
        <v>7.5299999999999998E-4</v>
      </c>
      <c r="Z284" s="106"/>
    </row>
    <row r="285" spans="1:26" ht="15" customHeight="1">
      <c r="A285" s="106"/>
      <c r="B285" s="96">
        <v>286</v>
      </c>
      <c r="C285" s="96">
        <v>286</v>
      </c>
      <c r="D285" s="96" t="s">
        <v>1351</v>
      </c>
      <c r="E285" s="96">
        <v>520033986</v>
      </c>
      <c r="F285" s="96" t="s">
        <v>308</v>
      </c>
      <c r="G285" s="96" t="s">
        <v>2670</v>
      </c>
      <c r="H285" s="96" t="s">
        <v>2671</v>
      </c>
      <c r="I285" s="96" t="s">
        <v>320</v>
      </c>
      <c r="J285" s="96" t="s">
        <v>918</v>
      </c>
      <c r="K285" s="96" t="s">
        <v>203</v>
      </c>
      <c r="L285" s="96" t="s">
        <v>203</v>
      </c>
      <c r="M285" s="96" t="s">
        <v>324</v>
      </c>
      <c r="N285" s="96" t="s">
        <v>339</v>
      </c>
      <c r="O285" s="96" t="s">
        <v>444</v>
      </c>
      <c r="P285" s="96" t="s">
        <v>338</v>
      </c>
      <c r="Q285" s="96" t="s">
        <v>1200</v>
      </c>
      <c r="R285" s="97">
        <v>59150.971058000003</v>
      </c>
      <c r="S285" s="97">
        <v>1</v>
      </c>
      <c r="T285" s="97">
        <v>2997</v>
      </c>
      <c r="U285" s="96"/>
      <c r="V285" s="97">
        <v>1772.754602</v>
      </c>
      <c r="W285" s="98">
        <v>2.8600000000000001E-4</v>
      </c>
      <c r="X285" s="98">
        <v>3.1719999999999999E-3</v>
      </c>
      <c r="Y285" s="98">
        <v>9.2199999999999997E-4</v>
      </c>
      <c r="Z285" s="106"/>
    </row>
    <row r="286" spans="1:26" ht="15" customHeight="1">
      <c r="A286" s="106"/>
      <c r="B286" s="96">
        <v>286</v>
      </c>
      <c r="C286" s="96">
        <v>286</v>
      </c>
      <c r="D286" s="96" t="s">
        <v>2452</v>
      </c>
      <c r="E286" s="96">
        <v>520033473</v>
      </c>
      <c r="F286" s="96" t="s">
        <v>308</v>
      </c>
      <c r="G286" s="96" t="s">
        <v>2453</v>
      </c>
      <c r="H286" s="96" t="s">
        <v>2454</v>
      </c>
      <c r="I286" s="96" t="s">
        <v>320</v>
      </c>
      <c r="J286" s="96" t="s">
        <v>918</v>
      </c>
      <c r="K286" s="96" t="s">
        <v>203</v>
      </c>
      <c r="L286" s="96" t="s">
        <v>203</v>
      </c>
      <c r="M286" s="96" t="s">
        <v>324</v>
      </c>
      <c r="N286" s="96" t="s">
        <v>339</v>
      </c>
      <c r="O286" s="96" t="s">
        <v>450</v>
      </c>
      <c r="P286" s="96" t="s">
        <v>337</v>
      </c>
      <c r="Q286" s="96" t="s">
        <v>1200</v>
      </c>
      <c r="R286" s="97">
        <v>1981.954295</v>
      </c>
      <c r="S286" s="97">
        <v>1</v>
      </c>
      <c r="T286" s="97">
        <v>9138</v>
      </c>
      <c r="U286" s="96"/>
      <c r="V286" s="97">
        <v>181.11098200000001</v>
      </c>
      <c r="W286" s="98">
        <v>3.9100000000000002E-4</v>
      </c>
      <c r="X286" s="98">
        <v>3.2299999999999999E-4</v>
      </c>
      <c r="Y286" s="98">
        <v>9.2999999999999997E-5</v>
      </c>
      <c r="Z286" s="106"/>
    </row>
    <row r="287" spans="1:26" ht="15" customHeight="1">
      <c r="A287" s="106"/>
      <c r="B287" s="96">
        <v>286</v>
      </c>
      <c r="C287" s="96">
        <v>286</v>
      </c>
      <c r="D287" s="96" t="s">
        <v>2574</v>
      </c>
      <c r="E287" s="96">
        <v>520025156</v>
      </c>
      <c r="F287" s="96" t="s">
        <v>308</v>
      </c>
      <c r="G287" s="96" t="s">
        <v>2575</v>
      </c>
      <c r="H287" s="96" t="s">
        <v>2576</v>
      </c>
      <c r="I287" s="96" t="s">
        <v>320</v>
      </c>
      <c r="J287" s="96" t="s">
        <v>918</v>
      </c>
      <c r="K287" s="96" t="s">
        <v>203</v>
      </c>
      <c r="L287" s="96" t="s">
        <v>203</v>
      </c>
      <c r="M287" s="96" t="s">
        <v>324</v>
      </c>
      <c r="N287" s="96" t="s">
        <v>339</v>
      </c>
      <c r="O287" s="96" t="s">
        <v>450</v>
      </c>
      <c r="P287" s="96" t="s">
        <v>338</v>
      </c>
      <c r="Q287" s="96" t="s">
        <v>1200</v>
      </c>
      <c r="R287" s="97">
        <v>2194.939374</v>
      </c>
      <c r="S287" s="97">
        <v>1</v>
      </c>
      <c r="T287" s="97">
        <v>4562</v>
      </c>
      <c r="U287" s="96"/>
      <c r="V287" s="97">
        <v>100.133133</v>
      </c>
      <c r="W287" s="98">
        <v>1.94E-4</v>
      </c>
      <c r="X287" s="98">
        <v>1.7799999999999999E-4</v>
      </c>
      <c r="Y287" s="98">
        <v>5.1E-5</v>
      </c>
      <c r="Z287" s="106"/>
    </row>
    <row r="288" spans="1:26" ht="15" customHeight="1">
      <c r="A288" s="106"/>
      <c r="B288" s="96">
        <v>286</v>
      </c>
      <c r="C288" s="96">
        <v>286</v>
      </c>
      <c r="D288" s="96" t="s">
        <v>1551</v>
      </c>
      <c r="E288" s="96">
        <v>511659401</v>
      </c>
      <c r="F288" s="96" t="s">
        <v>308</v>
      </c>
      <c r="G288" s="96" t="s">
        <v>2565</v>
      </c>
      <c r="H288" s="96" t="s">
        <v>2566</v>
      </c>
      <c r="I288" s="96" t="s">
        <v>320</v>
      </c>
      <c r="J288" s="96" t="s">
        <v>918</v>
      </c>
      <c r="K288" s="96" t="s">
        <v>203</v>
      </c>
      <c r="L288" s="96" t="s">
        <v>203</v>
      </c>
      <c r="M288" s="96" t="s">
        <v>324</v>
      </c>
      <c r="N288" s="96" t="s">
        <v>339</v>
      </c>
      <c r="O288" s="96" t="s">
        <v>463</v>
      </c>
      <c r="P288" s="96" t="s">
        <v>338</v>
      </c>
      <c r="Q288" s="96" t="s">
        <v>1200</v>
      </c>
      <c r="R288" s="97">
        <v>25638.542665000001</v>
      </c>
      <c r="S288" s="97">
        <v>1</v>
      </c>
      <c r="T288" s="97">
        <v>5317</v>
      </c>
      <c r="U288" s="96"/>
      <c r="V288" s="97">
        <v>1363.201313</v>
      </c>
      <c r="W288" s="98">
        <v>2.1900000000000001E-4</v>
      </c>
      <c r="X288" s="98">
        <v>2.4390000000000002E-3</v>
      </c>
      <c r="Y288" s="98">
        <v>7.0899999999999999E-4</v>
      </c>
      <c r="Z288" s="106"/>
    </row>
    <row r="289" spans="1:26" ht="15" customHeight="1">
      <c r="A289" s="106"/>
      <c r="B289" s="96">
        <v>286</v>
      </c>
      <c r="C289" s="96">
        <v>286</v>
      </c>
      <c r="D289" s="96" t="s">
        <v>2596</v>
      </c>
      <c r="E289" s="96">
        <v>520038274</v>
      </c>
      <c r="F289" s="96" t="s">
        <v>308</v>
      </c>
      <c r="G289" s="96" t="s">
        <v>2597</v>
      </c>
      <c r="H289" s="96" t="s">
        <v>2598</v>
      </c>
      <c r="I289" s="96" t="s">
        <v>320</v>
      </c>
      <c r="J289" s="96" t="s">
        <v>918</v>
      </c>
      <c r="K289" s="96" t="s">
        <v>203</v>
      </c>
      <c r="L289" s="96" t="s">
        <v>203</v>
      </c>
      <c r="M289" s="96" t="s">
        <v>324</v>
      </c>
      <c r="N289" s="96" t="s">
        <v>339</v>
      </c>
      <c r="O289" s="96" t="s">
        <v>446</v>
      </c>
      <c r="P289" s="96" t="s">
        <v>337</v>
      </c>
      <c r="Q289" s="96" t="s">
        <v>1200</v>
      </c>
      <c r="R289" s="97">
        <v>179549.760805</v>
      </c>
      <c r="S289" s="97">
        <v>1</v>
      </c>
      <c r="T289" s="97">
        <v>1209</v>
      </c>
      <c r="U289" s="96"/>
      <c r="V289" s="97">
        <v>2170.7566080000001</v>
      </c>
      <c r="W289" s="98">
        <v>6.4300000000000002E-4</v>
      </c>
      <c r="X289" s="98">
        <v>3.8860000000000001E-3</v>
      </c>
      <c r="Y289" s="98">
        <v>1.1299999999999999E-3</v>
      </c>
      <c r="Z289" s="106"/>
    </row>
    <row r="290" spans="1:26" ht="15" customHeight="1">
      <c r="A290" s="106"/>
      <c r="B290" s="96">
        <v>286</v>
      </c>
      <c r="C290" s="96">
        <v>286</v>
      </c>
      <c r="D290" s="96" t="s">
        <v>2723</v>
      </c>
      <c r="E290" s="96">
        <v>520036740</v>
      </c>
      <c r="F290" s="96" t="s">
        <v>308</v>
      </c>
      <c r="G290" s="96" t="s">
        <v>2724</v>
      </c>
      <c r="H290" s="96" t="s">
        <v>2725</v>
      </c>
      <c r="I290" s="96" t="s">
        <v>320</v>
      </c>
      <c r="J290" s="96" t="s">
        <v>918</v>
      </c>
      <c r="K290" s="96" t="s">
        <v>203</v>
      </c>
      <c r="L290" s="96" t="s">
        <v>203</v>
      </c>
      <c r="M290" s="96" t="s">
        <v>324</v>
      </c>
      <c r="N290" s="96" t="s">
        <v>339</v>
      </c>
      <c r="O290" s="96" t="s">
        <v>479</v>
      </c>
      <c r="P290" s="96" t="s">
        <v>338</v>
      </c>
      <c r="Q290" s="96" t="s">
        <v>1200</v>
      </c>
      <c r="R290" s="97">
        <v>5805.5288419999997</v>
      </c>
      <c r="S290" s="97">
        <v>1</v>
      </c>
      <c r="T290" s="97">
        <v>3667</v>
      </c>
      <c r="U290" s="96"/>
      <c r="V290" s="97">
        <v>212.88874100000001</v>
      </c>
      <c r="W290" s="98">
        <v>1.18E-4</v>
      </c>
      <c r="X290" s="98">
        <v>3.8000000000000002E-4</v>
      </c>
      <c r="Y290" s="98">
        <v>1.0900000000000001E-4</v>
      </c>
      <c r="Z290" s="106"/>
    </row>
    <row r="291" spans="1:26" ht="15" customHeight="1">
      <c r="A291" s="106"/>
      <c r="B291" s="96">
        <v>286</v>
      </c>
      <c r="C291" s="96">
        <v>286</v>
      </c>
      <c r="D291" s="96" t="s">
        <v>2740</v>
      </c>
      <c r="E291" s="96">
        <v>550012777</v>
      </c>
      <c r="F291" s="96" t="s">
        <v>309</v>
      </c>
      <c r="G291" s="96" t="s">
        <v>2741</v>
      </c>
      <c r="H291" s="96" t="s">
        <v>2742</v>
      </c>
      <c r="I291" s="96" t="s">
        <v>320</v>
      </c>
      <c r="J291" s="96" t="s">
        <v>959</v>
      </c>
      <c r="K291" s="96" t="s">
        <v>203</v>
      </c>
      <c r="L291" s="96" t="s">
        <v>203</v>
      </c>
      <c r="M291" s="96" t="s">
        <v>324</v>
      </c>
      <c r="N291" s="96" t="s">
        <v>339</v>
      </c>
      <c r="O291" s="96" t="s">
        <v>453</v>
      </c>
      <c r="P291" s="96" t="s">
        <v>337</v>
      </c>
      <c r="Q291" s="96" t="s">
        <v>1200</v>
      </c>
      <c r="R291" s="97">
        <v>618658.47772099997</v>
      </c>
      <c r="S291" s="97">
        <v>1</v>
      </c>
      <c r="T291" s="97">
        <v>259.2</v>
      </c>
      <c r="U291" s="96"/>
      <c r="V291" s="97">
        <v>1603.562774</v>
      </c>
      <c r="W291" s="98">
        <v>5.5000000000000003E-4</v>
      </c>
      <c r="X291" s="98">
        <v>2.869E-3</v>
      </c>
      <c r="Y291" s="98">
        <v>8.34E-4</v>
      </c>
      <c r="Z291" s="106"/>
    </row>
    <row r="292" spans="1:26" ht="15" customHeight="1">
      <c r="A292" s="106"/>
      <c r="B292" s="96">
        <v>286</v>
      </c>
      <c r="C292" s="96">
        <v>286</v>
      </c>
      <c r="D292" s="96" t="s">
        <v>1797</v>
      </c>
      <c r="E292" s="96">
        <v>512607888</v>
      </c>
      <c r="F292" s="96" t="s">
        <v>308</v>
      </c>
      <c r="G292" s="96" t="s">
        <v>2580</v>
      </c>
      <c r="H292" s="96" t="s">
        <v>2581</v>
      </c>
      <c r="I292" s="96" t="s">
        <v>320</v>
      </c>
      <c r="J292" s="96" t="s">
        <v>918</v>
      </c>
      <c r="K292" s="96" t="s">
        <v>203</v>
      </c>
      <c r="L292" s="96" t="s">
        <v>203</v>
      </c>
      <c r="M292" s="96" t="s">
        <v>324</v>
      </c>
      <c r="N292" s="96" t="s">
        <v>339</v>
      </c>
      <c r="O292" s="96" t="s">
        <v>460</v>
      </c>
      <c r="P292" s="96" t="s">
        <v>338</v>
      </c>
      <c r="Q292" s="96" t="s">
        <v>1200</v>
      </c>
      <c r="R292" s="97">
        <v>2262.5346589999999</v>
      </c>
      <c r="S292" s="97">
        <v>1</v>
      </c>
      <c r="T292" s="97">
        <v>38750</v>
      </c>
      <c r="U292" s="96"/>
      <c r="V292" s="97">
        <v>876.73217999999997</v>
      </c>
      <c r="W292" s="98">
        <v>1.37E-4</v>
      </c>
      <c r="X292" s="98">
        <v>1.5690000000000001E-3</v>
      </c>
      <c r="Y292" s="98">
        <v>4.5600000000000003E-4</v>
      </c>
      <c r="Z292" s="106"/>
    </row>
    <row r="293" spans="1:26" ht="15" customHeight="1">
      <c r="A293" s="106"/>
      <c r="B293" s="96">
        <v>286</v>
      </c>
      <c r="C293" s="96">
        <v>286</v>
      </c>
      <c r="D293" s="96" t="s">
        <v>1558</v>
      </c>
      <c r="E293" s="96">
        <v>510459928</v>
      </c>
      <c r="F293" s="96" t="s">
        <v>308</v>
      </c>
      <c r="G293" s="96" t="s">
        <v>2765</v>
      </c>
      <c r="H293" s="96" t="s">
        <v>2766</v>
      </c>
      <c r="I293" s="96" t="s">
        <v>320</v>
      </c>
      <c r="J293" s="96" t="s">
        <v>918</v>
      </c>
      <c r="K293" s="96" t="s">
        <v>203</v>
      </c>
      <c r="L293" s="96" t="s">
        <v>203</v>
      </c>
      <c r="M293" s="96" t="s">
        <v>324</v>
      </c>
      <c r="N293" s="96" t="s">
        <v>339</v>
      </c>
      <c r="O293" s="96" t="s">
        <v>439</v>
      </c>
      <c r="P293" s="96" t="s">
        <v>337</v>
      </c>
      <c r="Q293" s="96" t="s">
        <v>1200</v>
      </c>
      <c r="R293" s="97">
        <v>285435.16600199998</v>
      </c>
      <c r="S293" s="97">
        <v>1</v>
      </c>
      <c r="T293" s="97">
        <v>253.5</v>
      </c>
      <c r="U293" s="96"/>
      <c r="V293" s="97">
        <v>723.57814499999995</v>
      </c>
      <c r="W293" s="98">
        <v>3.1100000000000002E-4</v>
      </c>
      <c r="X293" s="98">
        <v>1.2949999999999999E-3</v>
      </c>
      <c r="Y293" s="98">
        <v>3.7599999999999998E-4</v>
      </c>
      <c r="Z293" s="106"/>
    </row>
    <row r="294" spans="1:26" ht="15" customHeight="1">
      <c r="A294" s="106"/>
      <c r="B294" s="96">
        <v>286</v>
      </c>
      <c r="C294" s="96">
        <v>286</v>
      </c>
      <c r="D294" s="96" t="s">
        <v>2441</v>
      </c>
      <c r="E294" s="96">
        <v>514211457</v>
      </c>
      <c r="F294" s="96" t="s">
        <v>308</v>
      </c>
      <c r="G294" s="96" t="s">
        <v>2442</v>
      </c>
      <c r="H294" s="96" t="s">
        <v>2443</v>
      </c>
      <c r="I294" s="96" t="s">
        <v>320</v>
      </c>
      <c r="J294" s="96" t="s">
        <v>918</v>
      </c>
      <c r="K294" s="96" t="s">
        <v>203</v>
      </c>
      <c r="L294" s="96" t="s">
        <v>203</v>
      </c>
      <c r="M294" s="96" t="s">
        <v>324</v>
      </c>
      <c r="N294" s="96" t="s">
        <v>339</v>
      </c>
      <c r="O294" s="96" t="s">
        <v>474</v>
      </c>
      <c r="P294" s="96" t="s">
        <v>338</v>
      </c>
      <c r="Q294" s="96" t="s">
        <v>1200</v>
      </c>
      <c r="R294" s="97">
        <v>7126.8379640000003</v>
      </c>
      <c r="S294" s="97">
        <v>1</v>
      </c>
      <c r="T294" s="97">
        <v>5970</v>
      </c>
      <c r="U294" s="96"/>
      <c r="V294" s="97">
        <v>425.47222599999998</v>
      </c>
      <c r="W294" s="98">
        <v>1.46E-4</v>
      </c>
      <c r="X294" s="98">
        <v>7.6099999999999996E-4</v>
      </c>
      <c r="Y294" s="98">
        <v>2.2100000000000001E-4</v>
      </c>
      <c r="Z294" s="106"/>
    </row>
    <row r="295" spans="1:26" ht="15" customHeight="1">
      <c r="A295" s="106"/>
      <c r="B295" s="96">
        <v>286</v>
      </c>
      <c r="C295" s="96">
        <v>286</v>
      </c>
      <c r="D295" s="96" t="s">
        <v>2619</v>
      </c>
      <c r="E295" s="96">
        <v>520033291</v>
      </c>
      <c r="F295" s="96" t="s">
        <v>308</v>
      </c>
      <c r="G295" s="96" t="s">
        <v>2620</v>
      </c>
      <c r="H295" s="96" t="s">
        <v>2621</v>
      </c>
      <c r="I295" s="96" t="s">
        <v>320</v>
      </c>
      <c r="J295" s="96" t="s">
        <v>918</v>
      </c>
      <c r="K295" s="96" t="s">
        <v>203</v>
      </c>
      <c r="L295" s="96" t="s">
        <v>203</v>
      </c>
      <c r="M295" s="96" t="s">
        <v>324</v>
      </c>
      <c r="N295" s="96" t="s">
        <v>339</v>
      </c>
      <c r="O295" s="96" t="s">
        <v>461</v>
      </c>
      <c r="P295" s="96" t="s">
        <v>337</v>
      </c>
      <c r="Q295" s="96" t="s">
        <v>1200</v>
      </c>
      <c r="R295" s="97">
        <v>35888.980845999999</v>
      </c>
      <c r="S295" s="97">
        <v>1</v>
      </c>
      <c r="T295" s="97">
        <v>1897</v>
      </c>
      <c r="U295" s="96"/>
      <c r="V295" s="97">
        <v>680.81396600000005</v>
      </c>
      <c r="W295" s="98">
        <v>3.6999999999999999E-4</v>
      </c>
      <c r="X295" s="98">
        <v>1.2179999999999999E-3</v>
      </c>
      <c r="Y295" s="98">
        <v>3.5300000000000002E-4</v>
      </c>
      <c r="Z295" s="106"/>
    </row>
    <row r="296" spans="1:26" ht="15" customHeight="1">
      <c r="A296" s="106"/>
      <c r="B296" s="96">
        <v>286</v>
      </c>
      <c r="C296" s="96">
        <v>286</v>
      </c>
      <c r="D296" s="96" t="s">
        <v>2464</v>
      </c>
      <c r="E296" s="96">
        <v>512051699</v>
      </c>
      <c r="F296" s="96" t="s">
        <v>308</v>
      </c>
      <c r="G296" s="96" t="s">
        <v>2465</v>
      </c>
      <c r="H296" s="96" t="s">
        <v>2466</v>
      </c>
      <c r="I296" s="96" t="s">
        <v>320</v>
      </c>
      <c r="J296" s="96" t="s">
        <v>918</v>
      </c>
      <c r="K296" s="96" t="s">
        <v>203</v>
      </c>
      <c r="L296" s="96" t="s">
        <v>203</v>
      </c>
      <c r="M296" s="96" t="s">
        <v>324</v>
      </c>
      <c r="N296" s="96" t="s">
        <v>339</v>
      </c>
      <c r="O296" s="96" t="s">
        <v>469</v>
      </c>
      <c r="P296" s="96" t="s">
        <v>338</v>
      </c>
      <c r="Q296" s="96" t="s">
        <v>1200</v>
      </c>
      <c r="R296" s="97">
        <v>10383.686394</v>
      </c>
      <c r="S296" s="97">
        <v>1</v>
      </c>
      <c r="T296" s="97">
        <v>786.8</v>
      </c>
      <c r="U296" s="96"/>
      <c r="V296" s="97">
        <v>81.698843999999994</v>
      </c>
      <c r="W296" s="98">
        <v>2.2699999999999999E-4</v>
      </c>
      <c r="X296" s="98">
        <v>1.46E-4</v>
      </c>
      <c r="Y296" s="98">
        <v>4.1999999999999998E-5</v>
      </c>
      <c r="Z296" s="106"/>
    </row>
    <row r="297" spans="1:26" ht="15" customHeight="1">
      <c r="A297" s="106"/>
      <c r="B297" s="96">
        <v>286</v>
      </c>
      <c r="C297" s="96">
        <v>286</v>
      </c>
      <c r="D297" s="96" t="s">
        <v>2457</v>
      </c>
      <c r="E297" s="96">
        <v>515251593</v>
      </c>
      <c r="F297" s="96" t="s">
        <v>308</v>
      </c>
      <c r="G297" s="96" t="s">
        <v>2458</v>
      </c>
      <c r="H297" s="96" t="s">
        <v>2459</v>
      </c>
      <c r="I297" s="96" t="s">
        <v>320</v>
      </c>
      <c r="J297" s="96" t="s">
        <v>918</v>
      </c>
      <c r="K297" s="96" t="s">
        <v>203</v>
      </c>
      <c r="L297" s="96" t="s">
        <v>203</v>
      </c>
      <c r="M297" s="96" t="s">
        <v>324</v>
      </c>
      <c r="N297" s="96" t="s">
        <v>339</v>
      </c>
      <c r="O297" s="96" t="s">
        <v>455</v>
      </c>
      <c r="P297" s="96" t="s">
        <v>337</v>
      </c>
      <c r="Q297" s="96" t="s">
        <v>1200</v>
      </c>
      <c r="R297" s="97">
        <v>35331.208427999998</v>
      </c>
      <c r="S297" s="97">
        <v>1</v>
      </c>
      <c r="T297" s="97">
        <v>1084</v>
      </c>
      <c r="U297" s="96"/>
      <c r="V297" s="97">
        <v>382.99029899999999</v>
      </c>
      <c r="W297" s="98">
        <v>3.3E-4</v>
      </c>
      <c r="X297" s="98">
        <v>6.8499999999999995E-4</v>
      </c>
      <c r="Y297" s="98">
        <v>1.9900000000000001E-4</v>
      </c>
      <c r="Z297" s="106"/>
    </row>
    <row r="298" spans="1:26" ht="15" customHeight="1">
      <c r="A298" s="106"/>
      <c r="B298" s="96">
        <v>286</v>
      </c>
      <c r="C298" s="96">
        <v>286</v>
      </c>
      <c r="D298" s="96" t="s">
        <v>2608</v>
      </c>
      <c r="E298" s="96">
        <v>520020033</v>
      </c>
      <c r="F298" s="96" t="s">
        <v>308</v>
      </c>
      <c r="G298" s="96" t="s">
        <v>2609</v>
      </c>
      <c r="H298" s="96" t="s">
        <v>2610</v>
      </c>
      <c r="I298" s="96" t="s">
        <v>320</v>
      </c>
      <c r="J298" s="96" t="s">
        <v>918</v>
      </c>
      <c r="K298" s="96" t="s">
        <v>203</v>
      </c>
      <c r="L298" s="96" t="s">
        <v>203</v>
      </c>
      <c r="M298" s="96" t="s">
        <v>324</v>
      </c>
      <c r="N298" s="96" t="s">
        <v>339</v>
      </c>
      <c r="O298" s="96" t="s">
        <v>477</v>
      </c>
      <c r="P298" s="96" t="s">
        <v>338</v>
      </c>
      <c r="Q298" s="96" t="s">
        <v>1200</v>
      </c>
      <c r="R298" s="97">
        <v>6070.0433819999998</v>
      </c>
      <c r="S298" s="97">
        <v>1</v>
      </c>
      <c r="T298" s="97">
        <v>2761</v>
      </c>
      <c r="U298" s="96"/>
      <c r="V298" s="97">
        <v>167.593897</v>
      </c>
      <c r="W298" s="98">
        <v>6.4999999999999994E-5</v>
      </c>
      <c r="X298" s="98">
        <v>2.9999999999999997E-4</v>
      </c>
      <c r="Y298" s="98">
        <v>8.7000000000000001E-5</v>
      </c>
      <c r="Z298" s="106"/>
    </row>
    <row r="299" spans="1:26" ht="15" customHeight="1">
      <c r="A299" s="106"/>
      <c r="B299" s="96">
        <v>286</v>
      </c>
      <c r="C299" s="96">
        <v>286</v>
      </c>
      <c r="D299" s="96" t="s">
        <v>2399</v>
      </c>
      <c r="E299" s="96"/>
      <c r="F299" s="96" t="s">
        <v>308</v>
      </c>
      <c r="G299" s="96" t="s">
        <v>2400</v>
      </c>
      <c r="H299" s="96" t="s">
        <v>2401</v>
      </c>
      <c r="I299" s="96" t="s">
        <v>320</v>
      </c>
      <c r="J299" s="96" t="s">
        <v>918</v>
      </c>
      <c r="K299" s="96" t="s">
        <v>203</v>
      </c>
      <c r="L299" s="96" t="s">
        <v>203</v>
      </c>
      <c r="M299" s="96" t="s">
        <v>326</v>
      </c>
      <c r="N299" s="96" t="s">
        <v>339</v>
      </c>
      <c r="O299" s="96" t="s">
        <v>440</v>
      </c>
      <c r="P299" s="96" t="s">
        <v>338</v>
      </c>
      <c r="Q299" s="96" t="s">
        <v>1200</v>
      </c>
      <c r="R299" s="97">
        <v>163.49328299999999</v>
      </c>
      <c r="S299" s="97">
        <v>1</v>
      </c>
      <c r="T299" s="97">
        <v>3183.9468000000002</v>
      </c>
      <c r="U299" s="96"/>
      <c r="V299" s="97">
        <v>5.2055389999999999</v>
      </c>
      <c r="W299" s="98">
        <v>9.0000000000000002E-6</v>
      </c>
      <c r="X299" s="98">
        <v>9.0000000000000002E-6</v>
      </c>
      <c r="Y299" s="98">
        <v>1.9999999999999999E-6</v>
      </c>
      <c r="Z299" s="106"/>
    </row>
    <row r="300" spans="1:26" ht="15" customHeight="1">
      <c r="A300" s="106"/>
      <c r="B300" s="96">
        <v>286</v>
      </c>
      <c r="C300" s="96">
        <v>286</v>
      </c>
      <c r="D300" s="96" t="s">
        <v>1611</v>
      </c>
      <c r="E300" s="96">
        <v>520001736</v>
      </c>
      <c r="F300" s="96" t="s">
        <v>308</v>
      </c>
      <c r="G300" s="96" t="s">
        <v>2469</v>
      </c>
      <c r="H300" s="96" t="s">
        <v>2470</v>
      </c>
      <c r="I300" s="96" t="s">
        <v>320</v>
      </c>
      <c r="J300" s="96" t="s">
        <v>918</v>
      </c>
      <c r="K300" s="96" t="s">
        <v>203</v>
      </c>
      <c r="L300" s="96" t="s">
        <v>203</v>
      </c>
      <c r="M300" s="96" t="s">
        <v>324</v>
      </c>
      <c r="N300" s="96" t="s">
        <v>339</v>
      </c>
      <c r="O300" s="96" t="s">
        <v>463</v>
      </c>
      <c r="P300" s="96" t="s">
        <v>338</v>
      </c>
      <c r="Q300" s="96" t="s">
        <v>1200</v>
      </c>
      <c r="R300" s="97">
        <v>9482.7508720000005</v>
      </c>
      <c r="S300" s="97">
        <v>1</v>
      </c>
      <c r="T300" s="97">
        <v>2515</v>
      </c>
      <c r="U300" s="96"/>
      <c r="V300" s="97">
        <v>238.491184</v>
      </c>
      <c r="W300" s="98">
        <v>4.3000000000000002E-5</v>
      </c>
      <c r="X300" s="98">
        <v>4.26E-4</v>
      </c>
      <c r="Y300" s="98">
        <v>1.2400000000000001E-4</v>
      </c>
      <c r="Z300" s="106"/>
    </row>
    <row r="301" spans="1:26" ht="15" customHeight="1">
      <c r="A301" s="106"/>
      <c r="B301" s="96">
        <v>286</v>
      </c>
      <c r="C301" s="96">
        <v>286</v>
      </c>
      <c r="D301" s="96" t="s">
        <v>1496</v>
      </c>
      <c r="E301" s="96">
        <v>510216054</v>
      </c>
      <c r="F301" s="96" t="s">
        <v>308</v>
      </c>
      <c r="G301" s="96" t="s">
        <v>2542</v>
      </c>
      <c r="H301" s="96" t="s">
        <v>2543</v>
      </c>
      <c r="I301" s="96" t="s">
        <v>320</v>
      </c>
      <c r="J301" s="96" t="s">
        <v>918</v>
      </c>
      <c r="K301" s="96" t="s">
        <v>203</v>
      </c>
      <c r="L301" s="96" t="s">
        <v>203</v>
      </c>
      <c r="M301" s="96" t="s">
        <v>324</v>
      </c>
      <c r="N301" s="96" t="s">
        <v>339</v>
      </c>
      <c r="O301" s="96" t="s">
        <v>439</v>
      </c>
      <c r="P301" s="96" t="s">
        <v>337</v>
      </c>
      <c r="Q301" s="96" t="s">
        <v>1200</v>
      </c>
      <c r="R301" s="97">
        <v>5837.0955510000003</v>
      </c>
      <c r="S301" s="97">
        <v>1</v>
      </c>
      <c r="T301" s="97">
        <v>34440</v>
      </c>
      <c r="U301" s="96"/>
      <c r="V301" s="97">
        <v>2010.295707</v>
      </c>
      <c r="W301" s="98">
        <v>5.4600000000000004E-4</v>
      </c>
      <c r="X301" s="98">
        <v>3.5980000000000001E-3</v>
      </c>
      <c r="Y301" s="98">
        <v>1.0460000000000001E-3</v>
      </c>
      <c r="Z301" s="106"/>
    </row>
    <row r="302" spans="1:26" ht="15" customHeight="1">
      <c r="A302" s="106"/>
      <c r="B302" s="96">
        <v>286</v>
      </c>
      <c r="C302" s="96">
        <v>286</v>
      </c>
      <c r="D302" s="96" t="s">
        <v>2539</v>
      </c>
      <c r="E302" s="96"/>
      <c r="F302" s="96" t="s">
        <v>308</v>
      </c>
      <c r="G302" s="96" t="s">
        <v>2540</v>
      </c>
      <c r="H302" s="96" t="s">
        <v>2541</v>
      </c>
      <c r="I302" s="96" t="s">
        <v>320</v>
      </c>
      <c r="J302" s="96" t="s">
        <v>918</v>
      </c>
      <c r="K302" s="96" t="s">
        <v>203</v>
      </c>
      <c r="L302" s="96" t="s">
        <v>203</v>
      </c>
      <c r="M302" s="96" t="s">
        <v>324</v>
      </c>
      <c r="N302" s="96" t="s">
        <v>339</v>
      </c>
      <c r="O302" s="96" t="s">
        <v>475</v>
      </c>
      <c r="P302" s="96" t="s">
        <v>338</v>
      </c>
      <c r="Q302" s="96" t="s">
        <v>1200</v>
      </c>
      <c r="R302" s="97">
        <v>329.438264</v>
      </c>
      <c r="S302" s="97">
        <v>1</v>
      </c>
      <c r="T302" s="97">
        <v>5741</v>
      </c>
      <c r="U302" s="96"/>
      <c r="V302" s="97">
        <v>18.913049999999998</v>
      </c>
      <c r="W302" s="98">
        <v>1.5E-5</v>
      </c>
      <c r="X302" s="98">
        <v>3.3000000000000003E-5</v>
      </c>
      <c r="Y302" s="98">
        <v>9.0000000000000002E-6</v>
      </c>
      <c r="Z302" s="106"/>
    </row>
    <row r="303" spans="1:26" ht="15" customHeight="1">
      <c r="A303" s="106"/>
      <c r="B303" s="96">
        <v>286</v>
      </c>
      <c r="C303" s="96">
        <v>286</v>
      </c>
      <c r="D303" s="96" t="s">
        <v>1206</v>
      </c>
      <c r="E303" s="96">
        <v>520029083</v>
      </c>
      <c r="F303" s="96" t="s">
        <v>308</v>
      </c>
      <c r="G303" s="96" t="s">
        <v>2735</v>
      </c>
      <c r="H303" s="96" t="s">
        <v>2736</v>
      </c>
      <c r="I303" s="96" t="s">
        <v>320</v>
      </c>
      <c r="J303" s="96" t="s">
        <v>918</v>
      </c>
      <c r="K303" s="96" t="s">
        <v>203</v>
      </c>
      <c r="L303" s="96" t="s">
        <v>203</v>
      </c>
      <c r="M303" s="96" t="s">
        <v>324</v>
      </c>
      <c r="N303" s="96" t="s">
        <v>339</v>
      </c>
      <c r="O303" s="96" t="s">
        <v>447</v>
      </c>
      <c r="P303" s="96" t="s">
        <v>338</v>
      </c>
      <c r="Q303" s="96" t="s">
        <v>1200</v>
      </c>
      <c r="R303" s="97">
        <v>7716.5497269999996</v>
      </c>
      <c r="S303" s="97">
        <v>1</v>
      </c>
      <c r="T303" s="97">
        <v>14410</v>
      </c>
      <c r="U303" s="96"/>
      <c r="V303" s="97">
        <v>1111.9548150000001</v>
      </c>
      <c r="W303" s="98">
        <v>7.6000000000000004E-5</v>
      </c>
      <c r="X303" s="98">
        <v>1.9889999999999999E-3</v>
      </c>
      <c r="Y303" s="98">
        <v>5.7799999999999995E-4</v>
      </c>
      <c r="Z303" s="106"/>
    </row>
    <row r="304" spans="1:26" ht="15" customHeight="1">
      <c r="A304" s="106"/>
      <c r="B304" s="96">
        <v>286</v>
      </c>
      <c r="C304" s="96">
        <v>286</v>
      </c>
      <c r="D304" s="96" t="s">
        <v>1452</v>
      </c>
      <c r="E304" s="96">
        <v>514065283</v>
      </c>
      <c r="F304" s="96" t="s">
        <v>308</v>
      </c>
      <c r="G304" s="96" t="s">
        <v>2759</v>
      </c>
      <c r="H304" s="96" t="s">
        <v>2760</v>
      </c>
      <c r="I304" s="96" t="s">
        <v>320</v>
      </c>
      <c r="J304" s="96" t="s">
        <v>918</v>
      </c>
      <c r="K304" s="96" t="s">
        <v>203</v>
      </c>
      <c r="L304" s="96" t="s">
        <v>203</v>
      </c>
      <c r="M304" s="96" t="s">
        <v>324</v>
      </c>
      <c r="N304" s="96" t="s">
        <v>339</v>
      </c>
      <c r="O304" s="96" t="s">
        <v>461</v>
      </c>
      <c r="P304" s="96" t="s">
        <v>337</v>
      </c>
      <c r="Q304" s="96" t="s">
        <v>1200</v>
      </c>
      <c r="R304" s="97">
        <v>39634.899275999996</v>
      </c>
      <c r="S304" s="97">
        <v>1</v>
      </c>
      <c r="T304" s="97">
        <v>1745</v>
      </c>
      <c r="U304" s="96"/>
      <c r="V304" s="97">
        <v>691.62899200000004</v>
      </c>
      <c r="W304" s="98">
        <v>4.4299999999999998E-4</v>
      </c>
      <c r="X304" s="98">
        <v>1.237E-3</v>
      </c>
      <c r="Y304" s="98">
        <v>3.6000000000000002E-4</v>
      </c>
      <c r="Z304" s="106"/>
    </row>
    <row r="305" spans="1:26" ht="15" customHeight="1">
      <c r="A305" s="106"/>
      <c r="B305" s="96">
        <v>286</v>
      </c>
      <c r="C305" s="96">
        <v>286</v>
      </c>
      <c r="D305" s="96" t="s">
        <v>1354</v>
      </c>
      <c r="E305" s="96">
        <v>513893123</v>
      </c>
      <c r="F305" s="96" t="s">
        <v>308</v>
      </c>
      <c r="G305" s="96" t="s">
        <v>2533</v>
      </c>
      <c r="H305" s="96" t="s">
        <v>2534</v>
      </c>
      <c r="I305" s="96" t="s">
        <v>320</v>
      </c>
      <c r="J305" s="96" t="s">
        <v>918</v>
      </c>
      <c r="K305" s="96" t="s">
        <v>203</v>
      </c>
      <c r="L305" s="96" t="s">
        <v>203</v>
      </c>
      <c r="M305" s="96" t="s">
        <v>324</v>
      </c>
      <c r="N305" s="96" t="s">
        <v>339</v>
      </c>
      <c r="O305" s="96" t="s">
        <v>442</v>
      </c>
      <c r="P305" s="96" t="s">
        <v>338</v>
      </c>
      <c r="Q305" s="96" t="s">
        <v>1200</v>
      </c>
      <c r="R305" s="97">
        <v>838.83378300000004</v>
      </c>
      <c r="S305" s="97">
        <v>1</v>
      </c>
      <c r="T305" s="97">
        <v>47140</v>
      </c>
      <c r="U305" s="96"/>
      <c r="V305" s="97">
        <v>395.42624499999999</v>
      </c>
      <c r="W305" s="98">
        <v>2.8299999999999999E-4</v>
      </c>
      <c r="X305" s="98">
        <v>7.0699999999999995E-4</v>
      </c>
      <c r="Y305" s="98">
        <v>2.05E-4</v>
      </c>
      <c r="Z305" s="106"/>
    </row>
    <row r="306" spans="1:26" ht="15" customHeight="1">
      <c r="A306" s="106"/>
      <c r="B306" s="96">
        <v>286</v>
      </c>
      <c r="C306" s="96">
        <v>286</v>
      </c>
      <c r="D306" s="96" t="s">
        <v>1982</v>
      </c>
      <c r="E306" s="96">
        <v>520036732</v>
      </c>
      <c r="F306" s="96" t="s">
        <v>308</v>
      </c>
      <c r="G306" s="96" t="s">
        <v>2471</v>
      </c>
      <c r="H306" s="96" t="s">
        <v>2472</v>
      </c>
      <c r="I306" s="96" t="s">
        <v>320</v>
      </c>
      <c r="J306" s="96" t="s">
        <v>918</v>
      </c>
      <c r="K306" s="96" t="s">
        <v>203</v>
      </c>
      <c r="L306" s="96" t="s">
        <v>203</v>
      </c>
      <c r="M306" s="96" t="s">
        <v>332</v>
      </c>
      <c r="N306" s="96" t="s">
        <v>339</v>
      </c>
      <c r="O306" s="96" t="s">
        <v>461</v>
      </c>
      <c r="P306" s="96" t="s">
        <v>338</v>
      </c>
      <c r="Q306" s="96" t="s">
        <v>1200</v>
      </c>
      <c r="R306" s="97">
        <v>10.397423</v>
      </c>
      <c r="S306" s="97">
        <v>1</v>
      </c>
      <c r="T306" s="97">
        <v>19430</v>
      </c>
      <c r="U306" s="96"/>
      <c r="V306" s="97">
        <v>2.020219</v>
      </c>
      <c r="W306" s="98">
        <v>9.9999999999999995E-7</v>
      </c>
      <c r="X306" s="98">
        <v>3.0000000000000001E-6</v>
      </c>
      <c r="Y306" s="98">
        <v>9.9999999999999995E-7</v>
      </c>
      <c r="Z306" s="106"/>
    </row>
    <row r="307" spans="1:26" ht="15" customHeight="1">
      <c r="A307" s="106"/>
      <c r="B307" s="96">
        <v>286</v>
      </c>
      <c r="C307" s="96">
        <v>286</v>
      </c>
      <c r="D307" s="96" t="s">
        <v>2413</v>
      </c>
      <c r="E307" s="96">
        <v>520037805</v>
      </c>
      <c r="F307" s="96" t="s">
        <v>308</v>
      </c>
      <c r="G307" s="96" t="s">
        <v>2414</v>
      </c>
      <c r="H307" s="96" t="s">
        <v>2415</v>
      </c>
      <c r="I307" s="96" t="s">
        <v>320</v>
      </c>
      <c r="J307" s="96" t="s">
        <v>918</v>
      </c>
      <c r="K307" s="96" t="s">
        <v>203</v>
      </c>
      <c r="L307" s="96" t="s">
        <v>203</v>
      </c>
      <c r="M307" s="96" t="s">
        <v>324</v>
      </c>
      <c r="N307" s="96" t="s">
        <v>339</v>
      </c>
      <c r="O307" s="96" t="s">
        <v>454</v>
      </c>
      <c r="P307" s="96" t="s">
        <v>338</v>
      </c>
      <c r="Q307" s="96" t="s">
        <v>1200</v>
      </c>
      <c r="R307" s="97">
        <v>988.16436699999997</v>
      </c>
      <c r="S307" s="97">
        <v>1</v>
      </c>
      <c r="T307" s="97">
        <v>1398</v>
      </c>
      <c r="U307" s="96"/>
      <c r="V307" s="97">
        <v>13.814537</v>
      </c>
      <c r="W307" s="98">
        <v>7.4999999999999993E-5</v>
      </c>
      <c r="X307" s="98">
        <v>2.4000000000000001E-5</v>
      </c>
      <c r="Y307" s="98">
        <v>6.0000000000000002E-6</v>
      </c>
      <c r="Z307" s="106"/>
    </row>
    <row r="308" spans="1:26" ht="15" customHeight="1">
      <c r="A308" s="106"/>
      <c r="B308" s="96">
        <v>286</v>
      </c>
      <c r="C308" s="96">
        <v>286</v>
      </c>
      <c r="D308" s="96" t="s">
        <v>2418</v>
      </c>
      <c r="E308" s="96">
        <v>514401702</v>
      </c>
      <c r="F308" s="96" t="s">
        <v>308</v>
      </c>
      <c r="G308" s="96" t="s">
        <v>2419</v>
      </c>
      <c r="H308" s="96" t="s">
        <v>2420</v>
      </c>
      <c r="I308" s="96" t="s">
        <v>320</v>
      </c>
      <c r="J308" s="96" t="s">
        <v>918</v>
      </c>
      <c r="K308" s="96" t="s">
        <v>203</v>
      </c>
      <c r="L308" s="96" t="s">
        <v>203</v>
      </c>
      <c r="M308" s="96" t="s">
        <v>324</v>
      </c>
      <c r="N308" s="96" t="s">
        <v>339</v>
      </c>
      <c r="O308" s="96" t="s">
        <v>439</v>
      </c>
      <c r="P308" s="96" t="s">
        <v>338</v>
      </c>
      <c r="Q308" s="96" t="s">
        <v>1200</v>
      </c>
      <c r="R308" s="97">
        <v>60384.037645999997</v>
      </c>
      <c r="S308" s="97">
        <v>1</v>
      </c>
      <c r="T308" s="97">
        <v>2633</v>
      </c>
      <c r="U308" s="96"/>
      <c r="V308" s="97">
        <v>1589.911711</v>
      </c>
      <c r="W308" s="98">
        <v>2.6899999999999998E-4</v>
      </c>
      <c r="X308" s="98">
        <v>2.8449999999999999E-3</v>
      </c>
      <c r="Y308" s="98">
        <v>8.2600000000000002E-4</v>
      </c>
      <c r="Z308" s="106"/>
    </row>
    <row r="309" spans="1:26" ht="15" customHeight="1">
      <c r="A309" s="106"/>
      <c r="B309" s="96">
        <v>286</v>
      </c>
      <c r="C309" s="96">
        <v>286</v>
      </c>
      <c r="D309" s="96" t="s">
        <v>2011</v>
      </c>
      <c r="E309" s="96">
        <v>514892801</v>
      </c>
      <c r="F309" s="96" t="s">
        <v>308</v>
      </c>
      <c r="G309" s="96" t="s">
        <v>2709</v>
      </c>
      <c r="H309" s="96" t="s">
        <v>2710</v>
      </c>
      <c r="I309" s="96" t="s">
        <v>320</v>
      </c>
      <c r="J309" s="96" t="s">
        <v>918</v>
      </c>
      <c r="K309" s="96" t="s">
        <v>203</v>
      </c>
      <c r="L309" s="96" t="s">
        <v>203</v>
      </c>
      <c r="M309" s="96" t="s">
        <v>324</v>
      </c>
      <c r="N309" s="96" t="s">
        <v>339</v>
      </c>
      <c r="O309" s="96" t="s">
        <v>462</v>
      </c>
      <c r="P309" s="96" t="s">
        <v>338</v>
      </c>
      <c r="Q309" s="96" t="s">
        <v>1200</v>
      </c>
      <c r="R309" s="97">
        <v>88389.126992000005</v>
      </c>
      <c r="S309" s="97">
        <v>1</v>
      </c>
      <c r="T309" s="97">
        <v>1920</v>
      </c>
      <c r="U309" s="96"/>
      <c r="V309" s="97">
        <v>1697.071238</v>
      </c>
      <c r="W309" s="98">
        <v>2.4699999999999999E-4</v>
      </c>
      <c r="X309" s="98">
        <v>3.0379999999999999E-3</v>
      </c>
      <c r="Y309" s="98">
        <v>8.83E-4</v>
      </c>
      <c r="Z309" s="106"/>
    </row>
    <row r="310" spans="1:26" ht="15" customHeight="1">
      <c r="A310" s="106"/>
      <c r="B310" s="96">
        <v>286</v>
      </c>
      <c r="C310" s="96">
        <v>286</v>
      </c>
      <c r="D310" s="96" t="s">
        <v>2562</v>
      </c>
      <c r="E310" s="96">
        <v>511527202</v>
      </c>
      <c r="F310" s="96" t="s">
        <v>308</v>
      </c>
      <c r="G310" s="96" t="s">
        <v>2563</v>
      </c>
      <c r="H310" s="96" t="s">
        <v>2564</v>
      </c>
      <c r="I310" s="96" t="s">
        <v>320</v>
      </c>
      <c r="J310" s="96" t="s">
        <v>918</v>
      </c>
      <c r="K310" s="96" t="s">
        <v>203</v>
      </c>
      <c r="L310" s="96" t="s">
        <v>203</v>
      </c>
      <c r="M310" s="96" t="s">
        <v>324</v>
      </c>
      <c r="N310" s="96" t="s">
        <v>339</v>
      </c>
      <c r="O310" s="96" t="s">
        <v>472</v>
      </c>
      <c r="P310" s="96" t="s">
        <v>338</v>
      </c>
      <c r="Q310" s="96" t="s">
        <v>1200</v>
      </c>
      <c r="R310" s="97">
        <v>22267.345504000001</v>
      </c>
      <c r="S310" s="97">
        <v>1</v>
      </c>
      <c r="T310" s="97">
        <v>1408</v>
      </c>
      <c r="U310" s="96"/>
      <c r="V310" s="97">
        <v>313.524224</v>
      </c>
      <c r="W310" s="98">
        <v>2.02E-4</v>
      </c>
      <c r="X310" s="98">
        <v>5.6099999999999998E-4</v>
      </c>
      <c r="Y310" s="98">
        <v>1.63E-4</v>
      </c>
      <c r="Z310" s="106"/>
    </row>
    <row r="311" spans="1:26" ht="15" customHeight="1">
      <c r="A311" s="106"/>
      <c r="B311" s="96">
        <v>286</v>
      </c>
      <c r="C311" s="96">
        <v>286</v>
      </c>
      <c r="D311" s="96" t="s">
        <v>1570</v>
      </c>
      <c r="E311" s="96">
        <v>512719485</v>
      </c>
      <c r="F311" s="96" t="s">
        <v>308</v>
      </c>
      <c r="G311" s="96" t="s">
        <v>2672</v>
      </c>
      <c r="H311" s="96" t="s">
        <v>2673</v>
      </c>
      <c r="I311" s="96" t="s">
        <v>320</v>
      </c>
      <c r="J311" s="96" t="s">
        <v>918</v>
      </c>
      <c r="K311" s="96" t="s">
        <v>203</v>
      </c>
      <c r="L311" s="96" t="s">
        <v>203</v>
      </c>
      <c r="M311" s="96" t="s">
        <v>324</v>
      </c>
      <c r="N311" s="96" t="s">
        <v>339</v>
      </c>
      <c r="O311" s="96" t="s">
        <v>463</v>
      </c>
      <c r="P311" s="96" t="s">
        <v>337</v>
      </c>
      <c r="Q311" s="96" t="s">
        <v>1200</v>
      </c>
      <c r="R311" s="97">
        <v>84138.049029999995</v>
      </c>
      <c r="S311" s="97">
        <v>1</v>
      </c>
      <c r="T311" s="97">
        <v>729.3</v>
      </c>
      <c r="U311" s="96"/>
      <c r="V311" s="97">
        <v>613.61879099999999</v>
      </c>
      <c r="W311" s="98">
        <v>5.5900000000000004E-4</v>
      </c>
      <c r="X311" s="98">
        <v>1.098E-3</v>
      </c>
      <c r="Y311" s="98">
        <v>3.19E-4</v>
      </c>
      <c r="Z311" s="106"/>
    </row>
    <row r="312" spans="1:26" ht="15" customHeight="1">
      <c r="A312" s="106"/>
      <c r="B312" s="96">
        <v>286</v>
      </c>
      <c r="C312" s="96">
        <v>286</v>
      </c>
      <c r="D312" s="96" t="s">
        <v>1302</v>
      </c>
      <c r="E312" s="96">
        <v>513623314</v>
      </c>
      <c r="F312" s="96" t="s">
        <v>308</v>
      </c>
      <c r="G312" s="96" t="s">
        <v>2711</v>
      </c>
      <c r="H312" s="96" t="s">
        <v>2712</v>
      </c>
      <c r="I312" s="96" t="s">
        <v>320</v>
      </c>
      <c r="J312" s="96" t="s">
        <v>918</v>
      </c>
      <c r="K312" s="96" t="s">
        <v>203</v>
      </c>
      <c r="L312" s="96" t="s">
        <v>203</v>
      </c>
      <c r="M312" s="96" t="s">
        <v>324</v>
      </c>
      <c r="N312" s="96" t="s">
        <v>339</v>
      </c>
      <c r="O312" s="96" t="s">
        <v>463</v>
      </c>
      <c r="P312" s="96" t="s">
        <v>337</v>
      </c>
      <c r="Q312" s="96" t="s">
        <v>1200</v>
      </c>
      <c r="R312" s="97">
        <v>8726.4989229999992</v>
      </c>
      <c r="S312" s="97">
        <v>1</v>
      </c>
      <c r="T312" s="97">
        <v>35740</v>
      </c>
      <c r="U312" s="96"/>
      <c r="V312" s="97">
        <v>3118.850715</v>
      </c>
      <c r="W312" s="98">
        <v>3.57E-4</v>
      </c>
      <c r="X312" s="98">
        <v>5.5820000000000002E-3</v>
      </c>
      <c r="Y312" s="98">
        <v>1.6230000000000001E-3</v>
      </c>
      <c r="Z312" s="106"/>
    </row>
    <row r="313" spans="1:26" ht="15" customHeight="1">
      <c r="A313" s="106"/>
      <c r="B313" s="96">
        <v>286</v>
      </c>
      <c r="C313" s="96">
        <v>286</v>
      </c>
      <c r="D313" s="96" t="s">
        <v>2714</v>
      </c>
      <c r="E313" s="96">
        <v>511399388</v>
      </c>
      <c r="F313" s="96" t="s">
        <v>308</v>
      </c>
      <c r="G313" s="96" t="s">
        <v>2715</v>
      </c>
      <c r="H313" s="96" t="s">
        <v>2716</v>
      </c>
      <c r="I313" s="96" t="s">
        <v>320</v>
      </c>
      <c r="J313" s="96" t="s">
        <v>918</v>
      </c>
      <c r="K313" s="96" t="s">
        <v>203</v>
      </c>
      <c r="L313" s="96" t="s">
        <v>203</v>
      </c>
      <c r="M313" s="96" t="s">
        <v>324</v>
      </c>
      <c r="N313" s="96" t="s">
        <v>339</v>
      </c>
      <c r="O313" s="96" t="s">
        <v>446</v>
      </c>
      <c r="P313" s="96" t="s">
        <v>338</v>
      </c>
      <c r="Q313" s="96" t="s">
        <v>1200</v>
      </c>
      <c r="R313" s="97">
        <v>5357.3686109999999</v>
      </c>
      <c r="S313" s="97">
        <v>1</v>
      </c>
      <c r="T313" s="97">
        <v>27830</v>
      </c>
      <c r="U313" s="96"/>
      <c r="V313" s="97">
        <v>1490.955684</v>
      </c>
      <c r="W313" s="98">
        <v>2.7900000000000001E-4</v>
      </c>
      <c r="X313" s="98">
        <v>2.6689999999999999E-3</v>
      </c>
      <c r="Y313" s="98">
        <v>7.76E-4</v>
      </c>
      <c r="Z313" s="106"/>
    </row>
    <row r="314" spans="1:26" ht="15" customHeight="1">
      <c r="A314" s="106"/>
      <c r="B314" s="96">
        <v>286</v>
      </c>
      <c r="C314" s="96">
        <v>286</v>
      </c>
      <c r="D314" s="96" t="s">
        <v>1648</v>
      </c>
      <c r="E314" s="96">
        <v>515846558</v>
      </c>
      <c r="F314" s="96" t="s">
        <v>308</v>
      </c>
      <c r="G314" s="96" t="s">
        <v>2746</v>
      </c>
      <c r="H314" s="96" t="s">
        <v>2747</v>
      </c>
      <c r="I314" s="96" t="s">
        <v>320</v>
      </c>
      <c r="J314" s="96" t="s">
        <v>918</v>
      </c>
      <c r="K314" s="96" t="s">
        <v>203</v>
      </c>
      <c r="L314" s="96" t="s">
        <v>203</v>
      </c>
      <c r="M314" s="96" t="s">
        <v>324</v>
      </c>
      <c r="N314" s="96" t="s">
        <v>339</v>
      </c>
      <c r="O314" s="96" t="s">
        <v>450</v>
      </c>
      <c r="P314" s="96" t="s">
        <v>337</v>
      </c>
      <c r="Q314" s="96" t="s">
        <v>1200</v>
      </c>
      <c r="R314" s="97">
        <v>527493.43138199998</v>
      </c>
      <c r="S314" s="97">
        <v>1</v>
      </c>
      <c r="T314" s="97">
        <v>52</v>
      </c>
      <c r="U314" s="96"/>
      <c r="V314" s="97">
        <v>274.296584</v>
      </c>
      <c r="W314" s="98">
        <v>4.17E-4</v>
      </c>
      <c r="X314" s="98">
        <v>4.9100000000000001E-4</v>
      </c>
      <c r="Y314" s="98">
        <v>1.4200000000000001E-4</v>
      </c>
      <c r="Z314" s="106"/>
    </row>
    <row r="315" spans="1:26" ht="15" customHeight="1">
      <c r="A315" s="106"/>
      <c r="B315" s="96">
        <v>286</v>
      </c>
      <c r="C315" s="96">
        <v>286</v>
      </c>
      <c r="D315" s="96" t="s">
        <v>2423</v>
      </c>
      <c r="E315" s="96">
        <v>520037540</v>
      </c>
      <c r="F315" s="96" t="s">
        <v>308</v>
      </c>
      <c r="G315" s="96" t="s">
        <v>2424</v>
      </c>
      <c r="H315" s="96" t="s">
        <v>2425</v>
      </c>
      <c r="I315" s="96" t="s">
        <v>320</v>
      </c>
      <c r="J315" s="96" t="s">
        <v>918</v>
      </c>
      <c r="K315" s="96" t="s">
        <v>203</v>
      </c>
      <c r="L315" s="96" t="s">
        <v>203</v>
      </c>
      <c r="M315" s="96" t="s">
        <v>324</v>
      </c>
      <c r="N315" s="96" t="s">
        <v>339</v>
      </c>
      <c r="O315" s="96" t="s">
        <v>464</v>
      </c>
      <c r="P315" s="96" t="s">
        <v>337</v>
      </c>
      <c r="Q315" s="96" t="s">
        <v>1200</v>
      </c>
      <c r="R315" s="97">
        <v>33553.137252</v>
      </c>
      <c r="S315" s="97">
        <v>1</v>
      </c>
      <c r="T315" s="97">
        <v>560.5</v>
      </c>
      <c r="U315" s="96"/>
      <c r="V315" s="97">
        <v>188.06533300000001</v>
      </c>
      <c r="W315" s="98">
        <v>5.2099999999999998E-4</v>
      </c>
      <c r="X315" s="98">
        <v>3.3599999999999998E-4</v>
      </c>
      <c r="Y315" s="98">
        <v>9.7E-5</v>
      </c>
      <c r="Z315" s="106"/>
    </row>
    <row r="316" spans="1:26" ht="15" customHeight="1">
      <c r="A316" s="106"/>
      <c r="B316" s="96">
        <v>286</v>
      </c>
      <c r="C316" s="96">
        <v>286</v>
      </c>
      <c r="D316" s="96" t="s">
        <v>2603</v>
      </c>
      <c r="E316" s="96">
        <v>520036872</v>
      </c>
      <c r="F316" s="96" t="s">
        <v>308</v>
      </c>
      <c r="G316" s="96" t="s">
        <v>2604</v>
      </c>
      <c r="H316" s="96" t="s">
        <v>2605</v>
      </c>
      <c r="I316" s="96" t="s">
        <v>320</v>
      </c>
      <c r="J316" s="96" t="s">
        <v>918</v>
      </c>
      <c r="K316" s="96" t="s">
        <v>203</v>
      </c>
      <c r="L316" s="96" t="s">
        <v>203</v>
      </c>
      <c r="M316" s="96" t="s">
        <v>324</v>
      </c>
      <c r="N316" s="96" t="s">
        <v>339</v>
      </c>
      <c r="O316" s="96" t="s">
        <v>479</v>
      </c>
      <c r="P316" s="96" t="s">
        <v>338</v>
      </c>
      <c r="Q316" s="96" t="s">
        <v>1200</v>
      </c>
      <c r="R316" s="97">
        <v>4001.244968</v>
      </c>
      <c r="S316" s="97">
        <v>1</v>
      </c>
      <c r="T316" s="97">
        <v>64400</v>
      </c>
      <c r="U316" s="96"/>
      <c r="V316" s="97">
        <v>2576.8017589999999</v>
      </c>
      <c r="W316" s="98">
        <v>6.3E-5</v>
      </c>
      <c r="X316" s="98">
        <v>4.6119999999999998E-3</v>
      </c>
      <c r="Y316" s="98">
        <v>1.341E-3</v>
      </c>
      <c r="Z316" s="106"/>
    </row>
    <row r="317" spans="1:26" ht="15" customHeight="1">
      <c r="A317" s="106"/>
      <c r="B317" s="96">
        <v>286</v>
      </c>
      <c r="C317" s="96">
        <v>286</v>
      </c>
      <c r="D317" s="96" t="s">
        <v>1675</v>
      </c>
      <c r="E317" s="96">
        <v>520043720</v>
      </c>
      <c r="F317" s="96" t="s">
        <v>308</v>
      </c>
      <c r="G317" s="96" t="s">
        <v>2754</v>
      </c>
      <c r="H317" s="96" t="s">
        <v>2755</v>
      </c>
      <c r="I317" s="96" t="s">
        <v>320</v>
      </c>
      <c r="J317" s="96" t="s">
        <v>918</v>
      </c>
      <c r="K317" s="96" t="s">
        <v>203</v>
      </c>
      <c r="L317" s="96" t="s">
        <v>203</v>
      </c>
      <c r="M317" s="96" t="s">
        <v>324</v>
      </c>
      <c r="N317" s="96" t="s">
        <v>339</v>
      </c>
      <c r="O317" s="96" t="s">
        <v>464</v>
      </c>
      <c r="P317" s="96" t="s">
        <v>337</v>
      </c>
      <c r="Q317" s="96" t="s">
        <v>1200</v>
      </c>
      <c r="R317" s="97">
        <v>45706.910227</v>
      </c>
      <c r="S317" s="97">
        <v>1</v>
      </c>
      <c r="T317" s="97">
        <v>4210</v>
      </c>
      <c r="U317" s="96"/>
      <c r="V317" s="97">
        <v>1924.2609199999999</v>
      </c>
      <c r="W317" s="98">
        <v>6.1799999999999995E-4</v>
      </c>
      <c r="X317" s="98">
        <v>3.444E-3</v>
      </c>
      <c r="Y317" s="98">
        <v>1.0009999999999999E-3</v>
      </c>
      <c r="Z317" s="106"/>
    </row>
    <row r="318" spans="1:26" ht="15" customHeight="1">
      <c r="A318" s="106"/>
      <c r="B318" s="96">
        <v>286</v>
      </c>
      <c r="C318" s="96">
        <v>286</v>
      </c>
      <c r="D318" s="96" t="s">
        <v>2614</v>
      </c>
      <c r="E318" s="96">
        <v>1635</v>
      </c>
      <c r="F318" s="96" t="s">
        <v>80</v>
      </c>
      <c r="G318" s="96" t="s">
        <v>2615</v>
      </c>
      <c r="H318" s="96" t="s">
        <v>2616</v>
      </c>
      <c r="I318" s="96" t="s">
        <v>320</v>
      </c>
      <c r="J318" s="96" t="s">
        <v>918</v>
      </c>
      <c r="K318" s="96" t="s">
        <v>203</v>
      </c>
      <c r="L318" s="96" t="s">
        <v>203</v>
      </c>
      <c r="M318" s="96" t="s">
        <v>324</v>
      </c>
      <c r="N318" s="96" t="s">
        <v>339</v>
      </c>
      <c r="O318" s="96" t="s">
        <v>450</v>
      </c>
      <c r="P318" s="96" t="s">
        <v>338</v>
      </c>
      <c r="Q318" s="96" t="s">
        <v>1200</v>
      </c>
      <c r="R318" s="97">
        <v>13297.491639</v>
      </c>
      <c r="S318" s="97">
        <v>1</v>
      </c>
      <c r="T318" s="97">
        <v>9392</v>
      </c>
      <c r="U318" s="96"/>
      <c r="V318" s="97">
        <v>1248.900414</v>
      </c>
      <c r="W318" s="98">
        <v>2.5099999999999998E-4</v>
      </c>
      <c r="X318" s="98">
        <v>2.2339999999999999E-3</v>
      </c>
      <c r="Y318" s="98">
        <v>6.4899999999999995E-4</v>
      </c>
      <c r="Z318" s="106"/>
    </row>
    <row r="319" spans="1:26" ht="15" customHeight="1">
      <c r="A319" s="106"/>
      <c r="B319" s="96">
        <v>286</v>
      </c>
      <c r="C319" s="96">
        <v>286</v>
      </c>
      <c r="D319" s="96" t="s">
        <v>2639</v>
      </c>
      <c r="E319" s="96">
        <v>520025990</v>
      </c>
      <c r="F319" s="96" t="s">
        <v>308</v>
      </c>
      <c r="G319" s="96" t="s">
        <v>2640</v>
      </c>
      <c r="H319" s="96" t="s">
        <v>2641</v>
      </c>
      <c r="I319" s="96" t="s">
        <v>320</v>
      </c>
      <c r="J319" s="96" t="s">
        <v>918</v>
      </c>
      <c r="K319" s="96" t="s">
        <v>203</v>
      </c>
      <c r="L319" s="96" t="s">
        <v>203</v>
      </c>
      <c r="M319" s="96" t="s">
        <v>324</v>
      </c>
      <c r="N319" s="96" t="s">
        <v>339</v>
      </c>
      <c r="O319" s="96" t="s">
        <v>446</v>
      </c>
      <c r="P319" s="96" t="s">
        <v>338</v>
      </c>
      <c r="Q319" s="96" t="s">
        <v>1200</v>
      </c>
      <c r="R319" s="97">
        <v>54171.343000000001</v>
      </c>
      <c r="S319" s="97">
        <v>1</v>
      </c>
      <c r="T319" s="97">
        <v>1549</v>
      </c>
      <c r="U319" s="96"/>
      <c r="V319" s="97">
        <v>839.114103</v>
      </c>
      <c r="W319" s="98">
        <v>2.5599999999999999E-4</v>
      </c>
      <c r="X319" s="98">
        <v>1.5020000000000001E-3</v>
      </c>
      <c r="Y319" s="98">
        <v>4.3600000000000003E-4</v>
      </c>
      <c r="Z319" s="106"/>
    </row>
    <row r="320" spans="1:26" ht="15" customHeight="1">
      <c r="A320" s="106"/>
      <c r="B320" s="96">
        <v>286</v>
      </c>
      <c r="C320" s="96">
        <v>286</v>
      </c>
      <c r="D320" s="96" t="s">
        <v>2402</v>
      </c>
      <c r="E320" s="96">
        <v>520034760</v>
      </c>
      <c r="F320" s="96" t="s">
        <v>308</v>
      </c>
      <c r="G320" s="96" t="s">
        <v>2402</v>
      </c>
      <c r="H320" s="96" t="s">
        <v>2403</v>
      </c>
      <c r="I320" s="96" t="s">
        <v>320</v>
      </c>
      <c r="J320" s="96" t="s">
        <v>918</v>
      </c>
      <c r="K320" s="96" t="s">
        <v>203</v>
      </c>
      <c r="L320" s="96" t="s">
        <v>203</v>
      </c>
      <c r="M320" s="96" t="s">
        <v>324</v>
      </c>
      <c r="N320" s="96" t="s">
        <v>339</v>
      </c>
      <c r="O320" s="96" t="s">
        <v>446</v>
      </c>
      <c r="P320" s="96" t="s">
        <v>337</v>
      </c>
      <c r="Q320" s="96" t="s">
        <v>1200</v>
      </c>
      <c r="R320" s="97">
        <v>5084.7972710000004</v>
      </c>
      <c r="S320" s="97">
        <v>1</v>
      </c>
      <c r="T320" s="97">
        <v>20500</v>
      </c>
      <c r="U320" s="96"/>
      <c r="V320" s="97">
        <v>1042.3834400000001</v>
      </c>
      <c r="W320" s="98">
        <v>4.0200000000000001E-4</v>
      </c>
      <c r="X320" s="98">
        <v>1.8649999999999999E-3</v>
      </c>
      <c r="Y320" s="98">
        <v>5.4199999999999995E-4</v>
      </c>
      <c r="Z320" s="106"/>
    </row>
    <row r="321" spans="1:26" ht="15" customHeight="1">
      <c r="A321" s="106"/>
      <c r="B321" s="96">
        <v>286</v>
      </c>
      <c r="C321" s="96">
        <v>286</v>
      </c>
      <c r="D321" s="96" t="s">
        <v>1774</v>
      </c>
      <c r="E321" s="96">
        <v>520039967</v>
      </c>
      <c r="F321" s="96" t="s">
        <v>308</v>
      </c>
      <c r="G321" s="96" t="s">
        <v>2455</v>
      </c>
      <c r="H321" s="96" t="s">
        <v>2456</v>
      </c>
      <c r="I321" s="96" t="s">
        <v>320</v>
      </c>
      <c r="J321" s="96" t="s">
        <v>918</v>
      </c>
      <c r="K321" s="96" t="s">
        <v>203</v>
      </c>
      <c r="L321" s="96" t="s">
        <v>203</v>
      </c>
      <c r="M321" s="96" t="s">
        <v>324</v>
      </c>
      <c r="N321" s="96" t="s">
        <v>339</v>
      </c>
      <c r="O321" s="96" t="s">
        <v>474</v>
      </c>
      <c r="P321" s="96" t="s">
        <v>337</v>
      </c>
      <c r="Q321" s="96" t="s">
        <v>1200</v>
      </c>
      <c r="R321" s="97">
        <v>10228.254542999999</v>
      </c>
      <c r="S321" s="97">
        <v>1</v>
      </c>
      <c r="T321" s="97">
        <v>7427</v>
      </c>
      <c r="U321" s="96"/>
      <c r="V321" s="97">
        <v>759.65246400000001</v>
      </c>
      <c r="W321" s="98">
        <v>4.4200000000000001E-4</v>
      </c>
      <c r="X321" s="98">
        <v>1.359E-3</v>
      </c>
      <c r="Y321" s="98">
        <v>3.9399999999999998E-4</v>
      </c>
      <c r="Z321" s="106"/>
    </row>
    <row r="322" spans="1:26" ht="15" customHeight="1">
      <c r="A322" s="106"/>
      <c r="B322" s="96">
        <v>286</v>
      </c>
      <c r="C322" s="96">
        <v>286</v>
      </c>
      <c r="D322" s="96" t="s">
        <v>1298</v>
      </c>
      <c r="E322" s="96">
        <v>510960719</v>
      </c>
      <c r="F322" s="96" t="s">
        <v>308</v>
      </c>
      <c r="G322" s="96" t="s">
        <v>2434</v>
      </c>
      <c r="H322" s="96" t="s">
        <v>2435</v>
      </c>
      <c r="I322" s="96" t="s">
        <v>320</v>
      </c>
      <c r="J322" s="96" t="s">
        <v>918</v>
      </c>
      <c r="K322" s="96" t="s">
        <v>203</v>
      </c>
      <c r="L322" s="96" t="s">
        <v>203</v>
      </c>
      <c r="M322" s="96" t="s">
        <v>324</v>
      </c>
      <c r="N322" s="96" t="s">
        <v>339</v>
      </c>
      <c r="O322" s="96" t="s">
        <v>463</v>
      </c>
      <c r="P322" s="96" t="s">
        <v>338</v>
      </c>
      <c r="Q322" s="96" t="s">
        <v>1200</v>
      </c>
      <c r="R322" s="97">
        <v>25941.793684</v>
      </c>
      <c r="S322" s="97">
        <v>1</v>
      </c>
      <c r="T322" s="97">
        <v>22000</v>
      </c>
      <c r="U322" s="96"/>
      <c r="V322" s="97">
        <v>5707.1946090000001</v>
      </c>
      <c r="W322" s="98">
        <v>2.13E-4</v>
      </c>
      <c r="X322" s="98">
        <v>1.0215999999999999E-2</v>
      </c>
      <c r="Y322" s="98">
        <v>2.9710000000000001E-3</v>
      </c>
      <c r="Z322" s="106"/>
    </row>
    <row r="323" spans="1:26" ht="15" customHeight="1">
      <c r="A323" s="106"/>
      <c r="B323" s="96">
        <v>286</v>
      </c>
      <c r="C323" s="96">
        <v>286</v>
      </c>
      <c r="D323" s="96" t="s">
        <v>2655</v>
      </c>
      <c r="E323" s="96"/>
      <c r="F323" s="96" t="s">
        <v>308</v>
      </c>
      <c r="G323" s="96" t="s">
        <v>2656</v>
      </c>
      <c r="H323" s="96" t="s">
        <v>2657</v>
      </c>
      <c r="I323" s="96" t="s">
        <v>320</v>
      </c>
      <c r="J323" s="96" t="s">
        <v>918</v>
      </c>
      <c r="K323" s="96" t="s">
        <v>203</v>
      </c>
      <c r="L323" s="96" t="s">
        <v>203</v>
      </c>
      <c r="M323" s="96" t="s">
        <v>324</v>
      </c>
      <c r="N323" s="96" t="s">
        <v>339</v>
      </c>
      <c r="O323" s="96" t="s">
        <v>458</v>
      </c>
      <c r="P323" s="96" t="s">
        <v>338</v>
      </c>
      <c r="Q323" s="96" t="s">
        <v>1200</v>
      </c>
      <c r="R323" s="97">
        <v>1016.612873</v>
      </c>
      <c r="S323" s="97">
        <v>1</v>
      </c>
      <c r="T323" s="97">
        <v>1708</v>
      </c>
      <c r="U323" s="96"/>
      <c r="V323" s="97">
        <v>17.363747</v>
      </c>
      <c r="W323" s="98">
        <v>1.0000000000000001E-5</v>
      </c>
      <c r="X323" s="98">
        <v>3.1000000000000001E-5</v>
      </c>
      <c r="Y323" s="98">
        <v>9.0000000000000002E-6</v>
      </c>
      <c r="Z323" s="106"/>
    </row>
    <row r="324" spans="1:26" ht="15" customHeight="1">
      <c r="A324" s="106"/>
      <c r="B324" s="96">
        <v>286</v>
      </c>
      <c r="C324" s="96">
        <v>286</v>
      </c>
      <c r="D324" s="96" t="s">
        <v>1427</v>
      </c>
      <c r="E324" s="96">
        <v>520031931</v>
      </c>
      <c r="F324" s="96" t="s">
        <v>308</v>
      </c>
      <c r="G324" s="96" t="s">
        <v>2645</v>
      </c>
      <c r="H324" s="96" t="s">
        <v>2646</v>
      </c>
      <c r="I324" s="96" t="s">
        <v>320</v>
      </c>
      <c r="J324" s="96" t="s">
        <v>918</v>
      </c>
      <c r="K324" s="96" t="s">
        <v>203</v>
      </c>
      <c r="L324" s="96" t="s">
        <v>203</v>
      </c>
      <c r="M324" s="96" t="s">
        <v>324</v>
      </c>
      <c r="N324" s="96" t="s">
        <v>339</v>
      </c>
      <c r="O324" s="96" t="s">
        <v>483</v>
      </c>
      <c r="P324" s="96" t="s">
        <v>338</v>
      </c>
      <c r="Q324" s="96" t="s">
        <v>1200</v>
      </c>
      <c r="R324" s="97">
        <v>802878.75112999999</v>
      </c>
      <c r="S324" s="97">
        <v>1</v>
      </c>
      <c r="T324" s="97">
        <v>423.6</v>
      </c>
      <c r="U324" s="96"/>
      <c r="V324" s="97">
        <v>3400.994389</v>
      </c>
      <c r="W324" s="98">
        <v>2.9E-4</v>
      </c>
      <c r="X324" s="98">
        <v>6.0870000000000004E-3</v>
      </c>
      <c r="Y324" s="98">
        <v>1.7700000000000001E-3</v>
      </c>
      <c r="Z324" s="106"/>
    </row>
    <row r="325" spans="1:26" ht="15" customHeight="1">
      <c r="A325" s="106"/>
      <c r="B325" s="96">
        <v>286</v>
      </c>
      <c r="C325" s="96">
        <v>286</v>
      </c>
      <c r="D325" s="96" t="s">
        <v>2685</v>
      </c>
      <c r="E325" s="96">
        <v>520029984</v>
      </c>
      <c r="F325" s="96" t="s">
        <v>308</v>
      </c>
      <c r="G325" s="96" t="s">
        <v>2686</v>
      </c>
      <c r="H325" s="96" t="s">
        <v>2687</v>
      </c>
      <c r="I325" s="96" t="s">
        <v>320</v>
      </c>
      <c r="J325" s="96" t="s">
        <v>918</v>
      </c>
      <c r="K325" s="96" t="s">
        <v>203</v>
      </c>
      <c r="L325" s="96" t="s">
        <v>203</v>
      </c>
      <c r="M325" s="96" t="s">
        <v>324</v>
      </c>
      <c r="N325" s="96" t="s">
        <v>339</v>
      </c>
      <c r="O325" s="96" t="s">
        <v>444</v>
      </c>
      <c r="P325" s="96" t="s">
        <v>338</v>
      </c>
      <c r="Q325" s="96" t="s">
        <v>1200</v>
      </c>
      <c r="R325" s="97">
        <v>190202.13370499999</v>
      </c>
      <c r="S325" s="97">
        <v>1</v>
      </c>
      <c r="T325" s="97">
        <v>422.2</v>
      </c>
      <c r="U325" s="96"/>
      <c r="V325" s="97">
        <v>803.03340800000001</v>
      </c>
      <c r="W325" s="98">
        <v>1.8000000000000001E-4</v>
      </c>
      <c r="X325" s="98">
        <v>1.4369999999999999E-3</v>
      </c>
      <c r="Y325" s="98">
        <v>4.1800000000000002E-4</v>
      </c>
      <c r="Z325" s="106"/>
    </row>
    <row r="326" spans="1:26" ht="15" customHeight="1">
      <c r="A326" s="106"/>
      <c r="B326" s="96">
        <v>286</v>
      </c>
      <c r="C326" s="96">
        <v>286</v>
      </c>
      <c r="D326" s="96" t="s">
        <v>2720</v>
      </c>
      <c r="E326" s="96">
        <v>520037565</v>
      </c>
      <c r="F326" s="96" t="s">
        <v>308</v>
      </c>
      <c r="G326" s="96" t="s">
        <v>2761</v>
      </c>
      <c r="H326" s="96" t="s">
        <v>2722</v>
      </c>
      <c r="I326" s="96" t="s">
        <v>320</v>
      </c>
      <c r="J326" s="96" t="s">
        <v>918</v>
      </c>
      <c r="K326" s="96" t="s">
        <v>203</v>
      </c>
      <c r="L326" s="96" t="s">
        <v>203</v>
      </c>
      <c r="M326" s="96" t="s">
        <v>326</v>
      </c>
      <c r="N326" s="96" t="s">
        <v>339</v>
      </c>
      <c r="O326" s="96" t="s">
        <v>476</v>
      </c>
      <c r="P326" s="96" t="s">
        <v>337</v>
      </c>
      <c r="Q326" s="96" t="s">
        <v>1200</v>
      </c>
      <c r="R326" s="97">
        <v>19.843613999999999</v>
      </c>
      <c r="S326" s="97">
        <v>1</v>
      </c>
      <c r="T326" s="97">
        <v>29882.278699999999</v>
      </c>
      <c r="U326" s="96"/>
      <c r="V326" s="97">
        <v>5.9297170000000001</v>
      </c>
      <c r="W326" s="98">
        <v>3.0000000000000001E-6</v>
      </c>
      <c r="X326" s="98">
        <v>1.0000000000000001E-5</v>
      </c>
      <c r="Y326" s="98">
        <v>3.0000000000000001E-6</v>
      </c>
      <c r="Z326" s="106"/>
    </row>
    <row r="327" spans="1:26" ht="15" customHeight="1">
      <c r="A327" s="106"/>
      <c r="B327" s="96">
        <v>286</v>
      </c>
      <c r="C327" s="96">
        <v>286</v>
      </c>
      <c r="D327" s="96" t="s">
        <v>2501</v>
      </c>
      <c r="E327" s="96">
        <v>515935807</v>
      </c>
      <c r="F327" s="96" t="s">
        <v>308</v>
      </c>
      <c r="G327" s="96" t="s">
        <v>2502</v>
      </c>
      <c r="H327" s="96" t="s">
        <v>2503</v>
      </c>
      <c r="I327" s="96" t="s">
        <v>320</v>
      </c>
      <c r="J327" s="96" t="s">
        <v>918</v>
      </c>
      <c r="K327" s="96" t="s">
        <v>203</v>
      </c>
      <c r="L327" s="96" t="s">
        <v>203</v>
      </c>
      <c r="M327" s="96" t="s">
        <v>324</v>
      </c>
      <c r="N327" s="96" t="s">
        <v>339</v>
      </c>
      <c r="O327" s="96" t="s">
        <v>470</v>
      </c>
      <c r="P327" s="96" t="s">
        <v>337</v>
      </c>
      <c r="Q327" s="96" t="s">
        <v>1200</v>
      </c>
      <c r="R327" s="97">
        <v>78476.272326000006</v>
      </c>
      <c r="S327" s="97">
        <v>1</v>
      </c>
      <c r="T327" s="97">
        <v>1770</v>
      </c>
      <c r="U327" s="96"/>
      <c r="V327" s="97">
        <v>1389.0300199999999</v>
      </c>
      <c r="W327" s="98">
        <v>5.4000000000000001E-4</v>
      </c>
      <c r="X327" s="98">
        <v>2.4859999999999999E-3</v>
      </c>
      <c r="Y327" s="98">
        <v>7.2300000000000001E-4</v>
      </c>
      <c r="Z327" s="106"/>
    </row>
    <row r="328" spans="1:26" ht="15" customHeight="1">
      <c r="A328" s="106"/>
      <c r="B328" s="96">
        <v>286</v>
      </c>
      <c r="C328" s="96">
        <v>286</v>
      </c>
      <c r="D328" s="96" t="s">
        <v>1337</v>
      </c>
      <c r="E328" s="96">
        <v>520028010</v>
      </c>
      <c r="F328" s="96" t="s">
        <v>308</v>
      </c>
      <c r="G328" s="96" t="s">
        <v>2647</v>
      </c>
      <c r="H328" s="96" t="s">
        <v>2648</v>
      </c>
      <c r="I328" s="96" t="s">
        <v>320</v>
      </c>
      <c r="J328" s="96" t="s">
        <v>918</v>
      </c>
      <c r="K328" s="96" t="s">
        <v>203</v>
      </c>
      <c r="L328" s="96" t="s">
        <v>203</v>
      </c>
      <c r="M328" s="96" t="s">
        <v>324</v>
      </c>
      <c r="N328" s="96" t="s">
        <v>339</v>
      </c>
      <c r="O328" s="96" t="s">
        <v>450</v>
      </c>
      <c r="P328" s="96" t="s">
        <v>338</v>
      </c>
      <c r="Q328" s="96" t="s">
        <v>1200</v>
      </c>
      <c r="R328" s="97">
        <v>2216.877395</v>
      </c>
      <c r="S328" s="97">
        <v>1</v>
      </c>
      <c r="T328" s="97">
        <v>83740</v>
      </c>
      <c r="U328" s="96"/>
      <c r="V328" s="97">
        <v>1856.413131</v>
      </c>
      <c r="W328" s="98">
        <v>2.92E-4</v>
      </c>
      <c r="X328" s="98">
        <v>3.3219999999999999E-3</v>
      </c>
      <c r="Y328" s="98">
        <v>9.6599999999999995E-4</v>
      </c>
      <c r="Z328" s="106"/>
    </row>
    <row r="329" spans="1:26" ht="15" customHeight="1">
      <c r="A329" s="106"/>
      <c r="B329" s="96">
        <v>286</v>
      </c>
      <c r="C329" s="96">
        <v>286</v>
      </c>
      <c r="D329" s="96" t="s">
        <v>1414</v>
      </c>
      <c r="E329" s="96">
        <v>520037789</v>
      </c>
      <c r="F329" s="96" t="s">
        <v>308</v>
      </c>
      <c r="G329" s="96" t="s">
        <v>2677</v>
      </c>
      <c r="H329" s="96" t="s">
        <v>2678</v>
      </c>
      <c r="I329" s="96" t="s">
        <v>320</v>
      </c>
      <c r="J329" s="96" t="s">
        <v>918</v>
      </c>
      <c r="K329" s="96" t="s">
        <v>203</v>
      </c>
      <c r="L329" s="96" t="s">
        <v>203</v>
      </c>
      <c r="M329" s="96" t="s">
        <v>324</v>
      </c>
      <c r="N329" s="96" t="s">
        <v>339</v>
      </c>
      <c r="O329" s="96" t="s">
        <v>463</v>
      </c>
      <c r="P329" s="96" t="s">
        <v>337</v>
      </c>
      <c r="Q329" s="96" t="s">
        <v>1200</v>
      </c>
      <c r="R329" s="97">
        <v>15274.945981999999</v>
      </c>
      <c r="S329" s="97">
        <v>1</v>
      </c>
      <c r="T329" s="97">
        <v>24710</v>
      </c>
      <c r="U329" s="96"/>
      <c r="V329" s="97">
        <v>3774.4391519999999</v>
      </c>
      <c r="W329" s="98">
        <v>3.21E-4</v>
      </c>
      <c r="X329" s="98">
        <v>6.7559999999999999E-3</v>
      </c>
      <c r="Y329" s="98">
        <v>1.9650000000000002E-3</v>
      </c>
      <c r="Z329" s="106"/>
    </row>
    <row r="330" spans="1:26" ht="15" customHeight="1">
      <c r="A330" s="106"/>
      <c r="B330" s="96">
        <v>286</v>
      </c>
      <c r="C330" s="96">
        <v>286</v>
      </c>
      <c r="D330" s="96" t="s">
        <v>1718</v>
      </c>
      <c r="E330" s="96">
        <v>511996803</v>
      </c>
      <c r="F330" s="96" t="s">
        <v>308</v>
      </c>
      <c r="G330" s="96" t="s">
        <v>2590</v>
      </c>
      <c r="H330" s="96" t="s">
        <v>2591</v>
      </c>
      <c r="I330" s="96" t="s">
        <v>320</v>
      </c>
      <c r="J330" s="96" t="s">
        <v>918</v>
      </c>
      <c r="K330" s="96" t="s">
        <v>203</v>
      </c>
      <c r="L330" s="96" t="s">
        <v>203</v>
      </c>
      <c r="M330" s="96" t="s">
        <v>324</v>
      </c>
      <c r="N330" s="96" t="s">
        <v>339</v>
      </c>
      <c r="O330" s="96" t="s">
        <v>446</v>
      </c>
      <c r="P330" s="96" t="s">
        <v>338</v>
      </c>
      <c r="Q330" s="96" t="s">
        <v>1200</v>
      </c>
      <c r="R330" s="97">
        <v>10052.58743</v>
      </c>
      <c r="S330" s="97">
        <v>1</v>
      </c>
      <c r="T330" s="97">
        <v>3471</v>
      </c>
      <c r="U330" s="96"/>
      <c r="V330" s="97">
        <v>348.92530900000003</v>
      </c>
      <c r="W330" s="98">
        <v>1.64E-4</v>
      </c>
      <c r="X330" s="98">
        <v>6.2399999999999999E-4</v>
      </c>
      <c r="Y330" s="98">
        <v>1.8100000000000001E-4</v>
      </c>
      <c r="Z330" s="106"/>
    </row>
    <row r="331" spans="1:26" ht="15" customHeight="1">
      <c r="A331" s="106"/>
      <c r="B331" s="96">
        <v>286</v>
      </c>
      <c r="C331" s="96">
        <v>286</v>
      </c>
      <c r="D331" s="96" t="s">
        <v>1321</v>
      </c>
      <c r="E331" s="96">
        <v>550263107</v>
      </c>
      <c r="F331" s="96" t="s">
        <v>309</v>
      </c>
      <c r="G331" s="96" t="s">
        <v>2460</v>
      </c>
      <c r="H331" s="96" t="s">
        <v>2461</v>
      </c>
      <c r="I331" s="96" t="s">
        <v>320</v>
      </c>
      <c r="J331" s="96" t="s">
        <v>959</v>
      </c>
      <c r="K331" s="96" t="s">
        <v>203</v>
      </c>
      <c r="L331" s="96" t="s">
        <v>203</v>
      </c>
      <c r="M331" s="96" t="s">
        <v>324</v>
      </c>
      <c r="N331" s="96" t="s">
        <v>339</v>
      </c>
      <c r="O331" s="96" t="s">
        <v>453</v>
      </c>
      <c r="P331" s="96" t="s">
        <v>338</v>
      </c>
      <c r="Q331" s="96" t="s">
        <v>1200</v>
      </c>
      <c r="R331" s="97">
        <v>23923.201346999998</v>
      </c>
      <c r="S331" s="97">
        <v>1</v>
      </c>
      <c r="T331" s="97">
        <v>4674</v>
      </c>
      <c r="U331" s="96"/>
      <c r="V331" s="97">
        <v>1118.1704299999999</v>
      </c>
      <c r="W331" s="98">
        <v>2.3900000000000001E-4</v>
      </c>
      <c r="X331" s="98">
        <v>2.0010000000000002E-3</v>
      </c>
      <c r="Y331" s="98">
        <v>5.8200000000000005E-4</v>
      </c>
      <c r="Z331" s="106"/>
    </row>
    <row r="332" spans="1:26" ht="15" customHeight="1">
      <c r="A332" s="106"/>
      <c r="B332" s="96">
        <v>286</v>
      </c>
      <c r="C332" s="96">
        <v>286</v>
      </c>
      <c r="D332" s="96" t="s">
        <v>2599</v>
      </c>
      <c r="E332" s="96">
        <v>512714494</v>
      </c>
      <c r="F332" s="96" t="s">
        <v>308</v>
      </c>
      <c r="G332" s="96" t="s">
        <v>2600</v>
      </c>
      <c r="H332" s="96" t="s">
        <v>2601</v>
      </c>
      <c r="I332" s="96" t="s">
        <v>320</v>
      </c>
      <c r="J332" s="96" t="s">
        <v>918</v>
      </c>
      <c r="K332" s="96" t="s">
        <v>203</v>
      </c>
      <c r="L332" s="96" t="s">
        <v>203</v>
      </c>
      <c r="M332" s="96" t="s">
        <v>324</v>
      </c>
      <c r="N332" s="96" t="s">
        <v>339</v>
      </c>
      <c r="O332" s="96" t="s">
        <v>462</v>
      </c>
      <c r="P332" s="96" t="s">
        <v>338</v>
      </c>
      <c r="Q332" s="96" t="s">
        <v>1200</v>
      </c>
      <c r="R332" s="97">
        <v>52648.989350000003</v>
      </c>
      <c r="S332" s="97">
        <v>1</v>
      </c>
      <c r="T332" s="97">
        <v>488.3</v>
      </c>
      <c r="U332" s="96"/>
      <c r="V332" s="97">
        <v>257.085015</v>
      </c>
      <c r="W332" s="98">
        <v>1.83E-4</v>
      </c>
      <c r="X332" s="98">
        <v>4.6000000000000001E-4</v>
      </c>
      <c r="Y332" s="98">
        <v>1.3300000000000001E-4</v>
      </c>
      <c r="Z332" s="106"/>
    </row>
    <row r="333" spans="1:26" ht="15" customHeight="1">
      <c r="A333" s="106"/>
      <c r="B333" s="96">
        <v>286</v>
      </c>
      <c r="C333" s="96">
        <v>286</v>
      </c>
      <c r="D333" s="96" t="s">
        <v>2520</v>
      </c>
      <c r="E333" s="96">
        <v>516084753</v>
      </c>
      <c r="F333" s="96" t="s">
        <v>308</v>
      </c>
      <c r="G333" s="96" t="s">
        <v>2521</v>
      </c>
      <c r="H333" s="96" t="s">
        <v>2522</v>
      </c>
      <c r="I333" s="96" t="s">
        <v>320</v>
      </c>
      <c r="J333" s="96" t="s">
        <v>918</v>
      </c>
      <c r="K333" s="96" t="s">
        <v>203</v>
      </c>
      <c r="L333" s="96" t="s">
        <v>203</v>
      </c>
      <c r="M333" s="96" t="s">
        <v>324</v>
      </c>
      <c r="N333" s="96" t="s">
        <v>339</v>
      </c>
      <c r="O333" s="96" t="s">
        <v>450</v>
      </c>
      <c r="P333" s="96" t="s">
        <v>338</v>
      </c>
      <c r="Q333" s="96" t="s">
        <v>1200</v>
      </c>
      <c r="R333" s="97">
        <v>4434.1099169999998</v>
      </c>
      <c r="S333" s="97">
        <v>1</v>
      </c>
      <c r="T333" s="97">
        <v>5496</v>
      </c>
      <c r="U333" s="96"/>
      <c r="V333" s="97">
        <v>243.69868099999999</v>
      </c>
      <c r="W333" s="98">
        <v>1.7699999999999999E-4</v>
      </c>
      <c r="X333" s="98">
        <v>4.3600000000000003E-4</v>
      </c>
      <c r="Y333" s="98">
        <v>1.26E-4</v>
      </c>
      <c r="Z333" s="106"/>
    </row>
    <row r="334" spans="1:26" ht="15" customHeight="1">
      <c r="A334" s="106"/>
      <c r="B334" s="96">
        <v>286</v>
      </c>
      <c r="C334" s="96">
        <v>286</v>
      </c>
      <c r="D334" s="96" t="s">
        <v>1373</v>
      </c>
      <c r="E334" s="96">
        <v>1476</v>
      </c>
      <c r="F334" s="96" t="s">
        <v>80</v>
      </c>
      <c r="G334" s="96" t="s">
        <v>2622</v>
      </c>
      <c r="H334" s="96" t="s">
        <v>2623</v>
      </c>
      <c r="I334" s="96" t="s">
        <v>320</v>
      </c>
      <c r="J334" s="96" t="s">
        <v>918</v>
      </c>
      <c r="K334" s="96" t="s">
        <v>203</v>
      </c>
      <c r="L334" s="96" t="s">
        <v>203</v>
      </c>
      <c r="M334" s="96" t="s">
        <v>324</v>
      </c>
      <c r="N334" s="96" t="s">
        <v>339</v>
      </c>
      <c r="O334" s="96" t="s">
        <v>446</v>
      </c>
      <c r="P334" s="96" t="s">
        <v>338</v>
      </c>
      <c r="Q334" s="96" t="s">
        <v>1200</v>
      </c>
      <c r="R334" s="97">
        <v>1585.2661599999999</v>
      </c>
      <c r="S334" s="97">
        <v>1</v>
      </c>
      <c r="T334" s="97">
        <v>119.3</v>
      </c>
      <c r="U334" s="96"/>
      <c r="V334" s="97">
        <v>1.891219</v>
      </c>
      <c r="W334" s="98">
        <v>2.31E-4</v>
      </c>
      <c r="X334" s="98">
        <v>3.0000000000000001E-6</v>
      </c>
      <c r="Y334" s="98">
        <v>0</v>
      </c>
      <c r="Z334" s="106"/>
    </row>
    <row r="335" spans="1:26" ht="15" customHeight="1">
      <c r="A335" s="106"/>
      <c r="B335" s="96">
        <v>286</v>
      </c>
      <c r="C335" s="96">
        <v>286</v>
      </c>
      <c r="D335" s="96" t="s">
        <v>1771</v>
      </c>
      <c r="E335" s="96">
        <v>515364891</v>
      </c>
      <c r="F335" s="96" t="s">
        <v>308</v>
      </c>
      <c r="G335" s="96" t="s">
        <v>2537</v>
      </c>
      <c r="H335" s="96" t="s">
        <v>2538</v>
      </c>
      <c r="I335" s="96" t="s">
        <v>320</v>
      </c>
      <c r="J335" s="96" t="s">
        <v>918</v>
      </c>
      <c r="K335" s="96" t="s">
        <v>203</v>
      </c>
      <c r="L335" s="96" t="s">
        <v>203</v>
      </c>
      <c r="M335" s="96" t="s">
        <v>324</v>
      </c>
      <c r="N335" s="96" t="s">
        <v>339</v>
      </c>
      <c r="O335" s="96" t="s">
        <v>440</v>
      </c>
      <c r="P335" s="96" t="s">
        <v>338</v>
      </c>
      <c r="Q335" s="96" t="s">
        <v>1200</v>
      </c>
      <c r="R335" s="97">
        <v>399.06923</v>
      </c>
      <c r="S335" s="97">
        <v>1</v>
      </c>
      <c r="T335" s="97">
        <v>995.7</v>
      </c>
      <c r="U335" s="96"/>
      <c r="V335" s="97">
        <v>3.9735320000000001</v>
      </c>
      <c r="W335" s="98">
        <v>1.9999999999999999E-6</v>
      </c>
      <c r="X335" s="98">
        <v>6.9999999999999999E-6</v>
      </c>
      <c r="Y335" s="98">
        <v>1.9999999999999999E-6</v>
      </c>
      <c r="Z335" s="106"/>
    </row>
    <row r="336" spans="1:26" ht="15" customHeight="1">
      <c r="A336" s="106"/>
      <c r="B336" s="96">
        <v>286</v>
      </c>
      <c r="C336" s="96">
        <v>286</v>
      </c>
      <c r="D336" s="96" t="s">
        <v>2410</v>
      </c>
      <c r="E336" s="96">
        <v>514856772</v>
      </c>
      <c r="F336" s="96" t="s">
        <v>308</v>
      </c>
      <c r="G336" s="96" t="s">
        <v>2411</v>
      </c>
      <c r="H336" s="96" t="s">
        <v>2412</v>
      </c>
      <c r="I336" s="96" t="s">
        <v>320</v>
      </c>
      <c r="J336" s="96" t="s">
        <v>918</v>
      </c>
      <c r="K336" s="96" t="s">
        <v>203</v>
      </c>
      <c r="L336" s="96" t="s">
        <v>203</v>
      </c>
      <c r="M336" s="96" t="s">
        <v>324</v>
      </c>
      <c r="N336" s="96" t="s">
        <v>339</v>
      </c>
      <c r="O336" s="96" t="s">
        <v>472</v>
      </c>
      <c r="P336" s="96" t="s">
        <v>338</v>
      </c>
      <c r="Q336" s="96" t="s">
        <v>1200</v>
      </c>
      <c r="R336" s="97">
        <v>24089.169012999999</v>
      </c>
      <c r="S336" s="97">
        <v>1</v>
      </c>
      <c r="T336" s="97">
        <v>164</v>
      </c>
      <c r="U336" s="96"/>
      <c r="V336" s="97">
        <v>39.506236999999999</v>
      </c>
      <c r="W336" s="98">
        <v>2.43E-4</v>
      </c>
      <c r="X336" s="98">
        <v>6.9999999999999994E-5</v>
      </c>
      <c r="Y336" s="98">
        <v>2.0000000000000002E-5</v>
      </c>
      <c r="Z336" s="106"/>
    </row>
    <row r="337" spans="1:26" ht="15" customHeight="1">
      <c r="A337" s="106"/>
      <c r="B337" s="96">
        <v>286</v>
      </c>
      <c r="C337" s="96">
        <v>286</v>
      </c>
      <c r="D337" s="96" t="s">
        <v>1898</v>
      </c>
      <c r="E337" s="96">
        <v>520038605</v>
      </c>
      <c r="F337" s="96" t="s">
        <v>308</v>
      </c>
      <c r="G337" s="96" t="s">
        <v>2484</v>
      </c>
      <c r="H337" s="96" t="s">
        <v>2485</v>
      </c>
      <c r="I337" s="96" t="s">
        <v>320</v>
      </c>
      <c r="J337" s="96" t="s">
        <v>918</v>
      </c>
      <c r="K337" s="96" t="s">
        <v>203</v>
      </c>
      <c r="L337" s="96" t="s">
        <v>203</v>
      </c>
      <c r="M337" s="96" t="s">
        <v>324</v>
      </c>
      <c r="N337" s="96" t="s">
        <v>339</v>
      </c>
      <c r="O337" s="96" t="s">
        <v>446</v>
      </c>
      <c r="P337" s="96" t="s">
        <v>337</v>
      </c>
      <c r="Q337" s="96" t="s">
        <v>1200</v>
      </c>
      <c r="R337" s="97">
        <v>2942.181967</v>
      </c>
      <c r="S337" s="97">
        <v>1</v>
      </c>
      <c r="T337" s="97">
        <v>17980</v>
      </c>
      <c r="U337" s="96"/>
      <c r="V337" s="97">
        <v>529.00431700000001</v>
      </c>
      <c r="W337" s="98">
        <v>3.2699999999999998E-4</v>
      </c>
      <c r="X337" s="98">
        <v>9.4700000000000003E-4</v>
      </c>
      <c r="Y337" s="98">
        <v>2.7500000000000002E-4</v>
      </c>
      <c r="Z337" s="106"/>
    </row>
    <row r="338" spans="1:26" ht="15" customHeight="1">
      <c r="A338" s="106"/>
      <c r="B338" s="96">
        <v>286</v>
      </c>
      <c r="C338" s="96">
        <v>286</v>
      </c>
      <c r="D338" s="96" t="s">
        <v>1757</v>
      </c>
      <c r="E338" s="96">
        <v>520041146</v>
      </c>
      <c r="F338" s="96" t="s">
        <v>308</v>
      </c>
      <c r="G338" s="96" t="s">
        <v>2691</v>
      </c>
      <c r="H338" s="96" t="s">
        <v>2692</v>
      </c>
      <c r="I338" s="96" t="s">
        <v>320</v>
      </c>
      <c r="J338" s="96" t="s">
        <v>918</v>
      </c>
      <c r="K338" s="96" t="s">
        <v>203</v>
      </c>
      <c r="L338" s="96" t="s">
        <v>203</v>
      </c>
      <c r="M338" s="96" t="s">
        <v>324</v>
      </c>
      <c r="N338" s="96" t="s">
        <v>339</v>
      </c>
      <c r="O338" s="96" t="s">
        <v>440</v>
      </c>
      <c r="P338" s="96" t="s">
        <v>337</v>
      </c>
      <c r="Q338" s="96" t="s">
        <v>1200</v>
      </c>
      <c r="R338" s="97">
        <v>40014.524964999997</v>
      </c>
      <c r="S338" s="97">
        <v>1</v>
      </c>
      <c r="T338" s="97">
        <v>5985</v>
      </c>
      <c r="U338" s="96"/>
      <c r="V338" s="97">
        <v>2394.8693189999999</v>
      </c>
      <c r="W338" s="98">
        <v>3.3700000000000001E-4</v>
      </c>
      <c r="X338" s="98">
        <v>4.287E-3</v>
      </c>
      <c r="Y338" s="98">
        <v>1.2470000000000001E-3</v>
      </c>
      <c r="Z338" s="106"/>
    </row>
    <row r="339" spans="1:26" ht="15" customHeight="1">
      <c r="A339" s="106"/>
      <c r="B339" s="96">
        <v>286</v>
      </c>
      <c r="C339" s="96">
        <v>286</v>
      </c>
      <c r="D339" s="96" t="s">
        <v>2693</v>
      </c>
      <c r="E339" s="96">
        <v>515983476</v>
      </c>
      <c r="F339" s="96" t="s">
        <v>308</v>
      </c>
      <c r="G339" s="96" t="s">
        <v>2694</v>
      </c>
      <c r="H339" s="96" t="s">
        <v>2695</v>
      </c>
      <c r="I339" s="96" t="s">
        <v>320</v>
      </c>
      <c r="J339" s="96" t="s">
        <v>918</v>
      </c>
      <c r="K339" s="96" t="s">
        <v>203</v>
      </c>
      <c r="L339" s="96" t="s">
        <v>203</v>
      </c>
      <c r="M339" s="96" t="s">
        <v>324</v>
      </c>
      <c r="N339" s="96" t="s">
        <v>339</v>
      </c>
      <c r="O339" s="96" t="s">
        <v>450</v>
      </c>
      <c r="P339" s="96" t="s">
        <v>337</v>
      </c>
      <c r="Q339" s="96" t="s">
        <v>1200</v>
      </c>
      <c r="R339" s="97">
        <v>111531.61904000001</v>
      </c>
      <c r="S339" s="97">
        <v>1</v>
      </c>
      <c r="T339" s="97">
        <v>537.4</v>
      </c>
      <c r="U339" s="96"/>
      <c r="V339" s="97">
        <v>599.37091999999996</v>
      </c>
      <c r="W339" s="98">
        <v>5.9599999999999996E-4</v>
      </c>
      <c r="X339" s="98">
        <v>1.072E-3</v>
      </c>
      <c r="Y339" s="98">
        <v>3.1199999999999999E-4</v>
      </c>
      <c r="Z339" s="106"/>
    </row>
    <row r="340" spans="1:26" ht="15" customHeight="1">
      <c r="A340" s="106"/>
      <c r="B340" s="96">
        <v>286</v>
      </c>
      <c r="C340" s="96">
        <v>286</v>
      </c>
      <c r="D340" s="96" t="s">
        <v>2726</v>
      </c>
      <c r="E340" s="96"/>
      <c r="F340" s="96" t="s">
        <v>308</v>
      </c>
      <c r="G340" s="96" t="s">
        <v>2727</v>
      </c>
      <c r="H340" s="96" t="s">
        <v>2728</v>
      </c>
      <c r="I340" s="96" t="s">
        <v>320</v>
      </c>
      <c r="J340" s="96" t="s">
        <v>918</v>
      </c>
      <c r="K340" s="96" t="s">
        <v>203</v>
      </c>
      <c r="L340" s="96" t="s">
        <v>203</v>
      </c>
      <c r="M340" s="96" t="s">
        <v>326</v>
      </c>
      <c r="N340" s="96" t="s">
        <v>339</v>
      </c>
      <c r="O340" s="96" t="s">
        <v>470</v>
      </c>
      <c r="P340" s="96" t="s">
        <v>338</v>
      </c>
      <c r="Q340" s="96" t="s">
        <v>1200</v>
      </c>
      <c r="R340" s="97">
        <v>157.701052</v>
      </c>
      <c r="S340" s="97">
        <v>1</v>
      </c>
      <c r="T340" s="97">
        <v>532.67229999999995</v>
      </c>
      <c r="U340" s="96"/>
      <c r="V340" s="97">
        <v>0.84002900000000003</v>
      </c>
      <c r="W340" s="98">
        <v>1.9999999999999999E-6</v>
      </c>
      <c r="X340" s="98">
        <v>9.9999999999999995E-7</v>
      </c>
      <c r="Y340" s="98">
        <v>0</v>
      </c>
      <c r="Z340" s="106"/>
    </row>
    <row r="341" spans="1:26" ht="15" customHeight="1">
      <c r="A341" s="106"/>
      <c r="B341" s="96">
        <v>286</v>
      </c>
      <c r="C341" s="96">
        <v>286</v>
      </c>
      <c r="D341" s="96" t="s">
        <v>1310</v>
      </c>
      <c r="E341" s="96">
        <v>520017450</v>
      </c>
      <c r="F341" s="96" t="s">
        <v>308</v>
      </c>
      <c r="G341" s="96" t="s">
        <v>2634</v>
      </c>
      <c r="H341" s="96" t="s">
        <v>2635</v>
      </c>
      <c r="I341" s="96" t="s">
        <v>320</v>
      </c>
      <c r="J341" s="96" t="s">
        <v>918</v>
      </c>
      <c r="K341" s="96" t="s">
        <v>203</v>
      </c>
      <c r="L341" s="96" t="s">
        <v>203</v>
      </c>
      <c r="M341" s="96" t="s">
        <v>324</v>
      </c>
      <c r="N341" s="96" t="s">
        <v>339</v>
      </c>
      <c r="O341" s="96" t="s">
        <v>444</v>
      </c>
      <c r="P341" s="96" t="s">
        <v>338</v>
      </c>
      <c r="Q341" s="96" t="s">
        <v>1200</v>
      </c>
      <c r="R341" s="97">
        <v>71025.610885000002</v>
      </c>
      <c r="S341" s="97">
        <v>1</v>
      </c>
      <c r="T341" s="97">
        <v>3419</v>
      </c>
      <c r="U341" s="96"/>
      <c r="V341" s="97">
        <v>2428.3656350000001</v>
      </c>
      <c r="W341" s="98">
        <v>2.8200000000000002E-4</v>
      </c>
      <c r="X341" s="98">
        <v>4.3470000000000002E-3</v>
      </c>
      <c r="Y341" s="98">
        <v>1.2639999999999999E-3</v>
      </c>
      <c r="Z341" s="106"/>
    </row>
    <row r="342" spans="1:26" ht="15" customHeight="1">
      <c r="A342" s="106"/>
      <c r="B342" s="96">
        <v>286</v>
      </c>
      <c r="C342" s="96">
        <v>286</v>
      </c>
      <c r="D342" s="96" t="s">
        <v>2559</v>
      </c>
      <c r="E342" s="96">
        <v>520039298</v>
      </c>
      <c r="F342" s="96" t="s">
        <v>308</v>
      </c>
      <c r="G342" s="96" t="s">
        <v>2713</v>
      </c>
      <c r="H342" s="96" t="s">
        <v>2561</v>
      </c>
      <c r="I342" s="96" t="s">
        <v>320</v>
      </c>
      <c r="J342" s="96" t="s">
        <v>918</v>
      </c>
      <c r="K342" s="96" t="s">
        <v>203</v>
      </c>
      <c r="L342" s="96" t="s">
        <v>203</v>
      </c>
      <c r="M342" s="96" t="s">
        <v>326</v>
      </c>
      <c r="N342" s="96" t="s">
        <v>339</v>
      </c>
      <c r="O342" s="96" t="s">
        <v>446</v>
      </c>
      <c r="P342" s="96" t="s">
        <v>337</v>
      </c>
      <c r="Q342" s="96" t="s">
        <v>1200</v>
      </c>
      <c r="R342" s="97">
        <v>13572.049019</v>
      </c>
      <c r="S342" s="97">
        <v>1</v>
      </c>
      <c r="T342" s="97">
        <v>1140.7186999999999</v>
      </c>
      <c r="U342" s="96"/>
      <c r="V342" s="97">
        <v>154.81889899999999</v>
      </c>
      <c r="W342" s="98">
        <v>4.1999999999999998E-5</v>
      </c>
      <c r="X342" s="98">
        <v>2.7700000000000001E-4</v>
      </c>
      <c r="Y342" s="98">
        <v>8.0000000000000007E-5</v>
      </c>
      <c r="Z342" s="106"/>
    </row>
    <row r="343" spans="1:26" ht="15" customHeight="1">
      <c r="A343" s="106"/>
      <c r="B343" s="96">
        <v>286</v>
      </c>
      <c r="C343" s="96">
        <v>286</v>
      </c>
      <c r="D343" s="96" t="s">
        <v>1376</v>
      </c>
      <c r="E343" s="96">
        <v>520025438</v>
      </c>
      <c r="F343" s="96" t="s">
        <v>308</v>
      </c>
      <c r="G343" s="96" t="s">
        <v>2729</v>
      </c>
      <c r="H343" s="96" t="s">
        <v>2730</v>
      </c>
      <c r="I343" s="96" t="s">
        <v>320</v>
      </c>
      <c r="J343" s="96" t="s">
        <v>918</v>
      </c>
      <c r="K343" s="96" t="s">
        <v>203</v>
      </c>
      <c r="L343" s="96" t="s">
        <v>203</v>
      </c>
      <c r="M343" s="96" t="s">
        <v>324</v>
      </c>
      <c r="N343" s="96" t="s">
        <v>339</v>
      </c>
      <c r="O343" s="96" t="s">
        <v>463</v>
      </c>
      <c r="P343" s="96" t="s">
        <v>338</v>
      </c>
      <c r="Q343" s="96" t="s">
        <v>1200</v>
      </c>
      <c r="R343" s="97">
        <v>1787.688911</v>
      </c>
      <c r="S343" s="97">
        <v>1</v>
      </c>
      <c r="T343" s="97">
        <v>16290</v>
      </c>
      <c r="U343" s="96"/>
      <c r="V343" s="97">
        <v>291.21452299999999</v>
      </c>
      <c r="W343" s="98">
        <v>2.42E-4</v>
      </c>
      <c r="X343" s="98">
        <v>5.1999999999999995E-4</v>
      </c>
      <c r="Y343" s="98">
        <v>1.5100000000000001E-4</v>
      </c>
      <c r="Z343" s="106"/>
    </row>
    <row r="344" spans="1:26" ht="15" customHeight="1">
      <c r="A344" s="106"/>
      <c r="B344" s="96">
        <v>286</v>
      </c>
      <c r="C344" s="96">
        <v>286</v>
      </c>
      <c r="D344" s="96" t="s">
        <v>1358</v>
      </c>
      <c r="E344" s="96">
        <v>520022732</v>
      </c>
      <c r="F344" s="96" t="s">
        <v>308</v>
      </c>
      <c r="G344" s="96" t="s">
        <v>2406</v>
      </c>
      <c r="H344" s="96" t="s">
        <v>2407</v>
      </c>
      <c r="I344" s="96" t="s">
        <v>320</v>
      </c>
      <c r="J344" s="96" t="s">
        <v>918</v>
      </c>
      <c r="K344" s="96" t="s">
        <v>203</v>
      </c>
      <c r="L344" s="96" t="s">
        <v>203</v>
      </c>
      <c r="M344" s="96" t="s">
        <v>324</v>
      </c>
      <c r="N344" s="96" t="s">
        <v>339</v>
      </c>
      <c r="O344" s="96" t="s">
        <v>474</v>
      </c>
      <c r="P344" s="96" t="s">
        <v>337</v>
      </c>
      <c r="Q344" s="96" t="s">
        <v>1200</v>
      </c>
      <c r="R344" s="97">
        <v>93364.005208000002</v>
      </c>
      <c r="S344" s="97">
        <v>1</v>
      </c>
      <c r="T344" s="97">
        <v>2472</v>
      </c>
      <c r="U344" s="96"/>
      <c r="V344" s="97">
        <v>2307.958208</v>
      </c>
      <c r="W344" s="98">
        <v>3.5100000000000002E-4</v>
      </c>
      <c r="X344" s="98">
        <v>4.1310000000000001E-3</v>
      </c>
      <c r="Y344" s="98">
        <v>1.201E-3</v>
      </c>
      <c r="Z344" s="106"/>
    </row>
    <row r="345" spans="1:26" ht="15" customHeight="1">
      <c r="A345" s="106"/>
      <c r="B345" s="96">
        <v>286</v>
      </c>
      <c r="C345" s="96">
        <v>286</v>
      </c>
      <c r="D345" s="96" t="s">
        <v>1197</v>
      </c>
      <c r="E345" s="96">
        <v>520018078</v>
      </c>
      <c r="F345" s="96" t="s">
        <v>308</v>
      </c>
      <c r="G345" s="96" t="s">
        <v>2416</v>
      </c>
      <c r="H345" s="96" t="s">
        <v>2417</v>
      </c>
      <c r="I345" s="96" t="s">
        <v>320</v>
      </c>
      <c r="J345" s="96" t="s">
        <v>918</v>
      </c>
      <c r="K345" s="96" t="s">
        <v>203</v>
      </c>
      <c r="L345" s="96" t="s">
        <v>203</v>
      </c>
      <c r="M345" s="96" t="s">
        <v>324</v>
      </c>
      <c r="N345" s="96" t="s">
        <v>339</v>
      </c>
      <c r="O345" s="96" t="s">
        <v>447</v>
      </c>
      <c r="P345" s="96" t="s">
        <v>338</v>
      </c>
      <c r="Q345" s="96" t="s">
        <v>1200</v>
      </c>
      <c r="R345" s="97">
        <v>432697.40272399999</v>
      </c>
      <c r="S345" s="97">
        <v>1</v>
      </c>
      <c r="T345" s="97">
        <v>3110</v>
      </c>
      <c r="U345" s="96"/>
      <c r="V345" s="97">
        <v>13456.889224</v>
      </c>
      <c r="W345" s="98">
        <v>2.8400000000000002E-4</v>
      </c>
      <c r="X345" s="98">
        <v>2.4088999999999999E-2</v>
      </c>
      <c r="Y345" s="98">
        <v>7.0070000000000002E-3</v>
      </c>
      <c r="Z345" s="106"/>
    </row>
    <row r="346" spans="1:26" ht="15" customHeight="1">
      <c r="A346" s="106"/>
      <c r="B346" s="96">
        <v>286</v>
      </c>
      <c r="C346" s="96">
        <v>286</v>
      </c>
      <c r="D346" s="96" t="s">
        <v>1546</v>
      </c>
      <c r="E346" s="96">
        <v>511930125</v>
      </c>
      <c r="F346" s="96" t="s">
        <v>308</v>
      </c>
      <c r="G346" s="96" t="s">
        <v>2492</v>
      </c>
      <c r="H346" s="96" t="s">
        <v>2493</v>
      </c>
      <c r="I346" s="96" t="s">
        <v>320</v>
      </c>
      <c r="J346" s="96" t="s">
        <v>918</v>
      </c>
      <c r="K346" s="96" t="s">
        <v>203</v>
      </c>
      <c r="L346" s="96" t="s">
        <v>203</v>
      </c>
      <c r="M346" s="96" t="s">
        <v>324</v>
      </c>
      <c r="N346" s="96" t="s">
        <v>339</v>
      </c>
      <c r="O346" s="96" t="s">
        <v>483</v>
      </c>
      <c r="P346" s="96" t="s">
        <v>337</v>
      </c>
      <c r="Q346" s="96" t="s">
        <v>1200</v>
      </c>
      <c r="R346" s="97">
        <v>53420.600903999999</v>
      </c>
      <c r="S346" s="97">
        <v>1</v>
      </c>
      <c r="T346" s="97">
        <v>1320</v>
      </c>
      <c r="U346" s="96"/>
      <c r="V346" s="97">
        <v>705.15193099999999</v>
      </c>
      <c r="W346" s="98">
        <v>3.2200000000000002E-4</v>
      </c>
      <c r="X346" s="98">
        <v>1.261E-3</v>
      </c>
      <c r="Y346" s="98">
        <v>3.6600000000000001E-4</v>
      </c>
      <c r="Z346" s="106"/>
    </row>
    <row r="347" spans="1:26" ht="15" customHeight="1">
      <c r="A347" s="106"/>
      <c r="B347" s="96">
        <v>286</v>
      </c>
      <c r="C347" s="96">
        <v>286</v>
      </c>
      <c r="D347" s="96" t="s">
        <v>1771</v>
      </c>
      <c r="E347" s="96">
        <v>515364891</v>
      </c>
      <c r="F347" s="96" t="s">
        <v>308</v>
      </c>
      <c r="G347" s="96" t="s">
        <v>2627</v>
      </c>
      <c r="H347" s="96" t="s">
        <v>2538</v>
      </c>
      <c r="I347" s="96" t="s">
        <v>320</v>
      </c>
      <c r="J347" s="96" t="s">
        <v>918</v>
      </c>
      <c r="K347" s="96" t="s">
        <v>203</v>
      </c>
      <c r="L347" s="96" t="s">
        <v>203</v>
      </c>
      <c r="M347" s="96" t="s">
        <v>326</v>
      </c>
      <c r="N347" s="96" t="s">
        <v>339</v>
      </c>
      <c r="O347" s="96" t="s">
        <v>440</v>
      </c>
      <c r="P347" s="96" t="s">
        <v>338</v>
      </c>
      <c r="Q347" s="96" t="s">
        <v>1200</v>
      </c>
      <c r="R347" s="97">
        <v>3154.4788779999999</v>
      </c>
      <c r="S347" s="97">
        <v>1</v>
      </c>
      <c r="T347" s="97">
        <v>994.52760000000001</v>
      </c>
      <c r="U347" s="96"/>
      <c r="V347" s="97">
        <v>31.372163</v>
      </c>
      <c r="W347" s="98">
        <v>1.7E-5</v>
      </c>
      <c r="X347" s="98">
        <v>5.5999999999999999E-5</v>
      </c>
      <c r="Y347" s="98">
        <v>1.5999999999999999E-5</v>
      </c>
      <c r="Z347" s="106"/>
    </row>
    <row r="348" spans="1:26" ht="15" customHeight="1">
      <c r="A348" s="106"/>
      <c r="B348" s="96">
        <v>286</v>
      </c>
      <c r="C348" s="96">
        <v>286</v>
      </c>
      <c r="D348" s="96" t="s">
        <v>2525</v>
      </c>
      <c r="E348" s="96">
        <v>515434074</v>
      </c>
      <c r="F348" s="96" t="s">
        <v>308</v>
      </c>
      <c r="G348" s="96" t="s">
        <v>2526</v>
      </c>
      <c r="H348" s="96" t="s">
        <v>2527</v>
      </c>
      <c r="I348" s="96" t="s">
        <v>320</v>
      </c>
      <c r="J348" s="96" t="s">
        <v>918</v>
      </c>
      <c r="K348" s="96" t="s">
        <v>203</v>
      </c>
      <c r="L348" s="96" t="s">
        <v>203</v>
      </c>
      <c r="M348" s="96" t="s">
        <v>324</v>
      </c>
      <c r="N348" s="96" t="s">
        <v>339</v>
      </c>
      <c r="O348" s="96" t="s">
        <v>463</v>
      </c>
      <c r="P348" s="96" t="s">
        <v>337</v>
      </c>
      <c r="Q348" s="96" t="s">
        <v>1200</v>
      </c>
      <c r="R348" s="97">
        <v>118663.78809099999</v>
      </c>
      <c r="S348" s="97">
        <v>1</v>
      </c>
      <c r="T348" s="97">
        <v>352.2</v>
      </c>
      <c r="U348" s="96"/>
      <c r="V348" s="97">
        <v>417.93386099999998</v>
      </c>
      <c r="W348" s="98">
        <v>8.12E-4</v>
      </c>
      <c r="X348" s="98">
        <v>7.4799999999999997E-4</v>
      </c>
      <c r="Y348" s="98">
        <v>2.1699999999999999E-4</v>
      </c>
      <c r="Z348" s="106"/>
    </row>
    <row r="349" spans="1:26" ht="15" customHeight="1">
      <c r="A349" s="106"/>
      <c r="B349" s="96">
        <v>286</v>
      </c>
      <c r="C349" s="96">
        <v>286</v>
      </c>
      <c r="D349" s="96" t="s">
        <v>1203</v>
      </c>
      <c r="E349" s="96">
        <v>520000118</v>
      </c>
      <c r="F349" s="96" t="s">
        <v>308</v>
      </c>
      <c r="G349" s="96" t="s">
        <v>2404</v>
      </c>
      <c r="H349" s="96" t="s">
        <v>2405</v>
      </c>
      <c r="I349" s="96" t="s">
        <v>320</v>
      </c>
      <c r="J349" s="96" t="s">
        <v>918</v>
      </c>
      <c r="K349" s="96" t="s">
        <v>203</v>
      </c>
      <c r="L349" s="96" t="s">
        <v>203</v>
      </c>
      <c r="M349" s="96" t="s">
        <v>324</v>
      </c>
      <c r="N349" s="96" t="s">
        <v>339</v>
      </c>
      <c r="O349" s="96" t="s">
        <v>447</v>
      </c>
      <c r="P349" s="96" t="s">
        <v>338</v>
      </c>
      <c r="Q349" s="96" t="s">
        <v>1200</v>
      </c>
      <c r="R349" s="97">
        <v>383886.36326000001</v>
      </c>
      <c r="S349" s="97">
        <v>1</v>
      </c>
      <c r="T349" s="97">
        <v>3365</v>
      </c>
      <c r="U349" s="96"/>
      <c r="V349" s="97">
        <v>12917.776121999999</v>
      </c>
      <c r="W349" s="98">
        <v>2.8600000000000001E-4</v>
      </c>
      <c r="X349" s="98">
        <v>2.3123999999999999E-2</v>
      </c>
      <c r="Y349" s="98">
        <v>6.7260000000000002E-3</v>
      </c>
      <c r="Z349" s="106"/>
    </row>
    <row r="350" spans="1:26" ht="15" customHeight="1">
      <c r="A350" s="106"/>
      <c r="B350" s="96">
        <v>286</v>
      </c>
      <c r="C350" s="96">
        <v>286</v>
      </c>
      <c r="D350" s="96" t="s">
        <v>1691</v>
      </c>
      <c r="E350" s="96">
        <v>510706153</v>
      </c>
      <c r="F350" s="96" t="s">
        <v>308</v>
      </c>
      <c r="G350" s="96" t="s">
        <v>2592</v>
      </c>
      <c r="H350" s="96" t="s">
        <v>2593</v>
      </c>
      <c r="I350" s="96" t="s">
        <v>320</v>
      </c>
      <c r="J350" s="96" t="s">
        <v>918</v>
      </c>
      <c r="K350" s="96" t="s">
        <v>203</v>
      </c>
      <c r="L350" s="96" t="s">
        <v>203</v>
      </c>
      <c r="M350" s="96" t="s">
        <v>324</v>
      </c>
      <c r="N350" s="96" t="s">
        <v>339</v>
      </c>
      <c r="O350" s="96" t="s">
        <v>477</v>
      </c>
      <c r="P350" s="96" t="s">
        <v>338</v>
      </c>
      <c r="Q350" s="96" t="s">
        <v>1200</v>
      </c>
      <c r="R350" s="97">
        <v>56565.885644000002</v>
      </c>
      <c r="S350" s="97">
        <v>1</v>
      </c>
      <c r="T350" s="97">
        <v>1257</v>
      </c>
      <c r="U350" s="96"/>
      <c r="V350" s="97">
        <v>711.03318200000001</v>
      </c>
      <c r="W350" s="98">
        <v>2.8200000000000002E-4</v>
      </c>
      <c r="X350" s="98">
        <v>1.2719999999999999E-3</v>
      </c>
      <c r="Y350" s="98">
        <v>3.6999999999999999E-4</v>
      </c>
      <c r="Z350" s="106"/>
    </row>
    <row r="351" spans="1:26" ht="15" customHeight="1">
      <c r="A351" s="106"/>
      <c r="B351" s="96">
        <v>286</v>
      </c>
      <c r="C351" s="96">
        <v>286</v>
      </c>
      <c r="D351" s="96" t="s">
        <v>2577</v>
      </c>
      <c r="E351" s="96"/>
      <c r="F351" s="96" t="s">
        <v>308</v>
      </c>
      <c r="G351" s="96" t="s">
        <v>2578</v>
      </c>
      <c r="H351" s="96" t="s">
        <v>2579</v>
      </c>
      <c r="I351" s="96" t="s">
        <v>320</v>
      </c>
      <c r="J351" s="96" t="s">
        <v>918</v>
      </c>
      <c r="K351" s="96" t="s">
        <v>203</v>
      </c>
      <c r="L351" s="96" t="s">
        <v>203</v>
      </c>
      <c r="M351" s="96" t="s">
        <v>324</v>
      </c>
      <c r="N351" s="96" t="s">
        <v>339</v>
      </c>
      <c r="O351" s="96" t="s">
        <v>460</v>
      </c>
      <c r="P351" s="96" t="s">
        <v>338</v>
      </c>
      <c r="Q351" s="96" t="s">
        <v>1200</v>
      </c>
      <c r="R351" s="97">
        <v>1004.1756779999999</v>
      </c>
      <c r="S351" s="97">
        <v>1</v>
      </c>
      <c r="T351" s="97">
        <v>8151</v>
      </c>
      <c r="U351" s="96"/>
      <c r="V351" s="97">
        <v>81.850358999999997</v>
      </c>
      <c r="W351" s="98">
        <v>1.5999999999999999E-5</v>
      </c>
      <c r="X351" s="98">
        <v>1.46E-4</v>
      </c>
      <c r="Y351" s="98">
        <v>4.1999999999999998E-5</v>
      </c>
      <c r="Z351" s="106"/>
    </row>
    <row r="352" spans="1:26" ht="15" customHeight="1">
      <c r="A352" s="106"/>
      <c r="B352" s="96">
        <v>286</v>
      </c>
      <c r="C352" s="96">
        <v>286</v>
      </c>
      <c r="D352" s="96" t="s">
        <v>1445</v>
      </c>
      <c r="E352" s="96">
        <v>510381601</v>
      </c>
      <c r="F352" s="96" t="s">
        <v>308</v>
      </c>
      <c r="G352" s="96" t="s">
        <v>2585</v>
      </c>
      <c r="H352" s="96" t="s">
        <v>2586</v>
      </c>
      <c r="I352" s="96" t="s">
        <v>320</v>
      </c>
      <c r="J352" s="96" t="s">
        <v>918</v>
      </c>
      <c r="K352" s="96" t="s">
        <v>203</v>
      </c>
      <c r="L352" s="96" t="s">
        <v>203</v>
      </c>
      <c r="M352" s="96" t="s">
        <v>324</v>
      </c>
      <c r="N352" s="96" t="s">
        <v>339</v>
      </c>
      <c r="O352" s="96" t="s">
        <v>446</v>
      </c>
      <c r="P352" s="96" t="s">
        <v>337</v>
      </c>
      <c r="Q352" s="96" t="s">
        <v>1200</v>
      </c>
      <c r="R352" s="97">
        <v>46480.715287999999</v>
      </c>
      <c r="S352" s="97">
        <v>1</v>
      </c>
      <c r="T352" s="97">
        <v>4328</v>
      </c>
      <c r="U352" s="96"/>
      <c r="V352" s="97">
        <v>2011.6853570000001</v>
      </c>
      <c r="W352" s="98">
        <v>4.5800000000000002E-4</v>
      </c>
      <c r="X352" s="98">
        <v>3.5999999999999999E-3</v>
      </c>
      <c r="Y352" s="98">
        <v>1.047E-3</v>
      </c>
      <c r="Z352" s="106"/>
    </row>
    <row r="353" spans="1:26" ht="15" customHeight="1">
      <c r="A353" s="106"/>
      <c r="B353" s="96">
        <v>286</v>
      </c>
      <c r="C353" s="96">
        <v>286</v>
      </c>
      <c r="D353" s="96" t="s">
        <v>1814</v>
      </c>
      <c r="E353" s="96">
        <v>514599943</v>
      </c>
      <c r="F353" s="96" t="s">
        <v>308</v>
      </c>
      <c r="G353" s="96" t="s">
        <v>2462</v>
      </c>
      <c r="H353" s="96" t="s">
        <v>2463</v>
      </c>
      <c r="I353" s="96" t="s">
        <v>320</v>
      </c>
      <c r="J353" s="96" t="s">
        <v>918</v>
      </c>
      <c r="K353" s="96" t="s">
        <v>203</v>
      </c>
      <c r="L353" s="96" t="s">
        <v>203</v>
      </c>
      <c r="M353" s="96" t="s">
        <v>324</v>
      </c>
      <c r="N353" s="96" t="s">
        <v>339</v>
      </c>
      <c r="O353" s="96" t="s">
        <v>440</v>
      </c>
      <c r="P353" s="96" t="s">
        <v>338</v>
      </c>
      <c r="Q353" s="96" t="s">
        <v>1200</v>
      </c>
      <c r="R353" s="97">
        <v>3977.945174</v>
      </c>
      <c r="S353" s="97">
        <v>1</v>
      </c>
      <c r="T353" s="97">
        <v>8250</v>
      </c>
      <c r="U353" s="96"/>
      <c r="V353" s="97">
        <v>328.180477</v>
      </c>
      <c r="W353" s="98">
        <v>1.11E-4</v>
      </c>
      <c r="X353" s="98">
        <v>5.8699999999999996E-4</v>
      </c>
      <c r="Y353" s="98">
        <v>1.7000000000000001E-4</v>
      </c>
      <c r="Z353" s="106"/>
    </row>
    <row r="354" spans="1:26" ht="15" customHeight="1">
      <c r="A354" s="106"/>
      <c r="B354" s="96">
        <v>286</v>
      </c>
      <c r="C354" s="96">
        <v>286</v>
      </c>
      <c r="D354" s="96" t="s">
        <v>1672</v>
      </c>
      <c r="E354" s="96">
        <v>1146</v>
      </c>
      <c r="F354" s="96" t="s">
        <v>80</v>
      </c>
      <c r="G354" s="96" t="s">
        <v>2683</v>
      </c>
      <c r="H354" s="96" t="s">
        <v>2684</v>
      </c>
      <c r="I354" s="96" t="s">
        <v>320</v>
      </c>
      <c r="J354" s="96" t="s">
        <v>918</v>
      </c>
      <c r="K354" s="96" t="s">
        <v>203</v>
      </c>
      <c r="L354" s="96" t="s">
        <v>203</v>
      </c>
      <c r="M354" s="96" t="s">
        <v>324</v>
      </c>
      <c r="N354" s="96" t="s">
        <v>339</v>
      </c>
      <c r="O354" s="96" t="s">
        <v>479</v>
      </c>
      <c r="P354" s="96" t="s">
        <v>338</v>
      </c>
      <c r="Q354" s="96" t="s">
        <v>1200</v>
      </c>
      <c r="R354" s="97">
        <v>6020.1020550000003</v>
      </c>
      <c r="S354" s="97">
        <v>1</v>
      </c>
      <c r="T354" s="97">
        <v>12820</v>
      </c>
      <c r="U354" s="96"/>
      <c r="V354" s="97">
        <v>771.77708299999995</v>
      </c>
      <c r="W354" s="98">
        <v>1.07E-4</v>
      </c>
      <c r="X354" s="98">
        <v>1.3799999999999999E-3</v>
      </c>
      <c r="Y354" s="98">
        <v>4.0099999999999999E-4</v>
      </c>
      <c r="Z354" s="106"/>
    </row>
    <row r="355" spans="1:26" ht="15" customHeight="1">
      <c r="A355" s="106"/>
      <c r="B355" s="96">
        <v>286</v>
      </c>
      <c r="C355" s="96">
        <v>286</v>
      </c>
      <c r="D355" s="96" t="s">
        <v>1529</v>
      </c>
      <c r="E355" s="96">
        <v>520003781</v>
      </c>
      <c r="F355" s="96" t="s">
        <v>308</v>
      </c>
      <c r="G355" s="96" t="s">
        <v>2696</v>
      </c>
      <c r="H355" s="96" t="s">
        <v>2697</v>
      </c>
      <c r="I355" s="96" t="s">
        <v>320</v>
      </c>
      <c r="J355" s="96" t="s">
        <v>918</v>
      </c>
      <c r="K355" s="96" t="s">
        <v>203</v>
      </c>
      <c r="L355" s="96" t="s">
        <v>203</v>
      </c>
      <c r="M355" s="96" t="s">
        <v>324</v>
      </c>
      <c r="N355" s="96" t="s">
        <v>339</v>
      </c>
      <c r="O355" s="96" t="s">
        <v>458</v>
      </c>
      <c r="P355" s="96" t="s">
        <v>338</v>
      </c>
      <c r="Q355" s="96" t="s">
        <v>1200</v>
      </c>
      <c r="R355" s="97">
        <v>30477.025762000001</v>
      </c>
      <c r="S355" s="97">
        <v>1</v>
      </c>
      <c r="T355" s="97">
        <v>5599</v>
      </c>
      <c r="U355" s="96"/>
      <c r="V355" s="97">
        <v>1706.408672</v>
      </c>
      <c r="W355" s="98">
        <v>2.61E-4</v>
      </c>
      <c r="X355" s="98">
        <v>3.0539999999999999E-3</v>
      </c>
      <c r="Y355" s="98">
        <v>8.8699999999999998E-4</v>
      </c>
      <c r="Z355" s="106"/>
    </row>
    <row r="356" spans="1:26" ht="15" customHeight="1">
      <c r="A356" s="106"/>
      <c r="B356" s="96">
        <v>286</v>
      </c>
      <c r="C356" s="96">
        <v>286</v>
      </c>
      <c r="D356" s="96" t="s">
        <v>1760</v>
      </c>
      <c r="E356" s="96">
        <v>520038894</v>
      </c>
      <c r="F356" s="96" t="s">
        <v>308</v>
      </c>
      <c r="G356" s="96" t="s">
        <v>2482</v>
      </c>
      <c r="H356" s="96" t="s">
        <v>2483</v>
      </c>
      <c r="I356" s="96" t="s">
        <v>320</v>
      </c>
      <c r="J356" s="96" t="s">
        <v>918</v>
      </c>
      <c r="K356" s="96" t="s">
        <v>203</v>
      </c>
      <c r="L356" s="96" t="s">
        <v>203</v>
      </c>
      <c r="M356" s="96" t="s">
        <v>324</v>
      </c>
      <c r="N356" s="96" t="s">
        <v>339</v>
      </c>
      <c r="O356" s="96" t="s">
        <v>464</v>
      </c>
      <c r="P356" s="96" t="s">
        <v>338</v>
      </c>
      <c r="Q356" s="96" t="s">
        <v>1200</v>
      </c>
      <c r="R356" s="97">
        <v>883.10526500000003</v>
      </c>
      <c r="S356" s="97">
        <v>1</v>
      </c>
      <c r="T356" s="97">
        <v>13310</v>
      </c>
      <c r="U356" s="96"/>
      <c r="V356" s="97">
        <v>117.54131</v>
      </c>
      <c r="W356" s="98">
        <v>4.1999999999999998E-5</v>
      </c>
      <c r="X356" s="98">
        <v>2.1000000000000001E-4</v>
      </c>
      <c r="Y356" s="98">
        <v>6.0999999999999999E-5</v>
      </c>
      <c r="Z356" s="106"/>
    </row>
    <row r="357" spans="1:26" ht="15" customHeight="1">
      <c r="A357" s="106"/>
      <c r="B357" s="96">
        <v>286</v>
      </c>
      <c r="C357" s="96">
        <v>286</v>
      </c>
      <c r="D357" s="96" t="s">
        <v>1929</v>
      </c>
      <c r="E357" s="96">
        <v>520044314</v>
      </c>
      <c r="F357" s="96" t="s">
        <v>308</v>
      </c>
      <c r="G357" s="96" t="s">
        <v>2513</v>
      </c>
      <c r="H357" s="96" t="s">
        <v>2514</v>
      </c>
      <c r="I357" s="96" t="s">
        <v>320</v>
      </c>
      <c r="J357" s="96" t="s">
        <v>918</v>
      </c>
      <c r="K357" s="96" t="s">
        <v>203</v>
      </c>
      <c r="L357" s="96" t="s">
        <v>203</v>
      </c>
      <c r="M357" s="96" t="s">
        <v>324</v>
      </c>
      <c r="N357" s="96" t="s">
        <v>339</v>
      </c>
      <c r="O357" s="96" t="s">
        <v>483</v>
      </c>
      <c r="P357" s="96" t="s">
        <v>337</v>
      </c>
      <c r="Q357" s="96" t="s">
        <v>1200</v>
      </c>
      <c r="R357" s="97">
        <v>77893.758551999999</v>
      </c>
      <c r="S357" s="97">
        <v>1</v>
      </c>
      <c r="T357" s="97">
        <v>1535</v>
      </c>
      <c r="U357" s="96"/>
      <c r="V357" s="97">
        <v>1195.669193</v>
      </c>
      <c r="W357" s="98">
        <v>4.1800000000000002E-4</v>
      </c>
      <c r="X357" s="98">
        <v>2.1389999999999998E-3</v>
      </c>
      <c r="Y357" s="98">
        <v>6.2200000000000005E-4</v>
      </c>
      <c r="Z357" s="106"/>
    </row>
    <row r="358" spans="1:26" ht="15" customHeight="1">
      <c r="A358" s="106"/>
      <c r="B358" s="96">
        <v>286</v>
      </c>
      <c r="C358" s="96">
        <v>286</v>
      </c>
      <c r="D358" s="96" t="s">
        <v>2530</v>
      </c>
      <c r="E358" s="96"/>
      <c r="F358" s="96" t="s">
        <v>308</v>
      </c>
      <c r="G358" s="96" t="s">
        <v>2531</v>
      </c>
      <c r="H358" s="96" t="s">
        <v>2532</v>
      </c>
      <c r="I358" s="96" t="s">
        <v>320</v>
      </c>
      <c r="J358" s="96" t="s">
        <v>918</v>
      </c>
      <c r="K358" s="96" t="s">
        <v>203</v>
      </c>
      <c r="L358" s="96" t="s">
        <v>203</v>
      </c>
      <c r="M358" s="96" t="s">
        <v>324</v>
      </c>
      <c r="N358" s="96" t="s">
        <v>339</v>
      </c>
      <c r="O358" s="96" t="s">
        <v>476</v>
      </c>
      <c r="P358" s="96" t="s">
        <v>338</v>
      </c>
      <c r="Q358" s="96" t="s">
        <v>1200</v>
      </c>
      <c r="R358" s="97">
        <v>87520.671382999994</v>
      </c>
      <c r="S358" s="97">
        <v>1</v>
      </c>
      <c r="T358" s="97">
        <v>433.5</v>
      </c>
      <c r="U358" s="96"/>
      <c r="V358" s="97">
        <v>379.40210999999999</v>
      </c>
      <c r="W358" s="98">
        <v>2.12E-4</v>
      </c>
      <c r="X358" s="98">
        <v>6.7900000000000002E-4</v>
      </c>
      <c r="Y358" s="98">
        <v>1.9699999999999999E-4</v>
      </c>
      <c r="Z358" s="106"/>
    </row>
    <row r="359" spans="1:26" ht="15" customHeight="1">
      <c r="A359" s="106"/>
      <c r="B359" s="96">
        <v>286</v>
      </c>
      <c r="C359" s="96">
        <v>286</v>
      </c>
      <c r="D359" s="96" t="s">
        <v>1862</v>
      </c>
      <c r="E359" s="96">
        <v>520036120</v>
      </c>
      <c r="F359" s="96" t="s">
        <v>308</v>
      </c>
      <c r="G359" s="96" t="s">
        <v>2473</v>
      </c>
      <c r="H359" s="96" t="s">
        <v>2474</v>
      </c>
      <c r="I359" s="96" t="s">
        <v>320</v>
      </c>
      <c r="J359" s="96" t="s">
        <v>918</v>
      </c>
      <c r="K359" s="96" t="s">
        <v>203</v>
      </c>
      <c r="L359" s="96" t="s">
        <v>203</v>
      </c>
      <c r="M359" s="96" t="s">
        <v>324</v>
      </c>
      <c r="N359" s="96" t="s">
        <v>339</v>
      </c>
      <c r="O359" s="96" t="s">
        <v>444</v>
      </c>
      <c r="P359" s="96" t="s">
        <v>338</v>
      </c>
      <c r="Q359" s="96" t="s">
        <v>1200</v>
      </c>
      <c r="R359" s="97">
        <v>23707.043189</v>
      </c>
      <c r="S359" s="97">
        <v>1</v>
      </c>
      <c r="T359" s="97">
        <v>5291</v>
      </c>
      <c r="U359" s="96"/>
      <c r="V359" s="97">
        <v>1254.3396540000001</v>
      </c>
      <c r="W359" s="98">
        <v>2.99E-4</v>
      </c>
      <c r="X359" s="98">
        <v>2.245E-3</v>
      </c>
      <c r="Y359" s="98">
        <v>6.5200000000000002E-4</v>
      </c>
      <c r="Z359" s="106"/>
    </row>
    <row r="360" spans="1:26" ht="15" customHeight="1">
      <c r="A360" s="106"/>
      <c r="B360" s="96">
        <v>286</v>
      </c>
      <c r="C360" s="96">
        <v>286</v>
      </c>
      <c r="D360" s="96" t="s">
        <v>2436</v>
      </c>
      <c r="E360" s="96">
        <v>510607328</v>
      </c>
      <c r="F360" s="96" t="s">
        <v>308</v>
      </c>
      <c r="G360" s="96" t="s">
        <v>2504</v>
      </c>
      <c r="H360" s="96" t="s">
        <v>2438</v>
      </c>
      <c r="I360" s="96" t="s">
        <v>320</v>
      </c>
      <c r="J360" s="96" t="s">
        <v>918</v>
      </c>
      <c r="K360" s="96" t="s">
        <v>203</v>
      </c>
      <c r="L360" s="96" t="s">
        <v>203</v>
      </c>
      <c r="M360" s="96" t="s">
        <v>326</v>
      </c>
      <c r="N360" s="96" t="s">
        <v>339</v>
      </c>
      <c r="O360" s="96" t="s">
        <v>464</v>
      </c>
      <c r="P360" s="96" t="s">
        <v>338</v>
      </c>
      <c r="Q360" s="96" t="s">
        <v>1200</v>
      </c>
      <c r="R360" s="97">
        <v>146.33873800000001</v>
      </c>
      <c r="S360" s="97">
        <v>1</v>
      </c>
      <c r="T360" s="97">
        <v>3086.3656000000001</v>
      </c>
      <c r="U360" s="96"/>
      <c r="V360" s="97">
        <v>4.5165470000000001</v>
      </c>
      <c r="W360" s="98">
        <v>1.9999999999999999E-6</v>
      </c>
      <c r="X360" s="98">
        <v>7.9999999999999996E-6</v>
      </c>
      <c r="Y360" s="98">
        <v>1.9999999999999999E-6</v>
      </c>
      <c r="Z360" s="106"/>
    </row>
    <row r="361" spans="1:26" ht="15" customHeight="1">
      <c r="A361" s="106"/>
      <c r="B361" s="96">
        <v>286</v>
      </c>
      <c r="C361" s="96">
        <v>286</v>
      </c>
      <c r="D361" s="96" t="s">
        <v>2700</v>
      </c>
      <c r="E361" s="96">
        <v>520042763</v>
      </c>
      <c r="F361" s="96" t="s">
        <v>308</v>
      </c>
      <c r="G361" s="96" t="s">
        <v>2701</v>
      </c>
      <c r="H361" s="96" t="s">
        <v>2702</v>
      </c>
      <c r="I361" s="96" t="s">
        <v>320</v>
      </c>
      <c r="J361" s="96" t="s">
        <v>918</v>
      </c>
      <c r="K361" s="96" t="s">
        <v>203</v>
      </c>
      <c r="L361" s="96" t="s">
        <v>203</v>
      </c>
      <c r="M361" s="96" t="s">
        <v>324</v>
      </c>
      <c r="N361" s="96" t="s">
        <v>339</v>
      </c>
      <c r="O361" s="96" t="s">
        <v>460</v>
      </c>
      <c r="P361" s="96" t="s">
        <v>337</v>
      </c>
      <c r="Q361" s="96" t="s">
        <v>1200</v>
      </c>
      <c r="R361" s="97">
        <v>7314.328536</v>
      </c>
      <c r="S361" s="97">
        <v>1</v>
      </c>
      <c r="T361" s="97">
        <v>6972</v>
      </c>
      <c r="U361" s="96"/>
      <c r="V361" s="97">
        <v>509.95498400000002</v>
      </c>
      <c r="W361" s="98">
        <v>4.2499999999999998E-4</v>
      </c>
      <c r="X361" s="98">
        <v>9.1200000000000005E-4</v>
      </c>
      <c r="Y361" s="98">
        <v>2.6400000000000002E-4</v>
      </c>
      <c r="Z361" s="106"/>
    </row>
    <row r="362" spans="1:26" ht="15" customHeight="1">
      <c r="A362" s="106"/>
      <c r="B362" s="96">
        <v>286</v>
      </c>
      <c r="C362" s="96">
        <v>286</v>
      </c>
      <c r="D362" s="96" t="s">
        <v>2636</v>
      </c>
      <c r="E362" s="96">
        <v>513955252</v>
      </c>
      <c r="F362" s="96" t="s">
        <v>308</v>
      </c>
      <c r="G362" s="96" t="s">
        <v>2637</v>
      </c>
      <c r="H362" s="96" t="s">
        <v>2638</v>
      </c>
      <c r="I362" s="96" t="s">
        <v>320</v>
      </c>
      <c r="J362" s="96" t="s">
        <v>918</v>
      </c>
      <c r="K362" s="96" t="s">
        <v>203</v>
      </c>
      <c r="L362" s="96" t="s">
        <v>203</v>
      </c>
      <c r="M362" s="96" t="s">
        <v>324</v>
      </c>
      <c r="N362" s="96" t="s">
        <v>339</v>
      </c>
      <c r="O362" s="96" t="s">
        <v>461</v>
      </c>
      <c r="P362" s="96" t="s">
        <v>338</v>
      </c>
      <c r="Q362" s="96" t="s">
        <v>1200</v>
      </c>
      <c r="R362" s="97">
        <v>14440.86565</v>
      </c>
      <c r="S362" s="97">
        <v>1</v>
      </c>
      <c r="T362" s="97">
        <v>382.8</v>
      </c>
      <c r="U362" s="96"/>
      <c r="V362" s="97">
        <v>55.279632999999997</v>
      </c>
      <c r="W362" s="98">
        <v>2.5399999999999999E-4</v>
      </c>
      <c r="X362" s="98">
        <v>9.7999999999999997E-5</v>
      </c>
      <c r="Y362" s="98">
        <v>2.8E-5</v>
      </c>
      <c r="Z362" s="106"/>
    </row>
    <row r="363" spans="1:26" ht="15" customHeight="1">
      <c r="A363" s="106"/>
      <c r="B363" s="96">
        <v>286</v>
      </c>
      <c r="C363" s="96">
        <v>286</v>
      </c>
      <c r="D363" s="96" t="s">
        <v>2587</v>
      </c>
      <c r="E363" s="96">
        <v>723</v>
      </c>
      <c r="F363" s="96" t="s">
        <v>80</v>
      </c>
      <c r="G363" s="96" t="s">
        <v>2588</v>
      </c>
      <c r="H363" s="96" t="s">
        <v>2589</v>
      </c>
      <c r="I363" s="96" t="s">
        <v>320</v>
      </c>
      <c r="J363" s="96" t="s">
        <v>918</v>
      </c>
      <c r="K363" s="96" t="s">
        <v>203</v>
      </c>
      <c r="L363" s="96" t="s">
        <v>203</v>
      </c>
      <c r="M363" s="96" t="s">
        <v>324</v>
      </c>
      <c r="N363" s="96" t="s">
        <v>339</v>
      </c>
      <c r="O363" s="96" t="s">
        <v>464</v>
      </c>
      <c r="P363" s="96" t="s">
        <v>338</v>
      </c>
      <c r="Q363" s="96" t="s">
        <v>1200</v>
      </c>
      <c r="R363" s="97">
        <v>5271.177702</v>
      </c>
      <c r="S363" s="97">
        <v>1</v>
      </c>
      <c r="T363" s="97">
        <v>704.3</v>
      </c>
      <c r="U363" s="96"/>
      <c r="V363" s="97">
        <v>37.124903000000003</v>
      </c>
      <c r="W363" s="98">
        <v>8.2999999999999998E-5</v>
      </c>
      <c r="X363" s="98">
        <v>6.4999999999999994E-5</v>
      </c>
      <c r="Y363" s="98">
        <v>1.8E-5</v>
      </c>
      <c r="Z363" s="106"/>
    </row>
    <row r="364" spans="1:26" ht="15" customHeight="1">
      <c r="A364" s="106"/>
      <c r="B364" s="96">
        <v>286</v>
      </c>
      <c r="C364" s="96">
        <v>286</v>
      </c>
      <c r="D364" s="96" t="s">
        <v>1511</v>
      </c>
      <c r="E364" s="96">
        <v>513765859</v>
      </c>
      <c r="F364" s="96" t="s">
        <v>308</v>
      </c>
      <c r="G364" s="96" t="s">
        <v>2743</v>
      </c>
      <c r="H364" s="96" t="s">
        <v>2744</v>
      </c>
      <c r="I364" s="96" t="s">
        <v>320</v>
      </c>
      <c r="J364" s="96" t="s">
        <v>918</v>
      </c>
      <c r="K364" s="96" t="s">
        <v>203</v>
      </c>
      <c r="L364" s="96" t="s">
        <v>203</v>
      </c>
      <c r="M364" s="96" t="s">
        <v>324</v>
      </c>
      <c r="N364" s="96" t="s">
        <v>339</v>
      </c>
      <c r="O364" s="96" t="s">
        <v>463</v>
      </c>
      <c r="P364" s="96" t="s">
        <v>337</v>
      </c>
      <c r="Q364" s="96" t="s">
        <v>1200</v>
      </c>
      <c r="R364" s="97">
        <v>8065.3684149999999</v>
      </c>
      <c r="S364" s="97">
        <v>1</v>
      </c>
      <c r="T364" s="97">
        <v>25430</v>
      </c>
      <c r="U364" s="96"/>
      <c r="V364" s="97">
        <v>2051.0231880000001</v>
      </c>
      <c r="W364" s="98">
        <v>6.6100000000000002E-4</v>
      </c>
      <c r="X364" s="98">
        <v>3.6700000000000001E-3</v>
      </c>
      <c r="Y364" s="98">
        <v>1.0679999999999999E-3</v>
      </c>
      <c r="Z364" s="106"/>
    </row>
    <row r="365" spans="1:26" ht="15" customHeight="1">
      <c r="A365" s="106"/>
      <c r="B365" s="96">
        <v>286</v>
      </c>
      <c r="C365" s="96">
        <v>286</v>
      </c>
      <c r="D365" s="96" t="s">
        <v>1364</v>
      </c>
      <c r="E365" s="96">
        <v>513821488</v>
      </c>
      <c r="F365" s="96" t="s">
        <v>308</v>
      </c>
      <c r="G365" s="96" t="s">
        <v>2681</v>
      </c>
      <c r="H365" s="96" t="s">
        <v>2682</v>
      </c>
      <c r="I365" s="96" t="s">
        <v>320</v>
      </c>
      <c r="J365" s="96" t="s">
        <v>918</v>
      </c>
      <c r="K365" s="96" t="s">
        <v>203</v>
      </c>
      <c r="L365" s="96" t="s">
        <v>203</v>
      </c>
      <c r="M365" s="96" t="s">
        <v>324</v>
      </c>
      <c r="N365" s="96" t="s">
        <v>339</v>
      </c>
      <c r="O365" s="96" t="s">
        <v>463</v>
      </c>
      <c r="P365" s="96" t="s">
        <v>337</v>
      </c>
      <c r="Q365" s="96" t="s">
        <v>1200</v>
      </c>
      <c r="R365" s="97">
        <v>80537.136444999996</v>
      </c>
      <c r="S365" s="97">
        <v>1</v>
      </c>
      <c r="T365" s="97">
        <v>1391</v>
      </c>
      <c r="U365" s="96"/>
      <c r="V365" s="97">
        <v>1120.271567</v>
      </c>
      <c r="W365" s="98">
        <v>4.1399999999999998E-4</v>
      </c>
      <c r="X365" s="98">
        <v>2.0049999999999998E-3</v>
      </c>
      <c r="Y365" s="98">
        <v>5.8200000000000005E-4</v>
      </c>
      <c r="Z365" s="106"/>
    </row>
    <row r="366" spans="1:26" ht="15" customHeight="1">
      <c r="A366" s="106"/>
      <c r="B366" s="96">
        <v>286</v>
      </c>
      <c r="C366" s="96">
        <v>286</v>
      </c>
      <c r="D366" s="96" t="s">
        <v>2431</v>
      </c>
      <c r="E366" s="96">
        <v>520041997</v>
      </c>
      <c r="F366" s="96" t="s">
        <v>308</v>
      </c>
      <c r="G366" s="96" t="s">
        <v>2432</v>
      </c>
      <c r="H366" s="96" t="s">
        <v>2433</v>
      </c>
      <c r="I366" s="96" t="s">
        <v>320</v>
      </c>
      <c r="J366" s="96" t="s">
        <v>918</v>
      </c>
      <c r="K366" s="96" t="s">
        <v>203</v>
      </c>
      <c r="L366" s="96" t="s">
        <v>203</v>
      </c>
      <c r="M366" s="96" t="s">
        <v>324</v>
      </c>
      <c r="N366" s="96" t="s">
        <v>339</v>
      </c>
      <c r="O366" s="96" t="s">
        <v>457</v>
      </c>
      <c r="P366" s="96" t="s">
        <v>338</v>
      </c>
      <c r="Q366" s="96" t="s">
        <v>1200</v>
      </c>
      <c r="R366" s="97">
        <v>25390.833923999999</v>
      </c>
      <c r="S366" s="97">
        <v>1</v>
      </c>
      <c r="T366" s="97">
        <v>14820</v>
      </c>
      <c r="U366" s="96"/>
      <c r="V366" s="97">
        <v>3762.9215859999999</v>
      </c>
      <c r="W366" s="98">
        <v>2.2800000000000001E-4</v>
      </c>
      <c r="X366" s="98">
        <v>6.7349999999999997E-3</v>
      </c>
      <c r="Y366" s="98">
        <v>1.9589999999999998E-3</v>
      </c>
      <c r="Z366" s="106"/>
    </row>
    <row r="367" spans="1:26" ht="15" customHeight="1">
      <c r="A367" s="106"/>
      <c r="B367" s="96">
        <v>286</v>
      </c>
      <c r="C367" s="96">
        <v>286</v>
      </c>
      <c r="D367" s="96" t="s">
        <v>2515</v>
      </c>
      <c r="E367" s="96">
        <v>2250</v>
      </c>
      <c r="F367" s="96" t="s">
        <v>80</v>
      </c>
      <c r="G367" s="96" t="s">
        <v>2516</v>
      </c>
      <c r="H367" s="96" t="s">
        <v>2517</v>
      </c>
      <c r="I367" s="96" t="s">
        <v>320</v>
      </c>
      <c r="J367" s="96" t="s">
        <v>918</v>
      </c>
      <c r="K367" s="96" t="s">
        <v>203</v>
      </c>
      <c r="L367" s="96" t="s">
        <v>223</v>
      </c>
      <c r="M367" s="96" t="s">
        <v>324</v>
      </c>
      <c r="N367" s="96" t="s">
        <v>339</v>
      </c>
      <c r="O367" s="96" t="s">
        <v>440</v>
      </c>
      <c r="P367" s="96" t="s">
        <v>338</v>
      </c>
      <c r="Q367" s="96" t="s">
        <v>1200</v>
      </c>
      <c r="R367" s="97">
        <v>8916.1934120000005</v>
      </c>
      <c r="S367" s="97">
        <v>1</v>
      </c>
      <c r="T367" s="97">
        <v>26580</v>
      </c>
      <c r="U367" s="96"/>
      <c r="V367" s="97">
        <v>2369.9242079999999</v>
      </c>
      <c r="W367" s="98">
        <v>1.5799999999999999E-4</v>
      </c>
      <c r="X367" s="98">
        <v>4.241E-3</v>
      </c>
      <c r="Y367" s="98">
        <v>1.2329999999999999E-3</v>
      </c>
      <c r="Z367" s="106"/>
    </row>
    <row r="368" spans="1:26" ht="15" customHeight="1">
      <c r="A368" s="106"/>
      <c r="B368" s="96">
        <v>286</v>
      </c>
      <c r="C368" s="96">
        <v>286</v>
      </c>
      <c r="D368" s="96" t="s">
        <v>1317</v>
      </c>
      <c r="E368" s="96">
        <v>520028911</v>
      </c>
      <c r="F368" s="96" t="s">
        <v>308</v>
      </c>
      <c r="G368" s="96" t="s">
        <v>2467</v>
      </c>
      <c r="H368" s="96" t="s">
        <v>2468</v>
      </c>
      <c r="I368" s="96" t="s">
        <v>320</v>
      </c>
      <c r="J368" s="96" t="s">
        <v>918</v>
      </c>
      <c r="K368" s="96" t="s">
        <v>203</v>
      </c>
      <c r="L368" s="96" t="s">
        <v>203</v>
      </c>
      <c r="M368" s="96" t="s">
        <v>324</v>
      </c>
      <c r="N368" s="96" t="s">
        <v>339</v>
      </c>
      <c r="O368" s="96" t="s">
        <v>450</v>
      </c>
      <c r="P368" s="96" t="s">
        <v>337</v>
      </c>
      <c r="Q368" s="96" t="s">
        <v>1200</v>
      </c>
      <c r="R368" s="97">
        <v>1425.9452269999999</v>
      </c>
      <c r="S368" s="97">
        <v>1</v>
      </c>
      <c r="T368" s="97">
        <v>129690</v>
      </c>
      <c r="U368" s="96"/>
      <c r="V368" s="97">
        <v>1849.3083650000001</v>
      </c>
      <c r="W368" s="98">
        <v>3.7100000000000002E-4</v>
      </c>
      <c r="X368" s="98">
        <v>3.31E-3</v>
      </c>
      <c r="Y368" s="98">
        <v>9.6199999999999996E-4</v>
      </c>
      <c r="Z368" s="106"/>
    </row>
    <row r="369" spans="1:26" ht="15" customHeight="1">
      <c r="A369" s="106"/>
      <c r="B369" s="96">
        <v>286</v>
      </c>
      <c r="C369" s="96">
        <v>286</v>
      </c>
      <c r="D369" s="96" t="s">
        <v>1499</v>
      </c>
      <c r="E369" s="96">
        <v>520027830</v>
      </c>
      <c r="F369" s="96" t="s">
        <v>308</v>
      </c>
      <c r="G369" s="96" t="s">
        <v>2408</v>
      </c>
      <c r="H369" s="96" t="s">
        <v>2409</v>
      </c>
      <c r="I369" s="96" t="s">
        <v>320</v>
      </c>
      <c r="J369" s="96" t="s">
        <v>918</v>
      </c>
      <c r="K369" s="96" t="s">
        <v>203</v>
      </c>
      <c r="L369" s="96" t="s">
        <v>203</v>
      </c>
      <c r="M369" s="96" t="s">
        <v>324</v>
      </c>
      <c r="N369" s="96" t="s">
        <v>339</v>
      </c>
      <c r="O369" s="96" t="s">
        <v>455</v>
      </c>
      <c r="P369" s="96" t="s">
        <v>338</v>
      </c>
      <c r="Q369" s="96" t="s">
        <v>1200</v>
      </c>
      <c r="R369" s="97">
        <v>305210.68748999998</v>
      </c>
      <c r="S369" s="97">
        <v>1</v>
      </c>
      <c r="T369" s="97">
        <v>1612</v>
      </c>
      <c r="U369" s="96"/>
      <c r="V369" s="97">
        <v>4919.9962809999997</v>
      </c>
      <c r="W369" s="98">
        <v>2.3599999999999999E-4</v>
      </c>
      <c r="X369" s="98">
        <v>8.8070000000000006E-3</v>
      </c>
      <c r="Y369" s="98">
        <v>2.5609999999999999E-3</v>
      </c>
      <c r="Z369" s="106"/>
    </row>
    <row r="370" spans="1:26" ht="15" customHeight="1">
      <c r="A370" s="106"/>
      <c r="B370" s="96">
        <v>286</v>
      </c>
      <c r="C370" s="96">
        <v>286</v>
      </c>
      <c r="D370" s="96" t="s">
        <v>1209</v>
      </c>
      <c r="E370" s="96">
        <v>520000522</v>
      </c>
      <c r="F370" s="96" t="s">
        <v>308</v>
      </c>
      <c r="G370" s="96" t="s">
        <v>2663</v>
      </c>
      <c r="H370" s="96" t="s">
        <v>2664</v>
      </c>
      <c r="I370" s="96" t="s">
        <v>320</v>
      </c>
      <c r="J370" s="96" t="s">
        <v>918</v>
      </c>
      <c r="K370" s="96" t="s">
        <v>203</v>
      </c>
      <c r="L370" s="96" t="s">
        <v>203</v>
      </c>
      <c r="M370" s="96" t="s">
        <v>324</v>
      </c>
      <c r="N370" s="96" t="s">
        <v>339</v>
      </c>
      <c r="O370" s="96" t="s">
        <v>447</v>
      </c>
      <c r="P370" s="96" t="s">
        <v>338</v>
      </c>
      <c r="Q370" s="96" t="s">
        <v>1200</v>
      </c>
      <c r="R370" s="97">
        <v>50106.344016000003</v>
      </c>
      <c r="S370" s="97">
        <v>1</v>
      </c>
      <c r="T370" s="97">
        <v>13080</v>
      </c>
      <c r="U370" s="96"/>
      <c r="V370" s="97">
        <v>6553.9097959999999</v>
      </c>
      <c r="W370" s="98">
        <v>1.93E-4</v>
      </c>
      <c r="X370" s="98">
        <v>1.1731999999999999E-2</v>
      </c>
      <c r="Y370" s="98">
        <v>3.4120000000000001E-3</v>
      </c>
      <c r="Z370" s="106"/>
    </row>
    <row r="371" spans="1:26" ht="15" customHeight="1">
      <c r="A371" s="106"/>
      <c r="B371" s="96">
        <v>286</v>
      </c>
      <c r="C371" s="96">
        <v>286</v>
      </c>
      <c r="D371" s="96" t="s">
        <v>2475</v>
      </c>
      <c r="E371" s="96">
        <v>520008483</v>
      </c>
      <c r="F371" s="96" t="s">
        <v>308</v>
      </c>
      <c r="G371" s="96" t="s">
        <v>2476</v>
      </c>
      <c r="H371" s="96" t="s">
        <v>2477</v>
      </c>
      <c r="I371" s="96" t="s">
        <v>320</v>
      </c>
      <c r="J371" s="96" t="s">
        <v>918</v>
      </c>
      <c r="K371" s="96" t="s">
        <v>203</v>
      </c>
      <c r="L371" s="96" t="s">
        <v>203</v>
      </c>
      <c r="M371" s="96" t="s">
        <v>324</v>
      </c>
      <c r="N371" s="96" t="s">
        <v>339</v>
      </c>
      <c r="O371" s="96" t="s">
        <v>483</v>
      </c>
      <c r="P371" s="96" t="s">
        <v>337</v>
      </c>
      <c r="Q371" s="96" t="s">
        <v>1200</v>
      </c>
      <c r="R371" s="97">
        <v>2274.4543910000002</v>
      </c>
      <c r="S371" s="97">
        <v>1</v>
      </c>
      <c r="T371" s="97">
        <v>6049</v>
      </c>
      <c r="U371" s="96"/>
      <c r="V371" s="97">
        <v>137.58174600000001</v>
      </c>
      <c r="W371" s="98">
        <v>7.7800000000000005E-4</v>
      </c>
      <c r="X371" s="98">
        <v>2.4600000000000002E-4</v>
      </c>
      <c r="Y371" s="98">
        <v>7.1000000000000005E-5</v>
      </c>
      <c r="Z371" s="106"/>
    </row>
    <row r="372" spans="1:26" ht="15" customHeight="1">
      <c r="A372" s="106"/>
      <c r="B372" s="96">
        <v>286</v>
      </c>
      <c r="C372" s="96">
        <v>286</v>
      </c>
      <c r="D372" s="96" t="s">
        <v>2486</v>
      </c>
      <c r="E372" s="96">
        <v>520039132</v>
      </c>
      <c r="F372" s="96" t="s">
        <v>308</v>
      </c>
      <c r="G372" s="96" t="s">
        <v>2487</v>
      </c>
      <c r="H372" s="96" t="s">
        <v>2488</v>
      </c>
      <c r="I372" s="96" t="s">
        <v>320</v>
      </c>
      <c r="J372" s="96" t="s">
        <v>918</v>
      </c>
      <c r="K372" s="96" t="s">
        <v>203</v>
      </c>
      <c r="L372" s="96" t="s">
        <v>203</v>
      </c>
      <c r="M372" s="96" t="s">
        <v>324</v>
      </c>
      <c r="N372" s="96" t="s">
        <v>339</v>
      </c>
      <c r="O372" s="96" t="s">
        <v>463</v>
      </c>
      <c r="P372" s="96" t="s">
        <v>337</v>
      </c>
      <c r="Q372" s="96" t="s">
        <v>1200</v>
      </c>
      <c r="R372" s="97">
        <v>2523.7338169999998</v>
      </c>
      <c r="S372" s="97">
        <v>1</v>
      </c>
      <c r="T372" s="97">
        <v>19190</v>
      </c>
      <c r="U372" s="96"/>
      <c r="V372" s="97">
        <v>484.30451900000003</v>
      </c>
      <c r="W372" s="98">
        <v>4.4000000000000002E-4</v>
      </c>
      <c r="X372" s="98">
        <v>8.6600000000000002E-4</v>
      </c>
      <c r="Y372" s="98">
        <v>2.52E-4</v>
      </c>
      <c r="Z372" s="106"/>
    </row>
    <row r="373" spans="1:26" ht="15" customHeight="1">
      <c r="A373" s="106"/>
      <c r="B373" s="96">
        <v>286</v>
      </c>
      <c r="C373" s="96">
        <v>286</v>
      </c>
      <c r="D373" s="96" t="s">
        <v>1212</v>
      </c>
      <c r="E373" s="96">
        <v>520007030</v>
      </c>
      <c r="F373" s="96" t="s">
        <v>308</v>
      </c>
      <c r="G373" s="96" t="s">
        <v>2499</v>
      </c>
      <c r="H373" s="96" t="s">
        <v>2500</v>
      </c>
      <c r="I373" s="96" t="s">
        <v>320</v>
      </c>
      <c r="J373" s="96" t="s">
        <v>918</v>
      </c>
      <c r="K373" s="96" t="s">
        <v>203</v>
      </c>
      <c r="L373" s="96" t="s">
        <v>203</v>
      </c>
      <c r="M373" s="96" t="s">
        <v>324</v>
      </c>
      <c r="N373" s="96" t="s">
        <v>339</v>
      </c>
      <c r="O373" s="96" t="s">
        <v>447</v>
      </c>
      <c r="P373" s="96" t="s">
        <v>338</v>
      </c>
      <c r="Q373" s="96" t="s">
        <v>1200</v>
      </c>
      <c r="R373" s="97">
        <v>351593.82115700003</v>
      </c>
      <c r="S373" s="97">
        <v>1</v>
      </c>
      <c r="T373" s="97">
        <v>1909</v>
      </c>
      <c r="U373" s="96"/>
      <c r="V373" s="97">
        <v>6711.9260450000002</v>
      </c>
      <c r="W373" s="98">
        <v>2.8400000000000002E-4</v>
      </c>
      <c r="X373" s="98">
        <v>1.2015E-2</v>
      </c>
      <c r="Y373" s="98">
        <v>3.4940000000000001E-3</v>
      </c>
      <c r="Z373" s="106"/>
    </row>
    <row r="374" spans="1:26" ht="15" customHeight="1">
      <c r="A374" s="106"/>
      <c r="B374" s="96">
        <v>286</v>
      </c>
      <c r="C374" s="96">
        <v>286</v>
      </c>
      <c r="D374" s="96" t="s">
        <v>2688</v>
      </c>
      <c r="E374" s="96">
        <v>510095987</v>
      </c>
      <c r="F374" s="96" t="s">
        <v>308</v>
      </c>
      <c r="G374" s="96" t="s">
        <v>2689</v>
      </c>
      <c r="H374" s="96" t="s">
        <v>2690</v>
      </c>
      <c r="I374" s="96" t="s">
        <v>320</v>
      </c>
      <c r="J374" s="96" t="s">
        <v>918</v>
      </c>
      <c r="K374" s="96" t="s">
        <v>203</v>
      </c>
      <c r="L374" s="96" t="s">
        <v>203</v>
      </c>
      <c r="M374" s="96" t="s">
        <v>324</v>
      </c>
      <c r="N374" s="96" t="s">
        <v>339</v>
      </c>
      <c r="O374" s="96" t="s">
        <v>476</v>
      </c>
      <c r="P374" s="96" t="s">
        <v>337</v>
      </c>
      <c r="Q374" s="96" t="s">
        <v>1200</v>
      </c>
      <c r="R374" s="97">
        <v>69159.140792999999</v>
      </c>
      <c r="S374" s="97">
        <v>1</v>
      </c>
      <c r="T374" s="97">
        <v>486.7</v>
      </c>
      <c r="U374" s="96"/>
      <c r="V374" s="97">
        <v>336.59753799999999</v>
      </c>
      <c r="W374" s="98">
        <v>8.6399999999999997E-4</v>
      </c>
      <c r="X374" s="98">
        <v>6.02E-4</v>
      </c>
      <c r="Y374" s="98">
        <v>1.75E-4</v>
      </c>
      <c r="Z374" s="106"/>
    </row>
    <row r="375" spans="1:26" ht="15" customHeight="1">
      <c r="A375" s="106"/>
      <c r="B375" s="96">
        <v>286</v>
      </c>
      <c r="C375" s="96">
        <v>286</v>
      </c>
      <c r="D375" s="96" t="s">
        <v>1955</v>
      </c>
      <c r="E375" s="96">
        <v>516167343</v>
      </c>
      <c r="F375" s="96" t="s">
        <v>308</v>
      </c>
      <c r="G375" s="96" t="s">
        <v>2497</v>
      </c>
      <c r="H375" s="96" t="s">
        <v>2498</v>
      </c>
      <c r="I375" s="96" t="s">
        <v>320</v>
      </c>
      <c r="J375" s="96" t="s">
        <v>918</v>
      </c>
      <c r="K375" s="96" t="s">
        <v>203</v>
      </c>
      <c r="L375" s="96" t="s">
        <v>203</v>
      </c>
      <c r="M375" s="96" t="s">
        <v>324</v>
      </c>
      <c r="N375" s="96" t="s">
        <v>339</v>
      </c>
      <c r="O375" s="96" t="s">
        <v>439</v>
      </c>
      <c r="P375" s="96" t="s">
        <v>338</v>
      </c>
      <c r="Q375" s="96" t="s">
        <v>1200</v>
      </c>
      <c r="R375" s="97">
        <v>131250.16379200001</v>
      </c>
      <c r="S375" s="97">
        <v>1</v>
      </c>
      <c r="T375" s="97">
        <v>250.9</v>
      </c>
      <c r="U375" s="96"/>
      <c r="V375" s="97">
        <v>329.30666000000002</v>
      </c>
      <c r="W375" s="98">
        <v>1.84E-4</v>
      </c>
      <c r="X375" s="98">
        <v>5.8799999999999998E-4</v>
      </c>
      <c r="Y375" s="98">
        <v>1.7100000000000001E-4</v>
      </c>
      <c r="Z375" s="106"/>
    </row>
    <row r="376" spans="1:26" ht="15" customHeight="1">
      <c r="A376" s="106"/>
      <c r="B376" s="96">
        <v>286</v>
      </c>
      <c r="C376" s="96">
        <v>286</v>
      </c>
      <c r="D376" s="96" t="s">
        <v>2505</v>
      </c>
      <c r="E376" s="96">
        <v>513506329</v>
      </c>
      <c r="F376" s="96" t="s">
        <v>308</v>
      </c>
      <c r="G376" s="96" t="s">
        <v>2506</v>
      </c>
      <c r="H376" s="96" t="s">
        <v>2507</v>
      </c>
      <c r="I376" s="96" t="s">
        <v>320</v>
      </c>
      <c r="J376" s="96" t="s">
        <v>918</v>
      </c>
      <c r="K376" s="96" t="s">
        <v>203</v>
      </c>
      <c r="L376" s="96" t="s">
        <v>203</v>
      </c>
      <c r="M376" s="96" t="s">
        <v>324</v>
      </c>
      <c r="N376" s="96" t="s">
        <v>339</v>
      </c>
      <c r="O376" s="96" t="s">
        <v>455</v>
      </c>
      <c r="P376" s="96" t="s">
        <v>337</v>
      </c>
      <c r="Q376" s="96" t="s">
        <v>1200</v>
      </c>
      <c r="R376" s="97">
        <v>38709.540639999999</v>
      </c>
      <c r="S376" s="97">
        <v>1</v>
      </c>
      <c r="T376" s="97">
        <v>207.6</v>
      </c>
      <c r="U376" s="96"/>
      <c r="V376" s="97">
        <v>80.361006000000003</v>
      </c>
      <c r="W376" s="98">
        <v>4.7100000000000001E-4</v>
      </c>
      <c r="X376" s="98">
        <v>1.4300000000000001E-4</v>
      </c>
      <c r="Y376" s="98">
        <v>4.1E-5</v>
      </c>
      <c r="Z376" s="106"/>
    </row>
    <row r="377" spans="1:26" ht="15" customHeight="1">
      <c r="A377" s="106"/>
      <c r="B377" s="96">
        <v>286</v>
      </c>
      <c r="C377" s="96">
        <v>286</v>
      </c>
      <c r="D377" s="96" t="s">
        <v>2756</v>
      </c>
      <c r="E377" s="96">
        <v>520037425</v>
      </c>
      <c r="F377" s="96" t="s">
        <v>308</v>
      </c>
      <c r="G377" s="96" t="s">
        <v>2757</v>
      </c>
      <c r="H377" s="96" t="s">
        <v>2758</v>
      </c>
      <c r="I377" s="96" t="s">
        <v>320</v>
      </c>
      <c r="J377" s="96" t="s">
        <v>918</v>
      </c>
      <c r="K377" s="96" t="s">
        <v>203</v>
      </c>
      <c r="L377" s="96" t="s">
        <v>203</v>
      </c>
      <c r="M377" s="96" t="s">
        <v>324</v>
      </c>
      <c r="N377" s="96" t="s">
        <v>339</v>
      </c>
      <c r="O377" s="96" t="s">
        <v>461</v>
      </c>
      <c r="P377" s="96" t="s">
        <v>337</v>
      </c>
      <c r="Q377" s="96" t="s">
        <v>1200</v>
      </c>
      <c r="R377" s="97">
        <v>4135.4848490000004</v>
      </c>
      <c r="S377" s="97">
        <v>1</v>
      </c>
      <c r="T377" s="97">
        <v>10700</v>
      </c>
      <c r="U377" s="96"/>
      <c r="V377" s="97">
        <v>442.49687799999998</v>
      </c>
      <c r="W377" s="98">
        <v>3.39E-4</v>
      </c>
      <c r="X377" s="98">
        <v>7.9100000000000004E-4</v>
      </c>
      <c r="Y377" s="98">
        <v>2.2900000000000001E-4</v>
      </c>
      <c r="Z377" s="106"/>
    </row>
    <row r="378" spans="1:26" ht="15" customHeight="1">
      <c r="A378" s="106"/>
      <c r="B378" s="96">
        <v>286</v>
      </c>
      <c r="C378" s="96">
        <v>286</v>
      </c>
      <c r="D378" s="96" t="s">
        <v>2628</v>
      </c>
      <c r="E378" s="96"/>
      <c r="F378" s="96" t="s">
        <v>308</v>
      </c>
      <c r="G378" s="96" t="s">
        <v>2629</v>
      </c>
      <c r="H378" s="96" t="s">
        <v>2630</v>
      </c>
      <c r="I378" s="96" t="s">
        <v>320</v>
      </c>
      <c r="J378" s="96" t="s">
        <v>918</v>
      </c>
      <c r="K378" s="96" t="s">
        <v>203</v>
      </c>
      <c r="L378" s="96" t="s">
        <v>203</v>
      </c>
      <c r="M378" s="96" t="s">
        <v>326</v>
      </c>
      <c r="N378" s="96" t="s">
        <v>339</v>
      </c>
      <c r="O378" s="96" t="s">
        <v>438</v>
      </c>
      <c r="P378" s="96" t="s">
        <v>338</v>
      </c>
      <c r="Q378" s="96" t="s">
        <v>1200</v>
      </c>
      <c r="R378" s="97">
        <v>90.447954999999993</v>
      </c>
      <c r="S378" s="97">
        <v>1</v>
      </c>
      <c r="T378" s="97">
        <v>1002</v>
      </c>
      <c r="U378" s="96"/>
      <c r="V378" s="97">
        <v>0.90628799999999998</v>
      </c>
      <c r="W378" s="98">
        <v>3.9999999999999998E-6</v>
      </c>
      <c r="X378" s="98">
        <v>9.9999999999999995E-7</v>
      </c>
      <c r="Y378" s="98">
        <v>0</v>
      </c>
      <c r="Z378" s="106"/>
    </row>
    <row r="379" spans="1:26" ht="15" customHeight="1">
      <c r="A379" s="106"/>
      <c r="B379" s="96">
        <v>286</v>
      </c>
      <c r="C379" s="96">
        <v>286</v>
      </c>
      <c r="D379" s="96" t="s">
        <v>2660</v>
      </c>
      <c r="E379" s="96">
        <v>1884</v>
      </c>
      <c r="F379" s="96" t="s">
        <v>80</v>
      </c>
      <c r="G379" s="96" t="s">
        <v>2661</v>
      </c>
      <c r="H379" s="96" t="s">
        <v>2662</v>
      </c>
      <c r="I379" s="96" t="s">
        <v>320</v>
      </c>
      <c r="J379" s="96" t="s">
        <v>918</v>
      </c>
      <c r="K379" s="96" t="s">
        <v>203</v>
      </c>
      <c r="L379" s="96" t="s">
        <v>203</v>
      </c>
      <c r="M379" s="96" t="s">
        <v>324</v>
      </c>
      <c r="N379" s="96" t="s">
        <v>339</v>
      </c>
      <c r="O379" s="96" t="s">
        <v>464</v>
      </c>
      <c r="P379" s="96" t="s">
        <v>337</v>
      </c>
      <c r="Q379" s="96" t="s">
        <v>1200</v>
      </c>
      <c r="R379" s="97">
        <v>6408.8742259999999</v>
      </c>
      <c r="S379" s="97">
        <v>1</v>
      </c>
      <c r="T379" s="97">
        <v>7921</v>
      </c>
      <c r="U379" s="96"/>
      <c r="V379" s="97">
        <v>507.64692700000001</v>
      </c>
      <c r="W379" s="98">
        <v>3.5399999999999999E-4</v>
      </c>
      <c r="X379" s="98">
        <v>9.0799999999999995E-4</v>
      </c>
      <c r="Y379" s="98">
        <v>2.6400000000000002E-4</v>
      </c>
      <c r="Z379" s="106"/>
    </row>
    <row r="380" spans="1:26" ht="15" customHeight="1">
      <c r="A380" s="106"/>
      <c r="B380" s="96">
        <v>286</v>
      </c>
      <c r="C380" s="96">
        <v>286</v>
      </c>
      <c r="D380" s="96" t="s">
        <v>1514</v>
      </c>
      <c r="E380" s="96">
        <v>520043027</v>
      </c>
      <c r="F380" s="96" t="s">
        <v>308</v>
      </c>
      <c r="G380" s="96" t="s">
        <v>2478</v>
      </c>
      <c r="H380" s="96" t="s">
        <v>2479</v>
      </c>
      <c r="I380" s="96" t="s">
        <v>320</v>
      </c>
      <c r="J380" s="96" t="s">
        <v>918</v>
      </c>
      <c r="K380" s="96" t="s">
        <v>203</v>
      </c>
      <c r="L380" s="96" t="s">
        <v>203</v>
      </c>
      <c r="M380" s="96" t="s">
        <v>324</v>
      </c>
      <c r="N380" s="96" t="s">
        <v>339</v>
      </c>
      <c r="O380" s="96" t="s">
        <v>445</v>
      </c>
      <c r="P380" s="96" t="s">
        <v>338</v>
      </c>
      <c r="Q380" s="96" t="s">
        <v>1200</v>
      </c>
      <c r="R380" s="97">
        <v>9515.063752</v>
      </c>
      <c r="S380" s="97">
        <v>1</v>
      </c>
      <c r="T380" s="97">
        <v>66410</v>
      </c>
      <c r="U380" s="96"/>
      <c r="V380" s="97">
        <v>6318.953837</v>
      </c>
      <c r="W380" s="98">
        <v>2.13E-4</v>
      </c>
      <c r="X380" s="98">
        <v>1.1311E-2</v>
      </c>
      <c r="Y380" s="98">
        <v>3.29E-3</v>
      </c>
      <c r="Z380" s="106"/>
    </row>
    <row r="381" spans="1:26" ht="15" customHeight="1">
      <c r="A381" s="106"/>
      <c r="B381" s="96">
        <v>286</v>
      </c>
      <c r="C381" s="96">
        <v>286</v>
      </c>
      <c r="D381" s="96" t="s">
        <v>2720</v>
      </c>
      <c r="E381" s="96">
        <v>520037565</v>
      </c>
      <c r="F381" s="96" t="s">
        <v>308</v>
      </c>
      <c r="G381" s="96" t="s">
        <v>2721</v>
      </c>
      <c r="H381" s="96" t="s">
        <v>2722</v>
      </c>
      <c r="I381" s="96" t="s">
        <v>320</v>
      </c>
      <c r="J381" s="96" t="s">
        <v>918</v>
      </c>
      <c r="K381" s="96" t="s">
        <v>203</v>
      </c>
      <c r="L381" s="96" t="s">
        <v>203</v>
      </c>
      <c r="M381" s="96" t="s">
        <v>324</v>
      </c>
      <c r="N381" s="96" t="s">
        <v>339</v>
      </c>
      <c r="O381" s="96" t="s">
        <v>476</v>
      </c>
      <c r="P381" s="96" t="s">
        <v>337</v>
      </c>
      <c r="Q381" s="96" t="s">
        <v>1200</v>
      </c>
      <c r="R381" s="97">
        <v>2085.2615409999999</v>
      </c>
      <c r="S381" s="97">
        <v>1</v>
      </c>
      <c r="T381" s="97">
        <v>30090</v>
      </c>
      <c r="U381" s="96"/>
      <c r="V381" s="97">
        <v>627.45520499999998</v>
      </c>
      <c r="W381" s="98">
        <v>3.5599999999999998E-4</v>
      </c>
      <c r="X381" s="98">
        <v>1.1230000000000001E-3</v>
      </c>
      <c r="Y381" s="98">
        <v>3.2600000000000001E-4</v>
      </c>
      <c r="Z381" s="106"/>
    </row>
    <row r="382" spans="1:26" ht="15" customHeight="1">
      <c r="A382" s="106"/>
      <c r="B382" s="96">
        <v>286</v>
      </c>
      <c r="C382" s="96">
        <v>286</v>
      </c>
      <c r="D382" s="96" t="s">
        <v>2703</v>
      </c>
      <c r="E382" s="96">
        <v>513639013</v>
      </c>
      <c r="F382" s="96" t="s">
        <v>308</v>
      </c>
      <c r="G382" s="96" t="s">
        <v>2704</v>
      </c>
      <c r="H382" s="96" t="s">
        <v>2705</v>
      </c>
      <c r="I382" s="96" t="s">
        <v>320</v>
      </c>
      <c r="J382" s="96" t="s">
        <v>918</v>
      </c>
      <c r="K382" s="96" t="s">
        <v>203</v>
      </c>
      <c r="L382" s="96" t="s">
        <v>203</v>
      </c>
      <c r="M382" s="96" t="s">
        <v>324</v>
      </c>
      <c r="N382" s="96" t="s">
        <v>339</v>
      </c>
      <c r="O382" s="96" t="s">
        <v>479</v>
      </c>
      <c r="P382" s="96" t="s">
        <v>338</v>
      </c>
      <c r="Q382" s="96" t="s">
        <v>1200</v>
      </c>
      <c r="R382" s="97">
        <v>2524.9973930000001</v>
      </c>
      <c r="S382" s="97">
        <v>1</v>
      </c>
      <c r="T382" s="97">
        <v>8000</v>
      </c>
      <c r="U382" s="96"/>
      <c r="V382" s="97">
        <v>201.99979099999999</v>
      </c>
      <c r="W382" s="98">
        <v>6.9999999999999994E-5</v>
      </c>
      <c r="X382" s="98">
        <v>3.6099999999999999E-4</v>
      </c>
      <c r="Y382" s="98">
        <v>1.05E-4</v>
      </c>
      <c r="Z382" s="106"/>
    </row>
    <row r="383" spans="1:26" ht="15" customHeight="1">
      <c r="A383" s="106"/>
      <c r="B383" s="96">
        <v>286</v>
      </c>
      <c r="C383" s="96">
        <v>286</v>
      </c>
      <c r="D383" s="96" t="s">
        <v>2428</v>
      </c>
      <c r="E383" s="96">
        <v>520038225</v>
      </c>
      <c r="F383" s="96" t="s">
        <v>308</v>
      </c>
      <c r="G383" s="96" t="s">
        <v>2429</v>
      </c>
      <c r="H383" s="96" t="s">
        <v>2430</v>
      </c>
      <c r="I383" s="96" t="s">
        <v>320</v>
      </c>
      <c r="J383" s="96" t="s">
        <v>918</v>
      </c>
      <c r="K383" s="96" t="s">
        <v>203</v>
      </c>
      <c r="L383" s="96" t="s">
        <v>203</v>
      </c>
      <c r="M383" s="96" t="s">
        <v>324</v>
      </c>
      <c r="N383" s="96" t="s">
        <v>339</v>
      </c>
      <c r="O383" s="96" t="s">
        <v>461</v>
      </c>
      <c r="P383" s="96" t="s">
        <v>337</v>
      </c>
      <c r="Q383" s="96" t="s">
        <v>1200</v>
      </c>
      <c r="R383" s="97">
        <v>11385.042493000001</v>
      </c>
      <c r="S383" s="97">
        <v>1</v>
      </c>
      <c r="T383" s="97">
        <v>1806</v>
      </c>
      <c r="U383" s="96"/>
      <c r="V383" s="97">
        <v>205.613866</v>
      </c>
      <c r="W383" s="98">
        <v>8.5499999999999997E-4</v>
      </c>
      <c r="X383" s="98">
        <v>3.68E-4</v>
      </c>
      <c r="Y383" s="98">
        <v>1.06E-4</v>
      </c>
      <c r="Z383" s="106"/>
    </row>
    <row r="384" spans="1:26" ht="15" customHeight="1">
      <c r="A384" s="106"/>
      <c r="B384" s="96">
        <v>286</v>
      </c>
      <c r="C384" s="96">
        <v>286</v>
      </c>
      <c r="D384" s="96" t="s">
        <v>2582</v>
      </c>
      <c r="E384" s="96">
        <v>520039413</v>
      </c>
      <c r="F384" s="96" t="s">
        <v>308</v>
      </c>
      <c r="G384" s="96" t="s">
        <v>2583</v>
      </c>
      <c r="H384" s="96" t="s">
        <v>2584</v>
      </c>
      <c r="I384" s="96" t="s">
        <v>320</v>
      </c>
      <c r="J384" s="96" t="s">
        <v>918</v>
      </c>
      <c r="K384" s="96" t="s">
        <v>203</v>
      </c>
      <c r="L384" s="96" t="s">
        <v>203</v>
      </c>
      <c r="M384" s="96" t="s">
        <v>324</v>
      </c>
      <c r="N384" s="96" t="s">
        <v>339</v>
      </c>
      <c r="O384" s="96" t="s">
        <v>475</v>
      </c>
      <c r="P384" s="96" t="s">
        <v>338</v>
      </c>
      <c r="Q384" s="96" t="s">
        <v>1200</v>
      </c>
      <c r="R384" s="97">
        <v>10631.654108999999</v>
      </c>
      <c r="S384" s="97">
        <v>1</v>
      </c>
      <c r="T384" s="97">
        <v>6901</v>
      </c>
      <c r="U384" s="96"/>
      <c r="V384" s="97">
        <v>733.69045000000006</v>
      </c>
      <c r="W384" s="98">
        <v>1.6699999999999999E-4</v>
      </c>
      <c r="X384" s="98">
        <v>1.3129999999999999E-3</v>
      </c>
      <c r="Y384" s="98">
        <v>3.8200000000000002E-4</v>
      </c>
      <c r="Z384" s="106"/>
    </row>
    <row r="385" spans="1:26" ht="15" customHeight="1">
      <c r="A385" s="106"/>
      <c r="B385" s="96">
        <v>286</v>
      </c>
      <c r="C385" s="96">
        <v>286</v>
      </c>
      <c r="D385" s="96" t="s">
        <v>1747</v>
      </c>
      <c r="E385" s="96">
        <v>512832742</v>
      </c>
      <c r="F385" s="96" t="s">
        <v>308</v>
      </c>
      <c r="G385" s="96" t="s">
        <v>2572</v>
      </c>
      <c r="H385" s="96" t="s">
        <v>2573</v>
      </c>
      <c r="I385" s="96" t="s">
        <v>320</v>
      </c>
      <c r="J385" s="96" t="s">
        <v>918</v>
      </c>
      <c r="K385" s="96" t="s">
        <v>203</v>
      </c>
      <c r="L385" s="96" t="s">
        <v>203</v>
      </c>
      <c r="M385" s="96" t="s">
        <v>324</v>
      </c>
      <c r="N385" s="96" t="s">
        <v>339</v>
      </c>
      <c r="O385" s="96" t="s">
        <v>483</v>
      </c>
      <c r="P385" s="96" t="s">
        <v>338</v>
      </c>
      <c r="Q385" s="96" t="s">
        <v>1200</v>
      </c>
      <c r="R385" s="97">
        <v>13586.207084</v>
      </c>
      <c r="S385" s="97">
        <v>1</v>
      </c>
      <c r="T385" s="97">
        <v>1134</v>
      </c>
      <c r="U385" s="96"/>
      <c r="V385" s="97">
        <v>154.067587</v>
      </c>
      <c r="W385" s="98">
        <v>1.2999999999999999E-4</v>
      </c>
      <c r="X385" s="98">
        <v>2.7500000000000002E-4</v>
      </c>
      <c r="Y385" s="98">
        <v>7.8999999999999996E-5</v>
      </c>
      <c r="Z385" s="106"/>
    </row>
    <row r="386" spans="1:26" ht="15" customHeight="1">
      <c r="A386" s="106"/>
      <c r="B386" s="96">
        <v>286</v>
      </c>
      <c r="C386" s="96">
        <v>286</v>
      </c>
      <c r="D386" s="96" t="s">
        <v>2444</v>
      </c>
      <c r="E386" s="96">
        <v>520034356</v>
      </c>
      <c r="F386" s="96" t="s">
        <v>308</v>
      </c>
      <c r="G386" s="96" t="s">
        <v>2445</v>
      </c>
      <c r="H386" s="96" t="s">
        <v>2446</v>
      </c>
      <c r="I386" s="96" t="s">
        <v>320</v>
      </c>
      <c r="J386" s="96" t="s">
        <v>918</v>
      </c>
      <c r="K386" s="96" t="s">
        <v>203</v>
      </c>
      <c r="L386" s="96" t="s">
        <v>203</v>
      </c>
      <c r="M386" s="96" t="s">
        <v>324</v>
      </c>
      <c r="N386" s="96" t="s">
        <v>339</v>
      </c>
      <c r="O386" s="96" t="s">
        <v>477</v>
      </c>
      <c r="P386" s="96" t="s">
        <v>338</v>
      </c>
      <c r="Q386" s="96" t="s">
        <v>1200</v>
      </c>
      <c r="R386" s="97">
        <v>3328.8842810000001</v>
      </c>
      <c r="S386" s="97">
        <v>1</v>
      </c>
      <c r="T386" s="97">
        <v>10450</v>
      </c>
      <c r="U386" s="96"/>
      <c r="V386" s="97">
        <v>347.86840599999999</v>
      </c>
      <c r="W386" s="98">
        <v>2.6200000000000003E-4</v>
      </c>
      <c r="X386" s="98">
        <v>6.2200000000000005E-4</v>
      </c>
      <c r="Y386" s="98">
        <v>1.8000000000000001E-4</v>
      </c>
      <c r="Z386" s="106"/>
    </row>
    <row r="387" spans="1:26" ht="15" customHeight="1">
      <c r="A387" s="106"/>
      <c r="B387" s="96">
        <v>286</v>
      </c>
      <c r="C387" s="96">
        <v>286</v>
      </c>
      <c r="D387" s="96" t="s">
        <v>1459</v>
      </c>
      <c r="E387" s="96">
        <v>520033424</v>
      </c>
      <c r="F387" s="96" t="s">
        <v>308</v>
      </c>
      <c r="G387" s="96" t="s">
        <v>2447</v>
      </c>
      <c r="H387" s="96" t="s">
        <v>2448</v>
      </c>
      <c r="I387" s="96" t="s">
        <v>320</v>
      </c>
      <c r="J387" s="96" t="s">
        <v>918</v>
      </c>
      <c r="K387" s="96" t="s">
        <v>203</v>
      </c>
      <c r="L387" s="96" t="s">
        <v>203</v>
      </c>
      <c r="M387" s="96" t="s">
        <v>324</v>
      </c>
      <c r="N387" s="96" t="s">
        <v>339</v>
      </c>
      <c r="O387" s="96" t="s">
        <v>446</v>
      </c>
      <c r="P387" s="96" t="s">
        <v>338</v>
      </c>
      <c r="Q387" s="96" t="s">
        <v>1200</v>
      </c>
      <c r="R387" s="97">
        <v>821.78754400000003</v>
      </c>
      <c r="S387" s="97">
        <v>1</v>
      </c>
      <c r="T387" s="97">
        <v>25400</v>
      </c>
      <c r="U387" s="96"/>
      <c r="V387" s="97">
        <v>208.734036</v>
      </c>
      <c r="W387" s="98">
        <v>2.2499999999999999E-4</v>
      </c>
      <c r="X387" s="98">
        <v>3.7300000000000001E-4</v>
      </c>
      <c r="Y387" s="98">
        <v>1.07E-4</v>
      </c>
      <c r="Z387" s="106"/>
    </row>
    <row r="388" spans="1:26" ht="15" customHeight="1">
      <c r="A388" s="106"/>
      <c r="B388" s="96">
        <v>286</v>
      </c>
      <c r="C388" s="96">
        <v>286</v>
      </c>
      <c r="D388" s="96" t="s">
        <v>1440</v>
      </c>
      <c r="E388" s="96">
        <v>513992529</v>
      </c>
      <c r="F388" s="96" t="s">
        <v>308</v>
      </c>
      <c r="G388" s="96" t="s">
        <v>2535</v>
      </c>
      <c r="H388" s="96" t="s">
        <v>2536</v>
      </c>
      <c r="I388" s="96" t="s">
        <v>320</v>
      </c>
      <c r="J388" s="96" t="s">
        <v>918</v>
      </c>
      <c r="K388" s="96" t="s">
        <v>203</v>
      </c>
      <c r="L388" s="96" t="s">
        <v>203</v>
      </c>
      <c r="M388" s="96" t="s">
        <v>324</v>
      </c>
      <c r="N388" s="96" t="s">
        <v>339</v>
      </c>
      <c r="O388" s="96" t="s">
        <v>463</v>
      </c>
      <c r="P388" s="96" t="s">
        <v>338</v>
      </c>
      <c r="Q388" s="96" t="s">
        <v>1200</v>
      </c>
      <c r="R388" s="97">
        <v>51795.293509000003</v>
      </c>
      <c r="S388" s="97">
        <v>1</v>
      </c>
      <c r="T388" s="97">
        <v>661.9</v>
      </c>
      <c r="U388" s="96"/>
      <c r="V388" s="97">
        <v>342.83304700000002</v>
      </c>
      <c r="W388" s="98">
        <v>2.32E-4</v>
      </c>
      <c r="X388" s="98">
        <v>6.1300000000000005E-4</v>
      </c>
      <c r="Y388" s="98">
        <v>1.7799999999999999E-4</v>
      </c>
      <c r="Z388" s="106"/>
    </row>
    <row r="389" spans="1:26" ht="15" customHeight="1">
      <c r="A389" s="106"/>
      <c r="B389" s="96">
        <v>286</v>
      </c>
      <c r="C389" s="96">
        <v>286</v>
      </c>
      <c r="D389" s="96" t="s">
        <v>2862</v>
      </c>
      <c r="E389" s="96"/>
      <c r="F389" s="96" t="s">
        <v>312</v>
      </c>
      <c r="G389" s="96" t="s">
        <v>2863</v>
      </c>
      <c r="H389" s="96" t="s">
        <v>2864</v>
      </c>
      <c r="I389" s="96" t="s">
        <v>320</v>
      </c>
      <c r="J389" s="96" t="s">
        <v>918</v>
      </c>
      <c r="K389" s="96" t="s">
        <v>204</v>
      </c>
      <c r="L389" s="96" t="s">
        <v>223</v>
      </c>
      <c r="M389" s="96" t="s">
        <v>324</v>
      </c>
      <c r="N389" s="96" t="s">
        <v>343</v>
      </c>
      <c r="O389" s="96" t="s">
        <v>492</v>
      </c>
      <c r="P389" s="96" t="s">
        <v>338</v>
      </c>
      <c r="Q389" s="96" t="s">
        <v>1201</v>
      </c>
      <c r="R389" s="97">
        <v>4717.153738</v>
      </c>
      <c r="S389" s="97">
        <v>3.7589999999999999</v>
      </c>
      <c r="T389" s="97">
        <v>18201</v>
      </c>
      <c r="U389" s="96"/>
      <c r="V389" s="97">
        <v>3227.3614419999999</v>
      </c>
      <c r="W389" s="98">
        <v>6.9999999999999999E-6</v>
      </c>
      <c r="X389" s="98">
        <v>5.777E-3</v>
      </c>
      <c r="Y389" s="98">
        <v>1.6800000000000001E-3</v>
      </c>
      <c r="Z389" s="106"/>
    </row>
    <row r="390" spans="1:26" ht="15" customHeight="1">
      <c r="A390" s="106"/>
      <c r="B390" s="96">
        <v>286</v>
      </c>
      <c r="C390" s="96">
        <v>286</v>
      </c>
      <c r="D390" s="96" t="s">
        <v>2823</v>
      </c>
      <c r="E390" s="96" t="s">
        <v>2824</v>
      </c>
      <c r="F390" s="96" t="s">
        <v>312</v>
      </c>
      <c r="G390" s="96" t="s">
        <v>2825</v>
      </c>
      <c r="H390" s="96" t="s">
        <v>2826</v>
      </c>
      <c r="I390" s="96" t="s">
        <v>320</v>
      </c>
      <c r="J390" s="96" t="s">
        <v>918</v>
      </c>
      <c r="K390" s="96" t="s">
        <v>204</v>
      </c>
      <c r="L390" s="96" t="s">
        <v>240</v>
      </c>
      <c r="M390" s="96" t="s">
        <v>332</v>
      </c>
      <c r="N390" s="96" t="s">
        <v>313</v>
      </c>
      <c r="O390" s="96" t="s">
        <v>501</v>
      </c>
      <c r="P390" s="96" t="s">
        <v>338</v>
      </c>
      <c r="Q390" s="96" t="s">
        <v>1219</v>
      </c>
      <c r="R390" s="97">
        <v>480.53335800000002</v>
      </c>
      <c r="S390" s="97">
        <v>0.53900000000000003</v>
      </c>
      <c r="T390" s="97">
        <v>106700</v>
      </c>
      <c r="U390" s="96"/>
      <c r="V390" s="97">
        <v>276.36098099999998</v>
      </c>
      <c r="W390" s="98">
        <v>1.9999999999999999E-6</v>
      </c>
      <c r="X390" s="98">
        <v>4.9399999999999997E-4</v>
      </c>
      <c r="Y390" s="98">
        <v>1.4300000000000001E-4</v>
      </c>
      <c r="Z390" s="106"/>
    </row>
    <row r="391" spans="1:26" ht="15" customHeight="1">
      <c r="A391" s="106"/>
      <c r="B391" s="96">
        <v>286</v>
      </c>
      <c r="C391" s="96">
        <v>286</v>
      </c>
      <c r="D391" s="96" t="s">
        <v>2913</v>
      </c>
      <c r="E391" s="96" t="s">
        <v>2223</v>
      </c>
      <c r="F391" s="96" t="s">
        <v>312</v>
      </c>
      <c r="G391" s="96" t="s">
        <v>2914</v>
      </c>
      <c r="H391" s="96" t="s">
        <v>2915</v>
      </c>
      <c r="I391" s="96" t="s">
        <v>320</v>
      </c>
      <c r="J391" s="96" t="s">
        <v>918</v>
      </c>
      <c r="K391" s="96" t="s">
        <v>204</v>
      </c>
      <c r="L391" s="96" t="s">
        <v>280</v>
      </c>
      <c r="M391" s="96" t="s">
        <v>324</v>
      </c>
      <c r="N391" s="96" t="s">
        <v>313</v>
      </c>
      <c r="O391" s="96" t="s">
        <v>535</v>
      </c>
      <c r="P391" s="96" t="s">
        <v>338</v>
      </c>
      <c r="Q391" s="96" t="s">
        <v>1202</v>
      </c>
      <c r="R391" s="97">
        <v>17174.964969000001</v>
      </c>
      <c r="S391" s="97">
        <v>4.0202</v>
      </c>
      <c r="T391" s="97">
        <v>5953</v>
      </c>
      <c r="U391" s="96"/>
      <c r="V391" s="97">
        <v>4110.3556559999997</v>
      </c>
      <c r="W391" s="98">
        <v>1.5E-5</v>
      </c>
      <c r="X391" s="98">
        <v>7.3569999999999998E-3</v>
      </c>
      <c r="Y391" s="98">
        <v>2.1389999999999998E-3</v>
      </c>
      <c r="Z391" s="106"/>
    </row>
    <row r="392" spans="1:26" ht="15" customHeight="1">
      <c r="A392" s="106"/>
      <c r="B392" s="96">
        <v>286</v>
      </c>
      <c r="C392" s="96">
        <v>286</v>
      </c>
      <c r="D392" s="96" t="s">
        <v>2961</v>
      </c>
      <c r="E392" s="96" t="s">
        <v>2962</v>
      </c>
      <c r="F392" s="96" t="s">
        <v>312</v>
      </c>
      <c r="G392" s="96" t="s">
        <v>2963</v>
      </c>
      <c r="H392" s="96" t="s">
        <v>2964</v>
      </c>
      <c r="I392" s="96" t="s">
        <v>320</v>
      </c>
      <c r="J392" s="96" t="s">
        <v>918</v>
      </c>
      <c r="K392" s="96" t="s">
        <v>204</v>
      </c>
      <c r="L392" s="96" t="s">
        <v>223</v>
      </c>
      <c r="M392" s="96" t="s">
        <v>324</v>
      </c>
      <c r="N392" s="96" t="s">
        <v>345</v>
      </c>
      <c r="O392" s="96" t="s">
        <v>552</v>
      </c>
      <c r="P392" s="96" t="s">
        <v>338</v>
      </c>
      <c r="Q392" s="96" t="s">
        <v>1201</v>
      </c>
      <c r="R392" s="97">
        <v>9049.7286399999994</v>
      </c>
      <c r="S392" s="97">
        <v>3.7589999999999999</v>
      </c>
      <c r="T392" s="97">
        <v>50422</v>
      </c>
      <c r="U392" s="96"/>
      <c r="V392" s="97">
        <v>17152.520644</v>
      </c>
      <c r="W392" s="98">
        <v>3.9999999999999998E-6</v>
      </c>
      <c r="X392" s="98">
        <v>3.0705E-2</v>
      </c>
      <c r="Y392" s="98">
        <v>8.9320000000000007E-3</v>
      </c>
      <c r="Z392" s="106"/>
    </row>
    <row r="393" spans="1:26" ht="15" customHeight="1">
      <c r="A393" s="106"/>
      <c r="B393" s="96">
        <v>286</v>
      </c>
      <c r="C393" s="96">
        <v>286</v>
      </c>
      <c r="D393" s="96" t="s">
        <v>2908</v>
      </c>
      <c r="E393" s="96" t="s">
        <v>2909</v>
      </c>
      <c r="F393" s="96" t="s">
        <v>312</v>
      </c>
      <c r="G393" s="96" t="s">
        <v>2910</v>
      </c>
      <c r="H393" s="96" t="s">
        <v>2911</v>
      </c>
      <c r="I393" s="96" t="s">
        <v>320</v>
      </c>
      <c r="J393" s="96" t="s">
        <v>918</v>
      </c>
      <c r="K393" s="96" t="s">
        <v>204</v>
      </c>
      <c r="L393" s="96" t="s">
        <v>223</v>
      </c>
      <c r="M393" s="96" t="s">
        <v>324</v>
      </c>
      <c r="N393" s="96" t="s">
        <v>343</v>
      </c>
      <c r="O393" s="96" t="s">
        <v>529</v>
      </c>
      <c r="P393" s="96" t="s">
        <v>338</v>
      </c>
      <c r="Q393" s="96" t="s">
        <v>1201</v>
      </c>
      <c r="R393" s="97">
        <v>22867.539312000001</v>
      </c>
      <c r="S393" s="97">
        <v>3.7589999999999999</v>
      </c>
      <c r="T393" s="97">
        <v>10391</v>
      </c>
      <c r="U393" s="96"/>
      <c r="V393" s="97">
        <v>8932.0080309999994</v>
      </c>
      <c r="W393" s="98">
        <v>1.2999999999999999E-5</v>
      </c>
      <c r="X393" s="98">
        <v>1.5989E-2</v>
      </c>
      <c r="Y393" s="98">
        <v>4.6509999999999998E-3</v>
      </c>
      <c r="Z393" s="106"/>
    </row>
    <row r="394" spans="1:26" ht="15" customHeight="1">
      <c r="A394" s="106"/>
      <c r="B394" s="96">
        <v>286</v>
      </c>
      <c r="C394" s="96">
        <v>286</v>
      </c>
      <c r="D394" s="96" t="s">
        <v>2925</v>
      </c>
      <c r="E394" s="96" t="s">
        <v>2926</v>
      </c>
      <c r="F394" s="96" t="s">
        <v>312</v>
      </c>
      <c r="G394" s="96" t="s">
        <v>2927</v>
      </c>
      <c r="H394" s="96" t="s">
        <v>2928</v>
      </c>
      <c r="I394" s="96" t="s">
        <v>320</v>
      </c>
      <c r="J394" s="96" t="s">
        <v>918</v>
      </c>
      <c r="K394" s="96" t="s">
        <v>204</v>
      </c>
      <c r="L394" s="96" t="s">
        <v>223</v>
      </c>
      <c r="M394" s="96" t="s">
        <v>324</v>
      </c>
      <c r="N394" s="96" t="s">
        <v>345</v>
      </c>
      <c r="O394" s="96" t="s">
        <v>511</v>
      </c>
      <c r="P394" s="96" t="s">
        <v>338</v>
      </c>
      <c r="Q394" s="96" t="s">
        <v>1201</v>
      </c>
      <c r="R394" s="97">
        <v>2358.5434289999998</v>
      </c>
      <c r="S394" s="97">
        <v>3.7589999999999999</v>
      </c>
      <c r="T394" s="97">
        <v>19788</v>
      </c>
      <c r="U394" s="96"/>
      <c r="V394" s="97">
        <v>1754.3575290000001</v>
      </c>
      <c r="W394" s="98">
        <v>0</v>
      </c>
      <c r="X394" s="98">
        <v>3.14E-3</v>
      </c>
      <c r="Y394" s="98">
        <v>9.1299999999999997E-4</v>
      </c>
      <c r="Z394" s="106"/>
    </row>
    <row r="395" spans="1:26" ht="15" customHeight="1">
      <c r="A395" s="106"/>
      <c r="B395" s="96">
        <v>286</v>
      </c>
      <c r="C395" s="96">
        <v>286</v>
      </c>
      <c r="D395" s="96" t="s">
        <v>1672</v>
      </c>
      <c r="E395" s="96">
        <v>1146</v>
      </c>
      <c r="F395" s="96" t="s">
        <v>80</v>
      </c>
      <c r="G395" s="96" t="s">
        <v>2920</v>
      </c>
      <c r="H395" s="96" t="s">
        <v>2684</v>
      </c>
      <c r="I395" s="96" t="s">
        <v>320</v>
      </c>
      <c r="J395" s="96" t="s">
        <v>918</v>
      </c>
      <c r="K395" s="96" t="s">
        <v>204</v>
      </c>
      <c r="L395" s="96" t="s">
        <v>203</v>
      </c>
      <c r="M395" s="96" t="s">
        <v>324</v>
      </c>
      <c r="N395" s="96" t="s">
        <v>345</v>
      </c>
      <c r="O395" s="96" t="s">
        <v>543</v>
      </c>
      <c r="P395" s="96" t="s">
        <v>338</v>
      </c>
      <c r="Q395" s="96" t="s">
        <v>1201</v>
      </c>
      <c r="R395" s="97">
        <v>1939.895636</v>
      </c>
      <c r="S395" s="97">
        <v>3.7589999999999999</v>
      </c>
      <c r="T395" s="97">
        <v>3393</v>
      </c>
      <c r="U395" s="96"/>
      <c r="V395" s="97">
        <v>247.41985600000001</v>
      </c>
      <c r="W395" s="98">
        <v>3.4E-5</v>
      </c>
      <c r="X395" s="98">
        <v>4.4200000000000001E-4</v>
      </c>
      <c r="Y395" s="98">
        <v>1.2799999999999999E-4</v>
      </c>
      <c r="Z395" s="106"/>
    </row>
    <row r="396" spans="1:26" ht="15" customHeight="1">
      <c r="A396" s="106"/>
      <c r="B396" s="96">
        <v>286</v>
      </c>
      <c r="C396" s="96">
        <v>286</v>
      </c>
      <c r="D396" s="96" t="s">
        <v>2880</v>
      </c>
      <c r="E396" s="96" t="s">
        <v>2881</v>
      </c>
      <c r="F396" s="96" t="s">
        <v>312</v>
      </c>
      <c r="G396" s="96" t="s">
        <v>2882</v>
      </c>
      <c r="H396" s="96" t="s">
        <v>2883</v>
      </c>
      <c r="I396" s="96" t="s">
        <v>320</v>
      </c>
      <c r="J396" s="96" t="s">
        <v>918</v>
      </c>
      <c r="K396" s="96" t="s">
        <v>204</v>
      </c>
      <c r="L396" s="96" t="s">
        <v>223</v>
      </c>
      <c r="M396" s="96" t="s">
        <v>324</v>
      </c>
      <c r="N396" s="96" t="s">
        <v>345</v>
      </c>
      <c r="O396" s="96" t="s">
        <v>547</v>
      </c>
      <c r="P396" s="96" t="s">
        <v>338</v>
      </c>
      <c r="Q396" s="96" t="s">
        <v>1201</v>
      </c>
      <c r="R396" s="97">
        <v>32055.063596</v>
      </c>
      <c r="S396" s="97">
        <v>3.7589999999999999</v>
      </c>
      <c r="T396" s="97">
        <v>12354</v>
      </c>
      <c r="U396" s="96"/>
      <c r="V396" s="97">
        <v>14885.95033</v>
      </c>
      <c r="W396" s="98">
        <v>9.9999999999999995E-7</v>
      </c>
      <c r="X396" s="98">
        <v>2.6648000000000002E-2</v>
      </c>
      <c r="Y396" s="98">
        <v>7.7510000000000001E-3</v>
      </c>
      <c r="Z396" s="106"/>
    </row>
    <row r="397" spans="1:26" ht="15" customHeight="1">
      <c r="A397" s="106"/>
      <c r="B397" s="96">
        <v>286</v>
      </c>
      <c r="C397" s="96">
        <v>286</v>
      </c>
      <c r="D397" s="96" t="s">
        <v>2939</v>
      </c>
      <c r="E397" s="96" t="s">
        <v>2940</v>
      </c>
      <c r="F397" s="96" t="s">
        <v>312</v>
      </c>
      <c r="G397" s="96" t="s">
        <v>2941</v>
      </c>
      <c r="H397" s="96" t="s">
        <v>2942</v>
      </c>
      <c r="I397" s="96" t="s">
        <v>320</v>
      </c>
      <c r="J397" s="96" t="s">
        <v>918</v>
      </c>
      <c r="K397" s="96" t="s">
        <v>204</v>
      </c>
      <c r="L397" s="96" t="s">
        <v>223</v>
      </c>
      <c r="M397" s="96" t="s">
        <v>324</v>
      </c>
      <c r="N397" s="96" t="s">
        <v>343</v>
      </c>
      <c r="O397" s="96" t="s">
        <v>539</v>
      </c>
      <c r="P397" s="96" t="s">
        <v>338</v>
      </c>
      <c r="Q397" s="96" t="s">
        <v>1201</v>
      </c>
      <c r="R397" s="97">
        <v>2814.5740259999998</v>
      </c>
      <c r="S397" s="97">
        <v>3.7589999999999999</v>
      </c>
      <c r="T397" s="97">
        <v>44600</v>
      </c>
      <c r="U397" s="96"/>
      <c r="V397" s="97">
        <v>4718.672759</v>
      </c>
      <c r="W397" s="98">
        <v>7.9999999999999996E-6</v>
      </c>
      <c r="X397" s="98">
        <v>8.4469999999999996E-3</v>
      </c>
      <c r="Y397" s="98">
        <v>2.457E-3</v>
      </c>
      <c r="Z397" s="106"/>
    </row>
    <row r="398" spans="1:26" ht="15" customHeight="1">
      <c r="A398" s="106"/>
      <c r="B398" s="96">
        <v>286</v>
      </c>
      <c r="C398" s="96">
        <v>286</v>
      </c>
      <c r="D398" s="96" t="s">
        <v>2877</v>
      </c>
      <c r="E398" s="96">
        <v>514073618</v>
      </c>
      <c r="F398" s="96" t="s">
        <v>308</v>
      </c>
      <c r="G398" s="96" t="s">
        <v>2878</v>
      </c>
      <c r="H398" s="96" t="s">
        <v>2879</v>
      </c>
      <c r="I398" s="96" t="s">
        <v>320</v>
      </c>
      <c r="J398" s="96" t="s">
        <v>918</v>
      </c>
      <c r="K398" s="96" t="s">
        <v>204</v>
      </c>
      <c r="L398" s="96" t="s">
        <v>203</v>
      </c>
      <c r="M398" s="96" t="s">
        <v>324</v>
      </c>
      <c r="N398" s="96" t="s">
        <v>345</v>
      </c>
      <c r="O398" s="96" t="s">
        <v>529</v>
      </c>
      <c r="P398" s="96" t="s">
        <v>338</v>
      </c>
      <c r="Q398" s="96" t="s">
        <v>1201</v>
      </c>
      <c r="R398" s="97">
        <v>7066.6075199999996</v>
      </c>
      <c r="S398" s="97">
        <v>3.7589999999999999</v>
      </c>
      <c r="T398" s="97">
        <v>1824</v>
      </c>
      <c r="U398" s="96"/>
      <c r="V398" s="97">
        <v>484.516008</v>
      </c>
      <c r="W398" s="98">
        <v>8.2999999999999998E-5</v>
      </c>
      <c r="X398" s="98">
        <v>8.6700000000000004E-4</v>
      </c>
      <c r="Y398" s="98">
        <v>2.52E-4</v>
      </c>
      <c r="Z398" s="106"/>
    </row>
    <row r="399" spans="1:26" ht="15" customHeight="1">
      <c r="A399" s="106"/>
      <c r="B399" s="96">
        <v>286</v>
      </c>
      <c r="C399" s="96">
        <v>286</v>
      </c>
      <c r="D399" s="96" t="s">
        <v>2916</v>
      </c>
      <c r="E399" s="96" t="s">
        <v>2917</v>
      </c>
      <c r="F399" s="96" t="s">
        <v>312</v>
      </c>
      <c r="G399" s="96" t="s">
        <v>2918</v>
      </c>
      <c r="H399" s="96" t="s">
        <v>2919</v>
      </c>
      <c r="I399" s="96" t="s">
        <v>320</v>
      </c>
      <c r="J399" s="96" t="s">
        <v>918</v>
      </c>
      <c r="K399" s="96" t="s">
        <v>204</v>
      </c>
      <c r="L399" s="96" t="s">
        <v>223</v>
      </c>
      <c r="M399" s="96" t="s">
        <v>324</v>
      </c>
      <c r="N399" s="96" t="s">
        <v>343</v>
      </c>
      <c r="O399" s="96" t="s">
        <v>521</v>
      </c>
      <c r="P399" s="96" t="s">
        <v>338</v>
      </c>
      <c r="Q399" s="96" t="s">
        <v>1201</v>
      </c>
      <c r="R399" s="97">
        <v>40623.999722</v>
      </c>
      <c r="S399" s="97">
        <v>3.7589999999999999</v>
      </c>
      <c r="T399" s="97">
        <v>6771</v>
      </c>
      <c r="U399" s="96"/>
      <c r="V399" s="97">
        <v>10339.697188</v>
      </c>
      <c r="W399" s="98">
        <v>5.0000000000000004E-6</v>
      </c>
      <c r="X399" s="98">
        <v>1.8509000000000001E-2</v>
      </c>
      <c r="Y399" s="98">
        <v>5.3839999999999999E-3</v>
      </c>
      <c r="Z399" s="106"/>
    </row>
    <row r="400" spans="1:26" ht="15" customHeight="1">
      <c r="A400" s="106"/>
      <c r="B400" s="96">
        <v>286</v>
      </c>
      <c r="C400" s="96">
        <v>286</v>
      </c>
      <c r="D400" s="96" t="s">
        <v>2991</v>
      </c>
      <c r="E400" s="96" t="s">
        <v>2992</v>
      </c>
      <c r="F400" s="96" t="s">
        <v>312</v>
      </c>
      <c r="G400" s="96" t="s">
        <v>2993</v>
      </c>
      <c r="H400" s="96" t="s">
        <v>2994</v>
      </c>
      <c r="I400" s="96" t="s">
        <v>320</v>
      </c>
      <c r="J400" s="96" t="s">
        <v>918</v>
      </c>
      <c r="K400" s="96" t="s">
        <v>204</v>
      </c>
      <c r="L400" s="96" t="s">
        <v>244</v>
      </c>
      <c r="M400" s="96" t="s">
        <v>324</v>
      </c>
      <c r="N400" s="96" t="s">
        <v>363</v>
      </c>
      <c r="O400" s="96" t="s">
        <v>536</v>
      </c>
      <c r="P400" s="96" t="s">
        <v>338</v>
      </c>
      <c r="Q400" s="96" t="s">
        <v>1202</v>
      </c>
      <c r="R400" s="97">
        <v>729.15572199999997</v>
      </c>
      <c r="S400" s="97">
        <v>4.0202</v>
      </c>
      <c r="T400" s="97">
        <v>111320</v>
      </c>
      <c r="U400" s="96"/>
      <c r="V400" s="97">
        <v>3263.1808620000002</v>
      </c>
      <c r="W400" s="98">
        <v>2.3E-5</v>
      </c>
      <c r="X400" s="98">
        <v>5.8409999999999998E-3</v>
      </c>
      <c r="Y400" s="98">
        <v>1.699E-3</v>
      </c>
      <c r="Z400" s="106"/>
    </row>
    <row r="401" spans="1:26" ht="15" customHeight="1">
      <c r="A401" s="106"/>
      <c r="B401" s="96">
        <v>286</v>
      </c>
      <c r="C401" s="96">
        <v>286</v>
      </c>
      <c r="D401" s="96" t="s">
        <v>2070</v>
      </c>
      <c r="E401" s="96" t="s">
        <v>2071</v>
      </c>
      <c r="F401" s="96" t="s">
        <v>312</v>
      </c>
      <c r="G401" s="96" t="s">
        <v>2947</v>
      </c>
      <c r="H401" s="96" t="s">
        <v>2948</v>
      </c>
      <c r="I401" s="96" t="s">
        <v>320</v>
      </c>
      <c r="J401" s="96" t="s">
        <v>918</v>
      </c>
      <c r="K401" s="96" t="s">
        <v>204</v>
      </c>
      <c r="L401" s="96" t="s">
        <v>223</v>
      </c>
      <c r="M401" s="96" t="s">
        <v>324</v>
      </c>
      <c r="N401" s="96" t="s">
        <v>343</v>
      </c>
      <c r="O401" s="96" t="s">
        <v>535</v>
      </c>
      <c r="P401" s="96" t="s">
        <v>338</v>
      </c>
      <c r="Q401" s="96" t="s">
        <v>1201</v>
      </c>
      <c r="R401" s="97">
        <v>12379.261946000001</v>
      </c>
      <c r="S401" s="97">
        <v>3.7589999999999999</v>
      </c>
      <c r="T401" s="97">
        <v>20226</v>
      </c>
      <c r="U401" s="96"/>
      <c r="V401" s="97">
        <v>9411.8951699999998</v>
      </c>
      <c r="W401" s="98">
        <v>3.9999999999999998E-6</v>
      </c>
      <c r="X401" s="98">
        <v>1.6847999999999998E-2</v>
      </c>
      <c r="Y401" s="98">
        <v>4.901E-3</v>
      </c>
      <c r="Z401" s="106"/>
    </row>
    <row r="402" spans="1:26" ht="15" customHeight="1">
      <c r="A402" s="106"/>
      <c r="B402" s="96">
        <v>286</v>
      </c>
      <c r="C402" s="96">
        <v>286</v>
      </c>
      <c r="D402" s="96" t="s">
        <v>2831</v>
      </c>
      <c r="E402" s="96" t="s">
        <v>2832</v>
      </c>
      <c r="F402" s="96" t="s">
        <v>312</v>
      </c>
      <c r="G402" s="96" t="s">
        <v>2833</v>
      </c>
      <c r="H402" s="96" t="s">
        <v>2834</v>
      </c>
      <c r="I402" s="96" t="s">
        <v>320</v>
      </c>
      <c r="J402" s="96" t="s">
        <v>918</v>
      </c>
      <c r="K402" s="96" t="s">
        <v>204</v>
      </c>
      <c r="L402" s="96" t="s">
        <v>223</v>
      </c>
      <c r="M402" s="96" t="s">
        <v>324</v>
      </c>
      <c r="N402" s="96" t="s">
        <v>345</v>
      </c>
      <c r="O402" s="96" t="s">
        <v>545</v>
      </c>
      <c r="P402" s="96" t="s">
        <v>338</v>
      </c>
      <c r="Q402" s="96" t="s">
        <v>1201</v>
      </c>
      <c r="R402" s="97">
        <v>34156.340561999998</v>
      </c>
      <c r="S402" s="97">
        <v>3.7589999999999999</v>
      </c>
      <c r="T402" s="97">
        <v>21062</v>
      </c>
      <c r="U402" s="96"/>
      <c r="V402" s="97">
        <v>27042.277761000001</v>
      </c>
      <c r="W402" s="98">
        <v>1.9999999999999999E-6</v>
      </c>
      <c r="X402" s="98">
        <v>4.8410000000000002E-2</v>
      </c>
      <c r="Y402" s="98">
        <v>1.4082000000000001E-2</v>
      </c>
      <c r="Z402" s="106"/>
    </row>
    <row r="403" spans="1:26" ht="15" customHeight="1">
      <c r="A403" s="106"/>
      <c r="B403" s="96">
        <v>286</v>
      </c>
      <c r="C403" s="96">
        <v>286</v>
      </c>
      <c r="D403" s="96" t="s">
        <v>2815</v>
      </c>
      <c r="E403" s="96" t="s">
        <v>2816</v>
      </c>
      <c r="F403" s="96" t="s">
        <v>312</v>
      </c>
      <c r="G403" s="96" t="s">
        <v>2817</v>
      </c>
      <c r="H403" s="96" t="s">
        <v>2818</v>
      </c>
      <c r="I403" s="96" t="s">
        <v>320</v>
      </c>
      <c r="J403" s="96" t="s">
        <v>918</v>
      </c>
      <c r="K403" s="96" t="s">
        <v>204</v>
      </c>
      <c r="L403" s="96" t="s">
        <v>223</v>
      </c>
      <c r="M403" s="96" t="s">
        <v>324</v>
      </c>
      <c r="N403" s="96" t="s">
        <v>345</v>
      </c>
      <c r="O403" s="96" t="s">
        <v>543</v>
      </c>
      <c r="P403" s="96" t="s">
        <v>338</v>
      </c>
      <c r="Q403" s="96" t="s">
        <v>1201</v>
      </c>
      <c r="R403" s="97">
        <v>21098.065359</v>
      </c>
      <c r="S403" s="97">
        <v>3.7589999999999999</v>
      </c>
      <c r="T403" s="97">
        <v>44695</v>
      </c>
      <c r="U403" s="96"/>
      <c r="V403" s="97">
        <v>35446.544194000002</v>
      </c>
      <c r="W403" s="98">
        <v>1.9999999999999999E-6</v>
      </c>
      <c r="X403" s="98">
        <v>6.3454999999999998E-2</v>
      </c>
      <c r="Y403" s="98">
        <v>1.8459E-2</v>
      </c>
      <c r="Z403" s="106"/>
    </row>
    <row r="404" spans="1:26" ht="15" customHeight="1">
      <c r="A404" s="106"/>
      <c r="B404" s="96">
        <v>286</v>
      </c>
      <c r="C404" s="96">
        <v>286</v>
      </c>
      <c r="D404" s="96" t="s">
        <v>2999</v>
      </c>
      <c r="E404" s="96" t="s">
        <v>3000</v>
      </c>
      <c r="F404" s="96" t="s">
        <v>312</v>
      </c>
      <c r="G404" s="96" t="s">
        <v>3001</v>
      </c>
      <c r="H404" s="96" t="s">
        <v>3002</v>
      </c>
      <c r="I404" s="96" t="s">
        <v>320</v>
      </c>
      <c r="J404" s="96" t="s">
        <v>918</v>
      </c>
      <c r="K404" s="96" t="s">
        <v>204</v>
      </c>
      <c r="L404" s="96" t="s">
        <v>223</v>
      </c>
      <c r="M404" s="96" t="s">
        <v>324</v>
      </c>
      <c r="N404" s="96" t="s">
        <v>313</v>
      </c>
      <c r="O404" s="96" t="s">
        <v>536</v>
      </c>
      <c r="P404" s="96" t="s">
        <v>338</v>
      </c>
      <c r="Q404" s="96" t="s">
        <v>1201</v>
      </c>
      <c r="R404" s="97">
        <v>10128.418648000001</v>
      </c>
      <c r="S404" s="97">
        <v>3.7589999999999999</v>
      </c>
      <c r="T404" s="97">
        <v>11807</v>
      </c>
      <c r="U404" s="96"/>
      <c r="V404" s="97">
        <v>4495.2467230000002</v>
      </c>
      <c r="W404" s="98">
        <v>1.7E-5</v>
      </c>
      <c r="X404" s="98">
        <v>8.0470000000000003E-3</v>
      </c>
      <c r="Y404" s="98">
        <v>2.3400000000000001E-3</v>
      </c>
      <c r="Z404" s="106"/>
    </row>
    <row r="405" spans="1:26" ht="15" customHeight="1">
      <c r="A405" s="106"/>
      <c r="B405" s="96">
        <v>286</v>
      </c>
      <c r="C405" s="96">
        <v>286</v>
      </c>
      <c r="D405" s="96" t="s">
        <v>2943</v>
      </c>
      <c r="E405" s="96" t="s">
        <v>2944</v>
      </c>
      <c r="F405" s="96" t="s">
        <v>312</v>
      </c>
      <c r="G405" s="96" t="s">
        <v>2945</v>
      </c>
      <c r="H405" s="96" t="s">
        <v>2946</v>
      </c>
      <c r="I405" s="96" t="s">
        <v>320</v>
      </c>
      <c r="J405" s="96" t="s">
        <v>918</v>
      </c>
      <c r="K405" s="96" t="s">
        <v>204</v>
      </c>
      <c r="L405" s="96" t="s">
        <v>232</v>
      </c>
      <c r="M405" s="96" t="s">
        <v>324</v>
      </c>
      <c r="N405" s="96" t="s">
        <v>369</v>
      </c>
      <c r="O405" s="96" t="s">
        <v>490</v>
      </c>
      <c r="P405" s="96" t="s">
        <v>338</v>
      </c>
      <c r="Q405" s="96" t="s">
        <v>1205</v>
      </c>
      <c r="R405" s="97">
        <v>184059.17365800001</v>
      </c>
      <c r="S405" s="97">
        <v>4.7504999999999997</v>
      </c>
      <c r="T405" s="97">
        <v>451.1</v>
      </c>
      <c r="U405" s="96"/>
      <c r="V405" s="97">
        <v>3944.2970740000001</v>
      </c>
      <c r="W405" s="98">
        <v>1.5E-5</v>
      </c>
      <c r="X405" s="98">
        <v>7.0600000000000003E-3</v>
      </c>
      <c r="Y405" s="98">
        <v>2.0539999999999998E-3</v>
      </c>
      <c r="Z405" s="106"/>
    </row>
    <row r="406" spans="1:26" ht="15" customHeight="1">
      <c r="A406" s="106"/>
      <c r="B406" s="96">
        <v>286</v>
      </c>
      <c r="C406" s="96">
        <v>286</v>
      </c>
      <c r="D406" s="96" t="s">
        <v>2771</v>
      </c>
      <c r="E406" s="96" t="s">
        <v>2772</v>
      </c>
      <c r="F406" s="96" t="s">
        <v>312</v>
      </c>
      <c r="G406" s="96" t="s">
        <v>2773</v>
      </c>
      <c r="H406" s="96" t="s">
        <v>2774</v>
      </c>
      <c r="I406" s="96" t="s">
        <v>320</v>
      </c>
      <c r="J406" s="96" t="s">
        <v>918</v>
      </c>
      <c r="K406" s="96" t="s">
        <v>204</v>
      </c>
      <c r="L406" s="96" t="s">
        <v>223</v>
      </c>
      <c r="M406" s="96" t="s">
        <v>324</v>
      </c>
      <c r="N406" s="96" t="s">
        <v>345</v>
      </c>
      <c r="O406" s="96" t="s">
        <v>547</v>
      </c>
      <c r="P406" s="96" t="s">
        <v>338</v>
      </c>
      <c r="Q406" s="96" t="s">
        <v>1201</v>
      </c>
      <c r="R406" s="97">
        <v>4555.2315259999996</v>
      </c>
      <c r="S406" s="97">
        <v>3.7589999999999999</v>
      </c>
      <c r="T406" s="97">
        <v>19453</v>
      </c>
      <c r="U406" s="96"/>
      <c r="V406" s="97">
        <v>3330.959621</v>
      </c>
      <c r="W406" s="98">
        <v>5.0000000000000004E-6</v>
      </c>
      <c r="X406" s="98">
        <v>5.9620000000000003E-3</v>
      </c>
      <c r="Y406" s="98">
        <v>1.7340000000000001E-3</v>
      </c>
      <c r="Z406" s="106"/>
    </row>
    <row r="407" spans="1:26" ht="15" customHeight="1">
      <c r="A407" s="106"/>
      <c r="B407" s="96">
        <v>286</v>
      </c>
      <c r="C407" s="96">
        <v>286</v>
      </c>
      <c r="D407" s="96" t="s">
        <v>2935</v>
      </c>
      <c r="E407" s="96" t="s">
        <v>2936</v>
      </c>
      <c r="F407" s="96" t="s">
        <v>312</v>
      </c>
      <c r="G407" s="96" t="s">
        <v>2937</v>
      </c>
      <c r="H407" s="96" t="s">
        <v>2938</v>
      </c>
      <c r="I407" s="96" t="s">
        <v>320</v>
      </c>
      <c r="J407" s="96" t="s">
        <v>918</v>
      </c>
      <c r="K407" s="96" t="s">
        <v>204</v>
      </c>
      <c r="L407" s="96" t="s">
        <v>223</v>
      </c>
      <c r="M407" s="96" t="s">
        <v>324</v>
      </c>
      <c r="N407" s="96" t="s">
        <v>343</v>
      </c>
      <c r="O407" s="96" t="s">
        <v>514</v>
      </c>
      <c r="P407" s="96" t="s">
        <v>338</v>
      </c>
      <c r="Q407" s="96" t="s">
        <v>1201</v>
      </c>
      <c r="R407" s="97">
        <v>8166.9520519999996</v>
      </c>
      <c r="S407" s="97">
        <v>3.7589999999999999</v>
      </c>
      <c r="T407" s="97">
        <v>7537</v>
      </c>
      <c r="U407" s="96"/>
      <c r="V407" s="97">
        <v>2313.8267989999999</v>
      </c>
      <c r="W407" s="98">
        <v>6.0000000000000002E-6</v>
      </c>
      <c r="X407" s="98">
        <v>4.1419999999999998E-3</v>
      </c>
      <c r="Y407" s="98">
        <v>1.204E-3</v>
      </c>
      <c r="Z407" s="106"/>
    </row>
    <row r="408" spans="1:26" ht="15" customHeight="1">
      <c r="A408" s="106"/>
      <c r="B408" s="96">
        <v>286</v>
      </c>
      <c r="C408" s="96">
        <v>286</v>
      </c>
      <c r="D408" s="96" t="s">
        <v>2891</v>
      </c>
      <c r="E408" s="96" t="s">
        <v>2892</v>
      </c>
      <c r="F408" s="96" t="s">
        <v>312</v>
      </c>
      <c r="G408" s="96" t="s">
        <v>2893</v>
      </c>
      <c r="H408" s="96" t="s">
        <v>2894</v>
      </c>
      <c r="I408" s="96" t="s">
        <v>320</v>
      </c>
      <c r="J408" s="96" t="s">
        <v>918</v>
      </c>
      <c r="K408" s="96" t="s">
        <v>204</v>
      </c>
      <c r="L408" s="96" t="s">
        <v>223</v>
      </c>
      <c r="M408" s="96" t="s">
        <v>324</v>
      </c>
      <c r="N408" s="96" t="s">
        <v>343</v>
      </c>
      <c r="O408" s="96" t="s">
        <v>499</v>
      </c>
      <c r="P408" s="96" t="s">
        <v>338</v>
      </c>
      <c r="Q408" s="96" t="s">
        <v>1201</v>
      </c>
      <c r="R408" s="97">
        <v>15989.109861000001</v>
      </c>
      <c r="S408" s="97">
        <v>3.7589999999999999</v>
      </c>
      <c r="T408" s="97">
        <v>4879</v>
      </c>
      <c r="U408" s="96"/>
      <c r="V408" s="97">
        <v>2932.4284910000001</v>
      </c>
      <c r="W408" s="98">
        <v>3.3000000000000003E-5</v>
      </c>
      <c r="X408" s="98">
        <v>5.2490000000000002E-3</v>
      </c>
      <c r="Y408" s="98">
        <v>1.5269999999999999E-3</v>
      </c>
      <c r="Z408" s="106"/>
    </row>
    <row r="409" spans="1:26" ht="15" customHeight="1">
      <c r="A409" s="106"/>
      <c r="B409" s="96">
        <v>286</v>
      </c>
      <c r="C409" s="96">
        <v>286</v>
      </c>
      <c r="D409" s="96" t="s">
        <v>2869</v>
      </c>
      <c r="E409" s="96" t="s">
        <v>2870</v>
      </c>
      <c r="F409" s="96" t="s">
        <v>312</v>
      </c>
      <c r="G409" s="96" t="s">
        <v>2871</v>
      </c>
      <c r="H409" s="96" t="s">
        <v>2872</v>
      </c>
      <c r="I409" s="96" t="s">
        <v>320</v>
      </c>
      <c r="J409" s="96" t="s">
        <v>918</v>
      </c>
      <c r="K409" s="96" t="s">
        <v>204</v>
      </c>
      <c r="L409" s="96" t="s">
        <v>223</v>
      </c>
      <c r="M409" s="96" t="s">
        <v>324</v>
      </c>
      <c r="N409" s="96" t="s">
        <v>343</v>
      </c>
      <c r="O409" s="96" t="s">
        <v>535</v>
      </c>
      <c r="P409" s="96" t="s">
        <v>338</v>
      </c>
      <c r="Q409" s="96" t="s">
        <v>1201</v>
      </c>
      <c r="R409" s="97">
        <v>6385.640531</v>
      </c>
      <c r="S409" s="97">
        <v>3.7589999999999999</v>
      </c>
      <c r="T409" s="97">
        <v>15136</v>
      </c>
      <c r="U409" s="96"/>
      <c r="V409" s="97">
        <v>3633.1883400000002</v>
      </c>
      <c r="W409" s="98">
        <v>3.8000000000000002E-5</v>
      </c>
      <c r="X409" s="98">
        <v>6.5030000000000001E-3</v>
      </c>
      <c r="Y409" s="98">
        <v>1.892E-3</v>
      </c>
      <c r="Z409" s="106"/>
    </row>
    <row r="410" spans="1:26" ht="15" customHeight="1">
      <c r="A410" s="106"/>
      <c r="B410" s="96">
        <v>286</v>
      </c>
      <c r="C410" s="96">
        <v>286</v>
      </c>
      <c r="D410" s="96" t="s">
        <v>2903</v>
      </c>
      <c r="E410" s="96" t="s">
        <v>2904</v>
      </c>
      <c r="F410" s="96" t="s">
        <v>312</v>
      </c>
      <c r="G410" s="96" t="s">
        <v>2905</v>
      </c>
      <c r="H410" s="96" t="s">
        <v>2906</v>
      </c>
      <c r="I410" s="96" t="s">
        <v>320</v>
      </c>
      <c r="J410" s="96" t="s">
        <v>918</v>
      </c>
      <c r="K410" s="96" t="s">
        <v>204</v>
      </c>
      <c r="L410" s="96" t="s">
        <v>223</v>
      </c>
      <c r="M410" s="96" t="s">
        <v>324</v>
      </c>
      <c r="N410" s="96" t="s">
        <v>343</v>
      </c>
      <c r="O410" s="96" t="s">
        <v>490</v>
      </c>
      <c r="P410" s="96" t="s">
        <v>338</v>
      </c>
      <c r="Q410" s="96" t="s">
        <v>1201</v>
      </c>
      <c r="R410" s="97">
        <v>4654.9563479999997</v>
      </c>
      <c r="S410" s="97">
        <v>3.7589999999999999</v>
      </c>
      <c r="T410" s="97">
        <v>4860</v>
      </c>
      <c r="U410" s="96"/>
      <c r="V410" s="97">
        <v>850.40187200000003</v>
      </c>
      <c r="W410" s="98">
        <v>3.0000000000000001E-6</v>
      </c>
      <c r="X410" s="98">
        <v>1.5219999999999999E-3</v>
      </c>
      <c r="Y410" s="98">
        <v>4.4200000000000001E-4</v>
      </c>
      <c r="Z410" s="106"/>
    </row>
    <row r="411" spans="1:26" ht="15" customHeight="1">
      <c r="A411" s="106"/>
      <c r="B411" s="96">
        <v>286</v>
      </c>
      <c r="C411" s="96">
        <v>286</v>
      </c>
      <c r="D411" s="96" t="s">
        <v>2865</v>
      </c>
      <c r="E411" s="96" t="s">
        <v>2866</v>
      </c>
      <c r="F411" s="96" t="s">
        <v>312</v>
      </c>
      <c r="G411" s="96" t="s">
        <v>2867</v>
      </c>
      <c r="H411" s="96" t="s">
        <v>2868</v>
      </c>
      <c r="I411" s="96" t="s">
        <v>320</v>
      </c>
      <c r="J411" s="96" t="s">
        <v>918</v>
      </c>
      <c r="K411" s="96" t="s">
        <v>204</v>
      </c>
      <c r="L411" s="96" t="s">
        <v>232</v>
      </c>
      <c r="M411" s="96" t="s">
        <v>324</v>
      </c>
      <c r="N411" s="96" t="s">
        <v>369</v>
      </c>
      <c r="O411" s="96" t="s">
        <v>523</v>
      </c>
      <c r="P411" s="96" t="s">
        <v>338</v>
      </c>
      <c r="Q411" s="96" t="s">
        <v>1205</v>
      </c>
      <c r="R411" s="97">
        <v>22498.392785</v>
      </c>
      <c r="S411" s="97">
        <v>4.7504999999999997</v>
      </c>
      <c r="T411" s="97">
        <v>2489.5</v>
      </c>
      <c r="U411" s="96"/>
      <c r="V411" s="97">
        <v>2660.7431179999999</v>
      </c>
      <c r="W411" s="98">
        <v>1.0000000000000001E-5</v>
      </c>
      <c r="X411" s="98">
        <v>4.7629999999999999E-3</v>
      </c>
      <c r="Y411" s="98">
        <v>1.3849999999999999E-3</v>
      </c>
      <c r="Z411" s="106"/>
    </row>
    <row r="412" spans="1:26" ht="15" customHeight="1">
      <c r="A412" s="106"/>
      <c r="B412" s="96">
        <v>286</v>
      </c>
      <c r="C412" s="96">
        <v>286</v>
      </c>
      <c r="D412" s="96" t="s">
        <v>2949</v>
      </c>
      <c r="E412" s="96" t="s">
        <v>2950</v>
      </c>
      <c r="F412" s="96" t="s">
        <v>312</v>
      </c>
      <c r="G412" s="96" t="s">
        <v>2951</v>
      </c>
      <c r="H412" s="96" t="s">
        <v>2952</v>
      </c>
      <c r="I412" s="96" t="s">
        <v>320</v>
      </c>
      <c r="J412" s="96" t="s">
        <v>918</v>
      </c>
      <c r="K412" s="96" t="s">
        <v>204</v>
      </c>
      <c r="L412" s="96" t="s">
        <v>237</v>
      </c>
      <c r="M412" s="96" t="s">
        <v>324</v>
      </c>
      <c r="N412" s="96" t="s">
        <v>369</v>
      </c>
      <c r="O412" s="96" t="s">
        <v>562</v>
      </c>
      <c r="P412" s="96" t="s">
        <v>338</v>
      </c>
      <c r="Q412" s="96" t="s">
        <v>1202</v>
      </c>
      <c r="R412" s="97">
        <v>6931.5493239999996</v>
      </c>
      <c r="S412" s="97">
        <v>4.0202</v>
      </c>
      <c r="T412" s="97">
        <v>244</v>
      </c>
      <c r="U412" s="96"/>
      <c r="V412" s="97">
        <v>67.993562999999995</v>
      </c>
      <c r="W412" s="98">
        <v>2.5999999999999998E-5</v>
      </c>
      <c r="X412" s="98">
        <v>1.21E-4</v>
      </c>
      <c r="Y412" s="98">
        <v>3.4999999999999997E-5</v>
      </c>
      <c r="Z412" s="106"/>
    </row>
    <row r="413" spans="1:26" ht="15" customHeight="1">
      <c r="A413" s="106"/>
      <c r="B413" s="96">
        <v>286</v>
      </c>
      <c r="C413" s="96">
        <v>286</v>
      </c>
      <c r="D413" s="96" t="s">
        <v>2839</v>
      </c>
      <c r="E413" s="96" t="s">
        <v>2840</v>
      </c>
      <c r="F413" s="96" t="s">
        <v>312</v>
      </c>
      <c r="G413" s="96" t="s">
        <v>2841</v>
      </c>
      <c r="H413" s="96" t="s">
        <v>2842</v>
      </c>
      <c r="I413" s="96" t="s">
        <v>320</v>
      </c>
      <c r="J413" s="96" t="s">
        <v>918</v>
      </c>
      <c r="K413" s="96" t="s">
        <v>204</v>
      </c>
      <c r="L413" s="96" t="s">
        <v>223</v>
      </c>
      <c r="M413" s="96" t="s">
        <v>324</v>
      </c>
      <c r="N413" s="96" t="s">
        <v>345</v>
      </c>
      <c r="O413" s="96" t="s">
        <v>524</v>
      </c>
      <c r="P413" s="96" t="s">
        <v>338</v>
      </c>
      <c r="Q413" s="96" t="s">
        <v>1201</v>
      </c>
      <c r="R413" s="97">
        <v>24531.227543000001</v>
      </c>
      <c r="S413" s="97">
        <v>3.7589999999999999</v>
      </c>
      <c r="T413" s="97">
        <v>6544</v>
      </c>
      <c r="U413" s="96"/>
      <c r="V413" s="97">
        <v>6034.4111499999999</v>
      </c>
      <c r="W413" s="98">
        <v>1.8E-5</v>
      </c>
      <c r="X413" s="98">
        <v>1.0802000000000001E-2</v>
      </c>
      <c r="Y413" s="98">
        <v>3.1419999999999998E-3</v>
      </c>
      <c r="Z413" s="106"/>
    </row>
    <row r="414" spans="1:26" ht="15" customHeight="1">
      <c r="A414" s="106"/>
      <c r="B414" s="96">
        <v>286</v>
      </c>
      <c r="C414" s="96">
        <v>286</v>
      </c>
      <c r="D414" s="96" t="s">
        <v>2843</v>
      </c>
      <c r="E414" s="96" t="s">
        <v>2844</v>
      </c>
      <c r="F414" s="96" t="s">
        <v>312</v>
      </c>
      <c r="G414" s="96" t="s">
        <v>2845</v>
      </c>
      <c r="H414" s="96" t="s">
        <v>2846</v>
      </c>
      <c r="I414" s="96" t="s">
        <v>320</v>
      </c>
      <c r="J414" s="96" t="s">
        <v>918</v>
      </c>
      <c r="K414" s="96" t="s">
        <v>204</v>
      </c>
      <c r="L414" s="96" t="s">
        <v>237</v>
      </c>
      <c r="M414" s="96" t="s">
        <v>324</v>
      </c>
      <c r="N414" s="96" t="s">
        <v>313</v>
      </c>
      <c r="O414" s="96" t="s">
        <v>567</v>
      </c>
      <c r="P414" s="96" t="s">
        <v>338</v>
      </c>
      <c r="Q414" s="96" t="s">
        <v>1202</v>
      </c>
      <c r="R414" s="97">
        <v>169168.98729799999</v>
      </c>
      <c r="S414" s="97">
        <v>4.0202</v>
      </c>
      <c r="T414" s="97">
        <v>196.55</v>
      </c>
      <c r="U414" s="96"/>
      <c r="V414" s="97">
        <v>1336.7231119999999</v>
      </c>
      <c r="W414" s="98">
        <v>1.1E-4</v>
      </c>
      <c r="X414" s="98">
        <v>2.392E-3</v>
      </c>
      <c r="Y414" s="98">
        <v>6.9499999999999998E-4</v>
      </c>
      <c r="Z414" s="106"/>
    </row>
    <row r="415" spans="1:26" ht="15" customHeight="1">
      <c r="A415" s="106"/>
      <c r="B415" s="96">
        <v>286</v>
      </c>
      <c r="C415" s="96">
        <v>286</v>
      </c>
      <c r="D415" s="96" t="s">
        <v>2980</v>
      </c>
      <c r="E415" s="96" t="s">
        <v>2981</v>
      </c>
      <c r="F415" s="96" t="s">
        <v>312</v>
      </c>
      <c r="G415" s="96" t="s">
        <v>2982</v>
      </c>
      <c r="H415" s="96" t="s">
        <v>2983</v>
      </c>
      <c r="I415" s="96" t="s">
        <v>320</v>
      </c>
      <c r="J415" s="96" t="s">
        <v>918</v>
      </c>
      <c r="K415" s="96" t="s">
        <v>204</v>
      </c>
      <c r="L415" s="96" t="s">
        <v>223</v>
      </c>
      <c r="M415" s="96" t="s">
        <v>324</v>
      </c>
      <c r="N415" s="96" t="s">
        <v>343</v>
      </c>
      <c r="O415" s="96" t="s">
        <v>520</v>
      </c>
      <c r="P415" s="96" t="s">
        <v>338</v>
      </c>
      <c r="Q415" s="96" t="s">
        <v>1201</v>
      </c>
      <c r="R415" s="97">
        <v>3900.88823</v>
      </c>
      <c r="S415" s="97">
        <v>3.7589999999999999</v>
      </c>
      <c r="T415" s="97">
        <v>34424</v>
      </c>
      <c r="U415" s="96"/>
      <c r="V415" s="97">
        <v>5047.7421919999997</v>
      </c>
      <c r="W415" s="98">
        <v>3.0000000000000001E-6</v>
      </c>
      <c r="X415" s="98">
        <v>9.0360000000000006E-3</v>
      </c>
      <c r="Y415" s="98">
        <v>2.6280000000000001E-3</v>
      </c>
      <c r="Z415" s="106"/>
    </row>
    <row r="416" spans="1:26" ht="15" customHeight="1">
      <c r="A416" s="106"/>
      <c r="B416" s="96">
        <v>286</v>
      </c>
      <c r="C416" s="96">
        <v>286</v>
      </c>
      <c r="D416" s="96" t="s">
        <v>2783</v>
      </c>
      <c r="E416" s="96" t="s">
        <v>2784</v>
      </c>
      <c r="F416" s="96" t="s">
        <v>312</v>
      </c>
      <c r="G416" s="96" t="s">
        <v>2785</v>
      </c>
      <c r="H416" s="96" t="s">
        <v>2786</v>
      </c>
      <c r="I416" s="96" t="s">
        <v>320</v>
      </c>
      <c r="J416" s="96" t="s">
        <v>918</v>
      </c>
      <c r="K416" s="96" t="s">
        <v>204</v>
      </c>
      <c r="L416" s="96" t="s">
        <v>223</v>
      </c>
      <c r="M416" s="96" t="s">
        <v>324</v>
      </c>
      <c r="N416" s="96" t="s">
        <v>343</v>
      </c>
      <c r="O416" s="96" t="s">
        <v>553</v>
      </c>
      <c r="P416" s="96" t="s">
        <v>338</v>
      </c>
      <c r="Q416" s="96" t="s">
        <v>1201</v>
      </c>
      <c r="R416" s="97">
        <v>12115.784103</v>
      </c>
      <c r="S416" s="97">
        <v>3.7589999999999999</v>
      </c>
      <c r="T416" s="97">
        <v>7081</v>
      </c>
      <c r="U416" s="96"/>
      <c r="V416" s="97">
        <v>3224.9162889999998</v>
      </c>
      <c r="W416" s="98">
        <v>5.0000000000000004E-6</v>
      </c>
      <c r="X416" s="98">
        <v>5.7730000000000004E-3</v>
      </c>
      <c r="Y416" s="98">
        <v>1.6789999999999999E-3</v>
      </c>
      <c r="Z416" s="106"/>
    </row>
    <row r="417" spans="1:26" ht="15" customHeight="1">
      <c r="A417" s="106"/>
      <c r="B417" s="96">
        <v>286</v>
      </c>
      <c r="C417" s="96">
        <v>286</v>
      </c>
      <c r="D417" s="96" t="s">
        <v>2984</v>
      </c>
      <c r="E417" s="96" t="s">
        <v>2985</v>
      </c>
      <c r="F417" s="96" t="s">
        <v>312</v>
      </c>
      <c r="G417" s="96" t="s">
        <v>2986</v>
      </c>
      <c r="H417" s="96" t="s">
        <v>2987</v>
      </c>
      <c r="I417" s="96" t="s">
        <v>320</v>
      </c>
      <c r="J417" s="96" t="s">
        <v>918</v>
      </c>
      <c r="K417" s="96" t="s">
        <v>204</v>
      </c>
      <c r="L417" s="96" t="s">
        <v>223</v>
      </c>
      <c r="M417" s="96" t="s">
        <v>324</v>
      </c>
      <c r="N417" s="96" t="s">
        <v>343</v>
      </c>
      <c r="O417" s="96" t="s">
        <v>567</v>
      </c>
      <c r="P417" s="96" t="s">
        <v>338</v>
      </c>
      <c r="Q417" s="96" t="s">
        <v>1201</v>
      </c>
      <c r="R417" s="97">
        <v>10068.704137000001</v>
      </c>
      <c r="S417" s="97">
        <v>3.7589999999999999</v>
      </c>
      <c r="T417" s="97">
        <v>8911</v>
      </c>
      <c r="U417" s="96"/>
      <c r="V417" s="97">
        <v>3372.6583460000002</v>
      </c>
      <c r="W417" s="98">
        <v>3.1999999999999999E-5</v>
      </c>
      <c r="X417" s="98">
        <v>6.0369999999999998E-3</v>
      </c>
      <c r="Y417" s="98">
        <v>1.756E-3</v>
      </c>
      <c r="Z417" s="106"/>
    </row>
    <row r="418" spans="1:26" ht="15" customHeight="1">
      <c r="A418" s="106"/>
      <c r="B418" s="96">
        <v>286</v>
      </c>
      <c r="C418" s="96">
        <v>286</v>
      </c>
      <c r="D418" s="96" t="s">
        <v>2995</v>
      </c>
      <c r="E418" s="96" t="s">
        <v>2996</v>
      </c>
      <c r="F418" s="96" t="s">
        <v>312</v>
      </c>
      <c r="G418" s="96" t="s">
        <v>2997</v>
      </c>
      <c r="H418" s="96" t="s">
        <v>2998</v>
      </c>
      <c r="I418" s="96" t="s">
        <v>320</v>
      </c>
      <c r="J418" s="96" t="s">
        <v>918</v>
      </c>
      <c r="K418" s="96" t="s">
        <v>204</v>
      </c>
      <c r="L418" s="96" t="s">
        <v>232</v>
      </c>
      <c r="M418" s="96" t="s">
        <v>324</v>
      </c>
      <c r="N418" s="96" t="s">
        <v>369</v>
      </c>
      <c r="O418" s="96" t="s">
        <v>515</v>
      </c>
      <c r="P418" s="96" t="s">
        <v>338</v>
      </c>
      <c r="Q418" s="96" t="s">
        <v>1205</v>
      </c>
      <c r="R418" s="97">
        <v>7521.2841920000001</v>
      </c>
      <c r="S418" s="97">
        <v>4.7504999999999997</v>
      </c>
      <c r="T418" s="97">
        <v>1300</v>
      </c>
      <c r="U418" s="96"/>
      <c r="V418" s="97">
        <v>464.48818699999998</v>
      </c>
      <c r="W418" s="98">
        <v>1.7799999999999999E-4</v>
      </c>
      <c r="X418" s="98">
        <v>8.3100000000000003E-4</v>
      </c>
      <c r="Y418" s="98">
        <v>2.41E-4</v>
      </c>
      <c r="Z418" s="106"/>
    </row>
    <row r="419" spans="1:26" ht="15" customHeight="1">
      <c r="A419" s="106"/>
      <c r="B419" s="96">
        <v>286</v>
      </c>
      <c r="C419" s="96">
        <v>286</v>
      </c>
      <c r="D419" s="96" t="s">
        <v>2731</v>
      </c>
      <c r="E419" s="96" t="s">
        <v>2732</v>
      </c>
      <c r="F419" s="96" t="s">
        <v>312</v>
      </c>
      <c r="G419" s="96" t="s">
        <v>2775</v>
      </c>
      <c r="H419" s="96" t="s">
        <v>2734</v>
      </c>
      <c r="I419" s="96" t="s">
        <v>320</v>
      </c>
      <c r="J419" s="96" t="s">
        <v>918</v>
      </c>
      <c r="K419" s="96" t="s">
        <v>204</v>
      </c>
      <c r="L419" s="96" t="s">
        <v>232</v>
      </c>
      <c r="M419" s="96" t="s">
        <v>324</v>
      </c>
      <c r="N419" s="96" t="s">
        <v>369</v>
      </c>
      <c r="O419" s="96" t="s">
        <v>486</v>
      </c>
      <c r="P419" s="96" t="s">
        <v>338</v>
      </c>
      <c r="Q419" s="96" t="s">
        <v>1205</v>
      </c>
      <c r="R419" s="97">
        <v>12000.395457000001</v>
      </c>
      <c r="S419" s="97">
        <v>4.7504999999999997</v>
      </c>
      <c r="T419" s="97">
        <v>986</v>
      </c>
      <c r="U419" s="96"/>
      <c r="V419" s="97">
        <v>562.09768299999996</v>
      </c>
      <c r="W419" s="98">
        <v>6.4999999999999994E-5</v>
      </c>
      <c r="X419" s="98">
        <v>1.0059999999999999E-3</v>
      </c>
      <c r="Y419" s="98">
        <v>2.92E-4</v>
      </c>
      <c r="Z419" s="106"/>
    </row>
    <row r="420" spans="1:26" ht="15" customHeight="1">
      <c r="A420" s="106"/>
      <c r="B420" s="96">
        <v>286</v>
      </c>
      <c r="C420" s="96">
        <v>286</v>
      </c>
      <c r="D420" s="96" t="s">
        <v>2953</v>
      </c>
      <c r="E420" s="96" t="s">
        <v>2954</v>
      </c>
      <c r="F420" s="96" t="s">
        <v>312</v>
      </c>
      <c r="G420" s="96" t="s">
        <v>2955</v>
      </c>
      <c r="H420" s="96" t="s">
        <v>2956</v>
      </c>
      <c r="I420" s="96" t="s">
        <v>320</v>
      </c>
      <c r="J420" s="96" t="s">
        <v>918</v>
      </c>
      <c r="K420" s="96" t="s">
        <v>204</v>
      </c>
      <c r="L420" s="96" t="s">
        <v>223</v>
      </c>
      <c r="M420" s="96" t="s">
        <v>324</v>
      </c>
      <c r="N420" s="96" t="s">
        <v>313</v>
      </c>
      <c r="O420" s="96" t="s">
        <v>533</v>
      </c>
      <c r="P420" s="96" t="s">
        <v>338</v>
      </c>
      <c r="Q420" s="96" t="s">
        <v>1201</v>
      </c>
      <c r="R420" s="97">
        <v>315.02146699999997</v>
      </c>
      <c r="S420" s="97">
        <v>3.7589999999999999</v>
      </c>
      <c r="T420" s="97">
        <v>69</v>
      </c>
      <c r="U420" s="96"/>
      <c r="V420" s="97">
        <v>0.81707399999999997</v>
      </c>
      <c r="W420" s="98">
        <v>1E-4</v>
      </c>
      <c r="X420" s="98">
        <v>9.9999999999999995E-7</v>
      </c>
      <c r="Y420" s="98">
        <v>0</v>
      </c>
      <c r="Z420" s="106"/>
    </row>
    <row r="421" spans="1:26" ht="15" customHeight="1">
      <c r="A421" s="106"/>
      <c r="B421" s="96">
        <v>286</v>
      </c>
      <c r="C421" s="96">
        <v>286</v>
      </c>
      <c r="D421" s="96" t="s">
        <v>2873</v>
      </c>
      <c r="E421" s="96" t="s">
        <v>2874</v>
      </c>
      <c r="F421" s="96" t="s">
        <v>312</v>
      </c>
      <c r="G421" s="96" t="s">
        <v>2875</v>
      </c>
      <c r="H421" s="96" t="s">
        <v>2876</v>
      </c>
      <c r="I421" s="96" t="s">
        <v>320</v>
      </c>
      <c r="J421" s="96" t="s">
        <v>918</v>
      </c>
      <c r="K421" s="96" t="s">
        <v>204</v>
      </c>
      <c r="L421" s="96" t="s">
        <v>223</v>
      </c>
      <c r="M421" s="96" t="s">
        <v>324</v>
      </c>
      <c r="N421" s="96" t="s">
        <v>345</v>
      </c>
      <c r="O421" s="96" t="s">
        <v>547</v>
      </c>
      <c r="P421" s="96" t="s">
        <v>338</v>
      </c>
      <c r="Q421" s="96" t="s">
        <v>1201</v>
      </c>
      <c r="R421" s="97">
        <v>14504.765799000001</v>
      </c>
      <c r="S421" s="97">
        <v>3.7589999999999999</v>
      </c>
      <c r="T421" s="97">
        <v>13153</v>
      </c>
      <c r="U421" s="96"/>
      <c r="V421" s="97">
        <v>7171.4647269999996</v>
      </c>
      <c r="W421" s="98">
        <v>1.2999999999999999E-5</v>
      </c>
      <c r="X421" s="98">
        <v>1.2838E-2</v>
      </c>
      <c r="Y421" s="98">
        <v>3.7339999999999999E-3</v>
      </c>
      <c r="Z421" s="106"/>
    </row>
    <row r="422" spans="1:26" ht="15" customHeight="1">
      <c r="A422" s="106"/>
      <c r="B422" s="96">
        <v>286</v>
      </c>
      <c r="C422" s="96">
        <v>286</v>
      </c>
      <c r="D422" s="96" t="s">
        <v>2932</v>
      </c>
      <c r="E422" s="96">
        <v>513537621</v>
      </c>
      <c r="F422" s="96" t="s">
        <v>308</v>
      </c>
      <c r="G422" s="96" t="s">
        <v>2933</v>
      </c>
      <c r="H422" s="96" t="s">
        <v>2934</v>
      </c>
      <c r="I422" s="96" t="s">
        <v>320</v>
      </c>
      <c r="J422" s="96" t="s">
        <v>918</v>
      </c>
      <c r="K422" s="96" t="s">
        <v>204</v>
      </c>
      <c r="L422" s="96" t="s">
        <v>203</v>
      </c>
      <c r="M422" s="96" t="s">
        <v>324</v>
      </c>
      <c r="N422" s="96" t="s">
        <v>345</v>
      </c>
      <c r="O422" s="96" t="s">
        <v>532</v>
      </c>
      <c r="P422" s="96" t="s">
        <v>337</v>
      </c>
      <c r="Q422" s="96" t="s">
        <v>1201</v>
      </c>
      <c r="R422" s="97">
        <v>13857.400524999999</v>
      </c>
      <c r="S422" s="97">
        <v>3.7589999999999999</v>
      </c>
      <c r="T422" s="97">
        <v>1678</v>
      </c>
      <c r="U422" s="96"/>
      <c r="V422" s="97">
        <v>874.06967199999997</v>
      </c>
      <c r="W422" s="98">
        <v>3.3599999999999998E-4</v>
      </c>
      <c r="X422" s="98">
        <v>1.5640000000000001E-3</v>
      </c>
      <c r="Y422" s="98">
        <v>4.55E-4</v>
      </c>
      <c r="Z422" s="106"/>
    </row>
    <row r="423" spans="1:26" ht="15" customHeight="1">
      <c r="A423" s="106"/>
      <c r="B423" s="96">
        <v>286</v>
      </c>
      <c r="C423" s="96">
        <v>286</v>
      </c>
      <c r="D423" s="96" t="s">
        <v>2703</v>
      </c>
      <c r="E423" s="96">
        <v>513639013</v>
      </c>
      <c r="F423" s="96" t="s">
        <v>308</v>
      </c>
      <c r="G423" s="96" t="s">
        <v>3003</v>
      </c>
      <c r="H423" s="96" t="s">
        <v>2705</v>
      </c>
      <c r="I423" s="96" t="s">
        <v>320</v>
      </c>
      <c r="J423" s="96" t="s">
        <v>918</v>
      </c>
      <c r="K423" s="96" t="s">
        <v>204</v>
      </c>
      <c r="L423" s="96" t="s">
        <v>203</v>
      </c>
      <c r="M423" s="96" t="s">
        <v>324</v>
      </c>
      <c r="N423" s="96" t="s">
        <v>345</v>
      </c>
      <c r="O423" s="96" t="s">
        <v>546</v>
      </c>
      <c r="P423" s="96" t="s">
        <v>338</v>
      </c>
      <c r="Q423" s="96" t="s">
        <v>1201</v>
      </c>
      <c r="R423" s="97">
        <v>1805.1082060000001</v>
      </c>
      <c r="S423" s="97">
        <v>3.7589999999999999</v>
      </c>
      <c r="T423" s="97">
        <v>2180</v>
      </c>
      <c r="U423" s="96"/>
      <c r="V423" s="97">
        <v>147.92175800000001</v>
      </c>
      <c r="W423" s="98">
        <v>5.0000000000000002E-5</v>
      </c>
      <c r="X423" s="98">
        <v>2.6400000000000002E-4</v>
      </c>
      <c r="Y423" s="98">
        <v>7.7000000000000001E-5</v>
      </c>
      <c r="Z423" s="106"/>
    </row>
    <row r="424" spans="1:26" ht="15" customHeight="1">
      <c r="A424" s="106"/>
      <c r="B424" s="96">
        <v>286</v>
      </c>
      <c r="C424" s="96">
        <v>286</v>
      </c>
      <c r="D424" s="96" t="s">
        <v>2823</v>
      </c>
      <c r="E424" s="96" t="s">
        <v>2824</v>
      </c>
      <c r="F424" s="96" t="s">
        <v>312</v>
      </c>
      <c r="G424" s="96" t="s">
        <v>2825</v>
      </c>
      <c r="H424" s="96" t="s">
        <v>2826</v>
      </c>
      <c r="I424" s="96" t="s">
        <v>320</v>
      </c>
      <c r="J424" s="96" t="s">
        <v>918</v>
      </c>
      <c r="K424" s="96" t="s">
        <v>204</v>
      </c>
      <c r="L424" s="96" t="s">
        <v>240</v>
      </c>
      <c r="M424" s="96" t="s">
        <v>324</v>
      </c>
      <c r="N424" s="96" t="s">
        <v>313</v>
      </c>
      <c r="O424" s="96" t="s">
        <v>501</v>
      </c>
      <c r="P424" s="96" t="s">
        <v>338</v>
      </c>
      <c r="Q424" s="96" t="s">
        <v>1219</v>
      </c>
      <c r="R424" s="97">
        <v>3951.2062529999998</v>
      </c>
      <c r="S424" s="97">
        <v>0.53900000000000003</v>
      </c>
      <c r="T424" s="97">
        <v>106700</v>
      </c>
      <c r="U424" s="96"/>
      <c r="V424" s="97">
        <v>2272.3900829999998</v>
      </c>
      <c r="W424" s="98">
        <v>1.8E-5</v>
      </c>
      <c r="X424" s="98">
        <v>4.0670000000000003E-3</v>
      </c>
      <c r="Y424" s="98">
        <v>1.183E-3</v>
      </c>
      <c r="Z424" s="106"/>
    </row>
    <row r="425" spans="1:26" ht="15" customHeight="1">
      <c r="A425" s="106"/>
      <c r="B425" s="96">
        <v>286</v>
      </c>
      <c r="C425" s="96">
        <v>286</v>
      </c>
      <c r="D425" s="96" t="s">
        <v>2827</v>
      </c>
      <c r="E425" s="96" t="s">
        <v>2828</v>
      </c>
      <c r="F425" s="96" t="s">
        <v>312</v>
      </c>
      <c r="G425" s="96" t="s">
        <v>2829</v>
      </c>
      <c r="H425" s="96" t="s">
        <v>2830</v>
      </c>
      <c r="I425" s="96" t="s">
        <v>320</v>
      </c>
      <c r="J425" s="96" t="s">
        <v>918</v>
      </c>
      <c r="K425" s="96" t="s">
        <v>204</v>
      </c>
      <c r="L425" s="96" t="s">
        <v>223</v>
      </c>
      <c r="M425" s="96" t="s">
        <v>324</v>
      </c>
      <c r="N425" s="96" t="s">
        <v>345</v>
      </c>
      <c r="O425" s="96" t="s">
        <v>543</v>
      </c>
      <c r="P425" s="96" t="s">
        <v>338</v>
      </c>
      <c r="Q425" s="96" t="s">
        <v>1201</v>
      </c>
      <c r="R425" s="97">
        <v>886.51270799999998</v>
      </c>
      <c r="S425" s="97">
        <v>3.7589999999999999</v>
      </c>
      <c r="T425" s="97">
        <v>33901</v>
      </c>
      <c r="U425" s="96"/>
      <c r="V425" s="97">
        <v>1129.7173539999999</v>
      </c>
      <c r="W425" s="98">
        <v>1.9999999999999999E-6</v>
      </c>
      <c r="X425" s="98">
        <v>2.0219999999999999E-3</v>
      </c>
      <c r="Y425" s="98">
        <v>5.8799999999999998E-4</v>
      </c>
      <c r="Z425" s="106"/>
    </row>
    <row r="426" spans="1:26" ht="15" customHeight="1">
      <c r="A426" s="106"/>
      <c r="B426" s="96">
        <v>286</v>
      </c>
      <c r="C426" s="96">
        <v>286</v>
      </c>
      <c r="D426" s="96" t="s">
        <v>2790</v>
      </c>
      <c r="E426" s="96">
        <v>512849498</v>
      </c>
      <c r="F426" s="96" t="s">
        <v>308</v>
      </c>
      <c r="G426" s="96" t="s">
        <v>2791</v>
      </c>
      <c r="H426" s="96" t="s">
        <v>2792</v>
      </c>
      <c r="I426" s="96" t="s">
        <v>320</v>
      </c>
      <c r="J426" s="96" t="s">
        <v>918</v>
      </c>
      <c r="K426" s="96" t="s">
        <v>204</v>
      </c>
      <c r="L426" s="96" t="s">
        <v>203</v>
      </c>
      <c r="M426" s="96" t="s">
        <v>324</v>
      </c>
      <c r="N426" s="96" t="s">
        <v>345</v>
      </c>
      <c r="O426" s="96" t="s">
        <v>550</v>
      </c>
      <c r="P426" s="96" t="s">
        <v>338</v>
      </c>
      <c r="Q426" s="96" t="s">
        <v>1201</v>
      </c>
      <c r="R426" s="97">
        <v>8512.0238489999992</v>
      </c>
      <c r="S426" s="97">
        <v>3.7589999999999999</v>
      </c>
      <c r="T426" s="97">
        <v>835</v>
      </c>
      <c r="U426" s="96"/>
      <c r="V426" s="97">
        <v>267.17242499999998</v>
      </c>
      <c r="W426" s="98">
        <v>1.8000000000000001E-4</v>
      </c>
      <c r="X426" s="98">
        <v>4.7800000000000002E-4</v>
      </c>
      <c r="Y426" s="98">
        <v>1.3899999999999999E-4</v>
      </c>
      <c r="Z426" s="106"/>
    </row>
    <row r="427" spans="1:26" ht="15" customHeight="1">
      <c r="A427" s="106"/>
      <c r="B427" s="96">
        <v>286</v>
      </c>
      <c r="C427" s="96">
        <v>286</v>
      </c>
      <c r="D427" s="96" t="s">
        <v>3012</v>
      </c>
      <c r="E427" s="96"/>
      <c r="F427" s="96" t="s">
        <v>310</v>
      </c>
      <c r="G427" s="96" t="s">
        <v>3013</v>
      </c>
      <c r="H427" s="96" t="s">
        <v>3014</v>
      </c>
      <c r="I427" s="96" t="s">
        <v>320</v>
      </c>
      <c r="J427" s="96" t="s">
        <v>918</v>
      </c>
      <c r="K427" s="96" t="s">
        <v>204</v>
      </c>
      <c r="L427" s="96" t="s">
        <v>281</v>
      </c>
      <c r="M427" s="96" t="s">
        <v>324</v>
      </c>
      <c r="N427" s="96" t="s">
        <v>343</v>
      </c>
      <c r="O427" s="96" t="s">
        <v>490</v>
      </c>
      <c r="P427" s="96" t="s">
        <v>338</v>
      </c>
      <c r="Q427" s="96" t="s">
        <v>1201</v>
      </c>
      <c r="R427" s="97">
        <v>23175.943064999999</v>
      </c>
      <c r="S427" s="97">
        <v>3.7589999999999999</v>
      </c>
      <c r="T427" s="97">
        <v>1988</v>
      </c>
      <c r="U427" s="96"/>
      <c r="V427" s="97">
        <v>1731.9131950000001</v>
      </c>
      <c r="W427" s="98">
        <v>6.3E-5</v>
      </c>
      <c r="X427" s="98">
        <v>3.0999999999999999E-3</v>
      </c>
      <c r="Y427" s="98">
        <v>9.01E-4</v>
      </c>
      <c r="Z427" s="106"/>
    </row>
    <row r="428" spans="1:26" ht="15" customHeight="1">
      <c r="A428" s="106"/>
      <c r="B428" s="96">
        <v>286</v>
      </c>
      <c r="C428" s="96">
        <v>286</v>
      </c>
      <c r="D428" s="96" t="s">
        <v>2799</v>
      </c>
      <c r="E428" s="96" t="s">
        <v>2800</v>
      </c>
      <c r="F428" s="96" t="s">
        <v>312</v>
      </c>
      <c r="G428" s="96" t="s">
        <v>2801</v>
      </c>
      <c r="H428" s="96" t="s">
        <v>2802</v>
      </c>
      <c r="I428" s="96" t="s">
        <v>320</v>
      </c>
      <c r="J428" s="96" t="s">
        <v>918</v>
      </c>
      <c r="K428" s="96" t="s">
        <v>204</v>
      </c>
      <c r="L428" s="96" t="s">
        <v>223</v>
      </c>
      <c r="M428" s="96" t="s">
        <v>324</v>
      </c>
      <c r="N428" s="96" t="s">
        <v>345</v>
      </c>
      <c r="O428" s="96" t="s">
        <v>552</v>
      </c>
      <c r="P428" s="96" t="s">
        <v>338</v>
      </c>
      <c r="Q428" s="96" t="s">
        <v>1201</v>
      </c>
      <c r="R428" s="97">
        <v>36877.994697000002</v>
      </c>
      <c r="S428" s="97">
        <v>3.7589999999999999</v>
      </c>
      <c r="T428" s="97">
        <v>18215</v>
      </c>
      <c r="U428" s="96"/>
      <c r="V428" s="97">
        <v>25250.431193</v>
      </c>
      <c r="W428" s="98">
        <v>6.0000000000000002E-6</v>
      </c>
      <c r="X428" s="98">
        <v>4.5201999999999999E-2</v>
      </c>
      <c r="Y428" s="98">
        <v>1.3148999999999999E-2</v>
      </c>
      <c r="Z428" s="106"/>
    </row>
    <row r="429" spans="1:26" ht="15" customHeight="1">
      <c r="A429" s="106"/>
      <c r="B429" s="96">
        <v>286</v>
      </c>
      <c r="C429" s="96">
        <v>286</v>
      </c>
      <c r="D429" s="96" t="s">
        <v>2895</v>
      </c>
      <c r="E429" s="96" t="s">
        <v>2896</v>
      </c>
      <c r="F429" s="96" t="s">
        <v>312</v>
      </c>
      <c r="G429" s="96" t="s">
        <v>2897</v>
      </c>
      <c r="H429" s="96" t="s">
        <v>2898</v>
      </c>
      <c r="I429" s="96" t="s">
        <v>320</v>
      </c>
      <c r="J429" s="96" t="s">
        <v>918</v>
      </c>
      <c r="K429" s="96" t="s">
        <v>204</v>
      </c>
      <c r="L429" s="96" t="s">
        <v>223</v>
      </c>
      <c r="M429" s="96" t="s">
        <v>324</v>
      </c>
      <c r="N429" s="96" t="s">
        <v>345</v>
      </c>
      <c r="O429" s="96" t="s">
        <v>548</v>
      </c>
      <c r="P429" s="96" t="s">
        <v>338</v>
      </c>
      <c r="Q429" s="96" t="s">
        <v>1201</v>
      </c>
      <c r="R429" s="97">
        <v>6.4442360000000001</v>
      </c>
      <c r="S429" s="97">
        <v>3.7589999999999999</v>
      </c>
      <c r="T429" s="97">
        <v>457</v>
      </c>
      <c r="U429" s="96"/>
      <c r="V429" s="97">
        <v>0.110703</v>
      </c>
      <c r="W429" s="98">
        <v>0</v>
      </c>
      <c r="X429" s="98">
        <v>0</v>
      </c>
      <c r="Y429" s="98">
        <v>0</v>
      </c>
      <c r="Z429" s="106"/>
    </row>
    <row r="430" spans="1:26" ht="15" customHeight="1">
      <c r="A430" s="106"/>
      <c r="B430" s="96">
        <v>286</v>
      </c>
      <c r="C430" s="96">
        <v>286</v>
      </c>
      <c r="D430" s="96" t="s">
        <v>2603</v>
      </c>
      <c r="E430" s="96">
        <v>520036872</v>
      </c>
      <c r="F430" s="96" t="s">
        <v>308</v>
      </c>
      <c r="G430" s="96" t="s">
        <v>2855</v>
      </c>
      <c r="H430" s="96" t="s">
        <v>2856</v>
      </c>
      <c r="I430" s="96" t="s">
        <v>320</v>
      </c>
      <c r="J430" s="96" t="s">
        <v>918</v>
      </c>
      <c r="K430" s="96" t="s">
        <v>204</v>
      </c>
      <c r="L430" s="96" t="s">
        <v>203</v>
      </c>
      <c r="M430" s="96" t="s">
        <v>324</v>
      </c>
      <c r="N430" s="96" t="s">
        <v>345</v>
      </c>
      <c r="O430" s="96" t="s">
        <v>543</v>
      </c>
      <c r="P430" s="96" t="s">
        <v>338</v>
      </c>
      <c r="Q430" s="96" t="s">
        <v>1201</v>
      </c>
      <c r="R430" s="97">
        <v>6300.3150180000002</v>
      </c>
      <c r="S430" s="97">
        <v>3.7589999999999999</v>
      </c>
      <c r="T430" s="97">
        <v>17197</v>
      </c>
      <c r="U430" s="96"/>
      <c r="V430" s="97">
        <v>4072.7455869999999</v>
      </c>
      <c r="W430" s="98">
        <v>9.8999999999999994E-5</v>
      </c>
      <c r="X430" s="98">
        <v>7.2899999999999996E-3</v>
      </c>
      <c r="Y430" s="98">
        <v>2.1199999999999999E-3</v>
      </c>
      <c r="Z430" s="106"/>
    </row>
    <row r="431" spans="1:26" ht="15" customHeight="1">
      <c r="A431" s="106"/>
      <c r="B431" s="96">
        <v>286</v>
      </c>
      <c r="C431" s="96">
        <v>286</v>
      </c>
      <c r="D431" s="96" t="s">
        <v>2887</v>
      </c>
      <c r="E431" s="96" t="s">
        <v>2888</v>
      </c>
      <c r="F431" s="96" t="s">
        <v>312</v>
      </c>
      <c r="G431" s="96" t="s">
        <v>2889</v>
      </c>
      <c r="H431" s="96" t="s">
        <v>2890</v>
      </c>
      <c r="I431" s="96" t="s">
        <v>320</v>
      </c>
      <c r="J431" s="96" t="s">
        <v>918</v>
      </c>
      <c r="K431" s="96" t="s">
        <v>204</v>
      </c>
      <c r="L431" s="96" t="s">
        <v>223</v>
      </c>
      <c r="M431" s="96" t="s">
        <v>324</v>
      </c>
      <c r="N431" s="96" t="s">
        <v>343</v>
      </c>
      <c r="O431" s="96" t="s">
        <v>536</v>
      </c>
      <c r="P431" s="96" t="s">
        <v>338</v>
      </c>
      <c r="Q431" s="96" t="s">
        <v>1201</v>
      </c>
      <c r="R431" s="97">
        <v>7521.135816</v>
      </c>
      <c r="S431" s="97">
        <v>3.7589999999999999</v>
      </c>
      <c r="T431" s="97">
        <v>44116</v>
      </c>
      <c r="U431" s="96"/>
      <c r="V431" s="97">
        <v>12472.453256999999</v>
      </c>
      <c r="W431" s="98">
        <v>7.9999999999999996E-6</v>
      </c>
      <c r="X431" s="98">
        <v>2.2327E-2</v>
      </c>
      <c r="Y431" s="98">
        <v>6.4949999999999999E-3</v>
      </c>
      <c r="Z431" s="106"/>
    </row>
    <row r="432" spans="1:26" ht="15" customHeight="1">
      <c r="A432" s="106"/>
      <c r="B432" s="96">
        <v>286</v>
      </c>
      <c r="C432" s="96">
        <v>286</v>
      </c>
      <c r="D432" s="96" t="s">
        <v>2819</v>
      </c>
      <c r="E432" s="96" t="s">
        <v>2820</v>
      </c>
      <c r="F432" s="96" t="s">
        <v>312</v>
      </c>
      <c r="G432" s="96" t="s">
        <v>2821</v>
      </c>
      <c r="H432" s="96" t="s">
        <v>2822</v>
      </c>
      <c r="I432" s="96" t="s">
        <v>320</v>
      </c>
      <c r="J432" s="96" t="s">
        <v>918</v>
      </c>
      <c r="K432" s="96" t="s">
        <v>204</v>
      </c>
      <c r="L432" s="96" t="s">
        <v>223</v>
      </c>
      <c r="M432" s="96" t="s">
        <v>324</v>
      </c>
      <c r="N432" s="96" t="s">
        <v>343</v>
      </c>
      <c r="O432" s="96" t="s">
        <v>532</v>
      </c>
      <c r="P432" s="96" t="s">
        <v>338</v>
      </c>
      <c r="Q432" s="96" t="s">
        <v>1201</v>
      </c>
      <c r="R432" s="97">
        <v>11421.271659</v>
      </c>
      <c r="S432" s="97">
        <v>3.7589999999999999</v>
      </c>
      <c r="T432" s="97">
        <v>17152</v>
      </c>
      <c r="U432" s="96"/>
      <c r="V432" s="97">
        <v>7363.792719</v>
      </c>
      <c r="W432" s="98">
        <v>6.0000000000000002E-6</v>
      </c>
      <c r="X432" s="98">
        <v>1.3181999999999999E-2</v>
      </c>
      <c r="Y432" s="98">
        <v>3.8340000000000002E-3</v>
      </c>
      <c r="Z432" s="106"/>
    </row>
    <row r="433" spans="1:26" ht="15" customHeight="1">
      <c r="A433" s="106"/>
      <c r="B433" s="96">
        <v>286</v>
      </c>
      <c r="C433" s="96">
        <v>286</v>
      </c>
      <c r="D433" s="96" t="s">
        <v>2649</v>
      </c>
      <c r="E433" s="96">
        <v>511812463</v>
      </c>
      <c r="F433" s="96" t="s">
        <v>308</v>
      </c>
      <c r="G433" s="96" t="s">
        <v>2924</v>
      </c>
      <c r="H433" s="96" t="s">
        <v>2651</v>
      </c>
      <c r="I433" s="96" t="s">
        <v>320</v>
      </c>
      <c r="J433" s="96" t="s">
        <v>918</v>
      </c>
      <c r="K433" s="96" t="s">
        <v>204</v>
      </c>
      <c r="L433" s="96" t="s">
        <v>203</v>
      </c>
      <c r="M433" s="96" t="s">
        <v>324</v>
      </c>
      <c r="N433" s="96" t="s">
        <v>345</v>
      </c>
      <c r="O433" s="96" t="s">
        <v>547</v>
      </c>
      <c r="P433" s="96" t="s">
        <v>337</v>
      </c>
      <c r="Q433" s="96" t="s">
        <v>1201</v>
      </c>
      <c r="R433" s="97">
        <v>7768.7103740000002</v>
      </c>
      <c r="S433" s="97">
        <v>3.7589999999999999</v>
      </c>
      <c r="T433" s="97">
        <v>23453</v>
      </c>
      <c r="U433" s="96"/>
      <c r="V433" s="97">
        <v>6848.881625</v>
      </c>
      <c r="W433" s="98">
        <v>2.6699999999999998E-4</v>
      </c>
      <c r="X433" s="98">
        <v>1.2259000000000001E-2</v>
      </c>
      <c r="Y433" s="98">
        <v>3.565E-3</v>
      </c>
      <c r="Z433" s="106"/>
    </row>
    <row r="434" spans="1:26" ht="15" customHeight="1">
      <c r="A434" s="106"/>
      <c r="B434" s="96">
        <v>286</v>
      </c>
      <c r="C434" s="96">
        <v>286</v>
      </c>
      <c r="D434" s="96" t="s">
        <v>2929</v>
      </c>
      <c r="E434" s="96"/>
      <c r="F434" s="96" t="s">
        <v>312</v>
      </c>
      <c r="G434" s="96" t="s">
        <v>2930</v>
      </c>
      <c r="H434" s="96" t="s">
        <v>2931</v>
      </c>
      <c r="I434" s="96" t="s">
        <v>320</v>
      </c>
      <c r="J434" s="96" t="s">
        <v>918</v>
      </c>
      <c r="K434" s="96" t="s">
        <v>204</v>
      </c>
      <c r="L434" s="96" t="s">
        <v>223</v>
      </c>
      <c r="M434" s="96" t="s">
        <v>324</v>
      </c>
      <c r="N434" s="96" t="s">
        <v>345</v>
      </c>
      <c r="O434" s="96" t="s">
        <v>509</v>
      </c>
      <c r="P434" s="96" t="s">
        <v>338</v>
      </c>
      <c r="Q434" s="96" t="s">
        <v>1201</v>
      </c>
      <c r="R434" s="97">
        <v>2316.555531</v>
      </c>
      <c r="S434" s="97">
        <v>3.7589999999999999</v>
      </c>
      <c r="T434" s="97">
        <v>2808.5</v>
      </c>
      <c r="U434" s="96"/>
      <c r="V434" s="97">
        <v>244.56227699999999</v>
      </c>
      <c r="W434" s="98">
        <v>2.4000000000000001E-5</v>
      </c>
      <c r="X434" s="98">
        <v>4.37E-4</v>
      </c>
      <c r="Y434" s="98">
        <v>1.27E-4</v>
      </c>
      <c r="Z434" s="106"/>
    </row>
    <row r="435" spans="1:26" ht="15" customHeight="1">
      <c r="A435" s="106"/>
      <c r="B435" s="96">
        <v>286</v>
      </c>
      <c r="C435" s="96">
        <v>286</v>
      </c>
      <c r="D435" s="96" t="s">
        <v>2779</v>
      </c>
      <c r="E435" s="96" t="s">
        <v>2780</v>
      </c>
      <c r="F435" s="96" t="s">
        <v>312</v>
      </c>
      <c r="G435" s="96" t="s">
        <v>2781</v>
      </c>
      <c r="H435" s="96" t="s">
        <v>2782</v>
      </c>
      <c r="I435" s="96" t="s">
        <v>320</v>
      </c>
      <c r="J435" s="96" t="s">
        <v>918</v>
      </c>
      <c r="K435" s="96" t="s">
        <v>204</v>
      </c>
      <c r="L435" s="96" t="s">
        <v>223</v>
      </c>
      <c r="M435" s="96" t="s">
        <v>324</v>
      </c>
      <c r="N435" s="96" t="s">
        <v>345</v>
      </c>
      <c r="O435" s="96" t="s">
        <v>518</v>
      </c>
      <c r="P435" s="96" t="s">
        <v>338</v>
      </c>
      <c r="Q435" s="96" t="s">
        <v>1201</v>
      </c>
      <c r="R435" s="97">
        <v>21858.094059999999</v>
      </c>
      <c r="S435" s="97">
        <v>3.7589999999999999</v>
      </c>
      <c r="T435" s="97">
        <v>19325</v>
      </c>
      <c r="U435" s="96"/>
      <c r="V435" s="97">
        <v>15878.304228999999</v>
      </c>
      <c r="W435" s="98">
        <v>1.9999999999999999E-6</v>
      </c>
      <c r="X435" s="98">
        <v>2.8424000000000001E-2</v>
      </c>
      <c r="Y435" s="98">
        <v>8.2679999999999993E-3</v>
      </c>
      <c r="Z435" s="106"/>
    </row>
    <row r="436" spans="1:26" ht="15" customHeight="1">
      <c r="A436" s="106"/>
      <c r="B436" s="96">
        <v>286</v>
      </c>
      <c r="C436" s="96">
        <v>286</v>
      </c>
      <c r="D436" s="96" t="s">
        <v>3008</v>
      </c>
      <c r="E436" s="96" t="s">
        <v>3009</v>
      </c>
      <c r="F436" s="96" t="s">
        <v>312</v>
      </c>
      <c r="G436" s="96" t="s">
        <v>3010</v>
      </c>
      <c r="H436" s="96" t="s">
        <v>3011</v>
      </c>
      <c r="I436" s="96" t="s">
        <v>320</v>
      </c>
      <c r="J436" s="96" t="s">
        <v>918</v>
      </c>
      <c r="K436" s="96" t="s">
        <v>204</v>
      </c>
      <c r="L436" s="96" t="s">
        <v>223</v>
      </c>
      <c r="M436" s="96" t="s">
        <v>324</v>
      </c>
      <c r="N436" s="96" t="s">
        <v>343</v>
      </c>
      <c r="O436" s="96" t="s">
        <v>534</v>
      </c>
      <c r="P436" s="96" t="s">
        <v>338</v>
      </c>
      <c r="Q436" s="96" t="s">
        <v>1201</v>
      </c>
      <c r="R436" s="97">
        <v>3464.8711480000002</v>
      </c>
      <c r="S436" s="97">
        <v>3.7589999999999999</v>
      </c>
      <c r="T436" s="97">
        <v>55300</v>
      </c>
      <c r="U436" s="96"/>
      <c r="V436" s="97">
        <v>7202.5212080000001</v>
      </c>
      <c r="W436" s="98">
        <v>9.0000000000000002E-6</v>
      </c>
      <c r="X436" s="98">
        <v>1.2893E-2</v>
      </c>
      <c r="Y436" s="98">
        <v>3.7499999999999999E-3</v>
      </c>
      <c r="Z436" s="106"/>
    </row>
    <row r="437" spans="1:26" ht="15" customHeight="1">
      <c r="A437" s="106"/>
      <c r="B437" s="96">
        <v>286</v>
      </c>
      <c r="C437" s="96">
        <v>286</v>
      </c>
      <c r="D437" s="96" t="s">
        <v>1757</v>
      </c>
      <c r="E437" s="96">
        <v>520041146</v>
      </c>
      <c r="F437" s="96" t="s">
        <v>308</v>
      </c>
      <c r="G437" s="96" t="s">
        <v>2861</v>
      </c>
      <c r="H437" s="96" t="s">
        <v>2692</v>
      </c>
      <c r="I437" s="96" t="s">
        <v>320</v>
      </c>
      <c r="J437" s="96" t="s">
        <v>918</v>
      </c>
      <c r="K437" s="96" t="s">
        <v>204</v>
      </c>
      <c r="L437" s="96" t="s">
        <v>203</v>
      </c>
      <c r="M437" s="96" t="s">
        <v>324</v>
      </c>
      <c r="N437" s="96" t="s">
        <v>345</v>
      </c>
      <c r="O437" s="96" t="s">
        <v>557</v>
      </c>
      <c r="P437" s="96" t="s">
        <v>337</v>
      </c>
      <c r="Q437" s="96" t="s">
        <v>1201</v>
      </c>
      <c r="R437" s="97">
        <v>5371.7854079999997</v>
      </c>
      <c r="S437" s="97">
        <v>3.7589999999999999</v>
      </c>
      <c r="T437" s="97">
        <v>1616</v>
      </c>
      <c r="U437" s="96"/>
      <c r="V437" s="97">
        <v>326.31146799999999</v>
      </c>
      <c r="W437" s="98">
        <v>4.5000000000000003E-5</v>
      </c>
      <c r="X437" s="98">
        <v>5.8299999999999997E-4</v>
      </c>
      <c r="Y437" s="98">
        <v>1.6899999999999999E-4</v>
      </c>
      <c r="Z437" s="106"/>
    </row>
    <row r="438" spans="1:26" ht="15" customHeight="1">
      <c r="A438" s="106"/>
      <c r="B438" s="96">
        <v>286</v>
      </c>
      <c r="C438" s="96">
        <v>286</v>
      </c>
      <c r="D438" s="96" t="s">
        <v>2899</v>
      </c>
      <c r="E438" s="96" t="s">
        <v>2900</v>
      </c>
      <c r="F438" s="96" t="s">
        <v>312</v>
      </c>
      <c r="G438" s="96" t="s">
        <v>2901</v>
      </c>
      <c r="H438" s="96" t="s">
        <v>2902</v>
      </c>
      <c r="I438" s="96" t="s">
        <v>320</v>
      </c>
      <c r="J438" s="96" t="s">
        <v>918</v>
      </c>
      <c r="K438" s="96" t="s">
        <v>204</v>
      </c>
      <c r="L438" s="96" t="s">
        <v>223</v>
      </c>
      <c r="M438" s="96" t="s">
        <v>324</v>
      </c>
      <c r="N438" s="96" t="s">
        <v>345</v>
      </c>
      <c r="O438" s="96" t="s">
        <v>547</v>
      </c>
      <c r="P438" s="96" t="s">
        <v>338</v>
      </c>
      <c r="Q438" s="96" t="s">
        <v>1201</v>
      </c>
      <c r="R438" s="97">
        <v>22604.889095999999</v>
      </c>
      <c r="S438" s="97">
        <v>3.7589999999999999</v>
      </c>
      <c r="T438" s="97">
        <v>23599</v>
      </c>
      <c r="U438" s="96"/>
      <c r="V438" s="97">
        <v>20052.489916999999</v>
      </c>
      <c r="W438" s="98">
        <v>2.6999999999999999E-5</v>
      </c>
      <c r="X438" s="98">
        <v>3.5896999999999998E-2</v>
      </c>
      <c r="Y438" s="98">
        <v>1.0442E-2</v>
      </c>
      <c r="Z438" s="106"/>
    </row>
    <row r="439" spans="1:26" ht="15" customHeight="1">
      <c r="A439" s="106"/>
      <c r="B439" s="96">
        <v>286</v>
      </c>
      <c r="C439" s="96">
        <v>286</v>
      </c>
      <c r="D439" s="96" t="s">
        <v>2976</v>
      </c>
      <c r="E439" s="96" t="s">
        <v>2977</v>
      </c>
      <c r="F439" s="96" t="s">
        <v>312</v>
      </c>
      <c r="G439" s="96" t="s">
        <v>2978</v>
      </c>
      <c r="H439" s="96" t="s">
        <v>2979</v>
      </c>
      <c r="I439" s="96" t="s">
        <v>320</v>
      </c>
      <c r="J439" s="96" t="s">
        <v>918</v>
      </c>
      <c r="K439" s="96" t="s">
        <v>204</v>
      </c>
      <c r="L439" s="96" t="s">
        <v>223</v>
      </c>
      <c r="M439" s="96" t="s">
        <v>324</v>
      </c>
      <c r="N439" s="96" t="s">
        <v>343</v>
      </c>
      <c r="O439" s="96" t="s">
        <v>536</v>
      </c>
      <c r="P439" s="96" t="s">
        <v>338</v>
      </c>
      <c r="Q439" s="96" t="s">
        <v>1201</v>
      </c>
      <c r="R439" s="97">
        <v>4186.9627860000001</v>
      </c>
      <c r="S439" s="97">
        <v>3.7589999999999999</v>
      </c>
      <c r="T439" s="97">
        <v>40680</v>
      </c>
      <c r="U439" s="96"/>
      <c r="V439" s="97">
        <v>6402.5410380000003</v>
      </c>
      <c r="W439" s="98">
        <v>3.0000000000000001E-6</v>
      </c>
      <c r="X439" s="98">
        <v>1.1461000000000001E-2</v>
      </c>
      <c r="Y439" s="98">
        <v>3.3340000000000002E-3</v>
      </c>
      <c r="Z439" s="106"/>
    </row>
    <row r="440" spans="1:26" ht="15" customHeight="1">
      <c r="A440" s="106"/>
      <c r="B440" s="96">
        <v>286</v>
      </c>
      <c r="C440" s="96">
        <v>286</v>
      </c>
      <c r="D440" s="96" t="s">
        <v>2851</v>
      </c>
      <c r="E440" s="96" t="s">
        <v>2852</v>
      </c>
      <c r="F440" s="96" t="s">
        <v>312</v>
      </c>
      <c r="G440" s="96" t="s">
        <v>2853</v>
      </c>
      <c r="H440" s="96" t="s">
        <v>2854</v>
      </c>
      <c r="I440" s="96" t="s">
        <v>320</v>
      </c>
      <c r="J440" s="96" t="s">
        <v>918</v>
      </c>
      <c r="K440" s="96" t="s">
        <v>204</v>
      </c>
      <c r="L440" s="96" t="s">
        <v>223</v>
      </c>
      <c r="M440" s="96" t="s">
        <v>324</v>
      </c>
      <c r="N440" s="96" t="s">
        <v>345</v>
      </c>
      <c r="O440" s="96" t="s">
        <v>547</v>
      </c>
      <c r="P440" s="96" t="s">
        <v>338</v>
      </c>
      <c r="Q440" s="96" t="s">
        <v>1201</v>
      </c>
      <c r="R440" s="97">
        <v>2861.8185490000001</v>
      </c>
      <c r="S440" s="97">
        <v>3.7589999999999999</v>
      </c>
      <c r="T440" s="97">
        <v>2526</v>
      </c>
      <c r="U440" s="96"/>
      <c r="V440" s="97">
        <v>271.73636699999997</v>
      </c>
      <c r="W440" s="98">
        <v>4.8999999999999998E-5</v>
      </c>
      <c r="X440" s="98">
        <v>4.86E-4</v>
      </c>
      <c r="Y440" s="98">
        <v>1.3999999999999999E-4</v>
      </c>
      <c r="Z440" s="106"/>
    </row>
    <row r="441" spans="1:26" ht="15" customHeight="1">
      <c r="A441" s="106"/>
      <c r="B441" s="96">
        <v>286</v>
      </c>
      <c r="C441" s="96">
        <v>286</v>
      </c>
      <c r="D441" s="96" t="s">
        <v>2807</v>
      </c>
      <c r="E441" s="96" t="s">
        <v>2808</v>
      </c>
      <c r="F441" s="96" t="s">
        <v>312</v>
      </c>
      <c r="G441" s="96" t="s">
        <v>2809</v>
      </c>
      <c r="H441" s="96" t="s">
        <v>2810</v>
      </c>
      <c r="I441" s="96" t="s">
        <v>320</v>
      </c>
      <c r="J441" s="96" t="s">
        <v>918</v>
      </c>
      <c r="K441" s="96" t="s">
        <v>204</v>
      </c>
      <c r="L441" s="96" t="s">
        <v>280</v>
      </c>
      <c r="M441" s="96" t="s">
        <v>324</v>
      </c>
      <c r="N441" s="96" t="s">
        <v>363</v>
      </c>
      <c r="O441" s="96" t="s">
        <v>514</v>
      </c>
      <c r="P441" s="96" t="s">
        <v>338</v>
      </c>
      <c r="Q441" s="96" t="s">
        <v>1202</v>
      </c>
      <c r="R441" s="97">
        <v>1547.068123</v>
      </c>
      <c r="S441" s="97">
        <v>4.0202</v>
      </c>
      <c r="T441" s="97">
        <v>71360</v>
      </c>
      <c r="U441" s="96"/>
      <c r="V441" s="97">
        <v>4438.2518060000002</v>
      </c>
      <c r="W441" s="98">
        <v>3.0000000000000001E-6</v>
      </c>
      <c r="X441" s="98">
        <v>7.9450000000000007E-3</v>
      </c>
      <c r="Y441" s="98">
        <v>2.3110000000000001E-3</v>
      </c>
      <c r="Z441" s="106"/>
    </row>
    <row r="442" spans="1:26" ht="15" customHeight="1">
      <c r="A442" s="106"/>
      <c r="B442" s="96">
        <v>286</v>
      </c>
      <c r="C442" s="96">
        <v>286</v>
      </c>
      <c r="D442" s="96" t="s">
        <v>2847</v>
      </c>
      <c r="E442" s="96" t="s">
        <v>2848</v>
      </c>
      <c r="F442" s="96" t="s">
        <v>312</v>
      </c>
      <c r="G442" s="96" t="s">
        <v>2849</v>
      </c>
      <c r="H442" s="96" t="s">
        <v>2850</v>
      </c>
      <c r="I442" s="96" t="s">
        <v>320</v>
      </c>
      <c r="J442" s="96" t="s">
        <v>918</v>
      </c>
      <c r="K442" s="96" t="s">
        <v>204</v>
      </c>
      <c r="L442" s="96" t="s">
        <v>223</v>
      </c>
      <c r="M442" s="96" t="s">
        <v>324</v>
      </c>
      <c r="N442" s="96" t="s">
        <v>343</v>
      </c>
      <c r="O442" s="96" t="s">
        <v>509</v>
      </c>
      <c r="P442" s="96" t="s">
        <v>338</v>
      </c>
      <c r="Q442" s="96" t="s">
        <v>1201</v>
      </c>
      <c r="R442" s="97">
        <v>7317.5647609999996</v>
      </c>
      <c r="S442" s="97">
        <v>3.7589999999999999</v>
      </c>
      <c r="T442" s="97">
        <v>10699</v>
      </c>
      <c r="U442" s="96"/>
      <c r="V442" s="97">
        <v>2942.9446079999998</v>
      </c>
      <c r="W442" s="98">
        <v>8.8999999999999995E-5</v>
      </c>
      <c r="X442" s="98">
        <v>5.2680000000000001E-3</v>
      </c>
      <c r="Y442" s="98">
        <v>1.5319999999999999E-3</v>
      </c>
      <c r="Z442" s="106"/>
    </row>
    <row r="443" spans="1:26" ht="15" customHeight="1">
      <c r="A443" s="106"/>
      <c r="B443" s="96">
        <v>286</v>
      </c>
      <c r="C443" s="96">
        <v>286</v>
      </c>
      <c r="D443" s="96" t="s">
        <v>2549</v>
      </c>
      <c r="E443" s="96">
        <v>520013954</v>
      </c>
      <c r="F443" s="96" t="s">
        <v>308</v>
      </c>
      <c r="G443" s="96" t="s">
        <v>2921</v>
      </c>
      <c r="H443" s="96" t="s">
        <v>2922</v>
      </c>
      <c r="I443" s="96" t="s">
        <v>320</v>
      </c>
      <c r="J443" s="96" t="s">
        <v>918</v>
      </c>
      <c r="K443" s="96" t="s">
        <v>204</v>
      </c>
      <c r="L443" s="96" t="s">
        <v>203</v>
      </c>
      <c r="M443" s="96" t="s">
        <v>324</v>
      </c>
      <c r="N443" s="96" t="s">
        <v>343</v>
      </c>
      <c r="O443" s="96" t="s">
        <v>533</v>
      </c>
      <c r="P443" s="96" t="s">
        <v>338</v>
      </c>
      <c r="Q443" s="96" t="s">
        <v>1201</v>
      </c>
      <c r="R443" s="97">
        <v>173519.26950900001</v>
      </c>
      <c r="S443" s="97">
        <v>3.7589999999999999</v>
      </c>
      <c r="T443" s="97">
        <v>1625</v>
      </c>
      <c r="U443" s="96"/>
      <c r="V443" s="97">
        <v>10599.207677</v>
      </c>
      <c r="W443" s="98">
        <v>1.54E-4</v>
      </c>
      <c r="X443" s="98">
        <v>1.8971999999999999E-2</v>
      </c>
      <c r="Y443" s="98">
        <v>5.5180000000000003E-3</v>
      </c>
      <c r="Z443" s="106"/>
    </row>
    <row r="444" spans="1:26" ht="15" customHeight="1">
      <c r="A444" s="106"/>
      <c r="B444" s="96">
        <v>286</v>
      </c>
      <c r="C444" s="96">
        <v>286</v>
      </c>
      <c r="D444" s="96" t="s">
        <v>2988</v>
      </c>
      <c r="E444" s="96">
        <v>515960003</v>
      </c>
      <c r="F444" s="96" t="s">
        <v>308</v>
      </c>
      <c r="G444" s="96" t="s">
        <v>2989</v>
      </c>
      <c r="H444" s="96" t="s">
        <v>2990</v>
      </c>
      <c r="I444" s="96" t="s">
        <v>320</v>
      </c>
      <c r="J444" s="96" t="s">
        <v>918</v>
      </c>
      <c r="K444" s="96" t="s">
        <v>204</v>
      </c>
      <c r="L444" s="96" t="s">
        <v>223</v>
      </c>
      <c r="M444" s="96" t="s">
        <v>324</v>
      </c>
      <c r="N444" s="96" t="s">
        <v>343</v>
      </c>
      <c r="O444" s="96" t="s">
        <v>506</v>
      </c>
      <c r="P444" s="96" t="s">
        <v>338</v>
      </c>
      <c r="Q444" s="96" t="s">
        <v>1201</v>
      </c>
      <c r="R444" s="97">
        <v>6353.9482850000004</v>
      </c>
      <c r="S444" s="97">
        <v>3.7589999999999999</v>
      </c>
      <c r="T444" s="97">
        <v>7268</v>
      </c>
      <c r="U444" s="96"/>
      <c r="V444" s="97">
        <v>1735.924849</v>
      </c>
      <c r="W444" s="98">
        <v>3.0000000000000001E-6</v>
      </c>
      <c r="X444" s="98">
        <v>3.107E-3</v>
      </c>
      <c r="Y444" s="98">
        <v>9.0300000000000005E-4</v>
      </c>
      <c r="Z444" s="106"/>
    </row>
    <row r="445" spans="1:26" ht="15" customHeight="1">
      <c r="A445" s="106"/>
      <c r="B445" s="96">
        <v>286</v>
      </c>
      <c r="C445" s="96">
        <v>286</v>
      </c>
      <c r="D445" s="96" t="s">
        <v>2793</v>
      </c>
      <c r="E445" s="96"/>
      <c r="F445" s="96" t="s">
        <v>312</v>
      </c>
      <c r="G445" s="96" t="s">
        <v>2794</v>
      </c>
      <c r="H445" s="96" t="s">
        <v>2795</v>
      </c>
      <c r="I445" s="96" t="s">
        <v>320</v>
      </c>
      <c r="J445" s="96" t="s">
        <v>918</v>
      </c>
      <c r="K445" s="96" t="s">
        <v>204</v>
      </c>
      <c r="L445" s="96" t="s">
        <v>203</v>
      </c>
      <c r="M445" s="96" t="s">
        <v>324</v>
      </c>
      <c r="N445" s="96" t="s">
        <v>313</v>
      </c>
      <c r="O445" s="96" t="s">
        <v>543</v>
      </c>
      <c r="P445" s="96" t="s">
        <v>338</v>
      </c>
      <c r="Q445" s="96" t="s">
        <v>1201</v>
      </c>
      <c r="R445" s="97">
        <v>6398.5550240000002</v>
      </c>
      <c r="S445" s="97">
        <v>3.7589999999999999</v>
      </c>
      <c r="T445" s="97">
        <v>777</v>
      </c>
      <c r="U445" s="96"/>
      <c r="V445" s="97">
        <v>186.885347</v>
      </c>
      <c r="W445" s="98">
        <v>8.1000000000000004E-5</v>
      </c>
      <c r="X445" s="98">
        <v>3.3399999999999999E-4</v>
      </c>
      <c r="Y445" s="98">
        <v>9.7E-5</v>
      </c>
      <c r="Z445" s="106"/>
    </row>
    <row r="446" spans="1:26" ht="15" customHeight="1">
      <c r="A446" s="106"/>
      <c r="B446" s="96">
        <v>286</v>
      </c>
      <c r="C446" s="96">
        <v>286</v>
      </c>
      <c r="D446" s="96" t="s">
        <v>2787</v>
      </c>
      <c r="E446" s="96"/>
      <c r="F446" s="96" t="s">
        <v>310</v>
      </c>
      <c r="G446" s="96" t="s">
        <v>2788</v>
      </c>
      <c r="H446" s="96" t="s">
        <v>2789</v>
      </c>
      <c r="I446" s="96" t="s">
        <v>320</v>
      </c>
      <c r="J446" s="96" t="s">
        <v>918</v>
      </c>
      <c r="K446" s="96" t="s">
        <v>204</v>
      </c>
      <c r="L446" s="96" t="s">
        <v>223</v>
      </c>
      <c r="M446" s="96" t="s">
        <v>324</v>
      </c>
      <c r="N446" s="96" t="s">
        <v>343</v>
      </c>
      <c r="O446" s="96" t="s">
        <v>486</v>
      </c>
      <c r="P446" s="96" t="s">
        <v>338</v>
      </c>
      <c r="Q446" s="96" t="s">
        <v>1201</v>
      </c>
      <c r="R446" s="97">
        <v>3833.006132</v>
      </c>
      <c r="S446" s="97">
        <v>3.7589999999999999</v>
      </c>
      <c r="T446" s="97">
        <v>17348</v>
      </c>
      <c r="U446" s="96"/>
      <c r="V446" s="97">
        <v>2499.5466879999999</v>
      </c>
      <c r="W446" s="98">
        <v>1.0000000000000001E-5</v>
      </c>
      <c r="X446" s="98">
        <v>4.4739999999999997E-3</v>
      </c>
      <c r="Y446" s="98">
        <v>1.3010000000000001E-3</v>
      </c>
      <c r="Z446" s="106"/>
    </row>
    <row r="447" spans="1:26" ht="15" customHeight="1">
      <c r="A447" s="106"/>
      <c r="B447" s="96">
        <v>286</v>
      </c>
      <c r="C447" s="96">
        <v>286</v>
      </c>
      <c r="D447" s="96" t="s">
        <v>2811</v>
      </c>
      <c r="E447" s="96" t="s">
        <v>2812</v>
      </c>
      <c r="F447" s="96" t="s">
        <v>312</v>
      </c>
      <c r="G447" s="96" t="s">
        <v>2813</v>
      </c>
      <c r="H447" s="96" t="s">
        <v>2814</v>
      </c>
      <c r="I447" s="96" t="s">
        <v>320</v>
      </c>
      <c r="J447" s="96" t="s">
        <v>918</v>
      </c>
      <c r="K447" s="96" t="s">
        <v>204</v>
      </c>
      <c r="L447" s="96" t="s">
        <v>223</v>
      </c>
      <c r="M447" s="96" t="s">
        <v>324</v>
      </c>
      <c r="N447" s="96" t="s">
        <v>343</v>
      </c>
      <c r="O447" s="96" t="s">
        <v>486</v>
      </c>
      <c r="P447" s="96" t="s">
        <v>338</v>
      </c>
      <c r="Q447" s="96" t="s">
        <v>1201</v>
      </c>
      <c r="R447" s="97">
        <v>2810.9040450000002</v>
      </c>
      <c r="S447" s="97">
        <v>3.7589999999999999</v>
      </c>
      <c r="T447" s="97">
        <v>14752</v>
      </c>
      <c r="U447" s="96"/>
      <c r="V447" s="97">
        <v>1558.724099</v>
      </c>
      <c r="W447" s="98">
        <v>9.0000000000000002E-6</v>
      </c>
      <c r="X447" s="98">
        <v>2.7899999999999999E-3</v>
      </c>
      <c r="Y447" s="98">
        <v>8.1099999999999998E-4</v>
      </c>
      <c r="Z447" s="106"/>
    </row>
    <row r="448" spans="1:26" ht="15" customHeight="1">
      <c r="A448" s="106"/>
      <c r="B448" s="96">
        <v>286</v>
      </c>
      <c r="C448" s="96">
        <v>286</v>
      </c>
      <c r="D448" s="96" t="s">
        <v>2884</v>
      </c>
      <c r="E448" s="96">
        <v>511235434</v>
      </c>
      <c r="F448" s="96" t="s">
        <v>308</v>
      </c>
      <c r="G448" s="96" t="s">
        <v>2885</v>
      </c>
      <c r="H448" s="96" t="s">
        <v>2886</v>
      </c>
      <c r="I448" s="96" t="s">
        <v>320</v>
      </c>
      <c r="J448" s="96" t="s">
        <v>918</v>
      </c>
      <c r="K448" s="96" t="s">
        <v>204</v>
      </c>
      <c r="L448" s="96" t="s">
        <v>203</v>
      </c>
      <c r="M448" s="96" t="s">
        <v>324</v>
      </c>
      <c r="N448" s="96" t="s">
        <v>345</v>
      </c>
      <c r="O448" s="96" t="s">
        <v>547</v>
      </c>
      <c r="P448" s="96" t="s">
        <v>338</v>
      </c>
      <c r="Q448" s="96" t="s">
        <v>1201</v>
      </c>
      <c r="R448" s="97">
        <v>3215.697979</v>
      </c>
      <c r="S448" s="97">
        <v>3.7589999999999999</v>
      </c>
      <c r="T448" s="97">
        <v>12524</v>
      </c>
      <c r="U448" s="96"/>
      <c r="V448" s="97">
        <v>1513.8771609999999</v>
      </c>
      <c r="W448" s="98">
        <v>7.1000000000000005E-5</v>
      </c>
      <c r="X448" s="98">
        <v>2.709E-3</v>
      </c>
      <c r="Y448" s="98">
        <v>7.8799999999999996E-4</v>
      </c>
      <c r="Z448" s="106"/>
    </row>
    <row r="449" spans="1:26" ht="15" customHeight="1">
      <c r="A449" s="106"/>
      <c r="B449" s="96">
        <v>286</v>
      </c>
      <c r="C449" s="96">
        <v>286</v>
      </c>
      <c r="D449" s="96" t="s">
        <v>2835</v>
      </c>
      <c r="E449" s="96" t="s">
        <v>2836</v>
      </c>
      <c r="F449" s="96" t="s">
        <v>312</v>
      </c>
      <c r="G449" s="96" t="s">
        <v>2837</v>
      </c>
      <c r="H449" s="96" t="s">
        <v>2838</v>
      </c>
      <c r="I449" s="96" t="s">
        <v>320</v>
      </c>
      <c r="J449" s="96" t="s">
        <v>918</v>
      </c>
      <c r="K449" s="96" t="s">
        <v>204</v>
      </c>
      <c r="L449" s="96" t="s">
        <v>223</v>
      </c>
      <c r="M449" s="96" t="s">
        <v>324</v>
      </c>
      <c r="N449" s="96" t="s">
        <v>345</v>
      </c>
      <c r="O449" s="96" t="s">
        <v>542</v>
      </c>
      <c r="P449" s="96" t="s">
        <v>338</v>
      </c>
      <c r="Q449" s="96" t="s">
        <v>1201</v>
      </c>
      <c r="R449" s="97">
        <v>4138.920572</v>
      </c>
      <c r="S449" s="97">
        <v>3.7589999999999999</v>
      </c>
      <c r="T449" s="97">
        <v>7892</v>
      </c>
      <c r="U449" s="96"/>
      <c r="V449" s="97">
        <v>1227.853335</v>
      </c>
      <c r="W449" s="98">
        <v>3.4999999999999997E-5</v>
      </c>
      <c r="X449" s="98">
        <v>2.1979999999999999E-3</v>
      </c>
      <c r="Y449" s="98">
        <v>6.3900000000000003E-4</v>
      </c>
      <c r="Z449" s="106"/>
    </row>
    <row r="450" spans="1:26" ht="15" customHeight="1">
      <c r="A450" s="106"/>
      <c r="B450" s="96">
        <v>286</v>
      </c>
      <c r="C450" s="96">
        <v>286</v>
      </c>
      <c r="D450" s="96" t="s">
        <v>2776</v>
      </c>
      <c r="E450" s="96"/>
      <c r="F450" s="96" t="s">
        <v>312</v>
      </c>
      <c r="G450" s="96" t="s">
        <v>2777</v>
      </c>
      <c r="H450" s="96" t="s">
        <v>2778</v>
      </c>
      <c r="I450" s="96" t="s">
        <v>320</v>
      </c>
      <c r="J450" s="96" t="s">
        <v>918</v>
      </c>
      <c r="K450" s="96" t="s">
        <v>204</v>
      </c>
      <c r="L450" s="96" t="s">
        <v>281</v>
      </c>
      <c r="M450" s="96" t="s">
        <v>324</v>
      </c>
      <c r="N450" s="96" t="s">
        <v>343</v>
      </c>
      <c r="O450" s="96" t="s">
        <v>487</v>
      </c>
      <c r="P450" s="96" t="s">
        <v>338</v>
      </c>
      <c r="Q450" s="96" t="s">
        <v>1201</v>
      </c>
      <c r="R450" s="97">
        <v>8880.3243500000008</v>
      </c>
      <c r="S450" s="97">
        <v>3.7589999999999999</v>
      </c>
      <c r="T450" s="97">
        <v>5091</v>
      </c>
      <c r="U450" s="96"/>
      <c r="V450" s="97">
        <v>1699.433798</v>
      </c>
      <c r="W450" s="98">
        <v>1.7E-5</v>
      </c>
      <c r="X450" s="98">
        <v>3.042E-3</v>
      </c>
      <c r="Y450" s="98">
        <v>8.8400000000000002E-4</v>
      </c>
      <c r="Z450" s="106"/>
    </row>
    <row r="451" spans="1:26" ht="15" customHeight="1">
      <c r="A451" s="106"/>
      <c r="B451" s="96">
        <v>286</v>
      </c>
      <c r="C451" s="96">
        <v>286</v>
      </c>
      <c r="D451" s="96" t="s">
        <v>2431</v>
      </c>
      <c r="E451" s="96">
        <v>520041997</v>
      </c>
      <c r="F451" s="96" t="s">
        <v>308</v>
      </c>
      <c r="G451" s="96" t="s">
        <v>2907</v>
      </c>
      <c r="H451" s="96" t="s">
        <v>2433</v>
      </c>
      <c r="I451" s="96" t="s">
        <v>320</v>
      </c>
      <c r="J451" s="96" t="s">
        <v>918</v>
      </c>
      <c r="K451" s="96" t="s">
        <v>204</v>
      </c>
      <c r="L451" s="96" t="s">
        <v>203</v>
      </c>
      <c r="M451" s="96" t="s">
        <v>324</v>
      </c>
      <c r="N451" s="96" t="s">
        <v>345</v>
      </c>
      <c r="O451" s="96" t="s">
        <v>547</v>
      </c>
      <c r="P451" s="96" t="s">
        <v>338</v>
      </c>
      <c r="Q451" s="96" t="s">
        <v>1201</v>
      </c>
      <c r="R451" s="97">
        <v>6954.2936870000003</v>
      </c>
      <c r="S451" s="97">
        <v>3.7589999999999999</v>
      </c>
      <c r="T451" s="97">
        <v>3931</v>
      </c>
      <c r="U451" s="96"/>
      <c r="V451" s="97">
        <v>1027.610177</v>
      </c>
      <c r="W451" s="98">
        <v>6.2000000000000003E-5</v>
      </c>
      <c r="X451" s="98">
        <v>1.838E-3</v>
      </c>
      <c r="Y451" s="98">
        <v>5.3399999999999997E-4</v>
      </c>
      <c r="Z451" s="106"/>
    </row>
    <row r="452" spans="1:26" ht="15" customHeight="1">
      <c r="A452" s="106"/>
      <c r="B452" s="96">
        <v>286</v>
      </c>
      <c r="C452" s="96">
        <v>286</v>
      </c>
      <c r="D452" s="96" t="s">
        <v>3004</v>
      </c>
      <c r="E452" s="96" t="s">
        <v>3005</v>
      </c>
      <c r="F452" s="96" t="s">
        <v>312</v>
      </c>
      <c r="G452" s="96" t="s">
        <v>3006</v>
      </c>
      <c r="H452" s="96" t="s">
        <v>3007</v>
      </c>
      <c r="I452" s="96" t="s">
        <v>320</v>
      </c>
      <c r="J452" s="96" t="s">
        <v>918</v>
      </c>
      <c r="K452" s="96" t="s">
        <v>204</v>
      </c>
      <c r="L452" s="96" t="s">
        <v>248</v>
      </c>
      <c r="M452" s="96" t="s">
        <v>324</v>
      </c>
      <c r="N452" s="96" t="s">
        <v>343</v>
      </c>
      <c r="O452" s="96" t="s">
        <v>547</v>
      </c>
      <c r="P452" s="96" t="s">
        <v>338</v>
      </c>
      <c r="Q452" s="96" t="s">
        <v>1201</v>
      </c>
      <c r="R452" s="97">
        <v>11295.823535</v>
      </c>
      <c r="S452" s="97">
        <v>3.7589999999999999</v>
      </c>
      <c r="T452" s="97">
        <v>17381</v>
      </c>
      <c r="U452" s="96"/>
      <c r="V452" s="97">
        <v>7380.1465250000001</v>
      </c>
      <c r="W452" s="98">
        <v>0</v>
      </c>
      <c r="X452" s="98">
        <v>1.3211000000000001E-2</v>
      </c>
      <c r="Y452" s="98">
        <v>3.8419999999999999E-3</v>
      </c>
      <c r="Z452" s="106"/>
    </row>
    <row r="453" spans="1:26" ht="15" customHeight="1">
      <c r="A453" s="106"/>
      <c r="B453" s="96">
        <v>286</v>
      </c>
      <c r="C453" s="96">
        <v>286</v>
      </c>
      <c r="D453" s="96" t="s">
        <v>2969</v>
      </c>
      <c r="E453" s="96">
        <v>520015041</v>
      </c>
      <c r="F453" s="96" t="s">
        <v>308</v>
      </c>
      <c r="G453" s="96" t="s">
        <v>2970</v>
      </c>
      <c r="H453" s="96" t="s">
        <v>2971</v>
      </c>
      <c r="I453" s="96" t="s">
        <v>320</v>
      </c>
      <c r="J453" s="96" t="s">
        <v>918</v>
      </c>
      <c r="K453" s="96" t="s">
        <v>204</v>
      </c>
      <c r="L453" s="96" t="s">
        <v>203</v>
      </c>
      <c r="M453" s="96" t="s">
        <v>324</v>
      </c>
      <c r="N453" s="96" t="s">
        <v>343</v>
      </c>
      <c r="O453" s="96" t="s">
        <v>504</v>
      </c>
      <c r="P453" s="96" t="s">
        <v>338</v>
      </c>
      <c r="Q453" s="96" t="s">
        <v>1201</v>
      </c>
      <c r="R453" s="97">
        <v>8426.8708769999994</v>
      </c>
      <c r="S453" s="97">
        <v>3.7589999999999999</v>
      </c>
      <c r="T453" s="97">
        <v>2217</v>
      </c>
      <c r="U453" s="96"/>
      <c r="V453" s="97">
        <v>702.27039100000002</v>
      </c>
      <c r="W453" s="98">
        <v>6.9999999999999994E-5</v>
      </c>
      <c r="X453" s="98">
        <v>1.2570000000000001E-3</v>
      </c>
      <c r="Y453" s="98">
        <v>3.6499999999999998E-4</v>
      </c>
      <c r="Z453" s="106"/>
    </row>
    <row r="454" spans="1:26" ht="15" customHeight="1">
      <c r="A454" s="106"/>
      <c r="B454" s="96">
        <v>286</v>
      </c>
      <c r="C454" s="96">
        <v>286</v>
      </c>
      <c r="D454" s="96" t="s">
        <v>1514</v>
      </c>
      <c r="E454" s="96">
        <v>520043027</v>
      </c>
      <c r="F454" s="96" t="s">
        <v>308</v>
      </c>
      <c r="G454" s="96" t="s">
        <v>2923</v>
      </c>
      <c r="H454" s="96" t="s">
        <v>2479</v>
      </c>
      <c r="I454" s="96" t="s">
        <v>320</v>
      </c>
      <c r="J454" s="96" t="s">
        <v>918</v>
      </c>
      <c r="K454" s="96" t="s">
        <v>204</v>
      </c>
      <c r="L454" s="96" t="s">
        <v>203</v>
      </c>
      <c r="M454" s="96" t="s">
        <v>324</v>
      </c>
      <c r="N454" s="96" t="s">
        <v>345</v>
      </c>
      <c r="O454" s="96" t="s">
        <v>492</v>
      </c>
      <c r="P454" s="96" t="s">
        <v>338</v>
      </c>
      <c r="Q454" s="96" t="s">
        <v>1201</v>
      </c>
      <c r="R454" s="97">
        <v>44.128878</v>
      </c>
      <c r="S454" s="97">
        <v>3.7589999999999999</v>
      </c>
      <c r="T454" s="97">
        <v>17663</v>
      </c>
      <c r="U454" s="96"/>
      <c r="V454" s="97">
        <v>29.299464</v>
      </c>
      <c r="W454" s="98">
        <v>0</v>
      </c>
      <c r="X454" s="98">
        <v>5.1999999999999997E-5</v>
      </c>
      <c r="Y454" s="98">
        <v>1.5E-5</v>
      </c>
      <c r="Z454" s="106"/>
    </row>
    <row r="455" spans="1:26" ht="15" customHeight="1">
      <c r="A455" s="106"/>
      <c r="B455" s="96">
        <v>286</v>
      </c>
      <c r="C455" s="96">
        <v>286</v>
      </c>
      <c r="D455" s="96" t="s">
        <v>1499</v>
      </c>
      <c r="E455" s="96">
        <v>520027830</v>
      </c>
      <c r="F455" s="96" t="s">
        <v>308</v>
      </c>
      <c r="G455" s="96" t="s">
        <v>2912</v>
      </c>
      <c r="H455" s="96" t="s">
        <v>2409</v>
      </c>
      <c r="I455" s="96" t="s">
        <v>320</v>
      </c>
      <c r="J455" s="96" t="s">
        <v>918</v>
      </c>
      <c r="K455" s="96" t="s">
        <v>204</v>
      </c>
      <c r="L455" s="96" t="s">
        <v>203</v>
      </c>
      <c r="M455" s="96" t="s">
        <v>324</v>
      </c>
      <c r="N455" s="96" t="s">
        <v>343</v>
      </c>
      <c r="O455" s="96" t="s">
        <v>487</v>
      </c>
      <c r="P455" s="96" t="s">
        <v>338</v>
      </c>
      <c r="Q455" s="96" t="s">
        <v>1201</v>
      </c>
      <c r="R455" s="97">
        <v>4678.6659760000002</v>
      </c>
      <c r="S455" s="97">
        <v>3.7589999999999999</v>
      </c>
      <c r="T455" s="97">
        <v>428</v>
      </c>
      <c r="U455" s="96"/>
      <c r="V455" s="97">
        <v>75.272811000000004</v>
      </c>
      <c r="W455" s="98">
        <v>3.0000000000000001E-6</v>
      </c>
      <c r="X455" s="98">
        <v>1.34E-4</v>
      </c>
      <c r="Y455" s="98">
        <v>3.8999999999999999E-5</v>
      </c>
      <c r="Z455" s="106"/>
    </row>
    <row r="456" spans="1:26" ht="15" customHeight="1">
      <c r="A456" s="106"/>
      <c r="B456" s="96">
        <v>286</v>
      </c>
      <c r="C456" s="96">
        <v>286</v>
      </c>
      <c r="D456" s="96" t="s">
        <v>2957</v>
      </c>
      <c r="E456" s="96" t="s">
        <v>2958</v>
      </c>
      <c r="F456" s="96" t="s">
        <v>312</v>
      </c>
      <c r="G456" s="96" t="s">
        <v>2959</v>
      </c>
      <c r="H456" s="96" t="s">
        <v>2960</v>
      </c>
      <c r="I456" s="96" t="s">
        <v>320</v>
      </c>
      <c r="J456" s="96" t="s">
        <v>918</v>
      </c>
      <c r="K456" s="96" t="s">
        <v>204</v>
      </c>
      <c r="L456" s="96" t="s">
        <v>223</v>
      </c>
      <c r="M456" s="96" t="s">
        <v>324</v>
      </c>
      <c r="N456" s="96" t="s">
        <v>343</v>
      </c>
      <c r="O456" s="96" t="s">
        <v>490</v>
      </c>
      <c r="P456" s="96" t="s">
        <v>338</v>
      </c>
      <c r="Q456" s="96" t="s">
        <v>1201</v>
      </c>
      <c r="R456" s="97">
        <v>13902.654934</v>
      </c>
      <c r="S456" s="97">
        <v>3.7589999999999999</v>
      </c>
      <c r="T456" s="97">
        <v>4790</v>
      </c>
      <c r="U456" s="96"/>
      <c r="V456" s="97">
        <v>2503.257826</v>
      </c>
      <c r="W456" s="98">
        <v>2.6999999999999999E-5</v>
      </c>
      <c r="X456" s="98">
        <v>4.4799999999999996E-3</v>
      </c>
      <c r="Y456" s="98">
        <v>1.3029999999999999E-3</v>
      </c>
      <c r="Z456" s="106"/>
    </row>
    <row r="457" spans="1:26" ht="15" customHeight="1">
      <c r="A457" s="106"/>
      <c r="B457" s="96">
        <v>286</v>
      </c>
      <c r="C457" s="96">
        <v>286</v>
      </c>
      <c r="D457" s="96" t="s">
        <v>3015</v>
      </c>
      <c r="E457" s="96" t="s">
        <v>3016</v>
      </c>
      <c r="F457" s="96" t="s">
        <v>312</v>
      </c>
      <c r="G457" s="96" t="s">
        <v>3017</v>
      </c>
      <c r="H457" s="96" t="s">
        <v>3018</v>
      </c>
      <c r="I457" s="96" t="s">
        <v>320</v>
      </c>
      <c r="J457" s="96" t="s">
        <v>918</v>
      </c>
      <c r="K457" s="96" t="s">
        <v>204</v>
      </c>
      <c r="L457" s="96" t="s">
        <v>223</v>
      </c>
      <c r="M457" s="96" t="s">
        <v>324</v>
      </c>
      <c r="N457" s="96" t="s">
        <v>343</v>
      </c>
      <c r="O457" s="96" t="s">
        <v>530</v>
      </c>
      <c r="P457" s="96" t="s">
        <v>338</v>
      </c>
      <c r="Q457" s="96" t="s">
        <v>1201</v>
      </c>
      <c r="R457" s="97">
        <v>4987.7792650000001</v>
      </c>
      <c r="S457" s="97">
        <v>3.7589999999999999</v>
      </c>
      <c r="T457" s="97">
        <v>50926</v>
      </c>
      <c r="U457" s="96"/>
      <c r="V457" s="97">
        <v>9548.1474450000005</v>
      </c>
      <c r="W457" s="98">
        <v>5.0000000000000004E-6</v>
      </c>
      <c r="X457" s="98">
        <v>1.7092E-2</v>
      </c>
      <c r="Y457" s="98">
        <v>4.9719999999999999E-3</v>
      </c>
      <c r="Z457" s="106"/>
    </row>
    <row r="458" spans="1:26" ht="15" customHeight="1">
      <c r="A458" s="106"/>
      <c r="B458" s="96">
        <v>286</v>
      </c>
      <c r="C458" s="96">
        <v>286</v>
      </c>
      <c r="D458" s="96" t="s">
        <v>2803</v>
      </c>
      <c r="E458" s="96" t="s">
        <v>2804</v>
      </c>
      <c r="F458" s="96" t="s">
        <v>312</v>
      </c>
      <c r="G458" s="96" t="s">
        <v>2805</v>
      </c>
      <c r="H458" s="96" t="s">
        <v>2806</v>
      </c>
      <c r="I458" s="96" t="s">
        <v>320</v>
      </c>
      <c r="J458" s="96" t="s">
        <v>918</v>
      </c>
      <c r="K458" s="96" t="s">
        <v>204</v>
      </c>
      <c r="L458" s="96" t="s">
        <v>223</v>
      </c>
      <c r="M458" s="96" t="s">
        <v>324</v>
      </c>
      <c r="N458" s="96" t="s">
        <v>343</v>
      </c>
      <c r="O458" s="96" t="s">
        <v>497</v>
      </c>
      <c r="P458" s="96" t="s">
        <v>338</v>
      </c>
      <c r="Q458" s="96" t="s">
        <v>1201</v>
      </c>
      <c r="R458" s="97">
        <v>17987.744414000001</v>
      </c>
      <c r="S458" s="97">
        <v>3.7589999999999999</v>
      </c>
      <c r="T458" s="97">
        <v>9626</v>
      </c>
      <c r="U458" s="96"/>
      <c r="V458" s="97">
        <v>6508.7095419999996</v>
      </c>
      <c r="W458" s="98">
        <v>4.3999999999999999E-5</v>
      </c>
      <c r="X458" s="98">
        <v>1.1651E-2</v>
      </c>
      <c r="Y458" s="98">
        <v>3.3890000000000001E-3</v>
      </c>
      <c r="Z458" s="106"/>
    </row>
    <row r="459" spans="1:26" ht="15" customHeight="1">
      <c r="A459" s="106"/>
      <c r="B459" s="96">
        <v>286</v>
      </c>
      <c r="C459" s="96">
        <v>286</v>
      </c>
      <c r="D459" s="96" t="s">
        <v>2857</v>
      </c>
      <c r="E459" s="96" t="s">
        <v>2858</v>
      </c>
      <c r="F459" s="96" t="s">
        <v>312</v>
      </c>
      <c r="G459" s="96" t="s">
        <v>2859</v>
      </c>
      <c r="H459" s="96" t="s">
        <v>2860</v>
      </c>
      <c r="I459" s="96" t="s">
        <v>320</v>
      </c>
      <c r="J459" s="96" t="s">
        <v>918</v>
      </c>
      <c r="K459" s="96" t="s">
        <v>204</v>
      </c>
      <c r="L459" s="96" t="s">
        <v>223</v>
      </c>
      <c r="M459" s="96" t="s">
        <v>324</v>
      </c>
      <c r="N459" s="96" t="s">
        <v>343</v>
      </c>
      <c r="O459" s="96" t="s">
        <v>487</v>
      </c>
      <c r="P459" s="96" t="s">
        <v>338</v>
      </c>
      <c r="Q459" s="96" t="s">
        <v>1201</v>
      </c>
      <c r="R459" s="97">
        <v>16761.711798</v>
      </c>
      <c r="S459" s="97">
        <v>3.7589999999999999</v>
      </c>
      <c r="T459" s="97">
        <v>7412</v>
      </c>
      <c r="U459" s="96"/>
      <c r="V459" s="97">
        <v>4670.0991969999995</v>
      </c>
      <c r="W459" s="98">
        <v>9.1000000000000003E-5</v>
      </c>
      <c r="X459" s="98">
        <v>8.3599999999999994E-3</v>
      </c>
      <c r="Y459" s="98">
        <v>2.431E-3</v>
      </c>
      <c r="Z459" s="106"/>
    </row>
    <row r="460" spans="1:26" ht="15" customHeight="1">
      <c r="A460" s="106"/>
      <c r="B460" s="96">
        <v>286</v>
      </c>
      <c r="C460" s="96">
        <v>286</v>
      </c>
      <c r="D460" s="96" t="s">
        <v>2972</v>
      </c>
      <c r="E460" s="96" t="s">
        <v>2973</v>
      </c>
      <c r="F460" s="96" t="s">
        <v>312</v>
      </c>
      <c r="G460" s="96" t="s">
        <v>2974</v>
      </c>
      <c r="H460" s="96" t="s">
        <v>2975</v>
      </c>
      <c r="I460" s="96" t="s">
        <v>320</v>
      </c>
      <c r="J460" s="96" t="s">
        <v>918</v>
      </c>
      <c r="K460" s="96" t="s">
        <v>204</v>
      </c>
      <c r="L460" s="96" t="s">
        <v>223</v>
      </c>
      <c r="M460" s="96" t="s">
        <v>324</v>
      </c>
      <c r="N460" s="96" t="s">
        <v>345</v>
      </c>
      <c r="O460" s="96" t="s">
        <v>543</v>
      </c>
      <c r="P460" s="96" t="s">
        <v>338</v>
      </c>
      <c r="Q460" s="96" t="s">
        <v>1201</v>
      </c>
      <c r="R460" s="97">
        <v>3371.4496650000001</v>
      </c>
      <c r="S460" s="97">
        <v>3.7589999999999999</v>
      </c>
      <c r="T460" s="97">
        <v>55554</v>
      </c>
      <c r="U460" s="96"/>
      <c r="V460" s="97">
        <v>7040.5135780000001</v>
      </c>
      <c r="W460" s="98">
        <v>6.9999999999999999E-6</v>
      </c>
      <c r="X460" s="98">
        <v>1.2603E-2</v>
      </c>
      <c r="Y460" s="98">
        <v>3.666E-3</v>
      </c>
      <c r="Z460" s="106"/>
    </row>
    <row r="461" spans="1:26" ht="15" customHeight="1">
      <c r="A461" s="106"/>
      <c r="B461" s="96">
        <v>286</v>
      </c>
      <c r="C461" s="96">
        <v>286</v>
      </c>
      <c r="D461" s="96" t="s">
        <v>2965</v>
      </c>
      <c r="E461" s="96" t="s">
        <v>2966</v>
      </c>
      <c r="F461" s="96" t="s">
        <v>312</v>
      </c>
      <c r="G461" s="96" t="s">
        <v>2967</v>
      </c>
      <c r="H461" s="96" t="s">
        <v>2968</v>
      </c>
      <c r="I461" s="96" t="s">
        <v>320</v>
      </c>
      <c r="J461" s="96" t="s">
        <v>918</v>
      </c>
      <c r="K461" s="96" t="s">
        <v>204</v>
      </c>
      <c r="L461" s="96" t="s">
        <v>223</v>
      </c>
      <c r="M461" s="96" t="s">
        <v>324</v>
      </c>
      <c r="N461" s="96" t="s">
        <v>343</v>
      </c>
      <c r="O461" s="96" t="s">
        <v>560</v>
      </c>
      <c r="P461" s="96" t="s">
        <v>338</v>
      </c>
      <c r="Q461" s="96" t="s">
        <v>1201</v>
      </c>
      <c r="R461" s="97">
        <v>9438.7800040000002</v>
      </c>
      <c r="S461" s="97">
        <v>3.7589999999999999</v>
      </c>
      <c r="T461" s="97">
        <v>11231</v>
      </c>
      <c r="U461" s="96"/>
      <c r="V461" s="97">
        <v>3984.800808</v>
      </c>
      <c r="W461" s="98">
        <v>1.0000000000000001E-5</v>
      </c>
      <c r="X461" s="98">
        <v>7.1329999999999996E-3</v>
      </c>
      <c r="Y461" s="98">
        <v>2.075E-3</v>
      </c>
      <c r="Z461" s="106"/>
    </row>
    <row r="462" spans="1:26" ht="15" customHeight="1">
      <c r="A462" s="106"/>
      <c r="B462" s="96">
        <v>286</v>
      </c>
      <c r="C462" s="96">
        <v>286</v>
      </c>
      <c r="D462" s="96" t="s">
        <v>2796</v>
      </c>
      <c r="E462" s="96">
        <v>513870683</v>
      </c>
      <c r="F462" s="96" t="s">
        <v>308</v>
      </c>
      <c r="G462" s="96" t="s">
        <v>2797</v>
      </c>
      <c r="H462" s="96" t="s">
        <v>2798</v>
      </c>
      <c r="I462" s="96" t="s">
        <v>320</v>
      </c>
      <c r="J462" s="96" t="s">
        <v>918</v>
      </c>
      <c r="K462" s="96" t="s">
        <v>204</v>
      </c>
      <c r="L462" s="96" t="s">
        <v>203</v>
      </c>
      <c r="M462" s="96" t="s">
        <v>324</v>
      </c>
      <c r="N462" s="96" t="s">
        <v>345</v>
      </c>
      <c r="O462" s="96" t="s">
        <v>552</v>
      </c>
      <c r="P462" s="96" t="s">
        <v>338</v>
      </c>
      <c r="Q462" s="96" t="s">
        <v>1201</v>
      </c>
      <c r="R462" s="97">
        <v>25348.141731</v>
      </c>
      <c r="S462" s="97">
        <v>3.7589999999999999</v>
      </c>
      <c r="T462" s="97">
        <v>344</v>
      </c>
      <c r="U462" s="96"/>
      <c r="V462" s="97">
        <v>327.77580499999999</v>
      </c>
      <c r="W462" s="98">
        <v>8.7000000000000001E-5</v>
      </c>
      <c r="X462" s="98">
        <v>5.8600000000000004E-4</v>
      </c>
      <c r="Y462" s="98">
        <v>1.7000000000000001E-4</v>
      </c>
      <c r="Z462" s="106"/>
    </row>
    <row r="463" spans="1:26" ht="15" customHeight="1">
      <c r="A463" s="106"/>
      <c r="B463" s="96">
        <v>286</v>
      </c>
      <c r="C463" s="96">
        <v>9803</v>
      </c>
      <c r="D463" s="96" t="s">
        <v>1735</v>
      </c>
      <c r="E463" s="96">
        <v>550010003</v>
      </c>
      <c r="F463" s="96" t="s">
        <v>309</v>
      </c>
      <c r="G463" s="96" t="s">
        <v>2667</v>
      </c>
      <c r="H463" s="96" t="s">
        <v>2668</v>
      </c>
      <c r="I463" s="96" t="s">
        <v>320</v>
      </c>
      <c r="J463" s="96" t="s">
        <v>959</v>
      </c>
      <c r="K463" s="96" t="s">
        <v>203</v>
      </c>
      <c r="L463" s="96" t="s">
        <v>203</v>
      </c>
      <c r="M463" s="96" t="s">
        <v>324</v>
      </c>
      <c r="N463" s="96" t="s">
        <v>339</v>
      </c>
      <c r="O463" s="96" t="s">
        <v>453</v>
      </c>
      <c r="P463" s="96" t="s">
        <v>338</v>
      </c>
      <c r="Q463" s="96" t="s">
        <v>1200</v>
      </c>
      <c r="R463" s="97">
        <v>7651.0674200000003</v>
      </c>
      <c r="S463" s="97">
        <v>1</v>
      </c>
      <c r="T463" s="97">
        <v>147.19999999999999</v>
      </c>
      <c r="U463" s="96"/>
      <c r="V463" s="97">
        <v>11.262371</v>
      </c>
      <c r="W463" s="98">
        <v>1.9999999999999999E-6</v>
      </c>
      <c r="X463" s="98">
        <v>4.9240000000000004E-3</v>
      </c>
      <c r="Y463" s="98">
        <v>6.7500000000000004E-4</v>
      </c>
      <c r="Z463" s="106"/>
    </row>
    <row r="464" spans="1:26" ht="15" customHeight="1">
      <c r="A464" s="106"/>
      <c r="B464" s="96">
        <v>286</v>
      </c>
      <c r="C464" s="96">
        <v>9803</v>
      </c>
      <c r="D464" s="96" t="s">
        <v>1862</v>
      </c>
      <c r="E464" s="96">
        <v>520036120</v>
      </c>
      <c r="F464" s="96" t="s">
        <v>308</v>
      </c>
      <c r="G464" s="96" t="s">
        <v>2473</v>
      </c>
      <c r="H464" s="96" t="s">
        <v>2474</v>
      </c>
      <c r="I464" s="96" t="s">
        <v>320</v>
      </c>
      <c r="J464" s="96" t="s">
        <v>918</v>
      </c>
      <c r="K464" s="96" t="s">
        <v>203</v>
      </c>
      <c r="L464" s="96" t="s">
        <v>203</v>
      </c>
      <c r="M464" s="96" t="s">
        <v>324</v>
      </c>
      <c r="N464" s="96" t="s">
        <v>339</v>
      </c>
      <c r="O464" s="96" t="s">
        <v>444</v>
      </c>
      <c r="P464" s="96" t="s">
        <v>338</v>
      </c>
      <c r="Q464" s="96" t="s">
        <v>1200</v>
      </c>
      <c r="R464" s="97">
        <v>254.21808300000001</v>
      </c>
      <c r="S464" s="97">
        <v>1</v>
      </c>
      <c r="T464" s="97">
        <v>5291</v>
      </c>
      <c r="U464" s="96"/>
      <c r="V464" s="97">
        <v>13.450678</v>
      </c>
      <c r="W464" s="98">
        <v>3.0000000000000001E-6</v>
      </c>
      <c r="X464" s="98">
        <v>5.8799999999999998E-3</v>
      </c>
      <c r="Y464" s="98">
        <v>8.0599999999999997E-4</v>
      </c>
      <c r="Z464" s="106"/>
    </row>
    <row r="465" spans="1:26" ht="15" customHeight="1">
      <c r="A465" s="106"/>
      <c r="B465" s="96">
        <v>286</v>
      </c>
      <c r="C465" s="96">
        <v>9803</v>
      </c>
      <c r="D465" s="96" t="s">
        <v>2599</v>
      </c>
      <c r="E465" s="96">
        <v>512714494</v>
      </c>
      <c r="F465" s="96" t="s">
        <v>308</v>
      </c>
      <c r="G465" s="96" t="s">
        <v>2600</v>
      </c>
      <c r="H465" s="96" t="s">
        <v>2601</v>
      </c>
      <c r="I465" s="96" t="s">
        <v>320</v>
      </c>
      <c r="J465" s="96" t="s">
        <v>918</v>
      </c>
      <c r="K465" s="96" t="s">
        <v>203</v>
      </c>
      <c r="L465" s="96" t="s">
        <v>203</v>
      </c>
      <c r="M465" s="96" t="s">
        <v>324</v>
      </c>
      <c r="N465" s="96" t="s">
        <v>339</v>
      </c>
      <c r="O465" s="96" t="s">
        <v>462</v>
      </c>
      <c r="P465" s="96" t="s">
        <v>338</v>
      </c>
      <c r="Q465" s="96" t="s">
        <v>1200</v>
      </c>
      <c r="R465" s="97">
        <v>564.57167900000002</v>
      </c>
      <c r="S465" s="97">
        <v>1</v>
      </c>
      <c r="T465" s="97">
        <v>488.3</v>
      </c>
      <c r="U465" s="96"/>
      <c r="V465" s="97">
        <v>2.7568030000000001</v>
      </c>
      <c r="W465" s="98">
        <v>9.9999999999999995E-7</v>
      </c>
      <c r="X465" s="98">
        <v>1.2049999999999999E-3</v>
      </c>
      <c r="Y465" s="98">
        <v>1.65E-4</v>
      </c>
      <c r="Z465" s="106"/>
    </row>
    <row r="466" spans="1:26" ht="15" customHeight="1">
      <c r="A466" s="106"/>
      <c r="B466" s="96">
        <v>286</v>
      </c>
      <c r="C466" s="96">
        <v>9803</v>
      </c>
      <c r="D466" s="96" t="s">
        <v>2452</v>
      </c>
      <c r="E466" s="96">
        <v>520033473</v>
      </c>
      <c r="F466" s="96" t="s">
        <v>308</v>
      </c>
      <c r="G466" s="96" t="s">
        <v>2453</v>
      </c>
      <c r="H466" s="96" t="s">
        <v>2454</v>
      </c>
      <c r="I466" s="96" t="s">
        <v>320</v>
      </c>
      <c r="J466" s="96" t="s">
        <v>918</v>
      </c>
      <c r="K466" s="96" t="s">
        <v>203</v>
      </c>
      <c r="L466" s="96" t="s">
        <v>203</v>
      </c>
      <c r="M466" s="96" t="s">
        <v>324</v>
      </c>
      <c r="N466" s="96" t="s">
        <v>339</v>
      </c>
      <c r="O466" s="96" t="s">
        <v>450</v>
      </c>
      <c r="P466" s="96" t="s">
        <v>337</v>
      </c>
      <c r="Q466" s="96" t="s">
        <v>1200</v>
      </c>
      <c r="R466" s="97">
        <v>21.253118000000001</v>
      </c>
      <c r="S466" s="97">
        <v>1</v>
      </c>
      <c r="T466" s="97">
        <v>9138</v>
      </c>
      <c r="U466" s="96"/>
      <c r="V466" s="97">
        <v>1.9421090000000001</v>
      </c>
      <c r="W466" s="98">
        <v>3.9999999999999998E-6</v>
      </c>
      <c r="X466" s="98">
        <v>8.4900000000000004E-4</v>
      </c>
      <c r="Y466" s="98">
        <v>1.16E-4</v>
      </c>
      <c r="Z466" s="106"/>
    </row>
    <row r="467" spans="1:26" ht="15" customHeight="1">
      <c r="A467" s="106"/>
      <c r="B467" s="96">
        <v>286</v>
      </c>
      <c r="C467" s="96">
        <v>9803</v>
      </c>
      <c r="D467" s="96" t="s">
        <v>1302</v>
      </c>
      <c r="E467" s="96">
        <v>513623314</v>
      </c>
      <c r="F467" s="96" t="s">
        <v>308</v>
      </c>
      <c r="G467" s="96" t="s">
        <v>2711</v>
      </c>
      <c r="H467" s="96" t="s">
        <v>2712</v>
      </c>
      <c r="I467" s="96" t="s">
        <v>320</v>
      </c>
      <c r="J467" s="96" t="s">
        <v>918</v>
      </c>
      <c r="K467" s="96" t="s">
        <v>203</v>
      </c>
      <c r="L467" s="96" t="s">
        <v>203</v>
      </c>
      <c r="M467" s="96" t="s">
        <v>324</v>
      </c>
      <c r="N467" s="96" t="s">
        <v>339</v>
      </c>
      <c r="O467" s="96" t="s">
        <v>463</v>
      </c>
      <c r="P467" s="96" t="s">
        <v>337</v>
      </c>
      <c r="Q467" s="96" t="s">
        <v>1200</v>
      </c>
      <c r="R467" s="97">
        <v>93.576992000000004</v>
      </c>
      <c r="S467" s="97">
        <v>1</v>
      </c>
      <c r="T467" s="97">
        <v>35740</v>
      </c>
      <c r="U467" s="96"/>
      <c r="V467" s="97">
        <v>33.444415999999997</v>
      </c>
      <c r="W467" s="98">
        <v>3.0000000000000001E-6</v>
      </c>
      <c r="X467" s="98">
        <v>1.4623000000000001E-2</v>
      </c>
      <c r="Y467" s="98">
        <v>2.0049999999999998E-3</v>
      </c>
      <c r="Z467" s="106"/>
    </row>
    <row r="468" spans="1:26" ht="15" customHeight="1">
      <c r="A468" s="106"/>
      <c r="B468" s="96">
        <v>286</v>
      </c>
      <c r="C468" s="96">
        <v>9803</v>
      </c>
      <c r="D468" s="96" t="s">
        <v>1373</v>
      </c>
      <c r="E468" s="96">
        <v>1476</v>
      </c>
      <c r="F468" s="96" t="s">
        <v>80</v>
      </c>
      <c r="G468" s="96" t="s">
        <v>2622</v>
      </c>
      <c r="H468" s="96" t="s">
        <v>2623</v>
      </c>
      <c r="I468" s="96" t="s">
        <v>320</v>
      </c>
      <c r="J468" s="96" t="s">
        <v>918</v>
      </c>
      <c r="K468" s="96" t="s">
        <v>203</v>
      </c>
      <c r="L468" s="96" t="s">
        <v>203</v>
      </c>
      <c r="M468" s="96" t="s">
        <v>324</v>
      </c>
      <c r="N468" s="96" t="s">
        <v>339</v>
      </c>
      <c r="O468" s="96" t="s">
        <v>446</v>
      </c>
      <c r="P468" s="96" t="s">
        <v>338</v>
      </c>
      <c r="Q468" s="96" t="s">
        <v>1200</v>
      </c>
      <c r="R468" s="97">
        <v>2.1298000000000001E-2</v>
      </c>
      <c r="S468" s="97">
        <v>1</v>
      </c>
      <c r="T468" s="97">
        <v>119.3</v>
      </c>
      <c r="U468" s="96"/>
      <c r="V468" s="97">
        <v>2.5000000000000001E-5</v>
      </c>
      <c r="W468" s="98">
        <v>0</v>
      </c>
      <c r="X468" s="98">
        <v>0</v>
      </c>
      <c r="Y468" s="98">
        <v>0</v>
      </c>
      <c r="Z468" s="106"/>
    </row>
    <row r="469" spans="1:26" ht="15" customHeight="1">
      <c r="A469" s="106"/>
      <c r="B469" s="96">
        <v>286</v>
      </c>
      <c r="C469" s="96">
        <v>9803</v>
      </c>
      <c r="D469" s="96" t="s">
        <v>2737</v>
      </c>
      <c r="E469" s="96">
        <v>515001659</v>
      </c>
      <c r="F469" s="96" t="s">
        <v>308</v>
      </c>
      <c r="G469" s="96" t="s">
        <v>2738</v>
      </c>
      <c r="H469" s="96" t="s">
        <v>2739</v>
      </c>
      <c r="I469" s="96" t="s">
        <v>320</v>
      </c>
      <c r="J469" s="96" t="s">
        <v>918</v>
      </c>
      <c r="K469" s="96" t="s">
        <v>203</v>
      </c>
      <c r="L469" s="96" t="s">
        <v>203</v>
      </c>
      <c r="M469" s="96" t="s">
        <v>324</v>
      </c>
      <c r="N469" s="96" t="s">
        <v>339</v>
      </c>
      <c r="O469" s="96" t="s">
        <v>462</v>
      </c>
      <c r="P469" s="96" t="s">
        <v>338</v>
      </c>
      <c r="Q469" s="96" t="s">
        <v>1200</v>
      </c>
      <c r="R469" s="97">
        <v>299.55618399999997</v>
      </c>
      <c r="S469" s="97">
        <v>1</v>
      </c>
      <c r="T469" s="97">
        <v>992.1</v>
      </c>
      <c r="U469" s="96"/>
      <c r="V469" s="97">
        <v>2.9718960000000001</v>
      </c>
      <c r="W469" s="98">
        <v>1.9999999999999999E-6</v>
      </c>
      <c r="X469" s="98">
        <v>1.299E-3</v>
      </c>
      <c r="Y469" s="98">
        <v>1.7799999999999999E-4</v>
      </c>
      <c r="Z469" s="106"/>
    </row>
    <row r="470" spans="1:26" ht="15" customHeight="1">
      <c r="A470" s="106"/>
      <c r="B470" s="96">
        <v>286</v>
      </c>
      <c r="C470" s="96">
        <v>9803</v>
      </c>
      <c r="D470" s="96" t="s">
        <v>1432</v>
      </c>
      <c r="E470" s="96">
        <v>515327120</v>
      </c>
      <c r="F470" s="96" t="s">
        <v>308</v>
      </c>
      <c r="G470" s="96" t="s">
        <v>2617</v>
      </c>
      <c r="H470" s="96" t="s">
        <v>2618</v>
      </c>
      <c r="I470" s="96" t="s">
        <v>320</v>
      </c>
      <c r="J470" s="96" t="s">
        <v>918</v>
      </c>
      <c r="K470" s="96" t="s">
        <v>203</v>
      </c>
      <c r="L470" s="96" t="s">
        <v>203</v>
      </c>
      <c r="M470" s="96" t="s">
        <v>324</v>
      </c>
      <c r="N470" s="96" t="s">
        <v>339</v>
      </c>
      <c r="O470" s="96" t="s">
        <v>463</v>
      </c>
      <c r="P470" s="96" t="s">
        <v>337</v>
      </c>
      <c r="Q470" s="96" t="s">
        <v>1200</v>
      </c>
      <c r="R470" s="97">
        <v>4119.7271650000002</v>
      </c>
      <c r="S470" s="97">
        <v>1</v>
      </c>
      <c r="T470" s="97">
        <v>159.4</v>
      </c>
      <c r="U470" s="96"/>
      <c r="V470" s="97">
        <v>6.5668449999999998</v>
      </c>
      <c r="W470" s="98">
        <v>5.0000000000000004E-6</v>
      </c>
      <c r="X470" s="98">
        <v>2.8709999999999999E-3</v>
      </c>
      <c r="Y470" s="98">
        <v>3.9300000000000001E-4</v>
      </c>
      <c r="Z470" s="106"/>
    </row>
    <row r="471" spans="1:26" ht="15" customHeight="1">
      <c r="A471" s="106"/>
      <c r="B471" s="96">
        <v>286</v>
      </c>
      <c r="C471" s="96">
        <v>9803</v>
      </c>
      <c r="D471" s="96" t="s">
        <v>2748</v>
      </c>
      <c r="E471" s="96">
        <v>512467994</v>
      </c>
      <c r="F471" s="96" t="s">
        <v>308</v>
      </c>
      <c r="G471" s="96" t="s">
        <v>2749</v>
      </c>
      <c r="H471" s="96" t="s">
        <v>2750</v>
      </c>
      <c r="I471" s="96" t="s">
        <v>320</v>
      </c>
      <c r="J471" s="96" t="s">
        <v>918</v>
      </c>
      <c r="K471" s="96" t="s">
        <v>203</v>
      </c>
      <c r="L471" s="96" t="s">
        <v>203</v>
      </c>
      <c r="M471" s="96" t="s">
        <v>324</v>
      </c>
      <c r="N471" s="96" t="s">
        <v>339</v>
      </c>
      <c r="O471" s="96" t="s">
        <v>446</v>
      </c>
      <c r="P471" s="96" t="s">
        <v>337</v>
      </c>
      <c r="Q471" s="96" t="s">
        <v>1200</v>
      </c>
      <c r="R471" s="97">
        <v>116.456942</v>
      </c>
      <c r="S471" s="97">
        <v>1</v>
      </c>
      <c r="T471" s="97">
        <v>2906</v>
      </c>
      <c r="U471" s="96"/>
      <c r="V471" s="97">
        <v>3.3842379999999999</v>
      </c>
      <c r="W471" s="98">
        <v>3.0000000000000001E-6</v>
      </c>
      <c r="X471" s="98">
        <v>1.4790000000000001E-3</v>
      </c>
      <c r="Y471" s="98">
        <v>2.02E-4</v>
      </c>
      <c r="Z471" s="106"/>
    </row>
    <row r="472" spans="1:26" ht="15" customHeight="1">
      <c r="A472" s="106"/>
      <c r="B472" s="96">
        <v>286</v>
      </c>
      <c r="C472" s="96">
        <v>9803</v>
      </c>
      <c r="D472" s="96" t="s">
        <v>1771</v>
      </c>
      <c r="E472" s="96">
        <v>515364891</v>
      </c>
      <c r="F472" s="96" t="s">
        <v>308</v>
      </c>
      <c r="G472" s="96" t="s">
        <v>2537</v>
      </c>
      <c r="H472" s="96" t="s">
        <v>2538</v>
      </c>
      <c r="I472" s="96" t="s">
        <v>320</v>
      </c>
      <c r="J472" s="96" t="s">
        <v>918</v>
      </c>
      <c r="K472" s="96" t="s">
        <v>203</v>
      </c>
      <c r="L472" s="96" t="s">
        <v>203</v>
      </c>
      <c r="M472" s="96" t="s">
        <v>324</v>
      </c>
      <c r="N472" s="96" t="s">
        <v>339</v>
      </c>
      <c r="O472" s="96" t="s">
        <v>440</v>
      </c>
      <c r="P472" s="96" t="s">
        <v>338</v>
      </c>
      <c r="Q472" s="96" t="s">
        <v>1200</v>
      </c>
      <c r="R472" s="97">
        <v>4.279344</v>
      </c>
      <c r="S472" s="97">
        <v>1</v>
      </c>
      <c r="T472" s="97">
        <v>995.7</v>
      </c>
      <c r="U472" s="96"/>
      <c r="V472" s="97">
        <v>4.2609000000000001E-2</v>
      </c>
      <c r="W472" s="98">
        <v>0</v>
      </c>
      <c r="X472" s="98">
        <v>1.8E-5</v>
      </c>
      <c r="Y472" s="98">
        <v>1.9999999999999999E-6</v>
      </c>
      <c r="Z472" s="106"/>
    </row>
    <row r="473" spans="1:26" ht="15" customHeight="1">
      <c r="A473" s="106"/>
      <c r="B473" s="96">
        <v>286</v>
      </c>
      <c r="C473" s="96">
        <v>9803</v>
      </c>
      <c r="D473" s="96" t="s">
        <v>1565</v>
      </c>
      <c r="E473" s="96">
        <v>520033234</v>
      </c>
      <c r="F473" s="96" t="s">
        <v>308</v>
      </c>
      <c r="G473" s="96" t="s">
        <v>2594</v>
      </c>
      <c r="H473" s="96" t="s">
        <v>2595</v>
      </c>
      <c r="I473" s="96" t="s">
        <v>320</v>
      </c>
      <c r="J473" s="96" t="s">
        <v>918</v>
      </c>
      <c r="K473" s="96" t="s">
        <v>203</v>
      </c>
      <c r="L473" s="96" t="s">
        <v>203</v>
      </c>
      <c r="M473" s="96" t="s">
        <v>324</v>
      </c>
      <c r="N473" s="96" t="s">
        <v>339</v>
      </c>
      <c r="O473" s="96" t="s">
        <v>464</v>
      </c>
      <c r="P473" s="96" t="s">
        <v>337</v>
      </c>
      <c r="Q473" s="96" t="s">
        <v>1200</v>
      </c>
      <c r="R473" s="97">
        <v>1140.506541</v>
      </c>
      <c r="S473" s="97">
        <v>1</v>
      </c>
      <c r="T473" s="97">
        <v>881.8</v>
      </c>
      <c r="U473" s="96"/>
      <c r="V473" s="97">
        <v>10.056984999999999</v>
      </c>
      <c r="W473" s="98">
        <v>6.0000000000000002E-6</v>
      </c>
      <c r="X473" s="98">
        <v>4.3959999999999997E-3</v>
      </c>
      <c r="Y473" s="98">
        <v>6.02E-4</v>
      </c>
      <c r="Z473" s="106"/>
    </row>
    <row r="474" spans="1:26" ht="15" customHeight="1">
      <c r="A474" s="106"/>
      <c r="B474" s="96">
        <v>286</v>
      </c>
      <c r="C474" s="96">
        <v>9803</v>
      </c>
      <c r="D474" s="96" t="s">
        <v>2685</v>
      </c>
      <c r="E474" s="96">
        <v>520029984</v>
      </c>
      <c r="F474" s="96" t="s">
        <v>308</v>
      </c>
      <c r="G474" s="96" t="s">
        <v>2686</v>
      </c>
      <c r="H474" s="96" t="s">
        <v>2687</v>
      </c>
      <c r="I474" s="96" t="s">
        <v>320</v>
      </c>
      <c r="J474" s="96" t="s">
        <v>918</v>
      </c>
      <c r="K474" s="96" t="s">
        <v>203</v>
      </c>
      <c r="L474" s="96" t="s">
        <v>203</v>
      </c>
      <c r="M474" s="96" t="s">
        <v>324</v>
      </c>
      <c r="N474" s="96" t="s">
        <v>339</v>
      </c>
      <c r="O474" s="96" t="s">
        <v>444</v>
      </c>
      <c r="P474" s="96" t="s">
        <v>338</v>
      </c>
      <c r="Q474" s="96" t="s">
        <v>1200</v>
      </c>
      <c r="R474" s="97">
        <v>2039.5973300000001</v>
      </c>
      <c r="S474" s="97">
        <v>1</v>
      </c>
      <c r="T474" s="97">
        <v>422.2</v>
      </c>
      <c r="U474" s="96"/>
      <c r="V474" s="97">
        <v>8.6111789999999999</v>
      </c>
      <c r="W474" s="98">
        <v>9.9999999999999995E-7</v>
      </c>
      <c r="X474" s="98">
        <v>3.7650000000000001E-3</v>
      </c>
      <c r="Y474" s="98">
        <v>5.1599999999999997E-4</v>
      </c>
      <c r="Z474" s="106"/>
    </row>
    <row r="475" spans="1:26" ht="15" customHeight="1">
      <c r="A475" s="106"/>
      <c r="B475" s="96">
        <v>286</v>
      </c>
      <c r="C475" s="96">
        <v>9803</v>
      </c>
      <c r="D475" s="96" t="s">
        <v>2464</v>
      </c>
      <c r="E475" s="96">
        <v>512051699</v>
      </c>
      <c r="F475" s="96" t="s">
        <v>308</v>
      </c>
      <c r="G475" s="96" t="s">
        <v>2465</v>
      </c>
      <c r="H475" s="96" t="s">
        <v>2466</v>
      </c>
      <c r="I475" s="96" t="s">
        <v>320</v>
      </c>
      <c r="J475" s="96" t="s">
        <v>918</v>
      </c>
      <c r="K475" s="96" t="s">
        <v>203</v>
      </c>
      <c r="L475" s="96" t="s">
        <v>203</v>
      </c>
      <c r="M475" s="96" t="s">
        <v>324</v>
      </c>
      <c r="N475" s="96" t="s">
        <v>339</v>
      </c>
      <c r="O475" s="96" t="s">
        <v>469</v>
      </c>
      <c r="P475" s="96" t="s">
        <v>338</v>
      </c>
      <c r="Q475" s="96" t="s">
        <v>1200</v>
      </c>
      <c r="R475" s="97">
        <v>111.34753600000001</v>
      </c>
      <c r="S475" s="97">
        <v>1</v>
      </c>
      <c r="T475" s="97">
        <v>786.8</v>
      </c>
      <c r="U475" s="96"/>
      <c r="V475" s="97">
        <v>0.87608200000000003</v>
      </c>
      <c r="W475" s="98">
        <v>1.9999999999999999E-6</v>
      </c>
      <c r="X475" s="98">
        <v>3.8299999999999999E-4</v>
      </c>
      <c r="Y475" s="98">
        <v>5.1999999999999997E-5</v>
      </c>
      <c r="Z475" s="106"/>
    </row>
    <row r="476" spans="1:26" ht="15" customHeight="1">
      <c r="A476" s="106"/>
      <c r="B476" s="96">
        <v>286</v>
      </c>
      <c r="C476" s="96">
        <v>9803</v>
      </c>
      <c r="D476" s="96" t="s">
        <v>2587</v>
      </c>
      <c r="E476" s="96">
        <v>723</v>
      </c>
      <c r="F476" s="96" t="s">
        <v>80</v>
      </c>
      <c r="G476" s="96" t="s">
        <v>2588</v>
      </c>
      <c r="H476" s="96" t="s">
        <v>2589</v>
      </c>
      <c r="I476" s="96" t="s">
        <v>320</v>
      </c>
      <c r="J476" s="96" t="s">
        <v>918</v>
      </c>
      <c r="K476" s="96" t="s">
        <v>203</v>
      </c>
      <c r="L476" s="96" t="s">
        <v>203</v>
      </c>
      <c r="M476" s="96" t="s">
        <v>324</v>
      </c>
      <c r="N476" s="96" t="s">
        <v>339</v>
      </c>
      <c r="O476" s="96" t="s">
        <v>464</v>
      </c>
      <c r="P476" s="96" t="s">
        <v>338</v>
      </c>
      <c r="Q476" s="96" t="s">
        <v>1200</v>
      </c>
      <c r="R476" s="97">
        <v>56.524495999999999</v>
      </c>
      <c r="S476" s="97">
        <v>1</v>
      </c>
      <c r="T476" s="97">
        <v>704.3</v>
      </c>
      <c r="U476" s="96"/>
      <c r="V476" s="97">
        <v>0.39810099999999998</v>
      </c>
      <c r="W476" s="98">
        <v>0</v>
      </c>
      <c r="X476" s="98">
        <v>1.74E-4</v>
      </c>
      <c r="Y476" s="98">
        <v>2.3E-5</v>
      </c>
      <c r="Z476" s="106"/>
    </row>
    <row r="477" spans="1:26" ht="15" customHeight="1">
      <c r="A477" s="106"/>
      <c r="B477" s="96">
        <v>286</v>
      </c>
      <c r="C477" s="96">
        <v>9803</v>
      </c>
      <c r="D477" s="96" t="s">
        <v>2520</v>
      </c>
      <c r="E477" s="96">
        <v>516084753</v>
      </c>
      <c r="F477" s="96" t="s">
        <v>308</v>
      </c>
      <c r="G477" s="96" t="s">
        <v>2521</v>
      </c>
      <c r="H477" s="96" t="s">
        <v>2522</v>
      </c>
      <c r="I477" s="96" t="s">
        <v>320</v>
      </c>
      <c r="J477" s="96" t="s">
        <v>918</v>
      </c>
      <c r="K477" s="96" t="s">
        <v>203</v>
      </c>
      <c r="L477" s="96" t="s">
        <v>203</v>
      </c>
      <c r="M477" s="96" t="s">
        <v>324</v>
      </c>
      <c r="N477" s="96" t="s">
        <v>339</v>
      </c>
      <c r="O477" s="96" t="s">
        <v>450</v>
      </c>
      <c r="P477" s="96" t="s">
        <v>338</v>
      </c>
      <c r="Q477" s="96" t="s">
        <v>1200</v>
      </c>
      <c r="R477" s="97">
        <v>47.548355000000001</v>
      </c>
      <c r="S477" s="97">
        <v>1</v>
      </c>
      <c r="T477" s="97">
        <v>5496</v>
      </c>
      <c r="U477" s="96"/>
      <c r="V477" s="97">
        <v>2.6132569999999999</v>
      </c>
      <c r="W477" s="98">
        <v>9.9999999999999995E-7</v>
      </c>
      <c r="X477" s="98">
        <v>1.142E-3</v>
      </c>
      <c r="Y477" s="98">
        <v>1.56E-4</v>
      </c>
      <c r="Z477" s="106"/>
    </row>
    <row r="478" spans="1:26" ht="15" customHeight="1">
      <c r="A478" s="106"/>
      <c r="B478" s="96">
        <v>286</v>
      </c>
      <c r="C478" s="96">
        <v>9803</v>
      </c>
      <c r="D478" s="96" t="s">
        <v>1445</v>
      </c>
      <c r="E478" s="96">
        <v>510381601</v>
      </c>
      <c r="F478" s="96" t="s">
        <v>308</v>
      </c>
      <c r="G478" s="96" t="s">
        <v>2585</v>
      </c>
      <c r="H478" s="96" t="s">
        <v>2586</v>
      </c>
      <c r="I478" s="96" t="s">
        <v>320</v>
      </c>
      <c r="J478" s="96" t="s">
        <v>918</v>
      </c>
      <c r="K478" s="96" t="s">
        <v>203</v>
      </c>
      <c r="L478" s="96" t="s">
        <v>203</v>
      </c>
      <c r="M478" s="96" t="s">
        <v>324</v>
      </c>
      <c r="N478" s="96" t="s">
        <v>339</v>
      </c>
      <c r="O478" s="96" t="s">
        <v>446</v>
      </c>
      <c r="P478" s="96" t="s">
        <v>337</v>
      </c>
      <c r="Q478" s="96" t="s">
        <v>1200</v>
      </c>
      <c r="R478" s="97">
        <v>498.42733500000003</v>
      </c>
      <c r="S478" s="97">
        <v>1</v>
      </c>
      <c r="T478" s="97">
        <v>4328</v>
      </c>
      <c r="U478" s="96"/>
      <c r="V478" s="97">
        <v>21.571933999999999</v>
      </c>
      <c r="W478" s="98">
        <v>3.9999999999999998E-6</v>
      </c>
      <c r="X478" s="98">
        <v>9.4319999999999994E-3</v>
      </c>
      <c r="Y478" s="98">
        <v>1.2930000000000001E-3</v>
      </c>
      <c r="Z478" s="106"/>
    </row>
    <row r="479" spans="1:26" ht="15" customHeight="1">
      <c r="A479" s="106"/>
      <c r="B479" s="96">
        <v>286</v>
      </c>
      <c r="C479" s="96">
        <v>9803</v>
      </c>
      <c r="D479" s="96" t="s">
        <v>2631</v>
      </c>
      <c r="E479" s="96">
        <v>513817817</v>
      </c>
      <c r="F479" s="96" t="s">
        <v>308</v>
      </c>
      <c r="G479" s="96" t="s">
        <v>2632</v>
      </c>
      <c r="H479" s="96" t="s">
        <v>2633</v>
      </c>
      <c r="I479" s="96" t="s">
        <v>320</v>
      </c>
      <c r="J479" s="96" t="s">
        <v>918</v>
      </c>
      <c r="K479" s="96" t="s">
        <v>203</v>
      </c>
      <c r="L479" s="96" t="s">
        <v>203</v>
      </c>
      <c r="M479" s="96" t="s">
        <v>324</v>
      </c>
      <c r="N479" s="96" t="s">
        <v>339</v>
      </c>
      <c r="O479" s="96" t="s">
        <v>446</v>
      </c>
      <c r="P479" s="96" t="s">
        <v>338</v>
      </c>
      <c r="Q479" s="96" t="s">
        <v>1200</v>
      </c>
      <c r="R479" s="97">
        <v>44.679105</v>
      </c>
      <c r="S479" s="97">
        <v>1</v>
      </c>
      <c r="T479" s="97">
        <v>7294</v>
      </c>
      <c r="U479" s="96"/>
      <c r="V479" s="97">
        <v>3.258893</v>
      </c>
      <c r="W479" s="98">
        <v>1.9999999999999999E-6</v>
      </c>
      <c r="X479" s="98">
        <v>1.4250000000000001E-3</v>
      </c>
      <c r="Y479" s="98">
        <v>1.95E-4</v>
      </c>
      <c r="Z479" s="106"/>
    </row>
    <row r="480" spans="1:26" ht="15" customHeight="1">
      <c r="A480" s="106"/>
      <c r="B480" s="96">
        <v>286</v>
      </c>
      <c r="C480" s="96">
        <v>9803</v>
      </c>
      <c r="D480" s="96" t="s">
        <v>2628</v>
      </c>
      <c r="E480" s="96"/>
      <c r="F480" s="96" t="s">
        <v>308</v>
      </c>
      <c r="G480" s="96" t="s">
        <v>2629</v>
      </c>
      <c r="H480" s="96" t="s">
        <v>2630</v>
      </c>
      <c r="I480" s="96" t="s">
        <v>320</v>
      </c>
      <c r="J480" s="96" t="s">
        <v>918</v>
      </c>
      <c r="K480" s="96" t="s">
        <v>203</v>
      </c>
      <c r="L480" s="96" t="s">
        <v>203</v>
      </c>
      <c r="M480" s="96" t="s">
        <v>326</v>
      </c>
      <c r="N480" s="96" t="s">
        <v>339</v>
      </c>
      <c r="O480" s="96" t="s">
        <v>438</v>
      </c>
      <c r="P480" s="96" t="s">
        <v>338</v>
      </c>
      <c r="Q480" s="96" t="s">
        <v>1200</v>
      </c>
      <c r="R480" s="97">
        <v>0.96990100000000001</v>
      </c>
      <c r="S480" s="97">
        <v>1</v>
      </c>
      <c r="T480" s="97">
        <v>1002</v>
      </c>
      <c r="U480" s="96"/>
      <c r="V480" s="97">
        <v>9.7179999999999992E-3</v>
      </c>
      <c r="W480" s="98">
        <v>0</v>
      </c>
      <c r="X480" s="98">
        <v>3.9999999999999998E-6</v>
      </c>
      <c r="Y480" s="98">
        <v>0</v>
      </c>
      <c r="Z480" s="106"/>
    </row>
    <row r="481" spans="1:26" ht="15" customHeight="1">
      <c r="A481" s="106"/>
      <c r="B481" s="96">
        <v>286</v>
      </c>
      <c r="C481" s="96">
        <v>9803</v>
      </c>
      <c r="D481" s="96" t="s">
        <v>1926</v>
      </c>
      <c r="E481" s="96">
        <v>520030859</v>
      </c>
      <c r="F481" s="96" t="s">
        <v>308</v>
      </c>
      <c r="G481" s="96" t="s">
        <v>2523</v>
      </c>
      <c r="H481" s="96" t="s">
        <v>2524</v>
      </c>
      <c r="I481" s="96" t="s">
        <v>320</v>
      </c>
      <c r="J481" s="96" t="s">
        <v>918</v>
      </c>
      <c r="K481" s="96" t="s">
        <v>203</v>
      </c>
      <c r="L481" s="96" t="s">
        <v>203</v>
      </c>
      <c r="M481" s="96" t="s">
        <v>324</v>
      </c>
      <c r="N481" s="96" t="s">
        <v>339</v>
      </c>
      <c r="O481" s="96" t="s">
        <v>450</v>
      </c>
      <c r="P481" s="96" t="s">
        <v>337</v>
      </c>
      <c r="Q481" s="96" t="s">
        <v>1200</v>
      </c>
      <c r="R481" s="97">
        <v>163.30663200000001</v>
      </c>
      <c r="S481" s="97">
        <v>1</v>
      </c>
      <c r="T481" s="97">
        <v>10800</v>
      </c>
      <c r="U481" s="96"/>
      <c r="V481" s="97">
        <v>17.637115000000001</v>
      </c>
      <c r="W481" s="98">
        <v>3.9999999999999998E-6</v>
      </c>
      <c r="X481" s="98">
        <v>7.711E-3</v>
      </c>
      <c r="Y481" s="98">
        <v>1.0560000000000001E-3</v>
      </c>
      <c r="Z481" s="106"/>
    </row>
    <row r="482" spans="1:26" ht="15" customHeight="1">
      <c r="A482" s="106"/>
      <c r="B482" s="96">
        <v>286</v>
      </c>
      <c r="C482" s="96">
        <v>9803</v>
      </c>
      <c r="D482" s="96" t="s">
        <v>1337</v>
      </c>
      <c r="E482" s="96">
        <v>520028010</v>
      </c>
      <c r="F482" s="96" t="s">
        <v>308</v>
      </c>
      <c r="G482" s="96" t="s">
        <v>2647</v>
      </c>
      <c r="H482" s="96" t="s">
        <v>2648</v>
      </c>
      <c r="I482" s="96" t="s">
        <v>320</v>
      </c>
      <c r="J482" s="96" t="s">
        <v>918</v>
      </c>
      <c r="K482" s="96" t="s">
        <v>203</v>
      </c>
      <c r="L482" s="96" t="s">
        <v>203</v>
      </c>
      <c r="M482" s="96" t="s">
        <v>324</v>
      </c>
      <c r="N482" s="96" t="s">
        <v>339</v>
      </c>
      <c r="O482" s="96" t="s">
        <v>450</v>
      </c>
      <c r="P482" s="96" t="s">
        <v>338</v>
      </c>
      <c r="Q482" s="96" t="s">
        <v>1200</v>
      </c>
      <c r="R482" s="97">
        <v>23.772272999999998</v>
      </c>
      <c r="S482" s="97">
        <v>1</v>
      </c>
      <c r="T482" s="97">
        <v>83740</v>
      </c>
      <c r="U482" s="96"/>
      <c r="V482" s="97">
        <v>19.906901000000001</v>
      </c>
      <c r="W482" s="98">
        <v>3.0000000000000001E-6</v>
      </c>
      <c r="X482" s="98">
        <v>8.7039999999999999E-3</v>
      </c>
      <c r="Y482" s="98">
        <v>1.193E-3</v>
      </c>
      <c r="Z482" s="106"/>
    </row>
    <row r="483" spans="1:26" ht="15" customHeight="1">
      <c r="A483" s="106"/>
      <c r="B483" s="96">
        <v>286</v>
      </c>
      <c r="C483" s="96">
        <v>9803</v>
      </c>
      <c r="D483" s="96" t="s">
        <v>1648</v>
      </c>
      <c r="E483" s="96">
        <v>515846558</v>
      </c>
      <c r="F483" s="96" t="s">
        <v>308</v>
      </c>
      <c r="G483" s="96" t="s">
        <v>2746</v>
      </c>
      <c r="H483" s="96" t="s">
        <v>2747</v>
      </c>
      <c r="I483" s="96" t="s">
        <v>320</v>
      </c>
      <c r="J483" s="96" t="s">
        <v>918</v>
      </c>
      <c r="K483" s="96" t="s">
        <v>203</v>
      </c>
      <c r="L483" s="96" t="s">
        <v>203</v>
      </c>
      <c r="M483" s="96" t="s">
        <v>324</v>
      </c>
      <c r="N483" s="96" t="s">
        <v>339</v>
      </c>
      <c r="O483" s="96" t="s">
        <v>450</v>
      </c>
      <c r="P483" s="96" t="s">
        <v>337</v>
      </c>
      <c r="Q483" s="96" t="s">
        <v>1200</v>
      </c>
      <c r="R483" s="97">
        <v>5656.4780499999997</v>
      </c>
      <c r="S483" s="97">
        <v>1</v>
      </c>
      <c r="T483" s="97">
        <v>52</v>
      </c>
      <c r="U483" s="96"/>
      <c r="V483" s="97">
        <v>2.9413680000000002</v>
      </c>
      <c r="W483" s="98">
        <v>3.9999999999999998E-6</v>
      </c>
      <c r="X483" s="98">
        <v>1.286E-3</v>
      </c>
      <c r="Y483" s="98">
        <v>1.76E-4</v>
      </c>
      <c r="Z483" s="106"/>
    </row>
    <row r="484" spans="1:26" ht="15" customHeight="1">
      <c r="A484" s="106"/>
      <c r="B484" s="96">
        <v>286</v>
      </c>
      <c r="C484" s="96">
        <v>9803</v>
      </c>
      <c r="D484" s="96" t="s">
        <v>2505</v>
      </c>
      <c r="E484" s="96">
        <v>513506329</v>
      </c>
      <c r="F484" s="96" t="s">
        <v>308</v>
      </c>
      <c r="G484" s="96" t="s">
        <v>2506</v>
      </c>
      <c r="H484" s="96" t="s">
        <v>2507</v>
      </c>
      <c r="I484" s="96" t="s">
        <v>320</v>
      </c>
      <c r="J484" s="96" t="s">
        <v>918</v>
      </c>
      <c r="K484" s="96" t="s">
        <v>203</v>
      </c>
      <c r="L484" s="96" t="s">
        <v>203</v>
      </c>
      <c r="M484" s="96" t="s">
        <v>324</v>
      </c>
      <c r="N484" s="96" t="s">
        <v>339</v>
      </c>
      <c r="O484" s="96" t="s">
        <v>455</v>
      </c>
      <c r="P484" s="96" t="s">
        <v>337</v>
      </c>
      <c r="Q484" s="96" t="s">
        <v>1200</v>
      </c>
      <c r="R484" s="97">
        <v>415.094585</v>
      </c>
      <c r="S484" s="97">
        <v>1</v>
      </c>
      <c r="T484" s="97">
        <v>207.6</v>
      </c>
      <c r="U484" s="96"/>
      <c r="V484" s="97">
        <v>0.86173599999999995</v>
      </c>
      <c r="W484" s="98">
        <v>5.0000000000000004E-6</v>
      </c>
      <c r="X484" s="98">
        <v>3.7599999999999998E-4</v>
      </c>
      <c r="Y484" s="98">
        <v>5.1E-5</v>
      </c>
      <c r="Z484" s="106"/>
    </row>
    <row r="485" spans="1:26" ht="15" customHeight="1">
      <c r="A485" s="106"/>
      <c r="B485" s="96">
        <v>286</v>
      </c>
      <c r="C485" s="96">
        <v>9803</v>
      </c>
      <c r="D485" s="96" t="s">
        <v>1452</v>
      </c>
      <c r="E485" s="96">
        <v>514065283</v>
      </c>
      <c r="F485" s="96" t="s">
        <v>308</v>
      </c>
      <c r="G485" s="96" t="s">
        <v>2759</v>
      </c>
      <c r="H485" s="96" t="s">
        <v>2760</v>
      </c>
      <c r="I485" s="96" t="s">
        <v>320</v>
      </c>
      <c r="J485" s="96" t="s">
        <v>918</v>
      </c>
      <c r="K485" s="96" t="s">
        <v>203</v>
      </c>
      <c r="L485" s="96" t="s">
        <v>203</v>
      </c>
      <c r="M485" s="96" t="s">
        <v>324</v>
      </c>
      <c r="N485" s="96" t="s">
        <v>339</v>
      </c>
      <c r="O485" s="96" t="s">
        <v>461</v>
      </c>
      <c r="P485" s="96" t="s">
        <v>337</v>
      </c>
      <c r="Q485" s="96" t="s">
        <v>1200</v>
      </c>
      <c r="R485" s="97">
        <v>425.017495</v>
      </c>
      <c r="S485" s="97">
        <v>1</v>
      </c>
      <c r="T485" s="97">
        <v>1745</v>
      </c>
      <c r="U485" s="96"/>
      <c r="V485" s="97">
        <v>7.4165539999999996</v>
      </c>
      <c r="W485" s="98">
        <v>3.9999999999999998E-6</v>
      </c>
      <c r="X485" s="98">
        <v>3.2420000000000001E-3</v>
      </c>
      <c r="Y485" s="98">
        <v>4.44E-4</v>
      </c>
      <c r="Z485" s="106"/>
    </row>
    <row r="486" spans="1:26" ht="15" customHeight="1">
      <c r="A486" s="106"/>
      <c r="B486" s="96">
        <v>286</v>
      </c>
      <c r="C486" s="96">
        <v>9803</v>
      </c>
      <c r="D486" s="96" t="s">
        <v>1406</v>
      </c>
      <c r="E486" s="96">
        <v>520025586</v>
      </c>
      <c r="F486" s="96" t="s">
        <v>308</v>
      </c>
      <c r="G486" s="96" t="s">
        <v>2544</v>
      </c>
      <c r="H486" s="96" t="s">
        <v>2545</v>
      </c>
      <c r="I486" s="96" t="s">
        <v>320</v>
      </c>
      <c r="J486" s="96" t="s">
        <v>918</v>
      </c>
      <c r="K486" s="96" t="s">
        <v>203</v>
      </c>
      <c r="L486" s="96" t="s">
        <v>203</v>
      </c>
      <c r="M486" s="96" t="s">
        <v>324</v>
      </c>
      <c r="N486" s="96" t="s">
        <v>339</v>
      </c>
      <c r="O486" s="96" t="s">
        <v>450</v>
      </c>
      <c r="P486" s="96" t="s">
        <v>338</v>
      </c>
      <c r="Q486" s="96" t="s">
        <v>1200</v>
      </c>
      <c r="R486" s="97">
        <v>183.57135199999999</v>
      </c>
      <c r="S486" s="97">
        <v>1</v>
      </c>
      <c r="T486" s="97">
        <v>499</v>
      </c>
      <c r="U486" s="96"/>
      <c r="V486" s="97">
        <v>0.91602099999999997</v>
      </c>
      <c r="W486" s="98">
        <v>1.9999999999999999E-6</v>
      </c>
      <c r="X486" s="98">
        <v>4.0000000000000002E-4</v>
      </c>
      <c r="Y486" s="98">
        <v>5.3999999999999998E-5</v>
      </c>
      <c r="Z486" s="106"/>
    </row>
    <row r="487" spans="1:26" ht="15" customHeight="1">
      <c r="A487" s="106"/>
      <c r="B487" s="96">
        <v>286</v>
      </c>
      <c r="C487" s="96">
        <v>9803</v>
      </c>
      <c r="D487" s="96" t="s">
        <v>2582</v>
      </c>
      <c r="E487" s="96">
        <v>520039413</v>
      </c>
      <c r="F487" s="96" t="s">
        <v>308</v>
      </c>
      <c r="G487" s="96" t="s">
        <v>2583</v>
      </c>
      <c r="H487" s="96" t="s">
        <v>2584</v>
      </c>
      <c r="I487" s="96" t="s">
        <v>320</v>
      </c>
      <c r="J487" s="96" t="s">
        <v>918</v>
      </c>
      <c r="K487" s="96" t="s">
        <v>203</v>
      </c>
      <c r="L487" s="96" t="s">
        <v>203</v>
      </c>
      <c r="M487" s="96" t="s">
        <v>324</v>
      </c>
      <c r="N487" s="96" t="s">
        <v>339</v>
      </c>
      <c r="O487" s="96" t="s">
        <v>475</v>
      </c>
      <c r="P487" s="96" t="s">
        <v>338</v>
      </c>
      <c r="Q487" s="96" t="s">
        <v>1200</v>
      </c>
      <c r="R487" s="97">
        <v>114.00657200000001</v>
      </c>
      <c r="S487" s="97">
        <v>1</v>
      </c>
      <c r="T487" s="97">
        <v>6901</v>
      </c>
      <c r="U487" s="96"/>
      <c r="V487" s="97">
        <v>7.8675930000000003</v>
      </c>
      <c r="W487" s="98">
        <v>9.9999999999999995E-7</v>
      </c>
      <c r="X487" s="98">
        <v>3.4399999999999999E-3</v>
      </c>
      <c r="Y487" s="98">
        <v>4.7100000000000001E-4</v>
      </c>
      <c r="Z487" s="106"/>
    </row>
    <row r="488" spans="1:26" ht="15" customHeight="1">
      <c r="A488" s="106"/>
      <c r="B488" s="96">
        <v>286</v>
      </c>
      <c r="C488" s="96">
        <v>9803</v>
      </c>
      <c r="D488" s="96" t="s">
        <v>1611</v>
      </c>
      <c r="E488" s="96">
        <v>520001736</v>
      </c>
      <c r="F488" s="96" t="s">
        <v>308</v>
      </c>
      <c r="G488" s="96" t="s">
        <v>2469</v>
      </c>
      <c r="H488" s="96" t="s">
        <v>2470</v>
      </c>
      <c r="I488" s="96" t="s">
        <v>320</v>
      </c>
      <c r="J488" s="96" t="s">
        <v>918</v>
      </c>
      <c r="K488" s="96" t="s">
        <v>203</v>
      </c>
      <c r="L488" s="96" t="s">
        <v>203</v>
      </c>
      <c r="M488" s="96" t="s">
        <v>324</v>
      </c>
      <c r="N488" s="96" t="s">
        <v>339</v>
      </c>
      <c r="O488" s="96" t="s">
        <v>463</v>
      </c>
      <c r="P488" s="96" t="s">
        <v>338</v>
      </c>
      <c r="Q488" s="96" t="s">
        <v>1200</v>
      </c>
      <c r="R488" s="97">
        <v>101.686521</v>
      </c>
      <c r="S488" s="97">
        <v>1</v>
      </c>
      <c r="T488" s="97">
        <v>2515</v>
      </c>
      <c r="U488" s="96"/>
      <c r="V488" s="97">
        <v>2.5574159999999999</v>
      </c>
      <c r="W488" s="98">
        <v>0</v>
      </c>
      <c r="X488" s="98">
        <v>1.1180000000000001E-3</v>
      </c>
      <c r="Y488" s="98">
        <v>1.5300000000000001E-4</v>
      </c>
      <c r="Z488" s="106"/>
    </row>
    <row r="489" spans="1:26" ht="15" customHeight="1">
      <c r="A489" s="106"/>
      <c r="B489" s="96">
        <v>286</v>
      </c>
      <c r="C489" s="96">
        <v>9803</v>
      </c>
      <c r="D489" s="96" t="s">
        <v>2693</v>
      </c>
      <c r="E489" s="96">
        <v>515983476</v>
      </c>
      <c r="F489" s="96" t="s">
        <v>308</v>
      </c>
      <c r="G489" s="96" t="s">
        <v>2694</v>
      </c>
      <c r="H489" s="96" t="s">
        <v>2695</v>
      </c>
      <c r="I489" s="96" t="s">
        <v>320</v>
      </c>
      <c r="J489" s="96" t="s">
        <v>918</v>
      </c>
      <c r="K489" s="96" t="s">
        <v>203</v>
      </c>
      <c r="L489" s="96" t="s">
        <v>203</v>
      </c>
      <c r="M489" s="96" t="s">
        <v>324</v>
      </c>
      <c r="N489" s="96" t="s">
        <v>339</v>
      </c>
      <c r="O489" s="96" t="s">
        <v>450</v>
      </c>
      <c r="P489" s="96" t="s">
        <v>337</v>
      </c>
      <c r="Q489" s="96" t="s">
        <v>1200</v>
      </c>
      <c r="R489" s="97">
        <v>1195.988646</v>
      </c>
      <c r="S489" s="97">
        <v>1</v>
      </c>
      <c r="T489" s="97">
        <v>537.4</v>
      </c>
      <c r="U489" s="96"/>
      <c r="V489" s="97">
        <v>6.4272419999999997</v>
      </c>
      <c r="W489" s="98">
        <v>6.0000000000000002E-6</v>
      </c>
      <c r="X489" s="98">
        <v>2.81E-3</v>
      </c>
      <c r="Y489" s="98">
        <v>3.8499999999999998E-4</v>
      </c>
      <c r="Z489" s="106"/>
    </row>
    <row r="490" spans="1:26" ht="15" customHeight="1">
      <c r="A490" s="106"/>
      <c r="B490" s="96">
        <v>286</v>
      </c>
      <c r="C490" s="96">
        <v>9803</v>
      </c>
      <c r="D490" s="96" t="s">
        <v>1691</v>
      </c>
      <c r="E490" s="96">
        <v>510706153</v>
      </c>
      <c r="F490" s="96" t="s">
        <v>308</v>
      </c>
      <c r="G490" s="96" t="s">
        <v>2592</v>
      </c>
      <c r="H490" s="96" t="s">
        <v>2593</v>
      </c>
      <c r="I490" s="96" t="s">
        <v>320</v>
      </c>
      <c r="J490" s="96" t="s">
        <v>918</v>
      </c>
      <c r="K490" s="96" t="s">
        <v>203</v>
      </c>
      <c r="L490" s="96" t="s">
        <v>203</v>
      </c>
      <c r="M490" s="96" t="s">
        <v>324</v>
      </c>
      <c r="N490" s="96" t="s">
        <v>339</v>
      </c>
      <c r="O490" s="96" t="s">
        <v>477</v>
      </c>
      <c r="P490" s="96" t="s">
        <v>338</v>
      </c>
      <c r="Q490" s="96" t="s">
        <v>1200</v>
      </c>
      <c r="R490" s="97">
        <v>606.57379100000003</v>
      </c>
      <c r="S490" s="97">
        <v>1</v>
      </c>
      <c r="T490" s="97">
        <v>1257</v>
      </c>
      <c r="U490" s="96"/>
      <c r="V490" s="97">
        <v>7.6246320000000001</v>
      </c>
      <c r="W490" s="98">
        <v>3.0000000000000001E-6</v>
      </c>
      <c r="X490" s="98">
        <v>3.333E-3</v>
      </c>
      <c r="Y490" s="98">
        <v>4.5600000000000003E-4</v>
      </c>
      <c r="Z490" s="106"/>
    </row>
    <row r="491" spans="1:26" ht="15" customHeight="1">
      <c r="A491" s="106"/>
      <c r="B491" s="96">
        <v>286</v>
      </c>
      <c r="C491" s="96">
        <v>9803</v>
      </c>
      <c r="D491" s="96" t="s">
        <v>1358</v>
      </c>
      <c r="E491" s="96">
        <v>520022732</v>
      </c>
      <c r="F491" s="96" t="s">
        <v>308</v>
      </c>
      <c r="G491" s="96" t="s">
        <v>2406</v>
      </c>
      <c r="H491" s="96" t="s">
        <v>2407</v>
      </c>
      <c r="I491" s="96" t="s">
        <v>320</v>
      </c>
      <c r="J491" s="96" t="s">
        <v>918</v>
      </c>
      <c r="K491" s="96" t="s">
        <v>203</v>
      </c>
      <c r="L491" s="96" t="s">
        <v>203</v>
      </c>
      <c r="M491" s="96" t="s">
        <v>324</v>
      </c>
      <c r="N491" s="96" t="s">
        <v>339</v>
      </c>
      <c r="O491" s="96" t="s">
        <v>474</v>
      </c>
      <c r="P491" s="96" t="s">
        <v>337</v>
      </c>
      <c r="Q491" s="96" t="s">
        <v>1200</v>
      </c>
      <c r="R491" s="97">
        <v>1001.171605</v>
      </c>
      <c r="S491" s="97">
        <v>1</v>
      </c>
      <c r="T491" s="97">
        <v>2472</v>
      </c>
      <c r="U491" s="96"/>
      <c r="V491" s="97">
        <v>24.748961000000001</v>
      </c>
      <c r="W491" s="98">
        <v>3.0000000000000001E-6</v>
      </c>
      <c r="X491" s="98">
        <v>1.0821000000000001E-2</v>
      </c>
      <c r="Y491" s="98">
        <v>1.4829999999999999E-3</v>
      </c>
      <c r="Z491" s="106"/>
    </row>
    <row r="492" spans="1:26" ht="15" customHeight="1">
      <c r="A492" s="106"/>
      <c r="B492" s="96">
        <v>286</v>
      </c>
      <c r="C492" s="96">
        <v>9803</v>
      </c>
      <c r="D492" s="96" t="s">
        <v>1203</v>
      </c>
      <c r="E492" s="96">
        <v>520000118</v>
      </c>
      <c r="F492" s="96" t="s">
        <v>308</v>
      </c>
      <c r="G492" s="96" t="s">
        <v>2404</v>
      </c>
      <c r="H492" s="96" t="s">
        <v>2405</v>
      </c>
      <c r="I492" s="96" t="s">
        <v>320</v>
      </c>
      <c r="J492" s="96" t="s">
        <v>918</v>
      </c>
      <c r="K492" s="96" t="s">
        <v>203</v>
      </c>
      <c r="L492" s="96" t="s">
        <v>203</v>
      </c>
      <c r="M492" s="96" t="s">
        <v>324</v>
      </c>
      <c r="N492" s="96" t="s">
        <v>339</v>
      </c>
      <c r="O492" s="96" t="s">
        <v>447</v>
      </c>
      <c r="P492" s="96" t="s">
        <v>338</v>
      </c>
      <c r="Q492" s="96" t="s">
        <v>1200</v>
      </c>
      <c r="R492" s="97">
        <v>4116.5342689999998</v>
      </c>
      <c r="S492" s="97">
        <v>1</v>
      </c>
      <c r="T492" s="97">
        <v>3365</v>
      </c>
      <c r="U492" s="96"/>
      <c r="V492" s="97">
        <v>138.521377</v>
      </c>
      <c r="W492" s="98">
        <v>3.0000000000000001E-6</v>
      </c>
      <c r="X492" s="98">
        <v>6.0569999999999999E-2</v>
      </c>
      <c r="Y492" s="98">
        <v>8.3059999999999991E-3</v>
      </c>
      <c r="Z492" s="106"/>
    </row>
    <row r="493" spans="1:26" ht="15" customHeight="1">
      <c r="A493" s="106"/>
      <c r="B493" s="96">
        <v>286</v>
      </c>
      <c r="C493" s="96">
        <v>9803</v>
      </c>
      <c r="D493" s="96" t="s">
        <v>1747</v>
      </c>
      <c r="E493" s="96">
        <v>512832742</v>
      </c>
      <c r="F493" s="96" t="s">
        <v>308</v>
      </c>
      <c r="G493" s="96" t="s">
        <v>2572</v>
      </c>
      <c r="H493" s="96" t="s">
        <v>2573</v>
      </c>
      <c r="I493" s="96" t="s">
        <v>320</v>
      </c>
      <c r="J493" s="96" t="s">
        <v>918</v>
      </c>
      <c r="K493" s="96" t="s">
        <v>203</v>
      </c>
      <c r="L493" s="96" t="s">
        <v>203</v>
      </c>
      <c r="M493" s="96" t="s">
        <v>324</v>
      </c>
      <c r="N493" s="96" t="s">
        <v>339</v>
      </c>
      <c r="O493" s="96" t="s">
        <v>483</v>
      </c>
      <c r="P493" s="96" t="s">
        <v>338</v>
      </c>
      <c r="Q493" s="96" t="s">
        <v>1200</v>
      </c>
      <c r="R493" s="97">
        <v>145.68917200000001</v>
      </c>
      <c r="S493" s="97">
        <v>1</v>
      </c>
      <c r="T493" s="97">
        <v>1134</v>
      </c>
      <c r="U493" s="96"/>
      <c r="V493" s="97">
        <v>1.652115</v>
      </c>
      <c r="W493" s="98">
        <v>9.9999999999999995E-7</v>
      </c>
      <c r="X493" s="98">
        <v>7.2099999999999996E-4</v>
      </c>
      <c r="Y493" s="98">
        <v>9.7999999999999997E-5</v>
      </c>
      <c r="Z493" s="106"/>
    </row>
    <row r="494" spans="1:26" ht="15" customHeight="1">
      <c r="A494" s="106"/>
      <c r="B494" s="96">
        <v>286</v>
      </c>
      <c r="C494" s="96">
        <v>9803</v>
      </c>
      <c r="D494" s="96" t="s">
        <v>1382</v>
      </c>
      <c r="E494" s="96">
        <v>520036690</v>
      </c>
      <c r="F494" s="96" t="s">
        <v>308</v>
      </c>
      <c r="G494" s="96" t="s">
        <v>2665</v>
      </c>
      <c r="H494" s="96" t="s">
        <v>2666</v>
      </c>
      <c r="I494" s="96" t="s">
        <v>320</v>
      </c>
      <c r="J494" s="96" t="s">
        <v>918</v>
      </c>
      <c r="K494" s="96" t="s">
        <v>203</v>
      </c>
      <c r="L494" s="96" t="s">
        <v>203</v>
      </c>
      <c r="M494" s="96" t="s">
        <v>324</v>
      </c>
      <c r="N494" s="96" t="s">
        <v>339</v>
      </c>
      <c r="O494" s="96" t="s">
        <v>475</v>
      </c>
      <c r="P494" s="96" t="s">
        <v>337</v>
      </c>
      <c r="Q494" s="96" t="s">
        <v>1200</v>
      </c>
      <c r="R494" s="97">
        <v>69.653805000000006</v>
      </c>
      <c r="S494" s="97">
        <v>1</v>
      </c>
      <c r="T494" s="97">
        <v>26800</v>
      </c>
      <c r="U494" s="96"/>
      <c r="V494" s="97">
        <v>18.667218999999999</v>
      </c>
      <c r="W494" s="98">
        <v>3.9999999999999998E-6</v>
      </c>
      <c r="X494" s="98">
        <v>8.1609999999999999E-3</v>
      </c>
      <c r="Y494" s="98">
        <v>1.119E-3</v>
      </c>
      <c r="Z494" s="106"/>
    </row>
    <row r="495" spans="1:26" ht="15" customHeight="1">
      <c r="A495" s="106"/>
      <c r="B495" s="96">
        <v>286</v>
      </c>
      <c r="C495" s="96">
        <v>9803</v>
      </c>
      <c r="D495" s="96" t="s">
        <v>1376</v>
      </c>
      <c r="E495" s="96">
        <v>520025438</v>
      </c>
      <c r="F495" s="96" t="s">
        <v>308</v>
      </c>
      <c r="G495" s="96" t="s">
        <v>2729</v>
      </c>
      <c r="H495" s="96" t="s">
        <v>2730</v>
      </c>
      <c r="I495" s="96" t="s">
        <v>320</v>
      </c>
      <c r="J495" s="96" t="s">
        <v>918</v>
      </c>
      <c r="K495" s="96" t="s">
        <v>203</v>
      </c>
      <c r="L495" s="96" t="s">
        <v>203</v>
      </c>
      <c r="M495" s="96" t="s">
        <v>324</v>
      </c>
      <c r="N495" s="96" t="s">
        <v>339</v>
      </c>
      <c r="O495" s="96" t="s">
        <v>463</v>
      </c>
      <c r="P495" s="96" t="s">
        <v>338</v>
      </c>
      <c r="Q495" s="96" t="s">
        <v>1200</v>
      </c>
      <c r="R495" s="97">
        <v>19.16995</v>
      </c>
      <c r="S495" s="97">
        <v>1</v>
      </c>
      <c r="T495" s="97">
        <v>16290</v>
      </c>
      <c r="U495" s="96"/>
      <c r="V495" s="97">
        <v>3.1227830000000001</v>
      </c>
      <c r="W495" s="98">
        <v>1.9999999999999999E-6</v>
      </c>
      <c r="X495" s="98">
        <v>1.364E-3</v>
      </c>
      <c r="Y495" s="98">
        <v>1.8699999999999999E-4</v>
      </c>
      <c r="Z495" s="106"/>
    </row>
    <row r="496" spans="1:26" ht="15" customHeight="1">
      <c r="A496" s="106"/>
      <c r="B496" s="96">
        <v>286</v>
      </c>
      <c r="C496" s="96">
        <v>9803</v>
      </c>
      <c r="D496" s="96" t="s">
        <v>1206</v>
      </c>
      <c r="E496" s="96">
        <v>520029083</v>
      </c>
      <c r="F496" s="96" t="s">
        <v>308</v>
      </c>
      <c r="G496" s="96" t="s">
        <v>2735</v>
      </c>
      <c r="H496" s="96" t="s">
        <v>2736</v>
      </c>
      <c r="I496" s="96" t="s">
        <v>320</v>
      </c>
      <c r="J496" s="96" t="s">
        <v>918</v>
      </c>
      <c r="K496" s="96" t="s">
        <v>203</v>
      </c>
      <c r="L496" s="96" t="s">
        <v>203</v>
      </c>
      <c r="M496" s="96" t="s">
        <v>324</v>
      </c>
      <c r="N496" s="96" t="s">
        <v>339</v>
      </c>
      <c r="O496" s="96" t="s">
        <v>447</v>
      </c>
      <c r="P496" s="96" t="s">
        <v>338</v>
      </c>
      <c r="Q496" s="96" t="s">
        <v>1200</v>
      </c>
      <c r="R496" s="97">
        <v>82.746989999999997</v>
      </c>
      <c r="S496" s="97">
        <v>1</v>
      </c>
      <c r="T496" s="97">
        <v>14410</v>
      </c>
      <c r="U496" s="96"/>
      <c r="V496" s="97">
        <v>11.923840999999999</v>
      </c>
      <c r="W496" s="98">
        <v>0</v>
      </c>
      <c r="X496" s="98">
        <v>5.2129999999999998E-3</v>
      </c>
      <c r="Y496" s="98">
        <v>7.1400000000000001E-4</v>
      </c>
      <c r="Z496" s="106"/>
    </row>
    <row r="497" spans="1:26" ht="15" customHeight="1">
      <c r="A497" s="106"/>
      <c r="B497" s="96">
        <v>286</v>
      </c>
      <c r="C497" s="96">
        <v>9803</v>
      </c>
      <c r="D497" s="96" t="s">
        <v>1424</v>
      </c>
      <c r="E497" s="96">
        <v>513775163</v>
      </c>
      <c r="F497" s="96" t="s">
        <v>308</v>
      </c>
      <c r="G497" s="96" t="s">
        <v>2528</v>
      </c>
      <c r="H497" s="96" t="s">
        <v>2529</v>
      </c>
      <c r="I497" s="96" t="s">
        <v>320</v>
      </c>
      <c r="J497" s="96" t="s">
        <v>918</v>
      </c>
      <c r="K497" s="96" t="s">
        <v>203</v>
      </c>
      <c r="L497" s="96" t="s">
        <v>203</v>
      </c>
      <c r="M497" s="96" t="s">
        <v>324</v>
      </c>
      <c r="N497" s="96" t="s">
        <v>339</v>
      </c>
      <c r="O497" s="96" t="s">
        <v>439</v>
      </c>
      <c r="P497" s="96" t="s">
        <v>337</v>
      </c>
      <c r="Q497" s="96" t="s">
        <v>1200</v>
      </c>
      <c r="R497" s="97">
        <v>71.956577999999993</v>
      </c>
      <c r="S497" s="97">
        <v>1</v>
      </c>
      <c r="T497" s="97">
        <v>6189</v>
      </c>
      <c r="U497" s="96"/>
      <c r="V497" s="97">
        <v>4.4533909999999999</v>
      </c>
      <c r="W497" s="98">
        <v>5.0000000000000004E-6</v>
      </c>
      <c r="X497" s="98">
        <v>1.946E-3</v>
      </c>
      <c r="Y497" s="98">
        <v>2.6699999999999998E-4</v>
      </c>
      <c r="Z497" s="106"/>
    </row>
    <row r="498" spans="1:26" ht="15" customHeight="1">
      <c r="A498" s="106"/>
      <c r="B498" s="96">
        <v>286</v>
      </c>
      <c r="C498" s="96">
        <v>9803</v>
      </c>
      <c r="D498" s="96" t="s">
        <v>2674</v>
      </c>
      <c r="E498" s="96">
        <v>514259019</v>
      </c>
      <c r="F498" s="96" t="s">
        <v>308</v>
      </c>
      <c r="G498" s="96" t="s">
        <v>2675</v>
      </c>
      <c r="H498" s="96" t="s">
        <v>2676</v>
      </c>
      <c r="I498" s="96" t="s">
        <v>320</v>
      </c>
      <c r="J498" s="96" t="s">
        <v>918</v>
      </c>
      <c r="K498" s="96" t="s">
        <v>203</v>
      </c>
      <c r="L498" s="96" t="s">
        <v>203</v>
      </c>
      <c r="M498" s="96" t="s">
        <v>324</v>
      </c>
      <c r="N498" s="96" t="s">
        <v>339</v>
      </c>
      <c r="O498" s="96" t="s">
        <v>438</v>
      </c>
      <c r="P498" s="96" t="s">
        <v>338</v>
      </c>
      <c r="Q498" s="96" t="s">
        <v>1200</v>
      </c>
      <c r="R498" s="97">
        <v>126.509351</v>
      </c>
      <c r="S498" s="97">
        <v>1</v>
      </c>
      <c r="T498" s="97">
        <v>5368</v>
      </c>
      <c r="U498" s="96"/>
      <c r="V498" s="97">
        <v>6.7910209999999998</v>
      </c>
      <c r="W498" s="98">
        <v>9.9999999999999995E-7</v>
      </c>
      <c r="X498" s="98">
        <v>2.9689999999999999E-3</v>
      </c>
      <c r="Y498" s="98">
        <v>4.0700000000000003E-4</v>
      </c>
      <c r="Z498" s="106"/>
    </row>
    <row r="499" spans="1:26" ht="15" customHeight="1">
      <c r="A499" s="106"/>
      <c r="B499" s="96">
        <v>286</v>
      </c>
      <c r="C499" s="96">
        <v>9803</v>
      </c>
      <c r="D499" s="96" t="s">
        <v>1440</v>
      </c>
      <c r="E499" s="96">
        <v>513992529</v>
      </c>
      <c r="F499" s="96" t="s">
        <v>308</v>
      </c>
      <c r="G499" s="96" t="s">
        <v>2535</v>
      </c>
      <c r="H499" s="96" t="s">
        <v>2536</v>
      </c>
      <c r="I499" s="96" t="s">
        <v>320</v>
      </c>
      <c r="J499" s="96" t="s">
        <v>918</v>
      </c>
      <c r="K499" s="96" t="s">
        <v>203</v>
      </c>
      <c r="L499" s="96" t="s">
        <v>203</v>
      </c>
      <c r="M499" s="96" t="s">
        <v>324</v>
      </c>
      <c r="N499" s="96" t="s">
        <v>339</v>
      </c>
      <c r="O499" s="96" t="s">
        <v>463</v>
      </c>
      <c r="P499" s="96" t="s">
        <v>338</v>
      </c>
      <c r="Q499" s="96" t="s">
        <v>1200</v>
      </c>
      <c r="R499" s="97">
        <v>555.41722900000002</v>
      </c>
      <c r="S499" s="97">
        <v>1</v>
      </c>
      <c r="T499" s="97">
        <v>661.9</v>
      </c>
      <c r="U499" s="96"/>
      <c r="V499" s="97">
        <v>3.6763059999999999</v>
      </c>
      <c r="W499" s="98">
        <v>1.9999999999999999E-6</v>
      </c>
      <c r="X499" s="98">
        <v>1.6069999999999999E-3</v>
      </c>
      <c r="Y499" s="98">
        <v>2.1900000000000001E-4</v>
      </c>
      <c r="Z499" s="106"/>
    </row>
    <row r="500" spans="1:26" ht="15" customHeight="1">
      <c r="A500" s="106"/>
      <c r="B500" s="96">
        <v>286</v>
      </c>
      <c r="C500" s="96">
        <v>9803</v>
      </c>
      <c r="D500" s="96" t="s">
        <v>2619</v>
      </c>
      <c r="E500" s="96">
        <v>520033291</v>
      </c>
      <c r="F500" s="96" t="s">
        <v>308</v>
      </c>
      <c r="G500" s="96" t="s">
        <v>2620</v>
      </c>
      <c r="H500" s="96" t="s">
        <v>2621</v>
      </c>
      <c r="I500" s="96" t="s">
        <v>320</v>
      </c>
      <c r="J500" s="96" t="s">
        <v>918</v>
      </c>
      <c r="K500" s="96" t="s">
        <v>203</v>
      </c>
      <c r="L500" s="96" t="s">
        <v>203</v>
      </c>
      <c r="M500" s="96" t="s">
        <v>324</v>
      </c>
      <c r="N500" s="96" t="s">
        <v>339</v>
      </c>
      <c r="O500" s="96" t="s">
        <v>461</v>
      </c>
      <c r="P500" s="96" t="s">
        <v>337</v>
      </c>
      <c r="Q500" s="96" t="s">
        <v>1200</v>
      </c>
      <c r="R500" s="97">
        <v>384.84883400000001</v>
      </c>
      <c r="S500" s="97">
        <v>1</v>
      </c>
      <c r="T500" s="97">
        <v>1897</v>
      </c>
      <c r="U500" s="96"/>
      <c r="V500" s="97">
        <v>7.3005820000000003</v>
      </c>
      <c r="W500" s="98">
        <v>3.0000000000000001E-6</v>
      </c>
      <c r="X500" s="98">
        <v>3.192E-3</v>
      </c>
      <c r="Y500" s="98">
        <v>4.37E-4</v>
      </c>
      <c r="Z500" s="106"/>
    </row>
    <row r="501" spans="1:26" ht="15" customHeight="1">
      <c r="A501" s="106"/>
      <c r="B501" s="96">
        <v>286</v>
      </c>
      <c r="C501" s="96">
        <v>9803</v>
      </c>
      <c r="D501" s="96" t="s">
        <v>2501</v>
      </c>
      <c r="E501" s="96">
        <v>515935807</v>
      </c>
      <c r="F501" s="96" t="s">
        <v>308</v>
      </c>
      <c r="G501" s="96" t="s">
        <v>2502</v>
      </c>
      <c r="H501" s="96" t="s">
        <v>2503</v>
      </c>
      <c r="I501" s="96" t="s">
        <v>320</v>
      </c>
      <c r="J501" s="96" t="s">
        <v>918</v>
      </c>
      <c r="K501" s="96" t="s">
        <v>203</v>
      </c>
      <c r="L501" s="96" t="s">
        <v>203</v>
      </c>
      <c r="M501" s="96" t="s">
        <v>324</v>
      </c>
      <c r="N501" s="96" t="s">
        <v>339</v>
      </c>
      <c r="O501" s="96" t="s">
        <v>470</v>
      </c>
      <c r="P501" s="96" t="s">
        <v>337</v>
      </c>
      <c r="Q501" s="96" t="s">
        <v>1200</v>
      </c>
      <c r="R501" s="97">
        <v>841.52576199999999</v>
      </c>
      <c r="S501" s="97">
        <v>1</v>
      </c>
      <c r="T501" s="97">
        <v>1770</v>
      </c>
      <c r="U501" s="96"/>
      <c r="V501" s="97">
        <v>14.895004999999999</v>
      </c>
      <c r="W501" s="98">
        <v>5.0000000000000004E-6</v>
      </c>
      <c r="X501" s="98">
        <v>6.5129999999999997E-3</v>
      </c>
      <c r="Y501" s="98">
        <v>8.9300000000000002E-4</v>
      </c>
      <c r="Z501" s="106"/>
    </row>
    <row r="502" spans="1:26" ht="15" customHeight="1">
      <c r="A502" s="106"/>
      <c r="B502" s="96">
        <v>286</v>
      </c>
      <c r="C502" s="96">
        <v>9803</v>
      </c>
      <c r="D502" s="96" t="s">
        <v>2652</v>
      </c>
      <c r="E502" s="96">
        <v>512726712</v>
      </c>
      <c r="F502" s="96" t="s">
        <v>308</v>
      </c>
      <c r="G502" s="96" t="s">
        <v>2653</v>
      </c>
      <c r="H502" s="96" t="s">
        <v>2654</v>
      </c>
      <c r="I502" s="96" t="s">
        <v>320</v>
      </c>
      <c r="J502" s="96" t="s">
        <v>918</v>
      </c>
      <c r="K502" s="96" t="s">
        <v>203</v>
      </c>
      <c r="L502" s="96" t="s">
        <v>203</v>
      </c>
      <c r="M502" s="96" t="s">
        <v>324</v>
      </c>
      <c r="N502" s="96" t="s">
        <v>339</v>
      </c>
      <c r="O502" s="96" t="s">
        <v>446</v>
      </c>
      <c r="P502" s="96" t="s">
        <v>338</v>
      </c>
      <c r="Q502" s="96" t="s">
        <v>1200</v>
      </c>
      <c r="R502" s="97">
        <v>7.6174590000000002</v>
      </c>
      <c r="S502" s="97">
        <v>1</v>
      </c>
      <c r="T502" s="97">
        <v>1291</v>
      </c>
      <c r="U502" s="96"/>
      <c r="V502" s="97">
        <v>9.8340999999999998E-2</v>
      </c>
      <c r="W502" s="98">
        <v>0</v>
      </c>
      <c r="X502" s="98">
        <v>4.3000000000000002E-5</v>
      </c>
      <c r="Y502" s="98">
        <v>5.0000000000000004E-6</v>
      </c>
      <c r="Z502" s="106"/>
    </row>
    <row r="503" spans="1:26" ht="15" customHeight="1">
      <c r="A503" s="106"/>
      <c r="B503" s="96">
        <v>286</v>
      </c>
      <c r="C503" s="96">
        <v>9803</v>
      </c>
      <c r="D503" s="96" t="s">
        <v>1459</v>
      </c>
      <c r="E503" s="96">
        <v>520033424</v>
      </c>
      <c r="F503" s="96" t="s">
        <v>308</v>
      </c>
      <c r="G503" s="96" t="s">
        <v>2447</v>
      </c>
      <c r="H503" s="96" t="s">
        <v>2448</v>
      </c>
      <c r="I503" s="96" t="s">
        <v>320</v>
      </c>
      <c r="J503" s="96" t="s">
        <v>918</v>
      </c>
      <c r="K503" s="96" t="s">
        <v>203</v>
      </c>
      <c r="L503" s="96" t="s">
        <v>203</v>
      </c>
      <c r="M503" s="96" t="s">
        <v>324</v>
      </c>
      <c r="N503" s="96" t="s">
        <v>339</v>
      </c>
      <c r="O503" s="96" t="s">
        <v>446</v>
      </c>
      <c r="P503" s="96" t="s">
        <v>338</v>
      </c>
      <c r="Q503" s="96" t="s">
        <v>1200</v>
      </c>
      <c r="R503" s="97">
        <v>8.8122860000000003</v>
      </c>
      <c r="S503" s="97">
        <v>1</v>
      </c>
      <c r="T503" s="97">
        <v>25400</v>
      </c>
      <c r="U503" s="96"/>
      <c r="V503" s="97">
        <v>2.2383199999999999</v>
      </c>
      <c r="W503" s="98">
        <v>1.9999999999999999E-6</v>
      </c>
      <c r="X503" s="98">
        <v>9.7799999999999992E-4</v>
      </c>
      <c r="Y503" s="98">
        <v>1.3300000000000001E-4</v>
      </c>
      <c r="Z503" s="106"/>
    </row>
    <row r="504" spans="1:26" ht="15" customHeight="1">
      <c r="A504" s="106"/>
      <c r="B504" s="96">
        <v>286</v>
      </c>
      <c r="C504" s="96">
        <v>9803</v>
      </c>
      <c r="D504" s="96" t="s">
        <v>1354</v>
      </c>
      <c r="E504" s="96">
        <v>513893123</v>
      </c>
      <c r="F504" s="96" t="s">
        <v>308</v>
      </c>
      <c r="G504" s="96" t="s">
        <v>2533</v>
      </c>
      <c r="H504" s="96" t="s">
        <v>2534</v>
      </c>
      <c r="I504" s="96" t="s">
        <v>320</v>
      </c>
      <c r="J504" s="96" t="s">
        <v>918</v>
      </c>
      <c r="K504" s="96" t="s">
        <v>203</v>
      </c>
      <c r="L504" s="96" t="s">
        <v>203</v>
      </c>
      <c r="M504" s="96" t="s">
        <v>324</v>
      </c>
      <c r="N504" s="96" t="s">
        <v>339</v>
      </c>
      <c r="O504" s="96" t="s">
        <v>442</v>
      </c>
      <c r="P504" s="96" t="s">
        <v>338</v>
      </c>
      <c r="Q504" s="96" t="s">
        <v>1200</v>
      </c>
      <c r="R504" s="97">
        <v>8.9950779999999995</v>
      </c>
      <c r="S504" s="97">
        <v>1</v>
      </c>
      <c r="T504" s="97">
        <v>47140</v>
      </c>
      <c r="U504" s="96"/>
      <c r="V504" s="97">
        <v>4.2402800000000003</v>
      </c>
      <c r="W504" s="98">
        <v>3.0000000000000001E-6</v>
      </c>
      <c r="X504" s="98">
        <v>1.854E-3</v>
      </c>
      <c r="Y504" s="98">
        <v>2.5399999999999999E-4</v>
      </c>
      <c r="Z504" s="106"/>
    </row>
    <row r="505" spans="1:26" ht="15" customHeight="1">
      <c r="A505" s="106"/>
      <c r="B505" s="96">
        <v>286</v>
      </c>
      <c r="C505" s="96">
        <v>9803</v>
      </c>
      <c r="D505" s="96" t="s">
        <v>1672</v>
      </c>
      <c r="E505" s="96">
        <v>1146</v>
      </c>
      <c r="F505" s="96" t="s">
        <v>80</v>
      </c>
      <c r="G505" s="96" t="s">
        <v>2683</v>
      </c>
      <c r="H505" s="96" t="s">
        <v>2684</v>
      </c>
      <c r="I505" s="96" t="s">
        <v>320</v>
      </c>
      <c r="J505" s="96" t="s">
        <v>918</v>
      </c>
      <c r="K505" s="96" t="s">
        <v>203</v>
      </c>
      <c r="L505" s="96" t="s">
        <v>203</v>
      </c>
      <c r="M505" s="96" t="s">
        <v>324</v>
      </c>
      <c r="N505" s="96" t="s">
        <v>339</v>
      </c>
      <c r="O505" s="96" t="s">
        <v>479</v>
      </c>
      <c r="P505" s="96" t="s">
        <v>338</v>
      </c>
      <c r="Q505" s="96" t="s">
        <v>1200</v>
      </c>
      <c r="R505" s="97">
        <v>64.555447000000001</v>
      </c>
      <c r="S505" s="97">
        <v>1</v>
      </c>
      <c r="T505" s="97">
        <v>12820</v>
      </c>
      <c r="U505" s="96"/>
      <c r="V505" s="97">
        <v>8.2760079999999991</v>
      </c>
      <c r="W505" s="98">
        <v>9.9999999999999995E-7</v>
      </c>
      <c r="X505" s="98">
        <v>3.6180000000000001E-3</v>
      </c>
      <c r="Y505" s="98">
        <v>4.95E-4</v>
      </c>
      <c r="Z505" s="106"/>
    </row>
    <row r="506" spans="1:26" ht="15" customHeight="1">
      <c r="A506" s="106"/>
      <c r="B506" s="96">
        <v>286</v>
      </c>
      <c r="C506" s="96">
        <v>9803</v>
      </c>
      <c r="D506" s="96" t="s">
        <v>1209</v>
      </c>
      <c r="E506" s="96">
        <v>520000522</v>
      </c>
      <c r="F506" s="96" t="s">
        <v>308</v>
      </c>
      <c r="G506" s="96" t="s">
        <v>2663</v>
      </c>
      <c r="H506" s="96" t="s">
        <v>2664</v>
      </c>
      <c r="I506" s="96" t="s">
        <v>320</v>
      </c>
      <c r="J506" s="96" t="s">
        <v>918</v>
      </c>
      <c r="K506" s="96" t="s">
        <v>203</v>
      </c>
      <c r="L506" s="96" t="s">
        <v>203</v>
      </c>
      <c r="M506" s="96" t="s">
        <v>324</v>
      </c>
      <c r="N506" s="96" t="s">
        <v>339</v>
      </c>
      <c r="O506" s="96" t="s">
        <v>447</v>
      </c>
      <c r="P506" s="96" t="s">
        <v>338</v>
      </c>
      <c r="Q506" s="96" t="s">
        <v>1200</v>
      </c>
      <c r="R506" s="97">
        <v>537.30609300000003</v>
      </c>
      <c r="S506" s="97">
        <v>1</v>
      </c>
      <c r="T506" s="97">
        <v>13080</v>
      </c>
      <c r="U506" s="96"/>
      <c r="V506" s="97">
        <v>70.279635999999996</v>
      </c>
      <c r="W506" s="98">
        <v>1.9999999999999999E-6</v>
      </c>
      <c r="X506" s="98">
        <v>3.073E-2</v>
      </c>
      <c r="Y506" s="98">
        <v>4.2139999999999999E-3</v>
      </c>
      <c r="Z506" s="106"/>
    </row>
    <row r="507" spans="1:26" ht="15" customHeight="1">
      <c r="A507" s="106"/>
      <c r="B507" s="96">
        <v>286</v>
      </c>
      <c r="C507" s="96">
        <v>9803</v>
      </c>
      <c r="D507" s="96" t="s">
        <v>2574</v>
      </c>
      <c r="E507" s="96">
        <v>520025156</v>
      </c>
      <c r="F507" s="96" t="s">
        <v>308</v>
      </c>
      <c r="G507" s="96" t="s">
        <v>2575</v>
      </c>
      <c r="H507" s="96" t="s">
        <v>2576</v>
      </c>
      <c r="I507" s="96" t="s">
        <v>320</v>
      </c>
      <c r="J507" s="96" t="s">
        <v>918</v>
      </c>
      <c r="K507" s="96" t="s">
        <v>203</v>
      </c>
      <c r="L507" s="96" t="s">
        <v>203</v>
      </c>
      <c r="M507" s="96" t="s">
        <v>324</v>
      </c>
      <c r="N507" s="96" t="s">
        <v>339</v>
      </c>
      <c r="O507" s="96" t="s">
        <v>450</v>
      </c>
      <c r="P507" s="96" t="s">
        <v>338</v>
      </c>
      <c r="Q507" s="96" t="s">
        <v>1200</v>
      </c>
      <c r="R507" s="97">
        <v>23.537023999999999</v>
      </c>
      <c r="S507" s="97">
        <v>1</v>
      </c>
      <c r="T507" s="97">
        <v>4562</v>
      </c>
      <c r="U507" s="96"/>
      <c r="V507" s="97">
        <v>1.073758</v>
      </c>
      <c r="W507" s="98">
        <v>1.9999999999999999E-6</v>
      </c>
      <c r="X507" s="98">
        <v>4.6799999999999999E-4</v>
      </c>
      <c r="Y507" s="98">
        <v>6.3E-5</v>
      </c>
      <c r="Z507" s="106"/>
    </row>
    <row r="508" spans="1:26" ht="15" customHeight="1">
      <c r="A508" s="106"/>
      <c r="B508" s="96">
        <v>286</v>
      </c>
      <c r="C508" s="96">
        <v>9803</v>
      </c>
      <c r="D508" s="96" t="s">
        <v>1982</v>
      </c>
      <c r="E508" s="96">
        <v>520036732</v>
      </c>
      <c r="F508" s="96" t="s">
        <v>308</v>
      </c>
      <c r="G508" s="96" t="s">
        <v>2471</v>
      </c>
      <c r="H508" s="96" t="s">
        <v>2472</v>
      </c>
      <c r="I508" s="96" t="s">
        <v>320</v>
      </c>
      <c r="J508" s="96" t="s">
        <v>918</v>
      </c>
      <c r="K508" s="96" t="s">
        <v>203</v>
      </c>
      <c r="L508" s="96" t="s">
        <v>203</v>
      </c>
      <c r="M508" s="96" t="s">
        <v>324</v>
      </c>
      <c r="N508" s="96" t="s">
        <v>339</v>
      </c>
      <c r="O508" s="96" t="s">
        <v>461</v>
      </c>
      <c r="P508" s="96" t="s">
        <v>338</v>
      </c>
      <c r="Q508" s="96" t="s">
        <v>1200</v>
      </c>
      <c r="R508" s="97">
        <v>17.692321</v>
      </c>
      <c r="S508" s="97">
        <v>1</v>
      </c>
      <c r="T508" s="97">
        <v>19430</v>
      </c>
      <c r="U508" s="96"/>
      <c r="V508" s="97">
        <v>3.4376180000000001</v>
      </c>
      <c r="W508" s="98">
        <v>1.9999999999999999E-6</v>
      </c>
      <c r="X508" s="98">
        <v>1.503E-3</v>
      </c>
      <c r="Y508" s="98">
        <v>2.0599999999999999E-4</v>
      </c>
      <c r="Z508" s="106"/>
    </row>
    <row r="509" spans="1:26" ht="15" customHeight="1">
      <c r="A509" s="106"/>
      <c r="B509" s="96">
        <v>286</v>
      </c>
      <c r="C509" s="96">
        <v>9803</v>
      </c>
      <c r="D509" s="96" t="s">
        <v>2720</v>
      </c>
      <c r="E509" s="96">
        <v>520037565</v>
      </c>
      <c r="F509" s="96" t="s">
        <v>308</v>
      </c>
      <c r="G509" s="96" t="s">
        <v>2721</v>
      </c>
      <c r="H509" s="96" t="s">
        <v>2722</v>
      </c>
      <c r="I509" s="96" t="s">
        <v>320</v>
      </c>
      <c r="J509" s="96" t="s">
        <v>918</v>
      </c>
      <c r="K509" s="96" t="s">
        <v>203</v>
      </c>
      <c r="L509" s="96" t="s">
        <v>203</v>
      </c>
      <c r="M509" s="96" t="s">
        <v>324</v>
      </c>
      <c r="N509" s="96" t="s">
        <v>339</v>
      </c>
      <c r="O509" s="96" t="s">
        <v>476</v>
      </c>
      <c r="P509" s="96" t="s">
        <v>337</v>
      </c>
      <c r="Q509" s="96" t="s">
        <v>1200</v>
      </c>
      <c r="R509" s="97">
        <v>22.360914999999999</v>
      </c>
      <c r="S509" s="97">
        <v>1</v>
      </c>
      <c r="T509" s="97">
        <v>30090</v>
      </c>
      <c r="U509" s="96"/>
      <c r="V509" s="97">
        <v>6.7283989999999996</v>
      </c>
      <c r="W509" s="98">
        <v>3.0000000000000001E-6</v>
      </c>
      <c r="X509" s="98">
        <v>2.9420000000000002E-3</v>
      </c>
      <c r="Y509" s="98">
        <v>4.0299999999999998E-4</v>
      </c>
      <c r="Z509" s="106"/>
    </row>
    <row r="510" spans="1:26" ht="15" customHeight="1">
      <c r="A510" s="106"/>
      <c r="B510" s="96">
        <v>286</v>
      </c>
      <c r="C510" s="96">
        <v>9803</v>
      </c>
      <c r="D510" s="96" t="s">
        <v>2636</v>
      </c>
      <c r="E510" s="96">
        <v>513955252</v>
      </c>
      <c r="F510" s="96" t="s">
        <v>308</v>
      </c>
      <c r="G510" s="96" t="s">
        <v>2637</v>
      </c>
      <c r="H510" s="96" t="s">
        <v>2638</v>
      </c>
      <c r="I510" s="96" t="s">
        <v>320</v>
      </c>
      <c r="J510" s="96" t="s">
        <v>918</v>
      </c>
      <c r="K510" s="96" t="s">
        <v>203</v>
      </c>
      <c r="L510" s="96" t="s">
        <v>203</v>
      </c>
      <c r="M510" s="96" t="s">
        <v>324</v>
      </c>
      <c r="N510" s="96" t="s">
        <v>339</v>
      </c>
      <c r="O510" s="96" t="s">
        <v>461</v>
      </c>
      <c r="P510" s="96" t="s">
        <v>338</v>
      </c>
      <c r="Q510" s="96" t="s">
        <v>1200</v>
      </c>
      <c r="R510" s="97">
        <v>154.85394600000001</v>
      </c>
      <c r="S510" s="97">
        <v>1</v>
      </c>
      <c r="T510" s="97">
        <v>382.8</v>
      </c>
      <c r="U510" s="96"/>
      <c r="V510" s="97">
        <v>0.59277999999999997</v>
      </c>
      <c r="W510" s="98">
        <v>1.9999999999999999E-6</v>
      </c>
      <c r="X510" s="98">
        <v>2.5900000000000001E-4</v>
      </c>
      <c r="Y510" s="98">
        <v>3.4999999999999997E-5</v>
      </c>
      <c r="Z510" s="106"/>
    </row>
    <row r="511" spans="1:26" ht="15" customHeight="1">
      <c r="A511" s="106"/>
      <c r="B511" s="96">
        <v>286</v>
      </c>
      <c r="C511" s="96">
        <v>9803</v>
      </c>
      <c r="D511" s="96" t="s">
        <v>2559</v>
      </c>
      <c r="E511" s="96">
        <v>520039298</v>
      </c>
      <c r="F511" s="96" t="s">
        <v>308</v>
      </c>
      <c r="G511" s="96" t="s">
        <v>2560</v>
      </c>
      <c r="H511" s="96" t="s">
        <v>2561</v>
      </c>
      <c r="I511" s="96" t="s">
        <v>320</v>
      </c>
      <c r="J511" s="96" t="s">
        <v>918</v>
      </c>
      <c r="K511" s="96" t="s">
        <v>203</v>
      </c>
      <c r="L511" s="96" t="s">
        <v>203</v>
      </c>
      <c r="M511" s="96" t="s">
        <v>326</v>
      </c>
      <c r="N511" s="96" t="s">
        <v>339</v>
      </c>
      <c r="O511" s="96" t="s">
        <v>446</v>
      </c>
      <c r="P511" s="96" t="s">
        <v>337</v>
      </c>
      <c r="Q511" s="96" t="s">
        <v>1200</v>
      </c>
      <c r="R511" s="97">
        <v>100.219796</v>
      </c>
      <c r="S511" s="97">
        <v>1</v>
      </c>
      <c r="T511" s="97">
        <v>1203.3756000000001</v>
      </c>
      <c r="U511" s="96"/>
      <c r="V511" s="97">
        <v>1.2060200000000001</v>
      </c>
      <c r="W511" s="98">
        <v>0</v>
      </c>
      <c r="X511" s="98">
        <v>5.2700000000000002E-4</v>
      </c>
      <c r="Y511" s="98">
        <v>7.2000000000000002E-5</v>
      </c>
      <c r="Z511" s="106"/>
    </row>
    <row r="512" spans="1:26" ht="15" customHeight="1">
      <c r="A512" s="106"/>
      <c r="B512" s="96">
        <v>286</v>
      </c>
      <c r="C512" s="96">
        <v>9803</v>
      </c>
      <c r="D512" s="96" t="s">
        <v>2762</v>
      </c>
      <c r="E512" s="96">
        <v>511898835</v>
      </c>
      <c r="F512" s="96" t="s">
        <v>308</v>
      </c>
      <c r="G512" s="96" t="s">
        <v>2763</v>
      </c>
      <c r="H512" s="96" t="s">
        <v>2764</v>
      </c>
      <c r="I512" s="96" t="s">
        <v>320</v>
      </c>
      <c r="J512" s="96" t="s">
        <v>918</v>
      </c>
      <c r="K512" s="96" t="s">
        <v>203</v>
      </c>
      <c r="L512" s="96" t="s">
        <v>203</v>
      </c>
      <c r="M512" s="96" t="s">
        <v>324</v>
      </c>
      <c r="N512" s="96" t="s">
        <v>339</v>
      </c>
      <c r="O512" s="96" t="s">
        <v>449</v>
      </c>
      <c r="P512" s="96" t="s">
        <v>338</v>
      </c>
      <c r="Q512" s="96" t="s">
        <v>1200</v>
      </c>
      <c r="R512" s="97">
        <v>132.296436</v>
      </c>
      <c r="S512" s="97">
        <v>1</v>
      </c>
      <c r="T512" s="97">
        <v>32.6</v>
      </c>
      <c r="U512" s="96"/>
      <c r="V512" s="97">
        <v>4.3128E-2</v>
      </c>
      <c r="W512" s="98">
        <v>0</v>
      </c>
      <c r="X512" s="98">
        <v>1.8E-5</v>
      </c>
      <c r="Y512" s="98">
        <v>1.9999999999999999E-6</v>
      </c>
      <c r="Z512" s="106"/>
    </row>
    <row r="513" spans="1:26" ht="15" customHeight="1">
      <c r="A513" s="106"/>
      <c r="B513" s="96">
        <v>286</v>
      </c>
      <c r="C513" s="96">
        <v>9803</v>
      </c>
      <c r="D513" s="96" t="s">
        <v>2562</v>
      </c>
      <c r="E513" s="96">
        <v>511527202</v>
      </c>
      <c r="F513" s="96" t="s">
        <v>308</v>
      </c>
      <c r="G513" s="96" t="s">
        <v>2563</v>
      </c>
      <c r="H513" s="96" t="s">
        <v>2564</v>
      </c>
      <c r="I513" s="96" t="s">
        <v>320</v>
      </c>
      <c r="J513" s="96" t="s">
        <v>918</v>
      </c>
      <c r="K513" s="96" t="s">
        <v>203</v>
      </c>
      <c r="L513" s="96" t="s">
        <v>203</v>
      </c>
      <c r="M513" s="96" t="s">
        <v>324</v>
      </c>
      <c r="N513" s="96" t="s">
        <v>339</v>
      </c>
      <c r="O513" s="96" t="s">
        <v>472</v>
      </c>
      <c r="P513" s="96" t="s">
        <v>338</v>
      </c>
      <c r="Q513" s="96" t="s">
        <v>1200</v>
      </c>
      <c r="R513" s="97">
        <v>238.779752</v>
      </c>
      <c r="S513" s="97">
        <v>1</v>
      </c>
      <c r="T513" s="97">
        <v>1408</v>
      </c>
      <c r="U513" s="96"/>
      <c r="V513" s="97">
        <v>3.362018</v>
      </c>
      <c r="W513" s="98">
        <v>1.9999999999999999E-6</v>
      </c>
      <c r="X513" s="98">
        <v>1.47E-3</v>
      </c>
      <c r="Y513" s="98">
        <v>2.0100000000000001E-4</v>
      </c>
      <c r="Z513" s="106"/>
    </row>
    <row r="514" spans="1:26" ht="15" customHeight="1">
      <c r="A514" s="106"/>
      <c r="B514" s="96">
        <v>286</v>
      </c>
      <c r="C514" s="96">
        <v>9803</v>
      </c>
      <c r="D514" s="96" t="s">
        <v>1351</v>
      </c>
      <c r="E514" s="96">
        <v>520033986</v>
      </c>
      <c r="F514" s="96" t="s">
        <v>308</v>
      </c>
      <c r="G514" s="96" t="s">
        <v>2670</v>
      </c>
      <c r="H514" s="96" t="s">
        <v>2671</v>
      </c>
      <c r="I514" s="96" t="s">
        <v>320</v>
      </c>
      <c r="J514" s="96" t="s">
        <v>918</v>
      </c>
      <c r="K514" s="96" t="s">
        <v>203</v>
      </c>
      <c r="L514" s="96" t="s">
        <v>203</v>
      </c>
      <c r="M514" s="96" t="s">
        <v>324</v>
      </c>
      <c r="N514" s="96" t="s">
        <v>339</v>
      </c>
      <c r="O514" s="96" t="s">
        <v>444</v>
      </c>
      <c r="P514" s="96" t="s">
        <v>338</v>
      </c>
      <c r="Q514" s="96" t="s">
        <v>1200</v>
      </c>
      <c r="R514" s="97">
        <v>634.29447500000003</v>
      </c>
      <c r="S514" s="97">
        <v>1</v>
      </c>
      <c r="T514" s="97">
        <v>2997</v>
      </c>
      <c r="U514" s="96"/>
      <c r="V514" s="97">
        <v>19.009805</v>
      </c>
      <c r="W514" s="98">
        <v>3.0000000000000001E-6</v>
      </c>
      <c r="X514" s="98">
        <v>8.3110000000000007E-3</v>
      </c>
      <c r="Y514" s="98">
        <v>1.139E-3</v>
      </c>
      <c r="Z514" s="106"/>
    </row>
    <row r="515" spans="1:26" ht="15" customHeight="1">
      <c r="A515" s="106"/>
      <c r="B515" s="96">
        <v>286</v>
      </c>
      <c r="C515" s="96">
        <v>9803</v>
      </c>
      <c r="D515" s="96" t="s">
        <v>1499</v>
      </c>
      <c r="E515" s="96">
        <v>520027830</v>
      </c>
      <c r="F515" s="96" t="s">
        <v>308</v>
      </c>
      <c r="G515" s="96" t="s">
        <v>2408</v>
      </c>
      <c r="H515" s="96" t="s">
        <v>2409</v>
      </c>
      <c r="I515" s="96" t="s">
        <v>320</v>
      </c>
      <c r="J515" s="96" t="s">
        <v>918</v>
      </c>
      <c r="K515" s="96" t="s">
        <v>203</v>
      </c>
      <c r="L515" s="96" t="s">
        <v>203</v>
      </c>
      <c r="M515" s="96" t="s">
        <v>324</v>
      </c>
      <c r="N515" s="96" t="s">
        <v>339</v>
      </c>
      <c r="O515" s="96" t="s">
        <v>455</v>
      </c>
      <c r="P515" s="96" t="s">
        <v>338</v>
      </c>
      <c r="Q515" s="96" t="s">
        <v>1200</v>
      </c>
      <c r="R515" s="97">
        <v>3272.870242</v>
      </c>
      <c r="S515" s="97">
        <v>1</v>
      </c>
      <c r="T515" s="97">
        <v>1612</v>
      </c>
      <c r="U515" s="96"/>
      <c r="V515" s="97">
        <v>52.758667000000003</v>
      </c>
      <c r="W515" s="98">
        <v>1.9999999999999999E-6</v>
      </c>
      <c r="X515" s="98">
        <v>2.3068999999999999E-2</v>
      </c>
      <c r="Y515" s="98">
        <v>3.163E-3</v>
      </c>
      <c r="Z515" s="106"/>
    </row>
    <row r="516" spans="1:26" ht="15" customHeight="1">
      <c r="A516" s="106"/>
      <c r="B516" s="96">
        <v>286</v>
      </c>
      <c r="C516" s="96">
        <v>9803</v>
      </c>
      <c r="D516" s="96" t="s">
        <v>1317</v>
      </c>
      <c r="E516" s="96">
        <v>520028911</v>
      </c>
      <c r="F516" s="96" t="s">
        <v>308</v>
      </c>
      <c r="G516" s="96" t="s">
        <v>2467</v>
      </c>
      <c r="H516" s="96" t="s">
        <v>2468</v>
      </c>
      <c r="I516" s="96" t="s">
        <v>320</v>
      </c>
      <c r="J516" s="96" t="s">
        <v>918</v>
      </c>
      <c r="K516" s="96" t="s">
        <v>203</v>
      </c>
      <c r="L516" s="96" t="s">
        <v>203</v>
      </c>
      <c r="M516" s="96" t="s">
        <v>324</v>
      </c>
      <c r="N516" s="96" t="s">
        <v>339</v>
      </c>
      <c r="O516" s="96" t="s">
        <v>450</v>
      </c>
      <c r="P516" s="96" t="s">
        <v>337</v>
      </c>
      <c r="Q516" s="96" t="s">
        <v>1200</v>
      </c>
      <c r="R516" s="97">
        <v>15.290858</v>
      </c>
      <c r="S516" s="97">
        <v>1</v>
      </c>
      <c r="T516" s="97">
        <v>129690</v>
      </c>
      <c r="U516" s="96"/>
      <c r="V516" s="97">
        <v>19.830714</v>
      </c>
      <c r="W516" s="98">
        <v>3.0000000000000001E-6</v>
      </c>
      <c r="X516" s="98">
        <v>8.6709999999999999E-3</v>
      </c>
      <c r="Y516" s="98">
        <v>1.188E-3</v>
      </c>
      <c r="Z516" s="106"/>
    </row>
    <row r="517" spans="1:26" ht="15" customHeight="1">
      <c r="A517" s="106"/>
      <c r="B517" s="96">
        <v>286</v>
      </c>
      <c r="C517" s="96">
        <v>9803</v>
      </c>
      <c r="D517" s="96" t="s">
        <v>1546</v>
      </c>
      <c r="E517" s="96">
        <v>511930125</v>
      </c>
      <c r="F517" s="96" t="s">
        <v>308</v>
      </c>
      <c r="G517" s="96" t="s">
        <v>2492</v>
      </c>
      <c r="H517" s="96" t="s">
        <v>2493</v>
      </c>
      <c r="I517" s="96" t="s">
        <v>320</v>
      </c>
      <c r="J517" s="96" t="s">
        <v>918</v>
      </c>
      <c r="K517" s="96" t="s">
        <v>203</v>
      </c>
      <c r="L517" s="96" t="s">
        <v>203</v>
      </c>
      <c r="M517" s="96" t="s">
        <v>324</v>
      </c>
      <c r="N517" s="96" t="s">
        <v>339</v>
      </c>
      <c r="O517" s="96" t="s">
        <v>483</v>
      </c>
      <c r="P517" s="96" t="s">
        <v>337</v>
      </c>
      <c r="Q517" s="96" t="s">
        <v>1200</v>
      </c>
      <c r="R517" s="97">
        <v>572.845913</v>
      </c>
      <c r="S517" s="97">
        <v>1</v>
      </c>
      <c r="T517" s="97">
        <v>1320</v>
      </c>
      <c r="U517" s="96"/>
      <c r="V517" s="97">
        <v>7.5615649999999999</v>
      </c>
      <c r="W517" s="98">
        <v>3.0000000000000001E-6</v>
      </c>
      <c r="X517" s="98">
        <v>3.3050000000000002E-3</v>
      </c>
      <c r="Y517" s="98">
        <v>4.5199999999999998E-4</v>
      </c>
      <c r="Z517" s="106"/>
    </row>
    <row r="518" spans="1:26" ht="15" customHeight="1">
      <c r="A518" s="106"/>
      <c r="B518" s="96">
        <v>286</v>
      </c>
      <c r="C518" s="96">
        <v>9803</v>
      </c>
      <c r="D518" s="96" t="s">
        <v>1565</v>
      </c>
      <c r="E518" s="96">
        <v>520033234</v>
      </c>
      <c r="F518" s="96" t="s">
        <v>308</v>
      </c>
      <c r="G518" s="96" t="s">
        <v>2602</v>
      </c>
      <c r="H518" s="96" t="s">
        <v>2595</v>
      </c>
      <c r="I518" s="96" t="s">
        <v>320</v>
      </c>
      <c r="J518" s="96" t="s">
        <v>918</v>
      </c>
      <c r="K518" s="96" t="s">
        <v>203</v>
      </c>
      <c r="L518" s="96" t="s">
        <v>203</v>
      </c>
      <c r="M518" s="96" t="s">
        <v>326</v>
      </c>
      <c r="N518" s="96" t="s">
        <v>339</v>
      </c>
      <c r="O518" s="96" t="s">
        <v>464</v>
      </c>
      <c r="P518" s="96" t="s">
        <v>337</v>
      </c>
      <c r="Q518" s="96" t="s">
        <v>1200</v>
      </c>
      <c r="R518" s="97">
        <v>47.843417000000002</v>
      </c>
      <c r="S518" s="97">
        <v>1</v>
      </c>
      <c r="T518" s="97">
        <v>881.8</v>
      </c>
      <c r="U518" s="96"/>
      <c r="V518" s="97">
        <v>0.42188300000000001</v>
      </c>
      <c r="W518" s="98">
        <v>0</v>
      </c>
      <c r="X518" s="98">
        <v>1.84E-4</v>
      </c>
      <c r="Y518" s="98">
        <v>2.5000000000000001E-5</v>
      </c>
      <c r="Z518" s="106"/>
    </row>
    <row r="519" spans="1:26" ht="15" customHeight="1">
      <c r="A519" s="106"/>
      <c r="B519" s="96">
        <v>286</v>
      </c>
      <c r="C519" s="96">
        <v>9803</v>
      </c>
      <c r="D519" s="96" t="s">
        <v>1982</v>
      </c>
      <c r="E519" s="96">
        <v>520036732</v>
      </c>
      <c r="F519" s="96" t="s">
        <v>308</v>
      </c>
      <c r="G519" s="96" t="s">
        <v>2471</v>
      </c>
      <c r="H519" s="96" t="s">
        <v>2472</v>
      </c>
      <c r="I519" s="96" t="s">
        <v>320</v>
      </c>
      <c r="J519" s="96" t="s">
        <v>918</v>
      </c>
      <c r="K519" s="96" t="s">
        <v>203</v>
      </c>
      <c r="L519" s="96" t="s">
        <v>203</v>
      </c>
      <c r="M519" s="96" t="s">
        <v>332</v>
      </c>
      <c r="N519" s="96" t="s">
        <v>339</v>
      </c>
      <c r="O519" s="96" t="s">
        <v>461</v>
      </c>
      <c r="P519" s="96" t="s">
        <v>338</v>
      </c>
      <c r="Q519" s="96" t="s">
        <v>1200</v>
      </c>
      <c r="R519" s="97">
        <v>0.111494</v>
      </c>
      <c r="S519" s="97">
        <v>1</v>
      </c>
      <c r="T519" s="97">
        <v>19430</v>
      </c>
      <c r="U519" s="96"/>
      <c r="V519" s="97">
        <v>2.1663000000000002E-2</v>
      </c>
      <c r="W519" s="98">
        <v>0</v>
      </c>
      <c r="X519" s="98">
        <v>9.0000000000000002E-6</v>
      </c>
      <c r="Y519" s="98">
        <v>9.9999999999999995E-7</v>
      </c>
      <c r="Z519" s="106"/>
    </row>
    <row r="520" spans="1:26" ht="15" customHeight="1">
      <c r="A520" s="106"/>
      <c r="B520" s="96">
        <v>286</v>
      </c>
      <c r="C520" s="96">
        <v>9803</v>
      </c>
      <c r="D520" s="96" t="s">
        <v>2756</v>
      </c>
      <c r="E520" s="96">
        <v>520037425</v>
      </c>
      <c r="F520" s="96" t="s">
        <v>308</v>
      </c>
      <c r="G520" s="96" t="s">
        <v>2757</v>
      </c>
      <c r="H520" s="96" t="s">
        <v>2758</v>
      </c>
      <c r="I520" s="96" t="s">
        <v>320</v>
      </c>
      <c r="J520" s="96" t="s">
        <v>918</v>
      </c>
      <c r="K520" s="96" t="s">
        <v>203</v>
      </c>
      <c r="L520" s="96" t="s">
        <v>203</v>
      </c>
      <c r="M520" s="96" t="s">
        <v>324</v>
      </c>
      <c r="N520" s="96" t="s">
        <v>339</v>
      </c>
      <c r="O520" s="96" t="s">
        <v>461</v>
      </c>
      <c r="P520" s="96" t="s">
        <v>337</v>
      </c>
      <c r="Q520" s="96" t="s">
        <v>1200</v>
      </c>
      <c r="R520" s="97">
        <v>44.346103999999997</v>
      </c>
      <c r="S520" s="97">
        <v>1</v>
      </c>
      <c r="T520" s="97">
        <v>10700</v>
      </c>
      <c r="U520" s="96"/>
      <c r="V520" s="97">
        <v>4.7450320000000001</v>
      </c>
      <c r="W520" s="98">
        <v>3.0000000000000001E-6</v>
      </c>
      <c r="X520" s="98">
        <v>2.0730000000000002E-3</v>
      </c>
      <c r="Y520" s="98">
        <v>2.8400000000000002E-4</v>
      </c>
      <c r="Z520" s="106"/>
    </row>
    <row r="521" spans="1:26" ht="15" customHeight="1">
      <c r="A521" s="106"/>
      <c r="B521" s="96">
        <v>286</v>
      </c>
      <c r="C521" s="96">
        <v>9803</v>
      </c>
      <c r="D521" s="96" t="s">
        <v>1597</v>
      </c>
      <c r="E521" s="96">
        <v>520020116</v>
      </c>
      <c r="F521" s="96" t="s">
        <v>308</v>
      </c>
      <c r="G521" s="96" t="s">
        <v>2567</v>
      </c>
      <c r="H521" s="96" t="s">
        <v>2568</v>
      </c>
      <c r="I521" s="96" t="s">
        <v>320</v>
      </c>
      <c r="J521" s="96" t="s">
        <v>918</v>
      </c>
      <c r="K521" s="96" t="s">
        <v>203</v>
      </c>
      <c r="L521" s="96" t="s">
        <v>203</v>
      </c>
      <c r="M521" s="96" t="s">
        <v>324</v>
      </c>
      <c r="N521" s="96" t="s">
        <v>339</v>
      </c>
      <c r="O521" s="96" t="s">
        <v>463</v>
      </c>
      <c r="P521" s="96" t="s">
        <v>337</v>
      </c>
      <c r="Q521" s="96" t="s">
        <v>1200</v>
      </c>
      <c r="R521" s="97">
        <v>273.42296700000003</v>
      </c>
      <c r="S521" s="97">
        <v>1</v>
      </c>
      <c r="T521" s="97">
        <v>2837</v>
      </c>
      <c r="U521" s="96"/>
      <c r="V521" s="97">
        <v>7.757009</v>
      </c>
      <c r="W521" s="98">
        <v>6.0000000000000002E-6</v>
      </c>
      <c r="X521" s="98">
        <v>3.3909999999999999E-3</v>
      </c>
      <c r="Y521" s="98">
        <v>4.64E-4</v>
      </c>
      <c r="Z521" s="106"/>
    </row>
    <row r="522" spans="1:26" ht="15" customHeight="1">
      <c r="A522" s="106"/>
      <c r="B522" s="96">
        <v>286</v>
      </c>
      <c r="C522" s="96">
        <v>9803</v>
      </c>
      <c r="D522" s="96" t="s">
        <v>2441</v>
      </c>
      <c r="E522" s="96">
        <v>514211457</v>
      </c>
      <c r="F522" s="96" t="s">
        <v>308</v>
      </c>
      <c r="G522" s="96" t="s">
        <v>2442</v>
      </c>
      <c r="H522" s="96" t="s">
        <v>2443</v>
      </c>
      <c r="I522" s="96" t="s">
        <v>320</v>
      </c>
      <c r="J522" s="96" t="s">
        <v>918</v>
      </c>
      <c r="K522" s="96" t="s">
        <v>203</v>
      </c>
      <c r="L522" s="96" t="s">
        <v>203</v>
      </c>
      <c r="M522" s="96" t="s">
        <v>324</v>
      </c>
      <c r="N522" s="96" t="s">
        <v>339</v>
      </c>
      <c r="O522" s="96" t="s">
        <v>474</v>
      </c>
      <c r="P522" s="96" t="s">
        <v>338</v>
      </c>
      <c r="Q522" s="96" t="s">
        <v>1200</v>
      </c>
      <c r="R522" s="97">
        <v>76.423326000000003</v>
      </c>
      <c r="S522" s="97">
        <v>1</v>
      </c>
      <c r="T522" s="97">
        <v>5970</v>
      </c>
      <c r="U522" s="96"/>
      <c r="V522" s="97">
        <v>4.5624719999999996</v>
      </c>
      <c r="W522" s="98">
        <v>9.9999999999999995E-7</v>
      </c>
      <c r="X522" s="98">
        <v>1.9949999999999998E-3</v>
      </c>
      <c r="Y522" s="98">
        <v>2.7300000000000002E-4</v>
      </c>
      <c r="Z522" s="106"/>
    </row>
    <row r="523" spans="1:26" ht="15" customHeight="1">
      <c r="A523" s="106"/>
      <c r="B523" s="96">
        <v>286</v>
      </c>
      <c r="C523" s="96">
        <v>9803</v>
      </c>
      <c r="D523" s="96" t="s">
        <v>2720</v>
      </c>
      <c r="E523" s="96">
        <v>520037565</v>
      </c>
      <c r="F523" s="96" t="s">
        <v>308</v>
      </c>
      <c r="G523" s="96" t="s">
        <v>2761</v>
      </c>
      <c r="H523" s="96" t="s">
        <v>2722</v>
      </c>
      <c r="I523" s="96" t="s">
        <v>320</v>
      </c>
      <c r="J523" s="96" t="s">
        <v>918</v>
      </c>
      <c r="K523" s="96" t="s">
        <v>203</v>
      </c>
      <c r="L523" s="96" t="s">
        <v>203</v>
      </c>
      <c r="M523" s="96" t="s">
        <v>326</v>
      </c>
      <c r="N523" s="96" t="s">
        <v>339</v>
      </c>
      <c r="O523" s="96" t="s">
        <v>476</v>
      </c>
      <c r="P523" s="96" t="s">
        <v>337</v>
      </c>
      <c r="Q523" s="96" t="s">
        <v>1200</v>
      </c>
      <c r="R523" s="97">
        <v>0.21278900000000001</v>
      </c>
      <c r="S523" s="97">
        <v>1</v>
      </c>
      <c r="T523" s="97">
        <v>29882.278699999999</v>
      </c>
      <c r="U523" s="96"/>
      <c r="V523" s="97">
        <v>6.3586000000000004E-2</v>
      </c>
      <c r="W523" s="98">
        <v>0</v>
      </c>
      <c r="X523" s="98">
        <v>2.6999999999999999E-5</v>
      </c>
      <c r="Y523" s="98">
        <v>3.0000000000000001E-6</v>
      </c>
      <c r="Z523" s="106"/>
    </row>
    <row r="524" spans="1:26" ht="15" customHeight="1">
      <c r="A524" s="106"/>
      <c r="B524" s="96">
        <v>286</v>
      </c>
      <c r="C524" s="96">
        <v>9803</v>
      </c>
      <c r="D524" s="96" t="s">
        <v>2489</v>
      </c>
      <c r="E524" s="96">
        <v>516077989</v>
      </c>
      <c r="F524" s="96" t="s">
        <v>308</v>
      </c>
      <c r="G524" s="96" t="s">
        <v>2490</v>
      </c>
      <c r="H524" s="96" t="s">
        <v>2491</v>
      </c>
      <c r="I524" s="96" t="s">
        <v>320</v>
      </c>
      <c r="J524" s="96" t="s">
        <v>918</v>
      </c>
      <c r="K524" s="96" t="s">
        <v>203</v>
      </c>
      <c r="L524" s="96" t="s">
        <v>203</v>
      </c>
      <c r="M524" s="96" t="s">
        <v>324</v>
      </c>
      <c r="N524" s="96" t="s">
        <v>339</v>
      </c>
      <c r="O524" s="96" t="s">
        <v>439</v>
      </c>
      <c r="P524" s="96" t="s">
        <v>337</v>
      </c>
      <c r="Q524" s="96" t="s">
        <v>1200</v>
      </c>
      <c r="R524" s="97">
        <v>81.620934000000005</v>
      </c>
      <c r="S524" s="97">
        <v>1</v>
      </c>
      <c r="T524" s="97">
        <v>1731</v>
      </c>
      <c r="U524" s="96"/>
      <c r="V524" s="97">
        <v>1.4128579999999999</v>
      </c>
      <c r="W524" s="98">
        <v>3.9999999999999998E-6</v>
      </c>
      <c r="X524" s="98">
        <v>6.1700000000000004E-4</v>
      </c>
      <c r="Y524" s="98">
        <v>8.3999999999999995E-5</v>
      </c>
      <c r="Z524" s="106"/>
    </row>
    <row r="525" spans="1:26" ht="15" customHeight="1">
      <c r="A525" s="106"/>
      <c r="B525" s="96">
        <v>286</v>
      </c>
      <c r="C525" s="96">
        <v>9803</v>
      </c>
      <c r="D525" s="96" t="s">
        <v>2457</v>
      </c>
      <c r="E525" s="96">
        <v>515251593</v>
      </c>
      <c r="F525" s="96" t="s">
        <v>308</v>
      </c>
      <c r="G525" s="96" t="s">
        <v>2458</v>
      </c>
      <c r="H525" s="96" t="s">
        <v>2459</v>
      </c>
      <c r="I525" s="96" t="s">
        <v>320</v>
      </c>
      <c r="J525" s="96" t="s">
        <v>918</v>
      </c>
      <c r="K525" s="96" t="s">
        <v>203</v>
      </c>
      <c r="L525" s="96" t="s">
        <v>203</v>
      </c>
      <c r="M525" s="96" t="s">
        <v>324</v>
      </c>
      <c r="N525" s="96" t="s">
        <v>339</v>
      </c>
      <c r="O525" s="96" t="s">
        <v>455</v>
      </c>
      <c r="P525" s="96" t="s">
        <v>337</v>
      </c>
      <c r="Q525" s="96" t="s">
        <v>1200</v>
      </c>
      <c r="R525" s="97">
        <v>378.86766499999999</v>
      </c>
      <c r="S525" s="97">
        <v>1</v>
      </c>
      <c r="T525" s="97">
        <v>1084</v>
      </c>
      <c r="U525" s="96"/>
      <c r="V525" s="97">
        <v>4.1069250000000004</v>
      </c>
      <c r="W525" s="98">
        <v>3.0000000000000001E-6</v>
      </c>
      <c r="X525" s="98">
        <v>1.7949999999999999E-3</v>
      </c>
      <c r="Y525" s="98">
        <v>2.4600000000000002E-4</v>
      </c>
      <c r="Z525" s="106"/>
    </row>
    <row r="526" spans="1:26" ht="15" customHeight="1">
      <c r="A526" s="106"/>
      <c r="B526" s="96">
        <v>286</v>
      </c>
      <c r="C526" s="96">
        <v>9803</v>
      </c>
      <c r="D526" s="96" t="s">
        <v>2444</v>
      </c>
      <c r="E526" s="96">
        <v>520034356</v>
      </c>
      <c r="F526" s="96" t="s">
        <v>308</v>
      </c>
      <c r="G526" s="96" t="s">
        <v>2445</v>
      </c>
      <c r="H526" s="96" t="s">
        <v>2446</v>
      </c>
      <c r="I526" s="96" t="s">
        <v>320</v>
      </c>
      <c r="J526" s="96" t="s">
        <v>918</v>
      </c>
      <c r="K526" s="96" t="s">
        <v>203</v>
      </c>
      <c r="L526" s="96" t="s">
        <v>203</v>
      </c>
      <c r="M526" s="96" t="s">
        <v>324</v>
      </c>
      <c r="N526" s="96" t="s">
        <v>339</v>
      </c>
      <c r="O526" s="96" t="s">
        <v>477</v>
      </c>
      <c r="P526" s="96" t="s">
        <v>338</v>
      </c>
      <c r="Q526" s="96" t="s">
        <v>1200</v>
      </c>
      <c r="R526" s="97">
        <v>35.696672999999997</v>
      </c>
      <c r="S526" s="97">
        <v>1</v>
      </c>
      <c r="T526" s="97">
        <v>10450</v>
      </c>
      <c r="U526" s="96"/>
      <c r="V526" s="97">
        <v>3.7303009999999999</v>
      </c>
      <c r="W526" s="98">
        <v>1.9999999999999999E-6</v>
      </c>
      <c r="X526" s="98">
        <v>1.6310000000000001E-3</v>
      </c>
      <c r="Y526" s="98">
        <v>2.22E-4</v>
      </c>
      <c r="Z526" s="106"/>
    </row>
    <row r="527" spans="1:26" ht="15" customHeight="1">
      <c r="A527" s="106"/>
      <c r="B527" s="96">
        <v>286</v>
      </c>
      <c r="C527" s="96">
        <v>9803</v>
      </c>
      <c r="D527" s="96" t="s">
        <v>2494</v>
      </c>
      <c r="E527" s="96">
        <v>513770669</v>
      </c>
      <c r="F527" s="96" t="s">
        <v>308</v>
      </c>
      <c r="G527" s="96" t="s">
        <v>2495</v>
      </c>
      <c r="H527" s="96" t="s">
        <v>2496</v>
      </c>
      <c r="I527" s="96" t="s">
        <v>320</v>
      </c>
      <c r="J527" s="96" t="s">
        <v>918</v>
      </c>
      <c r="K527" s="96" t="s">
        <v>203</v>
      </c>
      <c r="L527" s="96" t="s">
        <v>203</v>
      </c>
      <c r="M527" s="96" t="s">
        <v>324</v>
      </c>
      <c r="N527" s="96" t="s">
        <v>339</v>
      </c>
      <c r="O527" s="96" t="s">
        <v>474</v>
      </c>
      <c r="P527" s="96" t="s">
        <v>338</v>
      </c>
      <c r="Q527" s="96" t="s">
        <v>1200</v>
      </c>
      <c r="R527" s="97">
        <v>36.740322999999997</v>
      </c>
      <c r="S527" s="97">
        <v>1</v>
      </c>
      <c r="T527" s="97">
        <v>19750</v>
      </c>
      <c r="U527" s="96"/>
      <c r="V527" s="97">
        <v>7.2562129999999998</v>
      </c>
      <c r="W527" s="98">
        <v>1.9999999999999999E-6</v>
      </c>
      <c r="X527" s="98">
        <v>3.1719999999999999E-3</v>
      </c>
      <c r="Y527" s="98">
        <v>4.3399999999999998E-4</v>
      </c>
      <c r="Z527" s="106"/>
    </row>
    <row r="528" spans="1:26" ht="15" customHeight="1">
      <c r="A528" s="106"/>
      <c r="B528" s="96">
        <v>286</v>
      </c>
      <c r="C528" s="96">
        <v>9803</v>
      </c>
      <c r="D528" s="96" t="s">
        <v>1551</v>
      </c>
      <c r="E528" s="96">
        <v>511659401</v>
      </c>
      <c r="F528" s="96" t="s">
        <v>308</v>
      </c>
      <c r="G528" s="96" t="s">
        <v>2565</v>
      </c>
      <c r="H528" s="96" t="s">
        <v>2566</v>
      </c>
      <c r="I528" s="96" t="s">
        <v>320</v>
      </c>
      <c r="J528" s="96" t="s">
        <v>918</v>
      </c>
      <c r="K528" s="96" t="s">
        <v>203</v>
      </c>
      <c r="L528" s="96" t="s">
        <v>203</v>
      </c>
      <c r="M528" s="96" t="s">
        <v>324</v>
      </c>
      <c r="N528" s="96" t="s">
        <v>339</v>
      </c>
      <c r="O528" s="96" t="s">
        <v>463</v>
      </c>
      <c r="P528" s="96" t="s">
        <v>338</v>
      </c>
      <c r="Q528" s="96" t="s">
        <v>1200</v>
      </c>
      <c r="R528" s="97">
        <v>274.93016</v>
      </c>
      <c r="S528" s="97">
        <v>1</v>
      </c>
      <c r="T528" s="97">
        <v>5317</v>
      </c>
      <c r="U528" s="96"/>
      <c r="V528" s="97">
        <v>14.618036</v>
      </c>
      <c r="W528" s="98">
        <v>1.9999999999999999E-6</v>
      </c>
      <c r="X528" s="98">
        <v>6.391E-3</v>
      </c>
      <c r="Y528" s="98">
        <v>8.7600000000000004E-4</v>
      </c>
      <c r="Z528" s="106"/>
    </row>
    <row r="529" spans="1:26" ht="15" customHeight="1">
      <c r="A529" s="106"/>
      <c r="B529" s="96">
        <v>286</v>
      </c>
      <c r="C529" s="96">
        <v>9803</v>
      </c>
      <c r="D529" s="96" t="s">
        <v>2726</v>
      </c>
      <c r="E529" s="96"/>
      <c r="F529" s="96" t="s">
        <v>308</v>
      </c>
      <c r="G529" s="96" t="s">
        <v>2727</v>
      </c>
      <c r="H529" s="96" t="s">
        <v>2728</v>
      </c>
      <c r="I529" s="96" t="s">
        <v>320</v>
      </c>
      <c r="J529" s="96" t="s">
        <v>918</v>
      </c>
      <c r="K529" s="96" t="s">
        <v>203</v>
      </c>
      <c r="L529" s="96" t="s">
        <v>203</v>
      </c>
      <c r="M529" s="96" t="s">
        <v>326</v>
      </c>
      <c r="N529" s="96" t="s">
        <v>339</v>
      </c>
      <c r="O529" s="96" t="s">
        <v>470</v>
      </c>
      <c r="P529" s="96" t="s">
        <v>338</v>
      </c>
      <c r="Q529" s="96" t="s">
        <v>1200</v>
      </c>
      <c r="R529" s="97">
        <v>1.6910780000000001</v>
      </c>
      <c r="S529" s="97">
        <v>1</v>
      </c>
      <c r="T529" s="97">
        <v>532.67229999999995</v>
      </c>
      <c r="U529" s="96"/>
      <c r="V529" s="97">
        <v>9.0069999999999994E-3</v>
      </c>
      <c r="W529" s="98">
        <v>0</v>
      </c>
      <c r="X529" s="98">
        <v>3.0000000000000001E-6</v>
      </c>
      <c r="Y529" s="98">
        <v>0</v>
      </c>
      <c r="Z529" s="106"/>
    </row>
    <row r="530" spans="1:26" ht="15" customHeight="1">
      <c r="A530" s="106"/>
      <c r="B530" s="96">
        <v>286</v>
      </c>
      <c r="C530" s="96">
        <v>9803</v>
      </c>
      <c r="D530" s="96" t="s">
        <v>2608</v>
      </c>
      <c r="E530" s="96">
        <v>520020033</v>
      </c>
      <c r="F530" s="96" t="s">
        <v>308</v>
      </c>
      <c r="G530" s="96" t="s">
        <v>2609</v>
      </c>
      <c r="H530" s="96" t="s">
        <v>2610</v>
      </c>
      <c r="I530" s="96" t="s">
        <v>320</v>
      </c>
      <c r="J530" s="96" t="s">
        <v>918</v>
      </c>
      <c r="K530" s="96" t="s">
        <v>203</v>
      </c>
      <c r="L530" s="96" t="s">
        <v>203</v>
      </c>
      <c r="M530" s="96" t="s">
        <v>324</v>
      </c>
      <c r="N530" s="96" t="s">
        <v>339</v>
      </c>
      <c r="O530" s="96" t="s">
        <v>477</v>
      </c>
      <c r="P530" s="96" t="s">
        <v>338</v>
      </c>
      <c r="Q530" s="96" t="s">
        <v>1200</v>
      </c>
      <c r="R530" s="97">
        <v>65.090985000000003</v>
      </c>
      <c r="S530" s="97">
        <v>1</v>
      </c>
      <c r="T530" s="97">
        <v>2761</v>
      </c>
      <c r="U530" s="96"/>
      <c r="V530" s="97">
        <v>1.7971619999999999</v>
      </c>
      <c r="W530" s="98">
        <v>0</v>
      </c>
      <c r="X530" s="98">
        <v>7.85E-4</v>
      </c>
      <c r="Y530" s="98">
        <v>1.07E-4</v>
      </c>
      <c r="Z530" s="106"/>
    </row>
    <row r="531" spans="1:26" ht="15" customHeight="1">
      <c r="A531" s="106"/>
      <c r="B531" s="96">
        <v>286</v>
      </c>
      <c r="C531" s="96">
        <v>9803</v>
      </c>
      <c r="D531" s="96" t="s">
        <v>2431</v>
      </c>
      <c r="E531" s="96">
        <v>520041997</v>
      </c>
      <c r="F531" s="96" t="s">
        <v>308</v>
      </c>
      <c r="G531" s="96" t="s">
        <v>2432</v>
      </c>
      <c r="H531" s="96" t="s">
        <v>2433</v>
      </c>
      <c r="I531" s="96" t="s">
        <v>320</v>
      </c>
      <c r="J531" s="96" t="s">
        <v>918</v>
      </c>
      <c r="K531" s="96" t="s">
        <v>203</v>
      </c>
      <c r="L531" s="96" t="s">
        <v>203</v>
      </c>
      <c r="M531" s="96" t="s">
        <v>324</v>
      </c>
      <c r="N531" s="96" t="s">
        <v>339</v>
      </c>
      <c r="O531" s="96" t="s">
        <v>457</v>
      </c>
      <c r="P531" s="96" t="s">
        <v>338</v>
      </c>
      <c r="Q531" s="96" t="s">
        <v>1200</v>
      </c>
      <c r="R531" s="97">
        <v>272.27390100000002</v>
      </c>
      <c r="S531" s="97">
        <v>1</v>
      </c>
      <c r="T531" s="97">
        <v>14820</v>
      </c>
      <c r="U531" s="96"/>
      <c r="V531" s="97">
        <v>40.350991</v>
      </c>
      <c r="W531" s="98">
        <v>1.9999999999999999E-6</v>
      </c>
      <c r="X531" s="98">
        <v>1.7642999999999999E-2</v>
      </c>
      <c r="Y531" s="98">
        <v>2.4190000000000001E-3</v>
      </c>
      <c r="Z531" s="106"/>
    </row>
    <row r="532" spans="1:26" ht="15" customHeight="1">
      <c r="A532" s="106"/>
      <c r="B532" s="96">
        <v>286</v>
      </c>
      <c r="C532" s="96">
        <v>9803</v>
      </c>
      <c r="D532" s="96" t="s">
        <v>1669</v>
      </c>
      <c r="E532" s="96">
        <v>511344186</v>
      </c>
      <c r="F532" s="96" t="s">
        <v>308</v>
      </c>
      <c r="G532" s="96" t="s">
        <v>2552</v>
      </c>
      <c r="H532" s="96" t="s">
        <v>2553</v>
      </c>
      <c r="I532" s="96" t="s">
        <v>320</v>
      </c>
      <c r="J532" s="96" t="s">
        <v>918</v>
      </c>
      <c r="K532" s="96" t="s">
        <v>203</v>
      </c>
      <c r="L532" s="96" t="s">
        <v>203</v>
      </c>
      <c r="M532" s="96" t="s">
        <v>324</v>
      </c>
      <c r="N532" s="96" t="s">
        <v>339</v>
      </c>
      <c r="O532" s="96" t="s">
        <v>474</v>
      </c>
      <c r="P532" s="96" t="s">
        <v>338</v>
      </c>
      <c r="Q532" s="96" t="s">
        <v>1200</v>
      </c>
      <c r="R532" s="97">
        <v>41.159404000000002</v>
      </c>
      <c r="S532" s="97">
        <v>1</v>
      </c>
      <c r="T532" s="97">
        <v>17990</v>
      </c>
      <c r="U532" s="96"/>
      <c r="V532" s="97">
        <v>7.4045759999999996</v>
      </c>
      <c r="W532" s="98">
        <v>1.9999999999999999E-6</v>
      </c>
      <c r="X532" s="98">
        <v>3.2369999999999999E-3</v>
      </c>
      <c r="Y532" s="98">
        <v>4.44E-4</v>
      </c>
      <c r="Z532" s="106"/>
    </row>
    <row r="533" spans="1:26" ht="15" customHeight="1">
      <c r="A533" s="106"/>
      <c r="B533" s="96">
        <v>286</v>
      </c>
      <c r="C533" s="96">
        <v>9803</v>
      </c>
      <c r="D533" s="96" t="s">
        <v>2515</v>
      </c>
      <c r="E533" s="96">
        <v>2250</v>
      </c>
      <c r="F533" s="96" t="s">
        <v>80</v>
      </c>
      <c r="G533" s="96" t="s">
        <v>2516</v>
      </c>
      <c r="H533" s="96" t="s">
        <v>2517</v>
      </c>
      <c r="I533" s="96" t="s">
        <v>320</v>
      </c>
      <c r="J533" s="96" t="s">
        <v>918</v>
      </c>
      <c r="K533" s="96" t="s">
        <v>203</v>
      </c>
      <c r="L533" s="96" t="s">
        <v>223</v>
      </c>
      <c r="M533" s="96" t="s">
        <v>324</v>
      </c>
      <c r="N533" s="96" t="s">
        <v>339</v>
      </c>
      <c r="O533" s="96" t="s">
        <v>440</v>
      </c>
      <c r="P533" s="96" t="s">
        <v>338</v>
      </c>
      <c r="Q533" s="96" t="s">
        <v>1200</v>
      </c>
      <c r="R533" s="97">
        <v>95.611147000000003</v>
      </c>
      <c r="S533" s="97">
        <v>1</v>
      </c>
      <c r="T533" s="97">
        <v>26580</v>
      </c>
      <c r="U533" s="96"/>
      <c r="V533" s="97">
        <v>25.413442</v>
      </c>
      <c r="W533" s="98">
        <v>9.9999999999999995E-7</v>
      </c>
      <c r="X533" s="98">
        <v>1.1112E-2</v>
      </c>
      <c r="Y533" s="98">
        <v>1.523E-3</v>
      </c>
      <c r="Z533" s="106"/>
    </row>
    <row r="534" spans="1:26" ht="15" customHeight="1">
      <c r="A534" s="106"/>
      <c r="B534" s="96">
        <v>286</v>
      </c>
      <c r="C534" s="96">
        <v>9803</v>
      </c>
      <c r="D534" s="96" t="s">
        <v>1197</v>
      </c>
      <c r="E534" s="96">
        <v>520018078</v>
      </c>
      <c r="F534" s="96" t="s">
        <v>308</v>
      </c>
      <c r="G534" s="96" t="s">
        <v>2416</v>
      </c>
      <c r="H534" s="96" t="s">
        <v>2417</v>
      </c>
      <c r="I534" s="96" t="s">
        <v>320</v>
      </c>
      <c r="J534" s="96" t="s">
        <v>918</v>
      </c>
      <c r="K534" s="96" t="s">
        <v>203</v>
      </c>
      <c r="L534" s="96" t="s">
        <v>203</v>
      </c>
      <c r="M534" s="96" t="s">
        <v>324</v>
      </c>
      <c r="N534" s="96" t="s">
        <v>339</v>
      </c>
      <c r="O534" s="96" t="s">
        <v>447</v>
      </c>
      <c r="P534" s="96" t="s">
        <v>338</v>
      </c>
      <c r="Q534" s="96" t="s">
        <v>1200</v>
      </c>
      <c r="R534" s="97">
        <v>4639.9504049999996</v>
      </c>
      <c r="S534" s="97">
        <v>1</v>
      </c>
      <c r="T534" s="97">
        <v>3110</v>
      </c>
      <c r="U534" s="96"/>
      <c r="V534" s="97">
        <v>144.302457</v>
      </c>
      <c r="W534" s="98">
        <v>3.0000000000000001E-6</v>
      </c>
      <c r="X534" s="98">
        <v>6.3098000000000001E-2</v>
      </c>
      <c r="Y534" s="98">
        <v>8.6529999999999992E-3</v>
      </c>
      <c r="Z534" s="106"/>
    </row>
    <row r="535" spans="1:26" ht="15" customHeight="1">
      <c r="A535" s="106"/>
      <c r="B535" s="96">
        <v>286</v>
      </c>
      <c r="C535" s="96">
        <v>9803</v>
      </c>
      <c r="D535" s="96" t="s">
        <v>1558</v>
      </c>
      <c r="E535" s="96">
        <v>510459928</v>
      </c>
      <c r="F535" s="96" t="s">
        <v>308</v>
      </c>
      <c r="G535" s="96" t="s">
        <v>2765</v>
      </c>
      <c r="H535" s="96" t="s">
        <v>2766</v>
      </c>
      <c r="I535" s="96" t="s">
        <v>320</v>
      </c>
      <c r="J535" s="96" t="s">
        <v>918</v>
      </c>
      <c r="K535" s="96" t="s">
        <v>203</v>
      </c>
      <c r="L535" s="96" t="s">
        <v>203</v>
      </c>
      <c r="M535" s="96" t="s">
        <v>324</v>
      </c>
      <c r="N535" s="96" t="s">
        <v>339</v>
      </c>
      <c r="O535" s="96" t="s">
        <v>439</v>
      </c>
      <c r="P535" s="96" t="s">
        <v>337</v>
      </c>
      <c r="Q535" s="96" t="s">
        <v>1200</v>
      </c>
      <c r="R535" s="97">
        <v>3060.8111020000001</v>
      </c>
      <c r="S535" s="97">
        <v>1</v>
      </c>
      <c r="T535" s="97">
        <v>253.5</v>
      </c>
      <c r="U535" s="96"/>
      <c r="V535" s="97">
        <v>7.7591559999999999</v>
      </c>
      <c r="W535" s="98">
        <v>3.0000000000000001E-6</v>
      </c>
      <c r="X535" s="98">
        <v>3.392E-3</v>
      </c>
      <c r="Y535" s="98">
        <v>4.6500000000000003E-4</v>
      </c>
      <c r="Z535" s="106"/>
    </row>
    <row r="536" spans="1:26" ht="15" customHeight="1">
      <c r="A536" s="106"/>
      <c r="B536" s="96">
        <v>286</v>
      </c>
      <c r="C536" s="96">
        <v>9803</v>
      </c>
      <c r="D536" s="96" t="s">
        <v>1385</v>
      </c>
      <c r="E536" s="96">
        <v>520017807</v>
      </c>
      <c r="F536" s="96" t="s">
        <v>308</v>
      </c>
      <c r="G536" s="96" t="s">
        <v>2511</v>
      </c>
      <c r="H536" s="96" t="s">
        <v>2512</v>
      </c>
      <c r="I536" s="96" t="s">
        <v>320</v>
      </c>
      <c r="J536" s="96" t="s">
        <v>918</v>
      </c>
      <c r="K536" s="96" t="s">
        <v>203</v>
      </c>
      <c r="L536" s="96" t="s">
        <v>203</v>
      </c>
      <c r="M536" s="96" t="s">
        <v>324</v>
      </c>
      <c r="N536" s="96" t="s">
        <v>339</v>
      </c>
      <c r="O536" s="96" t="s">
        <v>463</v>
      </c>
      <c r="P536" s="96" t="s">
        <v>337</v>
      </c>
      <c r="Q536" s="96" t="s">
        <v>1200</v>
      </c>
      <c r="R536" s="97">
        <v>24.943615000000001</v>
      </c>
      <c r="S536" s="97">
        <v>1</v>
      </c>
      <c r="T536" s="97">
        <v>65930</v>
      </c>
      <c r="U536" s="96"/>
      <c r="V536" s="97">
        <v>16.445325</v>
      </c>
      <c r="W536" s="98">
        <v>3.9999999999999998E-6</v>
      </c>
      <c r="X536" s="98">
        <v>7.1910000000000003E-3</v>
      </c>
      <c r="Y536" s="98">
        <v>9.859999999999999E-4</v>
      </c>
      <c r="Z536" s="106"/>
    </row>
    <row r="537" spans="1:26" ht="15" customHeight="1">
      <c r="A537" s="106"/>
      <c r="B537" s="96">
        <v>286</v>
      </c>
      <c r="C537" s="96">
        <v>9803</v>
      </c>
      <c r="D537" s="96" t="s">
        <v>1508</v>
      </c>
      <c r="E537" s="96">
        <v>511134298</v>
      </c>
      <c r="F537" s="96" t="s">
        <v>308</v>
      </c>
      <c r="G537" s="96" t="s">
        <v>2426</v>
      </c>
      <c r="H537" s="96" t="s">
        <v>2427</v>
      </c>
      <c r="I537" s="96" t="s">
        <v>320</v>
      </c>
      <c r="J537" s="96" t="s">
        <v>918</v>
      </c>
      <c r="K537" s="96" t="s">
        <v>203</v>
      </c>
      <c r="L537" s="96" t="s">
        <v>203</v>
      </c>
      <c r="M537" s="96" t="s">
        <v>324</v>
      </c>
      <c r="N537" s="96" t="s">
        <v>339</v>
      </c>
      <c r="O537" s="96" t="s">
        <v>463</v>
      </c>
      <c r="P537" s="96" t="s">
        <v>337</v>
      </c>
      <c r="Q537" s="96" t="s">
        <v>1200</v>
      </c>
      <c r="R537" s="97">
        <v>91.584429999999998</v>
      </c>
      <c r="S537" s="97">
        <v>1</v>
      </c>
      <c r="T537" s="97">
        <v>5306</v>
      </c>
      <c r="U537" s="96"/>
      <c r="V537" s="97">
        <v>4.8594689999999998</v>
      </c>
      <c r="W537" s="98">
        <v>6.0000000000000002E-6</v>
      </c>
      <c r="X537" s="98">
        <v>2.1229999999999999E-3</v>
      </c>
      <c r="Y537" s="98">
        <v>2.9E-4</v>
      </c>
      <c r="Z537" s="106"/>
    </row>
    <row r="538" spans="1:26" ht="15" customHeight="1">
      <c r="A538" s="106"/>
      <c r="B538" s="96">
        <v>286</v>
      </c>
      <c r="C538" s="96">
        <v>9803</v>
      </c>
      <c r="D538" s="96" t="s">
        <v>1321</v>
      </c>
      <c r="E538" s="96">
        <v>550263107</v>
      </c>
      <c r="F538" s="96" t="s">
        <v>309</v>
      </c>
      <c r="G538" s="96" t="s">
        <v>2460</v>
      </c>
      <c r="H538" s="96" t="s">
        <v>2461</v>
      </c>
      <c r="I538" s="96" t="s">
        <v>320</v>
      </c>
      <c r="J538" s="96" t="s">
        <v>959</v>
      </c>
      <c r="K538" s="96" t="s">
        <v>203</v>
      </c>
      <c r="L538" s="96" t="s">
        <v>203</v>
      </c>
      <c r="M538" s="96" t="s">
        <v>324</v>
      </c>
      <c r="N538" s="96" t="s">
        <v>339</v>
      </c>
      <c r="O538" s="96" t="s">
        <v>453</v>
      </c>
      <c r="P538" s="96" t="s">
        <v>338</v>
      </c>
      <c r="Q538" s="96" t="s">
        <v>1200</v>
      </c>
      <c r="R538" s="97">
        <v>256.53601500000002</v>
      </c>
      <c r="S538" s="97">
        <v>1</v>
      </c>
      <c r="T538" s="97">
        <v>4674</v>
      </c>
      <c r="U538" s="96"/>
      <c r="V538" s="97">
        <v>11.990493000000001</v>
      </c>
      <c r="W538" s="98">
        <v>1.9999999999999999E-6</v>
      </c>
      <c r="X538" s="98">
        <v>5.2430000000000003E-3</v>
      </c>
      <c r="Y538" s="98">
        <v>7.1900000000000002E-4</v>
      </c>
      <c r="Z538" s="106"/>
    </row>
    <row r="539" spans="1:26" ht="15" customHeight="1">
      <c r="A539" s="106"/>
      <c r="B539" s="96">
        <v>286</v>
      </c>
      <c r="C539" s="96">
        <v>9803</v>
      </c>
      <c r="D539" s="96" t="s">
        <v>1496</v>
      </c>
      <c r="E539" s="96">
        <v>510216054</v>
      </c>
      <c r="F539" s="96" t="s">
        <v>308</v>
      </c>
      <c r="G539" s="96" t="s">
        <v>2542</v>
      </c>
      <c r="H539" s="96" t="s">
        <v>2543</v>
      </c>
      <c r="I539" s="96" t="s">
        <v>320</v>
      </c>
      <c r="J539" s="96" t="s">
        <v>918</v>
      </c>
      <c r="K539" s="96" t="s">
        <v>203</v>
      </c>
      <c r="L539" s="96" t="s">
        <v>203</v>
      </c>
      <c r="M539" s="96" t="s">
        <v>324</v>
      </c>
      <c r="N539" s="96" t="s">
        <v>339</v>
      </c>
      <c r="O539" s="96" t="s">
        <v>439</v>
      </c>
      <c r="P539" s="96" t="s">
        <v>337</v>
      </c>
      <c r="Q539" s="96" t="s">
        <v>1200</v>
      </c>
      <c r="R539" s="97">
        <v>62.593012000000002</v>
      </c>
      <c r="S539" s="97">
        <v>1</v>
      </c>
      <c r="T539" s="97">
        <v>34440</v>
      </c>
      <c r="U539" s="96"/>
      <c r="V539" s="97">
        <v>21.557033000000001</v>
      </c>
      <c r="W539" s="98">
        <v>5.0000000000000004E-6</v>
      </c>
      <c r="X539" s="98">
        <v>9.4260000000000004E-3</v>
      </c>
      <c r="Y539" s="98">
        <v>1.292E-3</v>
      </c>
      <c r="Z539" s="106"/>
    </row>
    <row r="540" spans="1:26" ht="15" customHeight="1">
      <c r="A540" s="106"/>
      <c r="B540" s="96">
        <v>286</v>
      </c>
      <c r="C540" s="96">
        <v>9803</v>
      </c>
      <c r="D540" s="96" t="s">
        <v>1718</v>
      </c>
      <c r="E540" s="96">
        <v>511996803</v>
      </c>
      <c r="F540" s="96" t="s">
        <v>308</v>
      </c>
      <c r="G540" s="96" t="s">
        <v>2590</v>
      </c>
      <c r="H540" s="96" t="s">
        <v>2591</v>
      </c>
      <c r="I540" s="96" t="s">
        <v>320</v>
      </c>
      <c r="J540" s="96" t="s">
        <v>918</v>
      </c>
      <c r="K540" s="96" t="s">
        <v>203</v>
      </c>
      <c r="L540" s="96" t="s">
        <v>203</v>
      </c>
      <c r="M540" s="96" t="s">
        <v>324</v>
      </c>
      <c r="N540" s="96" t="s">
        <v>339</v>
      </c>
      <c r="O540" s="96" t="s">
        <v>446</v>
      </c>
      <c r="P540" s="96" t="s">
        <v>338</v>
      </c>
      <c r="Q540" s="96" t="s">
        <v>1200</v>
      </c>
      <c r="R540" s="97">
        <v>107.79705800000001</v>
      </c>
      <c r="S540" s="97">
        <v>1</v>
      </c>
      <c r="T540" s="97">
        <v>3471</v>
      </c>
      <c r="U540" s="96"/>
      <c r="V540" s="97">
        <v>3.741635</v>
      </c>
      <c r="W540" s="98">
        <v>9.9999999999999995E-7</v>
      </c>
      <c r="X540" s="98">
        <v>1.6360000000000001E-3</v>
      </c>
      <c r="Y540" s="98">
        <v>2.24E-4</v>
      </c>
      <c r="Z540" s="106"/>
    </row>
    <row r="541" spans="1:26" ht="15" customHeight="1">
      <c r="A541" s="106"/>
      <c r="B541" s="96">
        <v>286</v>
      </c>
      <c r="C541" s="96">
        <v>9803</v>
      </c>
      <c r="D541" s="96" t="s">
        <v>2614</v>
      </c>
      <c r="E541" s="96">
        <v>1635</v>
      </c>
      <c r="F541" s="96" t="s">
        <v>80</v>
      </c>
      <c r="G541" s="96" t="s">
        <v>2615</v>
      </c>
      <c r="H541" s="96" t="s">
        <v>2616</v>
      </c>
      <c r="I541" s="96" t="s">
        <v>320</v>
      </c>
      <c r="J541" s="96" t="s">
        <v>918</v>
      </c>
      <c r="K541" s="96" t="s">
        <v>203</v>
      </c>
      <c r="L541" s="96" t="s">
        <v>203</v>
      </c>
      <c r="M541" s="96" t="s">
        <v>324</v>
      </c>
      <c r="N541" s="96" t="s">
        <v>339</v>
      </c>
      <c r="O541" s="96" t="s">
        <v>450</v>
      </c>
      <c r="P541" s="96" t="s">
        <v>338</v>
      </c>
      <c r="Q541" s="96" t="s">
        <v>1200</v>
      </c>
      <c r="R541" s="97">
        <v>142.593186</v>
      </c>
      <c r="S541" s="97">
        <v>1</v>
      </c>
      <c r="T541" s="97">
        <v>9392</v>
      </c>
      <c r="U541" s="96"/>
      <c r="V541" s="97">
        <v>13.392351</v>
      </c>
      <c r="W541" s="98">
        <v>1.9999999999999999E-6</v>
      </c>
      <c r="X541" s="98">
        <v>5.855E-3</v>
      </c>
      <c r="Y541" s="98">
        <v>8.03E-4</v>
      </c>
      <c r="Z541" s="106"/>
    </row>
    <row r="542" spans="1:26" ht="15" customHeight="1">
      <c r="A542" s="106"/>
      <c r="B542" s="96">
        <v>286</v>
      </c>
      <c r="C542" s="96">
        <v>9803</v>
      </c>
      <c r="D542" s="96" t="s">
        <v>2559</v>
      </c>
      <c r="E542" s="96">
        <v>520039298</v>
      </c>
      <c r="F542" s="96" t="s">
        <v>308</v>
      </c>
      <c r="G542" s="96" t="s">
        <v>2571</v>
      </c>
      <c r="H542" s="96" t="s">
        <v>2561</v>
      </c>
      <c r="I542" s="96" t="s">
        <v>320</v>
      </c>
      <c r="J542" s="96" t="s">
        <v>918</v>
      </c>
      <c r="K542" s="96" t="s">
        <v>203</v>
      </c>
      <c r="L542" s="96" t="s">
        <v>203</v>
      </c>
      <c r="M542" s="96" t="s">
        <v>324</v>
      </c>
      <c r="N542" s="96" t="s">
        <v>339</v>
      </c>
      <c r="O542" s="96" t="s">
        <v>446</v>
      </c>
      <c r="P542" s="96" t="s">
        <v>337</v>
      </c>
      <c r="Q542" s="96" t="s">
        <v>1200</v>
      </c>
      <c r="R542" s="97">
        <v>1297.4863740000001</v>
      </c>
      <c r="S542" s="97">
        <v>1</v>
      </c>
      <c r="T542" s="97">
        <v>1205</v>
      </c>
      <c r="U542" s="96"/>
      <c r="V542" s="97">
        <v>15.63471</v>
      </c>
      <c r="W542" s="98">
        <v>3.9999999999999998E-6</v>
      </c>
      <c r="X542" s="98">
        <v>6.8360000000000001E-3</v>
      </c>
      <c r="Y542" s="98">
        <v>9.3700000000000001E-4</v>
      </c>
      <c r="Z542" s="106"/>
    </row>
    <row r="543" spans="1:26" ht="15" customHeight="1">
      <c r="A543" s="106"/>
      <c r="B543" s="96">
        <v>286</v>
      </c>
      <c r="C543" s="96">
        <v>9803</v>
      </c>
      <c r="D543" s="96" t="s">
        <v>1514</v>
      </c>
      <c r="E543" s="96">
        <v>520043027</v>
      </c>
      <c r="F543" s="96" t="s">
        <v>308</v>
      </c>
      <c r="G543" s="96" t="s">
        <v>2478</v>
      </c>
      <c r="H543" s="96" t="s">
        <v>2479</v>
      </c>
      <c r="I543" s="96" t="s">
        <v>320</v>
      </c>
      <c r="J543" s="96" t="s">
        <v>918</v>
      </c>
      <c r="K543" s="96" t="s">
        <v>203</v>
      </c>
      <c r="L543" s="96" t="s">
        <v>203</v>
      </c>
      <c r="M543" s="96" t="s">
        <v>324</v>
      </c>
      <c r="N543" s="96" t="s">
        <v>339</v>
      </c>
      <c r="O543" s="96" t="s">
        <v>445</v>
      </c>
      <c r="P543" s="96" t="s">
        <v>338</v>
      </c>
      <c r="Q543" s="96" t="s">
        <v>1200</v>
      </c>
      <c r="R543" s="97">
        <v>102.033022</v>
      </c>
      <c r="S543" s="97">
        <v>1</v>
      </c>
      <c r="T543" s="97">
        <v>66410</v>
      </c>
      <c r="U543" s="96"/>
      <c r="V543" s="97">
        <v>67.760130000000004</v>
      </c>
      <c r="W543" s="98">
        <v>1.9999999999999999E-6</v>
      </c>
      <c r="X543" s="98">
        <v>2.9628000000000002E-2</v>
      </c>
      <c r="Y543" s="98">
        <v>4.0629999999999998E-3</v>
      </c>
      <c r="Z543" s="106"/>
    </row>
    <row r="544" spans="1:26" ht="15" customHeight="1">
      <c r="A544" s="106"/>
      <c r="B544" s="96">
        <v>286</v>
      </c>
      <c r="C544" s="96">
        <v>9803</v>
      </c>
      <c r="D544" s="96" t="s">
        <v>2549</v>
      </c>
      <c r="E544" s="96">
        <v>520013954</v>
      </c>
      <c r="F544" s="96" t="s">
        <v>308</v>
      </c>
      <c r="G544" s="96" t="s">
        <v>2550</v>
      </c>
      <c r="H544" s="96" t="s">
        <v>2551</v>
      </c>
      <c r="I544" s="96" t="s">
        <v>320</v>
      </c>
      <c r="J544" s="96" t="s">
        <v>918</v>
      </c>
      <c r="K544" s="96" t="s">
        <v>203</v>
      </c>
      <c r="L544" s="96" t="s">
        <v>203</v>
      </c>
      <c r="M544" s="96" t="s">
        <v>324</v>
      </c>
      <c r="N544" s="96" t="s">
        <v>339</v>
      </c>
      <c r="O544" s="96" t="s">
        <v>466</v>
      </c>
      <c r="P544" s="96" t="s">
        <v>338</v>
      </c>
      <c r="Q544" s="96" t="s">
        <v>1200</v>
      </c>
      <c r="R544" s="97">
        <v>463.099694</v>
      </c>
      <c r="S544" s="97">
        <v>1</v>
      </c>
      <c r="T544" s="97">
        <v>6120</v>
      </c>
      <c r="U544" s="96"/>
      <c r="V544" s="97">
        <v>28.341699999999999</v>
      </c>
      <c r="W544" s="98">
        <v>0</v>
      </c>
      <c r="X544" s="98">
        <v>1.2392E-2</v>
      </c>
      <c r="Y544" s="98">
        <v>1.6980000000000001E-3</v>
      </c>
      <c r="Z544" s="106"/>
    </row>
    <row r="545" spans="1:26" ht="15" customHeight="1">
      <c r="A545" s="106"/>
      <c r="B545" s="96">
        <v>286</v>
      </c>
      <c r="C545" s="96">
        <v>9803</v>
      </c>
      <c r="D545" s="96" t="s">
        <v>2418</v>
      </c>
      <c r="E545" s="96">
        <v>514401702</v>
      </c>
      <c r="F545" s="96" t="s">
        <v>308</v>
      </c>
      <c r="G545" s="96" t="s">
        <v>2419</v>
      </c>
      <c r="H545" s="96" t="s">
        <v>2420</v>
      </c>
      <c r="I545" s="96" t="s">
        <v>320</v>
      </c>
      <c r="J545" s="96" t="s">
        <v>918</v>
      </c>
      <c r="K545" s="96" t="s">
        <v>203</v>
      </c>
      <c r="L545" s="96" t="s">
        <v>203</v>
      </c>
      <c r="M545" s="96" t="s">
        <v>324</v>
      </c>
      <c r="N545" s="96" t="s">
        <v>339</v>
      </c>
      <c r="O545" s="96" t="s">
        <v>439</v>
      </c>
      <c r="P545" s="96" t="s">
        <v>338</v>
      </c>
      <c r="Q545" s="96" t="s">
        <v>1200</v>
      </c>
      <c r="R545" s="97">
        <v>647.51703599999996</v>
      </c>
      <c r="S545" s="97">
        <v>1</v>
      </c>
      <c r="T545" s="97">
        <v>2633</v>
      </c>
      <c r="U545" s="96"/>
      <c r="V545" s="97">
        <v>17.049123000000002</v>
      </c>
      <c r="W545" s="98">
        <v>1.9999999999999999E-6</v>
      </c>
      <c r="X545" s="98">
        <v>7.4539999999999997E-3</v>
      </c>
      <c r="Y545" s="98">
        <v>1.021E-3</v>
      </c>
      <c r="Z545" s="106"/>
    </row>
    <row r="546" spans="1:26" ht="15" customHeight="1">
      <c r="A546" s="106"/>
      <c r="B546" s="96">
        <v>286</v>
      </c>
      <c r="C546" s="96">
        <v>9803</v>
      </c>
      <c r="D546" s="96" t="s">
        <v>2554</v>
      </c>
      <c r="E546" s="96">
        <v>513201582</v>
      </c>
      <c r="F546" s="96" t="s">
        <v>308</v>
      </c>
      <c r="G546" s="96" t="s">
        <v>2555</v>
      </c>
      <c r="H546" s="96" t="s">
        <v>2556</v>
      </c>
      <c r="I546" s="96" t="s">
        <v>320</v>
      </c>
      <c r="J546" s="96" t="s">
        <v>918</v>
      </c>
      <c r="K546" s="96" t="s">
        <v>203</v>
      </c>
      <c r="L546" s="96" t="s">
        <v>203</v>
      </c>
      <c r="M546" s="96" t="s">
        <v>324</v>
      </c>
      <c r="N546" s="96" t="s">
        <v>339</v>
      </c>
      <c r="O546" s="96" t="s">
        <v>446</v>
      </c>
      <c r="P546" s="96" t="s">
        <v>338</v>
      </c>
      <c r="Q546" s="96" t="s">
        <v>1200</v>
      </c>
      <c r="R546" s="97">
        <v>154.85394600000001</v>
      </c>
      <c r="S546" s="97">
        <v>1</v>
      </c>
      <c r="T546" s="97">
        <v>2107</v>
      </c>
      <c r="U546" s="96"/>
      <c r="V546" s="97">
        <v>3.262772</v>
      </c>
      <c r="W546" s="98">
        <v>1.9999999999999999E-6</v>
      </c>
      <c r="X546" s="98">
        <v>1.426E-3</v>
      </c>
      <c r="Y546" s="98">
        <v>1.95E-4</v>
      </c>
      <c r="Z546" s="106"/>
    </row>
    <row r="547" spans="1:26" ht="15" customHeight="1">
      <c r="A547" s="106"/>
      <c r="B547" s="96">
        <v>286</v>
      </c>
      <c r="C547" s="96">
        <v>9803</v>
      </c>
      <c r="D547" s="96" t="s">
        <v>1427</v>
      </c>
      <c r="E547" s="96">
        <v>520031931</v>
      </c>
      <c r="F547" s="96" t="s">
        <v>308</v>
      </c>
      <c r="G547" s="96" t="s">
        <v>2645</v>
      </c>
      <c r="H547" s="96" t="s">
        <v>2646</v>
      </c>
      <c r="I547" s="96" t="s">
        <v>320</v>
      </c>
      <c r="J547" s="96" t="s">
        <v>918</v>
      </c>
      <c r="K547" s="96" t="s">
        <v>203</v>
      </c>
      <c r="L547" s="96" t="s">
        <v>203</v>
      </c>
      <c r="M547" s="96" t="s">
        <v>324</v>
      </c>
      <c r="N547" s="96" t="s">
        <v>339</v>
      </c>
      <c r="O547" s="96" t="s">
        <v>483</v>
      </c>
      <c r="P547" s="96" t="s">
        <v>338</v>
      </c>
      <c r="Q547" s="96" t="s">
        <v>1200</v>
      </c>
      <c r="R547" s="97">
        <v>8609.5214890000007</v>
      </c>
      <c r="S547" s="97">
        <v>1</v>
      </c>
      <c r="T547" s="97">
        <v>423.6</v>
      </c>
      <c r="U547" s="96"/>
      <c r="V547" s="97">
        <v>36.469932</v>
      </c>
      <c r="W547" s="98">
        <v>3.0000000000000001E-6</v>
      </c>
      <c r="X547" s="98">
        <v>1.5945999999999998E-2</v>
      </c>
      <c r="Y547" s="98">
        <v>2.186E-3</v>
      </c>
      <c r="Z547" s="106"/>
    </row>
    <row r="548" spans="1:26" ht="15" customHeight="1">
      <c r="A548" s="106"/>
      <c r="B548" s="96">
        <v>286</v>
      </c>
      <c r="C548" s="96">
        <v>9803</v>
      </c>
      <c r="D548" s="96" t="s">
        <v>2577</v>
      </c>
      <c r="E548" s="96"/>
      <c r="F548" s="96" t="s">
        <v>308</v>
      </c>
      <c r="G548" s="96" t="s">
        <v>2578</v>
      </c>
      <c r="H548" s="96" t="s">
        <v>2579</v>
      </c>
      <c r="I548" s="96" t="s">
        <v>320</v>
      </c>
      <c r="J548" s="96" t="s">
        <v>918</v>
      </c>
      <c r="K548" s="96" t="s">
        <v>203</v>
      </c>
      <c r="L548" s="96" t="s">
        <v>203</v>
      </c>
      <c r="M548" s="96" t="s">
        <v>324</v>
      </c>
      <c r="N548" s="96" t="s">
        <v>339</v>
      </c>
      <c r="O548" s="96" t="s">
        <v>460</v>
      </c>
      <c r="P548" s="96" t="s">
        <v>338</v>
      </c>
      <c r="Q548" s="96" t="s">
        <v>1200</v>
      </c>
      <c r="R548" s="97">
        <v>10.768091</v>
      </c>
      <c r="S548" s="97">
        <v>1</v>
      </c>
      <c r="T548" s="97">
        <v>8151</v>
      </c>
      <c r="U548" s="96"/>
      <c r="V548" s="97">
        <v>0.87770700000000001</v>
      </c>
      <c r="W548" s="98">
        <v>0</v>
      </c>
      <c r="X548" s="98">
        <v>3.8299999999999999E-4</v>
      </c>
      <c r="Y548" s="98">
        <v>5.1999999999999997E-5</v>
      </c>
      <c r="Z548" s="106"/>
    </row>
    <row r="549" spans="1:26" ht="15" customHeight="1">
      <c r="A549" s="106"/>
      <c r="B549" s="96">
        <v>286</v>
      </c>
      <c r="C549" s="96">
        <v>9803</v>
      </c>
      <c r="D549" s="96" t="s">
        <v>1760</v>
      </c>
      <c r="E549" s="96">
        <v>520038894</v>
      </c>
      <c r="F549" s="96" t="s">
        <v>308</v>
      </c>
      <c r="G549" s="96" t="s">
        <v>2482</v>
      </c>
      <c r="H549" s="96" t="s">
        <v>2483</v>
      </c>
      <c r="I549" s="96" t="s">
        <v>320</v>
      </c>
      <c r="J549" s="96" t="s">
        <v>918</v>
      </c>
      <c r="K549" s="96" t="s">
        <v>203</v>
      </c>
      <c r="L549" s="96" t="s">
        <v>203</v>
      </c>
      <c r="M549" s="96" t="s">
        <v>324</v>
      </c>
      <c r="N549" s="96" t="s">
        <v>339</v>
      </c>
      <c r="O549" s="96" t="s">
        <v>464</v>
      </c>
      <c r="P549" s="96" t="s">
        <v>338</v>
      </c>
      <c r="Q549" s="96" t="s">
        <v>1200</v>
      </c>
      <c r="R549" s="97">
        <v>9.4698150000000005</v>
      </c>
      <c r="S549" s="97">
        <v>1</v>
      </c>
      <c r="T549" s="97">
        <v>13310</v>
      </c>
      <c r="U549" s="96"/>
      <c r="V549" s="97">
        <v>1.260432</v>
      </c>
      <c r="W549" s="98">
        <v>0</v>
      </c>
      <c r="X549" s="98">
        <v>5.5099999999999995E-4</v>
      </c>
      <c r="Y549" s="98">
        <v>7.4999999999999993E-5</v>
      </c>
      <c r="Z549" s="106"/>
    </row>
    <row r="550" spans="1:26" ht="15" customHeight="1">
      <c r="A550" s="106"/>
      <c r="B550" s="96">
        <v>286</v>
      </c>
      <c r="C550" s="96">
        <v>9803</v>
      </c>
      <c r="D550" s="96" t="s">
        <v>1310</v>
      </c>
      <c r="E550" s="96">
        <v>520017450</v>
      </c>
      <c r="F550" s="96" t="s">
        <v>308</v>
      </c>
      <c r="G550" s="96" t="s">
        <v>2634</v>
      </c>
      <c r="H550" s="96" t="s">
        <v>2635</v>
      </c>
      <c r="I550" s="96" t="s">
        <v>320</v>
      </c>
      <c r="J550" s="96" t="s">
        <v>918</v>
      </c>
      <c r="K550" s="96" t="s">
        <v>203</v>
      </c>
      <c r="L550" s="96" t="s">
        <v>203</v>
      </c>
      <c r="M550" s="96" t="s">
        <v>324</v>
      </c>
      <c r="N550" s="96" t="s">
        <v>339</v>
      </c>
      <c r="O550" s="96" t="s">
        <v>444</v>
      </c>
      <c r="P550" s="96" t="s">
        <v>338</v>
      </c>
      <c r="Q550" s="96" t="s">
        <v>1200</v>
      </c>
      <c r="R550" s="97">
        <v>761.62997499999994</v>
      </c>
      <c r="S550" s="97">
        <v>1</v>
      </c>
      <c r="T550" s="97">
        <v>3419</v>
      </c>
      <c r="U550" s="96"/>
      <c r="V550" s="97">
        <v>26.040127999999999</v>
      </c>
      <c r="W550" s="98">
        <v>3.0000000000000001E-6</v>
      </c>
      <c r="X550" s="98">
        <v>1.1384999999999999E-2</v>
      </c>
      <c r="Y550" s="98">
        <v>1.5610000000000001E-3</v>
      </c>
      <c r="Z550" s="106"/>
    </row>
    <row r="551" spans="1:26" ht="15" customHeight="1">
      <c r="A551" s="106"/>
      <c r="B551" s="96">
        <v>286</v>
      </c>
      <c r="C551" s="96">
        <v>9803</v>
      </c>
      <c r="D551" s="96" t="s">
        <v>2655</v>
      </c>
      <c r="E551" s="96"/>
      <c r="F551" s="96" t="s">
        <v>308</v>
      </c>
      <c r="G551" s="96" t="s">
        <v>2656</v>
      </c>
      <c r="H551" s="96" t="s">
        <v>2657</v>
      </c>
      <c r="I551" s="96" t="s">
        <v>320</v>
      </c>
      <c r="J551" s="96" t="s">
        <v>918</v>
      </c>
      <c r="K551" s="96" t="s">
        <v>203</v>
      </c>
      <c r="L551" s="96" t="s">
        <v>203</v>
      </c>
      <c r="M551" s="96" t="s">
        <v>324</v>
      </c>
      <c r="N551" s="96" t="s">
        <v>339</v>
      </c>
      <c r="O551" s="96" t="s">
        <v>458</v>
      </c>
      <c r="P551" s="96" t="s">
        <v>338</v>
      </c>
      <c r="Q551" s="96" t="s">
        <v>1200</v>
      </c>
      <c r="R551" s="97">
        <v>10.901458999999999</v>
      </c>
      <c r="S551" s="97">
        <v>1</v>
      </c>
      <c r="T551" s="97">
        <v>1708</v>
      </c>
      <c r="U551" s="96"/>
      <c r="V551" s="97">
        <v>0.186196</v>
      </c>
      <c r="W551" s="98">
        <v>0</v>
      </c>
      <c r="X551" s="98">
        <v>8.1000000000000004E-5</v>
      </c>
      <c r="Y551" s="98">
        <v>1.1E-5</v>
      </c>
      <c r="Z551" s="106"/>
    </row>
    <row r="552" spans="1:26" ht="15" customHeight="1">
      <c r="A552" s="106"/>
      <c r="B552" s="96">
        <v>286</v>
      </c>
      <c r="C552" s="96">
        <v>9803</v>
      </c>
      <c r="D552" s="96" t="s">
        <v>1771</v>
      </c>
      <c r="E552" s="96">
        <v>515364891</v>
      </c>
      <c r="F552" s="96" t="s">
        <v>308</v>
      </c>
      <c r="G552" s="96" t="s">
        <v>2627</v>
      </c>
      <c r="H552" s="96" t="s">
        <v>2538</v>
      </c>
      <c r="I552" s="96" t="s">
        <v>320</v>
      </c>
      <c r="J552" s="96" t="s">
        <v>918</v>
      </c>
      <c r="K552" s="96" t="s">
        <v>203</v>
      </c>
      <c r="L552" s="96" t="s">
        <v>203</v>
      </c>
      <c r="M552" s="96" t="s">
        <v>326</v>
      </c>
      <c r="N552" s="96" t="s">
        <v>339</v>
      </c>
      <c r="O552" s="96" t="s">
        <v>440</v>
      </c>
      <c r="P552" s="96" t="s">
        <v>338</v>
      </c>
      <c r="Q552" s="96" t="s">
        <v>1200</v>
      </c>
      <c r="R552" s="97">
        <v>33.826469000000003</v>
      </c>
      <c r="S552" s="97">
        <v>1</v>
      </c>
      <c r="T552" s="97">
        <v>994.52760000000001</v>
      </c>
      <c r="U552" s="96"/>
      <c r="V552" s="97">
        <v>0.33641300000000002</v>
      </c>
      <c r="W552" s="98">
        <v>0</v>
      </c>
      <c r="X552" s="98">
        <v>1.47E-4</v>
      </c>
      <c r="Y552" s="98">
        <v>2.0000000000000002E-5</v>
      </c>
      <c r="Z552" s="106"/>
    </row>
    <row r="553" spans="1:26" ht="15" customHeight="1">
      <c r="A553" s="106"/>
      <c r="B553" s="96">
        <v>286</v>
      </c>
      <c r="C553" s="96">
        <v>9803</v>
      </c>
      <c r="D553" s="96" t="s">
        <v>2428</v>
      </c>
      <c r="E553" s="96">
        <v>520038225</v>
      </c>
      <c r="F553" s="96" t="s">
        <v>308</v>
      </c>
      <c r="G553" s="96" t="s">
        <v>2429</v>
      </c>
      <c r="H553" s="96" t="s">
        <v>2430</v>
      </c>
      <c r="I553" s="96" t="s">
        <v>320</v>
      </c>
      <c r="J553" s="96" t="s">
        <v>918</v>
      </c>
      <c r="K553" s="96" t="s">
        <v>203</v>
      </c>
      <c r="L553" s="96" t="s">
        <v>203</v>
      </c>
      <c r="M553" s="96" t="s">
        <v>324</v>
      </c>
      <c r="N553" s="96" t="s">
        <v>339</v>
      </c>
      <c r="O553" s="96" t="s">
        <v>461</v>
      </c>
      <c r="P553" s="96" t="s">
        <v>337</v>
      </c>
      <c r="Q553" s="96" t="s">
        <v>1200</v>
      </c>
      <c r="R553" s="97">
        <v>122.085392</v>
      </c>
      <c r="S553" s="97">
        <v>1</v>
      </c>
      <c r="T553" s="97">
        <v>1806</v>
      </c>
      <c r="U553" s="96"/>
      <c r="V553" s="97">
        <v>2.2048619999999999</v>
      </c>
      <c r="W553" s="98">
        <v>9.0000000000000002E-6</v>
      </c>
      <c r="X553" s="98">
        <v>9.6299999999999999E-4</v>
      </c>
      <c r="Y553" s="98">
        <v>1.3100000000000001E-4</v>
      </c>
      <c r="Z553" s="106"/>
    </row>
    <row r="554" spans="1:26" ht="15" customHeight="1">
      <c r="A554" s="106"/>
      <c r="B554" s="96">
        <v>286</v>
      </c>
      <c r="C554" s="96">
        <v>9803</v>
      </c>
      <c r="D554" s="96" t="s">
        <v>2603</v>
      </c>
      <c r="E554" s="96">
        <v>520036872</v>
      </c>
      <c r="F554" s="96" t="s">
        <v>308</v>
      </c>
      <c r="G554" s="96" t="s">
        <v>2604</v>
      </c>
      <c r="H554" s="96" t="s">
        <v>2605</v>
      </c>
      <c r="I554" s="96" t="s">
        <v>320</v>
      </c>
      <c r="J554" s="96" t="s">
        <v>918</v>
      </c>
      <c r="K554" s="96" t="s">
        <v>203</v>
      </c>
      <c r="L554" s="96" t="s">
        <v>203</v>
      </c>
      <c r="M554" s="96" t="s">
        <v>324</v>
      </c>
      <c r="N554" s="96" t="s">
        <v>339</v>
      </c>
      <c r="O554" s="96" t="s">
        <v>479</v>
      </c>
      <c r="P554" s="96" t="s">
        <v>338</v>
      </c>
      <c r="Q554" s="96" t="s">
        <v>1200</v>
      </c>
      <c r="R554" s="97">
        <v>42.906607999999999</v>
      </c>
      <c r="S554" s="97">
        <v>1</v>
      </c>
      <c r="T554" s="97">
        <v>64400</v>
      </c>
      <c r="U554" s="96"/>
      <c r="V554" s="97">
        <v>27.631855000000002</v>
      </c>
      <c r="W554" s="98">
        <v>0</v>
      </c>
      <c r="X554" s="98">
        <v>1.2082000000000001E-2</v>
      </c>
      <c r="Y554" s="98">
        <v>1.6559999999999999E-3</v>
      </c>
      <c r="Z554" s="106"/>
    </row>
    <row r="555" spans="1:26" ht="15" customHeight="1">
      <c r="A555" s="106"/>
      <c r="B555" s="96">
        <v>286</v>
      </c>
      <c r="C555" s="96">
        <v>9803</v>
      </c>
      <c r="D555" s="96" t="s">
        <v>1658</v>
      </c>
      <c r="E555" s="96">
        <v>520038506</v>
      </c>
      <c r="F555" s="96" t="s">
        <v>308</v>
      </c>
      <c r="G555" s="96" t="s">
        <v>2679</v>
      </c>
      <c r="H555" s="96" t="s">
        <v>2680</v>
      </c>
      <c r="I555" s="96" t="s">
        <v>320</v>
      </c>
      <c r="J555" s="96" t="s">
        <v>918</v>
      </c>
      <c r="K555" s="96" t="s">
        <v>203</v>
      </c>
      <c r="L555" s="96" t="s">
        <v>203</v>
      </c>
      <c r="M555" s="96" t="s">
        <v>324</v>
      </c>
      <c r="N555" s="96" t="s">
        <v>339</v>
      </c>
      <c r="O555" s="96" t="s">
        <v>463</v>
      </c>
      <c r="P555" s="96" t="s">
        <v>337</v>
      </c>
      <c r="Q555" s="96" t="s">
        <v>1200</v>
      </c>
      <c r="R555" s="97">
        <v>1010.568272</v>
      </c>
      <c r="S555" s="97">
        <v>1</v>
      </c>
      <c r="T555" s="97">
        <v>2350</v>
      </c>
      <c r="U555" s="96"/>
      <c r="V555" s="97">
        <v>23.748353000000002</v>
      </c>
      <c r="W555" s="98">
        <v>5.0000000000000004E-6</v>
      </c>
      <c r="X555" s="98">
        <v>1.0383999999999999E-2</v>
      </c>
      <c r="Y555" s="98">
        <v>1.423E-3</v>
      </c>
      <c r="Z555" s="106"/>
    </row>
    <row r="556" spans="1:26" ht="15" customHeight="1">
      <c r="A556" s="106"/>
      <c r="B556" s="96">
        <v>286</v>
      </c>
      <c r="C556" s="96">
        <v>9803</v>
      </c>
      <c r="D556" s="96" t="s">
        <v>2525</v>
      </c>
      <c r="E556" s="96">
        <v>515434074</v>
      </c>
      <c r="F556" s="96" t="s">
        <v>308</v>
      </c>
      <c r="G556" s="96" t="s">
        <v>2526</v>
      </c>
      <c r="H556" s="96" t="s">
        <v>2527</v>
      </c>
      <c r="I556" s="96" t="s">
        <v>320</v>
      </c>
      <c r="J556" s="96" t="s">
        <v>918</v>
      </c>
      <c r="K556" s="96" t="s">
        <v>203</v>
      </c>
      <c r="L556" s="96" t="s">
        <v>203</v>
      </c>
      <c r="M556" s="96" t="s">
        <v>324</v>
      </c>
      <c r="N556" s="96" t="s">
        <v>339</v>
      </c>
      <c r="O556" s="96" t="s">
        <v>463</v>
      </c>
      <c r="P556" s="96" t="s">
        <v>337</v>
      </c>
      <c r="Q556" s="96" t="s">
        <v>1200</v>
      </c>
      <c r="R556" s="97">
        <v>1272.469139</v>
      </c>
      <c r="S556" s="97">
        <v>1</v>
      </c>
      <c r="T556" s="97">
        <v>352.2</v>
      </c>
      <c r="U556" s="96"/>
      <c r="V556" s="97">
        <v>4.481636</v>
      </c>
      <c r="W556" s="98">
        <v>7.9999999999999996E-6</v>
      </c>
      <c r="X556" s="98">
        <v>1.9589999999999998E-3</v>
      </c>
      <c r="Y556" s="98">
        <v>2.6800000000000001E-4</v>
      </c>
      <c r="Z556" s="106"/>
    </row>
    <row r="557" spans="1:26" ht="15" customHeight="1">
      <c r="A557" s="106"/>
      <c r="B557" s="96">
        <v>286</v>
      </c>
      <c r="C557" s="96">
        <v>9803</v>
      </c>
      <c r="D557" s="96" t="s">
        <v>1491</v>
      </c>
      <c r="E557" s="96">
        <v>520036104</v>
      </c>
      <c r="F557" s="96" t="s">
        <v>308</v>
      </c>
      <c r="G557" s="96" t="s">
        <v>2439</v>
      </c>
      <c r="H557" s="96" t="s">
        <v>2440</v>
      </c>
      <c r="I557" s="96" t="s">
        <v>320</v>
      </c>
      <c r="J557" s="96" t="s">
        <v>918</v>
      </c>
      <c r="K557" s="96" t="s">
        <v>203</v>
      </c>
      <c r="L557" s="96" t="s">
        <v>203</v>
      </c>
      <c r="M557" s="96" t="s">
        <v>324</v>
      </c>
      <c r="N557" s="96" t="s">
        <v>339</v>
      </c>
      <c r="O557" s="96" t="s">
        <v>446</v>
      </c>
      <c r="P557" s="96" t="s">
        <v>337</v>
      </c>
      <c r="Q557" s="96" t="s">
        <v>1200</v>
      </c>
      <c r="R557" s="97">
        <v>2434.563024</v>
      </c>
      <c r="S557" s="97">
        <v>1</v>
      </c>
      <c r="T557" s="97">
        <v>703.3</v>
      </c>
      <c r="U557" s="96"/>
      <c r="V557" s="97">
        <v>17.122281000000001</v>
      </c>
      <c r="W557" s="98">
        <v>3.9999999999999998E-6</v>
      </c>
      <c r="X557" s="98">
        <v>7.4859999999999996E-3</v>
      </c>
      <c r="Y557" s="98">
        <v>1.026E-3</v>
      </c>
      <c r="Z557" s="106"/>
    </row>
    <row r="558" spans="1:26" ht="15" customHeight="1">
      <c r="A558" s="106"/>
      <c r="B558" s="96">
        <v>286</v>
      </c>
      <c r="C558" s="96">
        <v>9803</v>
      </c>
      <c r="D558" s="96" t="s">
        <v>2751</v>
      </c>
      <c r="E558" s="96">
        <v>513901371</v>
      </c>
      <c r="F558" s="96" t="s">
        <v>308</v>
      </c>
      <c r="G558" s="96" t="s">
        <v>2752</v>
      </c>
      <c r="H558" s="96" t="s">
        <v>2753</v>
      </c>
      <c r="I558" s="96" t="s">
        <v>320</v>
      </c>
      <c r="J558" s="96" t="s">
        <v>918</v>
      </c>
      <c r="K558" s="96" t="s">
        <v>203</v>
      </c>
      <c r="L558" s="96" t="s">
        <v>203</v>
      </c>
      <c r="M558" s="96" t="s">
        <v>324</v>
      </c>
      <c r="N558" s="96" t="s">
        <v>339</v>
      </c>
      <c r="O558" s="96" t="s">
        <v>440</v>
      </c>
      <c r="P558" s="96" t="s">
        <v>338</v>
      </c>
      <c r="Q558" s="96" t="s">
        <v>1200</v>
      </c>
      <c r="R558" s="97">
        <v>1112.5631470000001</v>
      </c>
      <c r="S558" s="97">
        <v>1</v>
      </c>
      <c r="T558" s="97">
        <v>1395</v>
      </c>
      <c r="U558" s="96"/>
      <c r="V558" s="97">
        <v>15.520255000000001</v>
      </c>
      <c r="W558" s="98">
        <v>1.9999999999999999E-6</v>
      </c>
      <c r="X558" s="98">
        <v>6.7860000000000004E-3</v>
      </c>
      <c r="Y558" s="98">
        <v>9.3000000000000005E-4</v>
      </c>
      <c r="Z558" s="106"/>
    </row>
    <row r="559" spans="1:26" ht="15" customHeight="1">
      <c r="A559" s="106"/>
      <c r="B559" s="96">
        <v>286</v>
      </c>
      <c r="C559" s="96">
        <v>9803</v>
      </c>
      <c r="D559" s="96" t="s">
        <v>1298</v>
      </c>
      <c r="E559" s="96">
        <v>510960719</v>
      </c>
      <c r="F559" s="96" t="s">
        <v>308</v>
      </c>
      <c r="G559" s="96" t="s">
        <v>2434</v>
      </c>
      <c r="H559" s="96" t="s">
        <v>2435</v>
      </c>
      <c r="I559" s="96" t="s">
        <v>320</v>
      </c>
      <c r="J559" s="96" t="s">
        <v>918</v>
      </c>
      <c r="K559" s="96" t="s">
        <v>203</v>
      </c>
      <c r="L559" s="96" t="s">
        <v>203</v>
      </c>
      <c r="M559" s="96" t="s">
        <v>324</v>
      </c>
      <c r="N559" s="96" t="s">
        <v>339</v>
      </c>
      <c r="O559" s="96" t="s">
        <v>463</v>
      </c>
      <c r="P559" s="96" t="s">
        <v>338</v>
      </c>
      <c r="Q559" s="96" t="s">
        <v>1200</v>
      </c>
      <c r="R559" s="97">
        <v>278.18201599999998</v>
      </c>
      <c r="S559" s="97">
        <v>1</v>
      </c>
      <c r="T559" s="97">
        <v>22000</v>
      </c>
      <c r="U559" s="96"/>
      <c r="V559" s="97">
        <v>61.200043000000001</v>
      </c>
      <c r="W559" s="98">
        <v>1.9999999999999999E-6</v>
      </c>
      <c r="X559" s="98">
        <v>2.6759999999999999E-2</v>
      </c>
      <c r="Y559" s="98">
        <v>3.669E-3</v>
      </c>
      <c r="Z559" s="106"/>
    </row>
    <row r="560" spans="1:26" ht="15" customHeight="1">
      <c r="A560" s="106"/>
      <c r="B560" s="96">
        <v>286</v>
      </c>
      <c r="C560" s="96">
        <v>9803</v>
      </c>
      <c r="D560" s="96" t="s">
        <v>1814</v>
      </c>
      <c r="E560" s="96">
        <v>514599943</v>
      </c>
      <c r="F560" s="96" t="s">
        <v>308</v>
      </c>
      <c r="G560" s="96" t="s">
        <v>2462</v>
      </c>
      <c r="H560" s="96" t="s">
        <v>2463</v>
      </c>
      <c r="I560" s="96" t="s">
        <v>320</v>
      </c>
      <c r="J560" s="96" t="s">
        <v>918</v>
      </c>
      <c r="K560" s="96" t="s">
        <v>203</v>
      </c>
      <c r="L560" s="96" t="s">
        <v>203</v>
      </c>
      <c r="M560" s="96" t="s">
        <v>324</v>
      </c>
      <c r="N560" s="96" t="s">
        <v>339</v>
      </c>
      <c r="O560" s="96" t="s">
        <v>440</v>
      </c>
      <c r="P560" s="96" t="s">
        <v>338</v>
      </c>
      <c r="Q560" s="96" t="s">
        <v>1200</v>
      </c>
      <c r="R560" s="97">
        <v>42.656756999999999</v>
      </c>
      <c r="S560" s="97">
        <v>1</v>
      </c>
      <c r="T560" s="97">
        <v>8250</v>
      </c>
      <c r="U560" s="96"/>
      <c r="V560" s="97">
        <v>3.5191819999999998</v>
      </c>
      <c r="W560" s="98">
        <v>9.9999999999999995E-7</v>
      </c>
      <c r="X560" s="98">
        <v>1.5380000000000001E-3</v>
      </c>
      <c r="Y560" s="98">
        <v>2.1100000000000001E-4</v>
      </c>
      <c r="Z560" s="106"/>
    </row>
    <row r="561" spans="1:26" ht="15" customHeight="1">
      <c r="A561" s="106"/>
      <c r="B561" s="96">
        <v>286</v>
      </c>
      <c r="C561" s="96">
        <v>9803</v>
      </c>
      <c r="D561" s="96" t="s">
        <v>2731</v>
      </c>
      <c r="E561" s="96" t="s">
        <v>2732</v>
      </c>
      <c r="F561" s="96" t="s">
        <v>312</v>
      </c>
      <c r="G561" s="96" t="s">
        <v>2733</v>
      </c>
      <c r="H561" s="96" t="s">
        <v>2734</v>
      </c>
      <c r="I561" s="96" t="s">
        <v>320</v>
      </c>
      <c r="J561" s="96" t="s">
        <v>918</v>
      </c>
      <c r="K561" s="96" t="s">
        <v>203</v>
      </c>
      <c r="L561" s="96" t="s">
        <v>203</v>
      </c>
      <c r="M561" s="96" t="s">
        <v>324</v>
      </c>
      <c r="N561" s="96" t="s">
        <v>339</v>
      </c>
      <c r="O561" s="96" t="s">
        <v>453</v>
      </c>
      <c r="P561" s="96" t="s">
        <v>338</v>
      </c>
      <c r="Q561" s="96" t="s">
        <v>1200</v>
      </c>
      <c r="R561" s="97">
        <v>5.1365049999999997</v>
      </c>
      <c r="S561" s="97">
        <v>1</v>
      </c>
      <c r="T561" s="97">
        <v>4611</v>
      </c>
      <c r="U561" s="96"/>
      <c r="V561" s="97">
        <v>0.236844</v>
      </c>
      <c r="W561" s="98">
        <v>0</v>
      </c>
      <c r="X561" s="98">
        <v>1.03E-4</v>
      </c>
      <c r="Y561" s="98">
        <v>1.4E-5</v>
      </c>
      <c r="Z561" s="106"/>
    </row>
    <row r="562" spans="1:26" ht="15" customHeight="1">
      <c r="A562" s="106"/>
      <c r="B562" s="96">
        <v>286</v>
      </c>
      <c r="C562" s="96">
        <v>9803</v>
      </c>
      <c r="D562" s="96" t="s">
        <v>1955</v>
      </c>
      <c r="E562" s="96">
        <v>516167343</v>
      </c>
      <c r="F562" s="96" t="s">
        <v>308</v>
      </c>
      <c r="G562" s="96" t="s">
        <v>2497</v>
      </c>
      <c r="H562" s="96" t="s">
        <v>2498</v>
      </c>
      <c r="I562" s="96" t="s">
        <v>320</v>
      </c>
      <c r="J562" s="96" t="s">
        <v>918</v>
      </c>
      <c r="K562" s="96" t="s">
        <v>203</v>
      </c>
      <c r="L562" s="96" t="s">
        <v>203</v>
      </c>
      <c r="M562" s="96" t="s">
        <v>324</v>
      </c>
      <c r="N562" s="96" t="s">
        <v>339</v>
      </c>
      <c r="O562" s="96" t="s">
        <v>439</v>
      </c>
      <c r="P562" s="96" t="s">
        <v>338</v>
      </c>
      <c r="Q562" s="96" t="s">
        <v>1200</v>
      </c>
      <c r="R562" s="97">
        <v>1407.4368059999999</v>
      </c>
      <c r="S562" s="97">
        <v>1</v>
      </c>
      <c r="T562" s="97">
        <v>250.9</v>
      </c>
      <c r="U562" s="96"/>
      <c r="V562" s="97">
        <v>3.5312579999999998</v>
      </c>
      <c r="W562" s="98">
        <v>9.9999999999999995E-7</v>
      </c>
      <c r="X562" s="98">
        <v>1.5430000000000001E-3</v>
      </c>
      <c r="Y562" s="98">
        <v>2.1100000000000001E-4</v>
      </c>
      <c r="Z562" s="106"/>
    </row>
    <row r="563" spans="1:26" ht="15" customHeight="1">
      <c r="A563" s="106"/>
      <c r="B563" s="96">
        <v>286</v>
      </c>
      <c r="C563" s="96">
        <v>9803</v>
      </c>
      <c r="D563" s="96" t="s">
        <v>2410</v>
      </c>
      <c r="E563" s="96">
        <v>514856772</v>
      </c>
      <c r="F563" s="96" t="s">
        <v>308</v>
      </c>
      <c r="G563" s="96" t="s">
        <v>2411</v>
      </c>
      <c r="H563" s="96" t="s">
        <v>2412</v>
      </c>
      <c r="I563" s="96" t="s">
        <v>320</v>
      </c>
      <c r="J563" s="96" t="s">
        <v>918</v>
      </c>
      <c r="K563" s="96" t="s">
        <v>203</v>
      </c>
      <c r="L563" s="96" t="s">
        <v>203</v>
      </c>
      <c r="M563" s="96" t="s">
        <v>324</v>
      </c>
      <c r="N563" s="96" t="s">
        <v>339</v>
      </c>
      <c r="O563" s="96" t="s">
        <v>472</v>
      </c>
      <c r="P563" s="96" t="s">
        <v>338</v>
      </c>
      <c r="Q563" s="96" t="s">
        <v>1200</v>
      </c>
      <c r="R563" s="97">
        <v>258.31573900000001</v>
      </c>
      <c r="S563" s="97">
        <v>1</v>
      </c>
      <c r="T563" s="97">
        <v>164</v>
      </c>
      <c r="U563" s="96"/>
      <c r="V563" s="97">
        <v>0.42363699999999999</v>
      </c>
      <c r="W563" s="98">
        <v>1.9999999999999999E-6</v>
      </c>
      <c r="X563" s="98">
        <v>1.85E-4</v>
      </c>
      <c r="Y563" s="98">
        <v>2.5000000000000001E-5</v>
      </c>
      <c r="Z563" s="106"/>
    </row>
    <row r="564" spans="1:26" ht="15" customHeight="1">
      <c r="A564" s="106"/>
      <c r="B564" s="96">
        <v>286</v>
      </c>
      <c r="C564" s="96">
        <v>9803</v>
      </c>
      <c r="D564" s="96" t="s">
        <v>1797</v>
      </c>
      <c r="E564" s="96">
        <v>512607888</v>
      </c>
      <c r="F564" s="96" t="s">
        <v>308</v>
      </c>
      <c r="G564" s="96" t="s">
        <v>2580</v>
      </c>
      <c r="H564" s="96" t="s">
        <v>2581</v>
      </c>
      <c r="I564" s="96" t="s">
        <v>320</v>
      </c>
      <c r="J564" s="96" t="s">
        <v>918</v>
      </c>
      <c r="K564" s="96" t="s">
        <v>203</v>
      </c>
      <c r="L564" s="96" t="s">
        <v>203</v>
      </c>
      <c r="M564" s="96" t="s">
        <v>324</v>
      </c>
      <c r="N564" s="96" t="s">
        <v>339</v>
      </c>
      <c r="O564" s="96" t="s">
        <v>460</v>
      </c>
      <c r="P564" s="96" t="s">
        <v>338</v>
      </c>
      <c r="Q564" s="96" t="s">
        <v>1200</v>
      </c>
      <c r="R564" s="97">
        <v>24.261870999999999</v>
      </c>
      <c r="S564" s="97">
        <v>1</v>
      </c>
      <c r="T564" s="97">
        <v>38750</v>
      </c>
      <c r="U564" s="96"/>
      <c r="V564" s="97">
        <v>9.4014749999999996</v>
      </c>
      <c r="W564" s="98">
        <v>9.9999999999999995E-7</v>
      </c>
      <c r="X564" s="98">
        <v>4.1099999999999999E-3</v>
      </c>
      <c r="Y564" s="98">
        <v>5.6300000000000002E-4</v>
      </c>
      <c r="Z564" s="106"/>
    </row>
    <row r="565" spans="1:26" ht="15" customHeight="1">
      <c r="A565" s="106"/>
      <c r="B565" s="96">
        <v>286</v>
      </c>
      <c r="C565" s="96">
        <v>9803</v>
      </c>
      <c r="D565" s="96" t="s">
        <v>2688</v>
      </c>
      <c r="E565" s="96">
        <v>510095987</v>
      </c>
      <c r="F565" s="96" t="s">
        <v>308</v>
      </c>
      <c r="G565" s="96" t="s">
        <v>2689</v>
      </c>
      <c r="H565" s="96" t="s">
        <v>2690</v>
      </c>
      <c r="I565" s="96" t="s">
        <v>320</v>
      </c>
      <c r="J565" s="96" t="s">
        <v>918</v>
      </c>
      <c r="K565" s="96" t="s">
        <v>203</v>
      </c>
      <c r="L565" s="96" t="s">
        <v>203</v>
      </c>
      <c r="M565" s="96" t="s">
        <v>324</v>
      </c>
      <c r="N565" s="96" t="s">
        <v>339</v>
      </c>
      <c r="O565" s="96" t="s">
        <v>476</v>
      </c>
      <c r="P565" s="96" t="s">
        <v>337</v>
      </c>
      <c r="Q565" s="96" t="s">
        <v>1200</v>
      </c>
      <c r="R565" s="97">
        <v>741.615229</v>
      </c>
      <c r="S565" s="97">
        <v>1</v>
      </c>
      <c r="T565" s="97">
        <v>486.7</v>
      </c>
      <c r="U565" s="96"/>
      <c r="V565" s="97">
        <v>3.6094409999999999</v>
      </c>
      <c r="W565" s="98">
        <v>9.0000000000000002E-6</v>
      </c>
      <c r="X565" s="98">
        <v>1.578E-3</v>
      </c>
      <c r="Y565" s="98">
        <v>2.1599999999999999E-4</v>
      </c>
      <c r="Z565" s="106"/>
    </row>
    <row r="566" spans="1:26" ht="15" customHeight="1">
      <c r="A566" s="106"/>
      <c r="B566" s="96">
        <v>286</v>
      </c>
      <c r="C566" s="96">
        <v>9803</v>
      </c>
      <c r="D566" s="96" t="s">
        <v>2436</v>
      </c>
      <c r="E566" s="96">
        <v>510607328</v>
      </c>
      <c r="F566" s="96" t="s">
        <v>308</v>
      </c>
      <c r="G566" s="96" t="s">
        <v>2504</v>
      </c>
      <c r="H566" s="96" t="s">
        <v>2438</v>
      </c>
      <c r="I566" s="96" t="s">
        <v>320</v>
      </c>
      <c r="J566" s="96" t="s">
        <v>918</v>
      </c>
      <c r="K566" s="96" t="s">
        <v>203</v>
      </c>
      <c r="L566" s="96" t="s">
        <v>203</v>
      </c>
      <c r="M566" s="96" t="s">
        <v>326</v>
      </c>
      <c r="N566" s="96" t="s">
        <v>339</v>
      </c>
      <c r="O566" s="96" t="s">
        <v>464</v>
      </c>
      <c r="P566" s="96" t="s">
        <v>338</v>
      </c>
      <c r="Q566" s="96" t="s">
        <v>1200</v>
      </c>
      <c r="R566" s="97">
        <v>1.5692360000000001</v>
      </c>
      <c r="S566" s="97">
        <v>1</v>
      </c>
      <c r="T566" s="97">
        <v>3086.3656000000001</v>
      </c>
      <c r="U566" s="96"/>
      <c r="V566" s="97">
        <v>4.8432000000000003E-2</v>
      </c>
      <c r="W566" s="98">
        <v>0</v>
      </c>
      <c r="X566" s="98">
        <v>2.0999999999999999E-5</v>
      </c>
      <c r="Y566" s="98">
        <v>1.9999999999999999E-6</v>
      </c>
      <c r="Z566" s="106"/>
    </row>
    <row r="567" spans="1:26" ht="15" customHeight="1">
      <c r="A567" s="106"/>
      <c r="B567" s="96">
        <v>286</v>
      </c>
      <c r="C567" s="96">
        <v>9803</v>
      </c>
      <c r="D567" s="96" t="s">
        <v>1421</v>
      </c>
      <c r="E567" s="96">
        <v>520026683</v>
      </c>
      <c r="F567" s="96" t="s">
        <v>308</v>
      </c>
      <c r="G567" s="96" t="s">
        <v>2569</v>
      </c>
      <c r="H567" s="96" t="s">
        <v>2570</v>
      </c>
      <c r="I567" s="96" t="s">
        <v>320</v>
      </c>
      <c r="J567" s="96" t="s">
        <v>918</v>
      </c>
      <c r="K567" s="96" t="s">
        <v>203</v>
      </c>
      <c r="L567" s="96" t="s">
        <v>203</v>
      </c>
      <c r="M567" s="96" t="s">
        <v>324</v>
      </c>
      <c r="N567" s="96" t="s">
        <v>339</v>
      </c>
      <c r="O567" s="96" t="s">
        <v>463</v>
      </c>
      <c r="P567" s="96" t="s">
        <v>338</v>
      </c>
      <c r="Q567" s="96" t="s">
        <v>1200</v>
      </c>
      <c r="R567" s="97">
        <v>411.26588500000003</v>
      </c>
      <c r="S567" s="97">
        <v>1</v>
      </c>
      <c r="T567" s="97">
        <v>1510</v>
      </c>
      <c r="U567" s="96"/>
      <c r="V567" s="97">
        <v>6.2101139999999999</v>
      </c>
      <c r="W567" s="98">
        <v>0</v>
      </c>
      <c r="X567" s="98">
        <v>2.715E-3</v>
      </c>
      <c r="Y567" s="98">
        <v>3.7199999999999999E-4</v>
      </c>
      <c r="Z567" s="106"/>
    </row>
    <row r="568" spans="1:26" ht="15" customHeight="1">
      <c r="A568" s="106"/>
      <c r="B568" s="96">
        <v>286</v>
      </c>
      <c r="C568" s="96">
        <v>9803</v>
      </c>
      <c r="D568" s="96" t="s">
        <v>1340</v>
      </c>
      <c r="E568" s="96">
        <v>520036658</v>
      </c>
      <c r="F568" s="96" t="s">
        <v>308</v>
      </c>
      <c r="G568" s="96" t="s">
        <v>2658</v>
      </c>
      <c r="H568" s="96" t="s">
        <v>2659</v>
      </c>
      <c r="I568" s="96" t="s">
        <v>320</v>
      </c>
      <c r="J568" s="96" t="s">
        <v>918</v>
      </c>
      <c r="K568" s="96" t="s">
        <v>203</v>
      </c>
      <c r="L568" s="96" t="s">
        <v>203</v>
      </c>
      <c r="M568" s="96" t="s">
        <v>324</v>
      </c>
      <c r="N568" s="96" t="s">
        <v>339</v>
      </c>
      <c r="O568" s="96" t="s">
        <v>439</v>
      </c>
      <c r="P568" s="96" t="s">
        <v>338</v>
      </c>
      <c r="Q568" s="96" t="s">
        <v>1200</v>
      </c>
      <c r="R568" s="97">
        <v>8860.7503610000003</v>
      </c>
      <c r="S568" s="97">
        <v>1</v>
      </c>
      <c r="T568" s="97">
        <v>86.7</v>
      </c>
      <c r="U568" s="96"/>
      <c r="V568" s="97">
        <v>7.6822689999999998</v>
      </c>
      <c r="W568" s="98">
        <v>1.9999999999999999E-6</v>
      </c>
      <c r="X568" s="98">
        <v>3.3579999999999999E-3</v>
      </c>
      <c r="Y568" s="98">
        <v>4.6000000000000001E-4</v>
      </c>
      <c r="Z568" s="106"/>
    </row>
    <row r="569" spans="1:26" ht="15" customHeight="1">
      <c r="A569" s="106"/>
      <c r="B569" s="96">
        <v>286</v>
      </c>
      <c r="C569" s="96">
        <v>9803</v>
      </c>
      <c r="D569" s="96" t="s">
        <v>1467</v>
      </c>
      <c r="E569" s="96">
        <v>515334662</v>
      </c>
      <c r="F569" s="96" t="s">
        <v>308</v>
      </c>
      <c r="G569" s="96" t="s">
        <v>2606</v>
      </c>
      <c r="H569" s="96" t="s">
        <v>2607</v>
      </c>
      <c r="I569" s="96" t="s">
        <v>320</v>
      </c>
      <c r="J569" s="96" t="s">
        <v>918</v>
      </c>
      <c r="K569" s="96" t="s">
        <v>203</v>
      </c>
      <c r="L569" s="96" t="s">
        <v>203</v>
      </c>
      <c r="M569" s="96" t="s">
        <v>324</v>
      </c>
      <c r="N569" s="96" t="s">
        <v>339</v>
      </c>
      <c r="O569" s="96" t="s">
        <v>453</v>
      </c>
      <c r="P569" s="96" t="s">
        <v>337</v>
      </c>
      <c r="Q569" s="96" t="s">
        <v>1200</v>
      </c>
      <c r="R569" s="97">
        <v>711.28159800000003</v>
      </c>
      <c r="S569" s="97">
        <v>1</v>
      </c>
      <c r="T569" s="97">
        <v>2027</v>
      </c>
      <c r="U569" s="96"/>
      <c r="V569" s="97">
        <v>14.417676999999999</v>
      </c>
      <c r="W569" s="98">
        <v>7.9999999999999996E-6</v>
      </c>
      <c r="X569" s="98">
        <v>6.3029999999999996E-3</v>
      </c>
      <c r="Y569" s="98">
        <v>8.6300000000000005E-4</v>
      </c>
      <c r="Z569" s="106"/>
    </row>
    <row r="570" spans="1:26" ht="15" customHeight="1">
      <c r="A570" s="106"/>
      <c r="B570" s="96">
        <v>286</v>
      </c>
      <c r="C570" s="96">
        <v>9803</v>
      </c>
      <c r="D570" s="96" t="s">
        <v>1364</v>
      </c>
      <c r="E570" s="96">
        <v>513821488</v>
      </c>
      <c r="F570" s="96" t="s">
        <v>308</v>
      </c>
      <c r="G570" s="96" t="s">
        <v>2681</v>
      </c>
      <c r="H570" s="96" t="s">
        <v>2682</v>
      </c>
      <c r="I570" s="96" t="s">
        <v>320</v>
      </c>
      <c r="J570" s="96" t="s">
        <v>918</v>
      </c>
      <c r="K570" s="96" t="s">
        <v>203</v>
      </c>
      <c r="L570" s="96" t="s">
        <v>203</v>
      </c>
      <c r="M570" s="96" t="s">
        <v>324</v>
      </c>
      <c r="N570" s="96" t="s">
        <v>339</v>
      </c>
      <c r="O570" s="96" t="s">
        <v>463</v>
      </c>
      <c r="P570" s="96" t="s">
        <v>337</v>
      </c>
      <c r="Q570" s="96" t="s">
        <v>1200</v>
      </c>
      <c r="R570" s="97">
        <v>863.62505499999997</v>
      </c>
      <c r="S570" s="97">
        <v>1</v>
      </c>
      <c r="T570" s="97">
        <v>1391</v>
      </c>
      <c r="U570" s="96"/>
      <c r="V570" s="97">
        <v>12.013024</v>
      </c>
      <c r="W570" s="98">
        <v>3.9999999999999998E-6</v>
      </c>
      <c r="X570" s="98">
        <v>5.2519999999999997E-3</v>
      </c>
      <c r="Y570" s="98">
        <v>7.1900000000000002E-4</v>
      </c>
      <c r="Z570" s="106"/>
    </row>
    <row r="571" spans="1:26" ht="15" customHeight="1">
      <c r="A571" s="106"/>
      <c r="B571" s="96">
        <v>286</v>
      </c>
      <c r="C571" s="96">
        <v>9803</v>
      </c>
      <c r="D571" s="96" t="s">
        <v>2530</v>
      </c>
      <c r="E571" s="96"/>
      <c r="F571" s="96" t="s">
        <v>308</v>
      </c>
      <c r="G571" s="96" t="s">
        <v>2531</v>
      </c>
      <c r="H571" s="96" t="s">
        <v>2532</v>
      </c>
      <c r="I571" s="96" t="s">
        <v>320</v>
      </c>
      <c r="J571" s="96" t="s">
        <v>918</v>
      </c>
      <c r="K571" s="96" t="s">
        <v>203</v>
      </c>
      <c r="L571" s="96" t="s">
        <v>203</v>
      </c>
      <c r="M571" s="96" t="s">
        <v>324</v>
      </c>
      <c r="N571" s="96" t="s">
        <v>339</v>
      </c>
      <c r="O571" s="96" t="s">
        <v>476</v>
      </c>
      <c r="P571" s="96" t="s">
        <v>338</v>
      </c>
      <c r="Q571" s="96" t="s">
        <v>1200</v>
      </c>
      <c r="R571" s="97">
        <v>938.51169900000002</v>
      </c>
      <c r="S571" s="97">
        <v>1</v>
      </c>
      <c r="T571" s="97">
        <v>433.5</v>
      </c>
      <c r="U571" s="96"/>
      <c r="V571" s="97">
        <v>4.0684480000000001</v>
      </c>
      <c r="W571" s="98">
        <v>1.9999999999999999E-6</v>
      </c>
      <c r="X571" s="98">
        <v>1.779E-3</v>
      </c>
      <c r="Y571" s="98">
        <v>2.43E-4</v>
      </c>
      <c r="Z571" s="106"/>
    </row>
    <row r="572" spans="1:26" ht="15" customHeight="1">
      <c r="A572" s="106"/>
      <c r="B572" s="96">
        <v>286</v>
      </c>
      <c r="C572" s="96">
        <v>9803</v>
      </c>
      <c r="D572" s="96" t="s">
        <v>2011</v>
      </c>
      <c r="E572" s="96">
        <v>514892801</v>
      </c>
      <c r="F572" s="96" t="s">
        <v>308</v>
      </c>
      <c r="G572" s="96" t="s">
        <v>2709</v>
      </c>
      <c r="H572" s="96" t="s">
        <v>2710</v>
      </c>
      <c r="I572" s="96" t="s">
        <v>320</v>
      </c>
      <c r="J572" s="96" t="s">
        <v>918</v>
      </c>
      <c r="K572" s="96" t="s">
        <v>203</v>
      </c>
      <c r="L572" s="96" t="s">
        <v>203</v>
      </c>
      <c r="M572" s="96" t="s">
        <v>324</v>
      </c>
      <c r="N572" s="96" t="s">
        <v>339</v>
      </c>
      <c r="O572" s="96" t="s">
        <v>462</v>
      </c>
      <c r="P572" s="96" t="s">
        <v>338</v>
      </c>
      <c r="Q572" s="96" t="s">
        <v>1200</v>
      </c>
      <c r="R572" s="97">
        <v>947.82442200000003</v>
      </c>
      <c r="S572" s="97">
        <v>1</v>
      </c>
      <c r="T572" s="97">
        <v>1920</v>
      </c>
      <c r="U572" s="96"/>
      <c r="V572" s="97">
        <v>18.198228</v>
      </c>
      <c r="W572" s="98">
        <v>1.9999999999999999E-6</v>
      </c>
      <c r="X572" s="98">
        <v>7.9570000000000005E-3</v>
      </c>
      <c r="Y572" s="98">
        <v>1.091E-3</v>
      </c>
      <c r="Z572" s="106"/>
    </row>
    <row r="573" spans="1:26" ht="15" customHeight="1">
      <c r="A573" s="106"/>
      <c r="B573" s="96">
        <v>286</v>
      </c>
      <c r="C573" s="96">
        <v>9803</v>
      </c>
      <c r="D573" s="96" t="s">
        <v>1929</v>
      </c>
      <c r="E573" s="96">
        <v>520044314</v>
      </c>
      <c r="F573" s="96" t="s">
        <v>308</v>
      </c>
      <c r="G573" s="96" t="s">
        <v>2513</v>
      </c>
      <c r="H573" s="96" t="s">
        <v>2514</v>
      </c>
      <c r="I573" s="96" t="s">
        <v>320</v>
      </c>
      <c r="J573" s="96" t="s">
        <v>918</v>
      </c>
      <c r="K573" s="96" t="s">
        <v>203</v>
      </c>
      <c r="L573" s="96" t="s">
        <v>203</v>
      </c>
      <c r="M573" s="96" t="s">
        <v>324</v>
      </c>
      <c r="N573" s="96" t="s">
        <v>339</v>
      </c>
      <c r="O573" s="96" t="s">
        <v>483</v>
      </c>
      <c r="P573" s="96" t="s">
        <v>337</v>
      </c>
      <c r="Q573" s="96" t="s">
        <v>1200</v>
      </c>
      <c r="R573" s="97">
        <v>835.27928299999996</v>
      </c>
      <c r="S573" s="97">
        <v>1</v>
      </c>
      <c r="T573" s="97">
        <v>1535</v>
      </c>
      <c r="U573" s="96"/>
      <c r="V573" s="97">
        <v>12.821536</v>
      </c>
      <c r="W573" s="98">
        <v>3.9999999999999998E-6</v>
      </c>
      <c r="X573" s="98">
        <v>5.6059999999999999E-3</v>
      </c>
      <c r="Y573" s="98">
        <v>7.6800000000000002E-4</v>
      </c>
      <c r="Z573" s="106"/>
    </row>
    <row r="574" spans="1:26" ht="15" customHeight="1">
      <c r="A574" s="106"/>
      <c r="B574" s="96">
        <v>286</v>
      </c>
      <c r="C574" s="96">
        <v>9803</v>
      </c>
      <c r="D574" s="96" t="s">
        <v>1432</v>
      </c>
      <c r="E574" s="96">
        <v>515327120</v>
      </c>
      <c r="F574" s="96" t="s">
        <v>308</v>
      </c>
      <c r="G574" s="96" t="s">
        <v>2698</v>
      </c>
      <c r="H574" s="96" t="s">
        <v>2618</v>
      </c>
      <c r="I574" s="96" t="s">
        <v>320</v>
      </c>
      <c r="J574" s="96" t="s">
        <v>918</v>
      </c>
      <c r="K574" s="96" t="s">
        <v>203</v>
      </c>
      <c r="L574" s="96" t="s">
        <v>203</v>
      </c>
      <c r="M574" s="96" t="s">
        <v>326</v>
      </c>
      <c r="N574" s="96" t="s">
        <v>339</v>
      </c>
      <c r="O574" s="96" t="s">
        <v>463</v>
      </c>
      <c r="P574" s="96" t="s">
        <v>337</v>
      </c>
      <c r="Q574" s="96" t="s">
        <v>1200</v>
      </c>
      <c r="R574" s="97">
        <v>322.61238800000001</v>
      </c>
      <c r="S574" s="97">
        <v>1</v>
      </c>
      <c r="T574" s="97">
        <v>156.39660000000001</v>
      </c>
      <c r="U574" s="96"/>
      <c r="V574" s="97">
        <v>0.50455399999999995</v>
      </c>
      <c r="W574" s="98">
        <v>0</v>
      </c>
      <c r="X574" s="98">
        <v>2.2000000000000001E-4</v>
      </c>
      <c r="Y574" s="98">
        <v>3.0000000000000001E-5</v>
      </c>
      <c r="Z574" s="106"/>
    </row>
    <row r="575" spans="1:26" ht="15" customHeight="1">
      <c r="A575" s="106"/>
      <c r="B575" s="96">
        <v>286</v>
      </c>
      <c r="C575" s="96">
        <v>9803</v>
      </c>
      <c r="D575" s="96" t="s">
        <v>2717</v>
      </c>
      <c r="E575" s="96">
        <v>512157603</v>
      </c>
      <c r="F575" s="96" t="s">
        <v>308</v>
      </c>
      <c r="G575" s="96" t="s">
        <v>2718</v>
      </c>
      <c r="H575" s="96" t="s">
        <v>2719</v>
      </c>
      <c r="I575" s="96" t="s">
        <v>320</v>
      </c>
      <c r="J575" s="96" t="s">
        <v>918</v>
      </c>
      <c r="K575" s="96" t="s">
        <v>203</v>
      </c>
      <c r="L575" s="96" t="s">
        <v>203</v>
      </c>
      <c r="M575" s="96" t="s">
        <v>324</v>
      </c>
      <c r="N575" s="96" t="s">
        <v>339</v>
      </c>
      <c r="O575" s="96" t="s">
        <v>474</v>
      </c>
      <c r="P575" s="96" t="s">
        <v>338</v>
      </c>
      <c r="Q575" s="96" t="s">
        <v>1200</v>
      </c>
      <c r="R575" s="97">
        <v>38.735875</v>
      </c>
      <c r="S575" s="97">
        <v>1</v>
      </c>
      <c r="T575" s="97">
        <v>23750</v>
      </c>
      <c r="U575" s="96"/>
      <c r="V575" s="97">
        <v>9.1997699999999991</v>
      </c>
      <c r="W575" s="98">
        <v>1.9999999999999999E-6</v>
      </c>
      <c r="X575" s="98">
        <v>4.0220000000000004E-3</v>
      </c>
      <c r="Y575" s="98">
        <v>5.5099999999999995E-4</v>
      </c>
      <c r="Z575" s="106"/>
    </row>
    <row r="576" spans="1:26" ht="15" customHeight="1">
      <c r="A576" s="106"/>
      <c r="B576" s="96">
        <v>286</v>
      </c>
      <c r="C576" s="96">
        <v>9803</v>
      </c>
      <c r="D576" s="96" t="s">
        <v>1333</v>
      </c>
      <c r="E576" s="96">
        <v>520024126</v>
      </c>
      <c r="F576" s="96" t="s">
        <v>308</v>
      </c>
      <c r="G576" s="96" t="s">
        <v>2518</v>
      </c>
      <c r="H576" s="96" t="s">
        <v>2519</v>
      </c>
      <c r="I576" s="96" t="s">
        <v>320</v>
      </c>
      <c r="J576" s="96" t="s">
        <v>918</v>
      </c>
      <c r="K576" s="96" t="s">
        <v>203</v>
      </c>
      <c r="L576" s="96" t="s">
        <v>203</v>
      </c>
      <c r="M576" s="96" t="s">
        <v>324</v>
      </c>
      <c r="N576" s="96" t="s">
        <v>339</v>
      </c>
      <c r="O576" s="96" t="s">
        <v>463</v>
      </c>
      <c r="P576" s="96" t="s">
        <v>337</v>
      </c>
      <c r="Q576" s="96" t="s">
        <v>1200</v>
      </c>
      <c r="R576" s="97">
        <v>5142.4279589999996</v>
      </c>
      <c r="S576" s="97">
        <v>1</v>
      </c>
      <c r="T576" s="97">
        <v>881</v>
      </c>
      <c r="U576" s="96"/>
      <c r="V576" s="97">
        <v>45.304789</v>
      </c>
      <c r="W576" s="98">
        <v>6.0000000000000002E-6</v>
      </c>
      <c r="X576" s="98">
        <v>1.9809E-2</v>
      </c>
      <c r="Y576" s="98">
        <v>2.7160000000000001E-3</v>
      </c>
      <c r="Z576" s="106"/>
    </row>
    <row r="577" spans="1:26" ht="15" customHeight="1">
      <c r="A577" s="106"/>
      <c r="B577" s="96">
        <v>286</v>
      </c>
      <c r="C577" s="96">
        <v>9803</v>
      </c>
      <c r="D577" s="96" t="s">
        <v>1511</v>
      </c>
      <c r="E577" s="96">
        <v>513765859</v>
      </c>
      <c r="F577" s="96" t="s">
        <v>308</v>
      </c>
      <c r="G577" s="96" t="s">
        <v>2743</v>
      </c>
      <c r="H577" s="96" t="s">
        <v>2744</v>
      </c>
      <c r="I577" s="96" t="s">
        <v>320</v>
      </c>
      <c r="J577" s="96" t="s">
        <v>918</v>
      </c>
      <c r="K577" s="96" t="s">
        <v>203</v>
      </c>
      <c r="L577" s="96" t="s">
        <v>203</v>
      </c>
      <c r="M577" s="96" t="s">
        <v>324</v>
      </c>
      <c r="N577" s="96" t="s">
        <v>339</v>
      </c>
      <c r="O577" s="96" t="s">
        <v>463</v>
      </c>
      <c r="P577" s="96" t="s">
        <v>337</v>
      </c>
      <c r="Q577" s="96" t="s">
        <v>1200</v>
      </c>
      <c r="R577" s="97">
        <v>86.487482999999997</v>
      </c>
      <c r="S577" s="97">
        <v>1</v>
      </c>
      <c r="T577" s="97">
        <v>25430</v>
      </c>
      <c r="U577" s="96"/>
      <c r="V577" s="97">
        <v>21.993766000000001</v>
      </c>
      <c r="W577" s="98">
        <v>6.9999999999999999E-6</v>
      </c>
      <c r="X577" s="98">
        <v>9.6159999999999995E-3</v>
      </c>
      <c r="Y577" s="98">
        <v>1.3179999999999999E-3</v>
      </c>
      <c r="Z577" s="106"/>
    </row>
    <row r="578" spans="1:26" ht="15" customHeight="1">
      <c r="A578" s="106"/>
      <c r="B578" s="96">
        <v>286</v>
      </c>
      <c r="C578" s="96">
        <v>9803</v>
      </c>
      <c r="D578" s="96" t="s">
        <v>1597</v>
      </c>
      <c r="E578" s="96">
        <v>520020116</v>
      </c>
      <c r="F578" s="96" t="s">
        <v>308</v>
      </c>
      <c r="G578" s="96" t="s">
        <v>2699</v>
      </c>
      <c r="H578" s="96" t="s">
        <v>2568</v>
      </c>
      <c r="I578" s="96" t="s">
        <v>320</v>
      </c>
      <c r="J578" s="96" t="s">
        <v>918</v>
      </c>
      <c r="K578" s="96" t="s">
        <v>203</v>
      </c>
      <c r="L578" s="96" t="s">
        <v>203</v>
      </c>
      <c r="M578" s="96" t="s">
        <v>326</v>
      </c>
      <c r="N578" s="96" t="s">
        <v>339</v>
      </c>
      <c r="O578" s="96" t="s">
        <v>463</v>
      </c>
      <c r="P578" s="96" t="s">
        <v>337</v>
      </c>
      <c r="Q578" s="96" t="s">
        <v>1200</v>
      </c>
      <c r="R578" s="97">
        <v>43.015006</v>
      </c>
      <c r="S578" s="97">
        <v>1</v>
      </c>
      <c r="T578" s="97">
        <v>2651.4641999999999</v>
      </c>
      <c r="U578" s="96"/>
      <c r="V578" s="97">
        <v>1.1405270000000001</v>
      </c>
      <c r="W578" s="98">
        <v>9.9999999999999995E-7</v>
      </c>
      <c r="X578" s="98">
        <v>4.9799999999999996E-4</v>
      </c>
      <c r="Y578" s="98">
        <v>6.7999999999999999E-5</v>
      </c>
      <c r="Z578" s="106"/>
    </row>
    <row r="579" spans="1:26" ht="15" customHeight="1">
      <c r="A579" s="106"/>
      <c r="B579" s="96">
        <v>286</v>
      </c>
      <c r="C579" s="96">
        <v>9803</v>
      </c>
      <c r="D579" s="96" t="s">
        <v>2003</v>
      </c>
      <c r="E579" s="96">
        <v>511396046</v>
      </c>
      <c r="F579" s="96" t="s">
        <v>308</v>
      </c>
      <c r="G579" s="96" t="s">
        <v>2480</v>
      </c>
      <c r="H579" s="96" t="s">
        <v>2481</v>
      </c>
      <c r="I579" s="96" t="s">
        <v>320</v>
      </c>
      <c r="J579" s="96" t="s">
        <v>918</v>
      </c>
      <c r="K579" s="96" t="s">
        <v>203</v>
      </c>
      <c r="L579" s="96" t="s">
        <v>203</v>
      </c>
      <c r="M579" s="96" t="s">
        <v>324</v>
      </c>
      <c r="N579" s="96" t="s">
        <v>339</v>
      </c>
      <c r="O579" s="96" t="s">
        <v>483</v>
      </c>
      <c r="P579" s="96" t="s">
        <v>338</v>
      </c>
      <c r="Q579" s="96" t="s">
        <v>1200</v>
      </c>
      <c r="R579" s="97">
        <v>64.057657000000006</v>
      </c>
      <c r="S579" s="97">
        <v>1</v>
      </c>
      <c r="T579" s="97">
        <v>39.1</v>
      </c>
      <c r="U579" s="96"/>
      <c r="V579" s="97">
        <v>2.5045999999999999E-2</v>
      </c>
      <c r="W579" s="98">
        <v>9.9999999999999995E-7</v>
      </c>
      <c r="X579" s="98">
        <v>1.0000000000000001E-5</v>
      </c>
      <c r="Y579" s="98">
        <v>9.9999999999999995E-7</v>
      </c>
      <c r="Z579" s="106"/>
    </row>
    <row r="580" spans="1:26" ht="15" customHeight="1">
      <c r="A580" s="106"/>
      <c r="B580" s="96">
        <v>286</v>
      </c>
      <c r="C580" s="96">
        <v>9803</v>
      </c>
      <c r="D580" s="96" t="s">
        <v>2546</v>
      </c>
      <c r="E580" s="96">
        <v>520025198</v>
      </c>
      <c r="F580" s="96" t="s">
        <v>308</v>
      </c>
      <c r="G580" s="96" t="s">
        <v>2547</v>
      </c>
      <c r="H580" s="96" t="s">
        <v>2548</v>
      </c>
      <c r="I580" s="96" t="s">
        <v>320</v>
      </c>
      <c r="J580" s="96" t="s">
        <v>918</v>
      </c>
      <c r="K580" s="96" t="s">
        <v>203</v>
      </c>
      <c r="L580" s="96" t="s">
        <v>203</v>
      </c>
      <c r="M580" s="96" t="s">
        <v>324</v>
      </c>
      <c r="N580" s="96" t="s">
        <v>339</v>
      </c>
      <c r="O580" s="96" t="s">
        <v>475</v>
      </c>
      <c r="P580" s="96" t="s">
        <v>337</v>
      </c>
      <c r="Q580" s="96" t="s">
        <v>1200</v>
      </c>
      <c r="R580" s="97">
        <v>28.167287000000002</v>
      </c>
      <c r="S580" s="97">
        <v>1</v>
      </c>
      <c r="T580" s="97">
        <v>8237</v>
      </c>
      <c r="U580" s="96"/>
      <c r="V580" s="97">
        <v>2.3201390000000002</v>
      </c>
      <c r="W580" s="98">
        <v>3.9999999999999998E-6</v>
      </c>
      <c r="X580" s="98">
        <v>1.0139999999999999E-3</v>
      </c>
      <c r="Y580" s="98">
        <v>1.3899999999999999E-4</v>
      </c>
      <c r="Z580" s="106"/>
    </row>
    <row r="581" spans="1:26" ht="15" customHeight="1">
      <c r="A581" s="106"/>
      <c r="B581" s="96">
        <v>286</v>
      </c>
      <c r="C581" s="96">
        <v>9803</v>
      </c>
      <c r="D581" s="96" t="s">
        <v>2700</v>
      </c>
      <c r="E581" s="96">
        <v>520042763</v>
      </c>
      <c r="F581" s="96" t="s">
        <v>308</v>
      </c>
      <c r="G581" s="96" t="s">
        <v>2701</v>
      </c>
      <c r="H581" s="96" t="s">
        <v>2702</v>
      </c>
      <c r="I581" s="96" t="s">
        <v>320</v>
      </c>
      <c r="J581" s="96" t="s">
        <v>918</v>
      </c>
      <c r="K581" s="96" t="s">
        <v>203</v>
      </c>
      <c r="L581" s="96" t="s">
        <v>203</v>
      </c>
      <c r="M581" s="96" t="s">
        <v>324</v>
      </c>
      <c r="N581" s="96" t="s">
        <v>339</v>
      </c>
      <c r="O581" s="96" t="s">
        <v>460</v>
      </c>
      <c r="P581" s="96" t="s">
        <v>337</v>
      </c>
      <c r="Q581" s="96" t="s">
        <v>1200</v>
      </c>
      <c r="R581" s="97">
        <v>78.433846000000003</v>
      </c>
      <c r="S581" s="97">
        <v>1</v>
      </c>
      <c r="T581" s="97">
        <v>6972</v>
      </c>
      <c r="U581" s="96"/>
      <c r="V581" s="97">
        <v>5.468407</v>
      </c>
      <c r="W581" s="98">
        <v>3.9999999999999998E-6</v>
      </c>
      <c r="X581" s="98">
        <v>2.3909999999999999E-3</v>
      </c>
      <c r="Y581" s="98">
        <v>3.2699999999999998E-4</v>
      </c>
      <c r="Z581" s="106"/>
    </row>
    <row r="582" spans="1:26" ht="15" customHeight="1">
      <c r="A582" s="106"/>
      <c r="B582" s="96">
        <v>286</v>
      </c>
      <c r="C582" s="96">
        <v>9803</v>
      </c>
      <c r="D582" s="96" t="s">
        <v>2740</v>
      </c>
      <c r="E582" s="96">
        <v>550012777</v>
      </c>
      <c r="F582" s="96" t="s">
        <v>309</v>
      </c>
      <c r="G582" s="96" t="s">
        <v>2741</v>
      </c>
      <c r="H582" s="96" t="s">
        <v>2742</v>
      </c>
      <c r="I582" s="96" t="s">
        <v>320</v>
      </c>
      <c r="J582" s="96" t="s">
        <v>959</v>
      </c>
      <c r="K582" s="96" t="s">
        <v>203</v>
      </c>
      <c r="L582" s="96" t="s">
        <v>203</v>
      </c>
      <c r="M582" s="96" t="s">
        <v>324</v>
      </c>
      <c r="N582" s="96" t="s">
        <v>339</v>
      </c>
      <c r="O582" s="96" t="s">
        <v>453</v>
      </c>
      <c r="P582" s="96" t="s">
        <v>337</v>
      </c>
      <c r="Q582" s="96" t="s">
        <v>1200</v>
      </c>
      <c r="R582" s="97">
        <v>6634.0695290000003</v>
      </c>
      <c r="S582" s="97">
        <v>1</v>
      </c>
      <c r="T582" s="97">
        <v>259.2</v>
      </c>
      <c r="U582" s="96"/>
      <c r="V582" s="97">
        <v>17.195506999999999</v>
      </c>
      <c r="W582" s="98">
        <v>5.0000000000000004E-6</v>
      </c>
      <c r="X582" s="98">
        <v>7.5180000000000004E-3</v>
      </c>
      <c r="Y582" s="98">
        <v>1.0300000000000001E-3</v>
      </c>
      <c r="Z582" s="106"/>
    </row>
    <row r="583" spans="1:26" ht="15" customHeight="1">
      <c r="A583" s="106"/>
      <c r="B583" s="96">
        <v>286</v>
      </c>
      <c r="C583" s="96">
        <v>9803</v>
      </c>
      <c r="D583" s="96" t="s">
        <v>1774</v>
      </c>
      <c r="E583" s="96">
        <v>520039967</v>
      </c>
      <c r="F583" s="96" t="s">
        <v>308</v>
      </c>
      <c r="G583" s="96" t="s">
        <v>2745</v>
      </c>
      <c r="H583" s="96" t="s">
        <v>2456</v>
      </c>
      <c r="I583" s="96" t="s">
        <v>320</v>
      </c>
      <c r="J583" s="96" t="s">
        <v>918</v>
      </c>
      <c r="K583" s="96" t="s">
        <v>203</v>
      </c>
      <c r="L583" s="96" t="s">
        <v>203</v>
      </c>
      <c r="M583" s="96" t="s">
        <v>326</v>
      </c>
      <c r="N583" s="96" t="s">
        <v>339</v>
      </c>
      <c r="O583" s="96" t="s">
        <v>474</v>
      </c>
      <c r="P583" s="96" t="s">
        <v>337</v>
      </c>
      <c r="Q583" s="96" t="s">
        <v>1200</v>
      </c>
      <c r="R583" s="97">
        <v>5.3554940000000002</v>
      </c>
      <c r="S583" s="97">
        <v>1</v>
      </c>
      <c r="T583" s="97">
        <v>7219.1570000000002</v>
      </c>
      <c r="U583" s="96"/>
      <c r="V583" s="97">
        <v>0.38662099999999999</v>
      </c>
      <c r="W583" s="98">
        <v>0</v>
      </c>
      <c r="X583" s="98">
        <v>1.6899999999999999E-4</v>
      </c>
      <c r="Y583" s="98">
        <v>2.3E-5</v>
      </c>
      <c r="Z583" s="106"/>
    </row>
    <row r="584" spans="1:26" ht="15" customHeight="1">
      <c r="A584" s="106"/>
      <c r="B584" s="96">
        <v>286</v>
      </c>
      <c r="C584" s="96">
        <v>9803</v>
      </c>
      <c r="D584" s="96" t="s">
        <v>2423</v>
      </c>
      <c r="E584" s="96">
        <v>520037540</v>
      </c>
      <c r="F584" s="96" t="s">
        <v>308</v>
      </c>
      <c r="G584" s="96" t="s">
        <v>2424</v>
      </c>
      <c r="H584" s="96" t="s">
        <v>2425</v>
      </c>
      <c r="I584" s="96" t="s">
        <v>320</v>
      </c>
      <c r="J584" s="96" t="s">
        <v>918</v>
      </c>
      <c r="K584" s="96" t="s">
        <v>203</v>
      </c>
      <c r="L584" s="96" t="s">
        <v>203</v>
      </c>
      <c r="M584" s="96" t="s">
        <v>324</v>
      </c>
      <c r="N584" s="96" t="s">
        <v>339</v>
      </c>
      <c r="O584" s="96" t="s">
        <v>464</v>
      </c>
      <c r="P584" s="96" t="s">
        <v>337</v>
      </c>
      <c r="Q584" s="96" t="s">
        <v>1200</v>
      </c>
      <c r="R584" s="97">
        <v>359.80084799999997</v>
      </c>
      <c r="S584" s="97">
        <v>1</v>
      </c>
      <c r="T584" s="97">
        <v>560.5</v>
      </c>
      <c r="U584" s="96"/>
      <c r="V584" s="97">
        <v>2.016683</v>
      </c>
      <c r="W584" s="98">
        <v>5.0000000000000004E-6</v>
      </c>
      <c r="X584" s="98">
        <v>8.8099999999999995E-4</v>
      </c>
      <c r="Y584" s="98">
        <v>1.1900000000000001E-4</v>
      </c>
      <c r="Z584" s="106"/>
    </row>
    <row r="585" spans="1:26" ht="15" customHeight="1">
      <c r="A585" s="106"/>
      <c r="B585" s="96">
        <v>286</v>
      </c>
      <c r="C585" s="96">
        <v>9803</v>
      </c>
      <c r="D585" s="96" t="s">
        <v>2436</v>
      </c>
      <c r="E585" s="96">
        <v>510607328</v>
      </c>
      <c r="F585" s="96" t="s">
        <v>308</v>
      </c>
      <c r="G585" s="96" t="s">
        <v>2437</v>
      </c>
      <c r="H585" s="96" t="s">
        <v>2438</v>
      </c>
      <c r="I585" s="96" t="s">
        <v>320</v>
      </c>
      <c r="J585" s="96" t="s">
        <v>918</v>
      </c>
      <c r="K585" s="96" t="s">
        <v>203</v>
      </c>
      <c r="L585" s="96" t="s">
        <v>203</v>
      </c>
      <c r="M585" s="96" t="s">
        <v>324</v>
      </c>
      <c r="N585" s="96" t="s">
        <v>339</v>
      </c>
      <c r="O585" s="96" t="s">
        <v>464</v>
      </c>
      <c r="P585" s="96" t="s">
        <v>338</v>
      </c>
      <c r="Q585" s="96" t="s">
        <v>1200</v>
      </c>
      <c r="R585" s="97">
        <v>0.12905900000000001</v>
      </c>
      <c r="S585" s="97">
        <v>1</v>
      </c>
      <c r="T585" s="97">
        <v>3254</v>
      </c>
      <c r="U585" s="96"/>
      <c r="V585" s="97">
        <v>4.1989999999999996E-3</v>
      </c>
      <c r="W585" s="98">
        <v>0</v>
      </c>
      <c r="X585" s="98">
        <v>9.9999999999999995E-7</v>
      </c>
      <c r="Y585" s="98">
        <v>0</v>
      </c>
      <c r="Z585" s="106"/>
    </row>
    <row r="586" spans="1:26" ht="15" customHeight="1">
      <c r="A586" s="106"/>
      <c r="B586" s="96">
        <v>286</v>
      </c>
      <c r="C586" s="96">
        <v>9803</v>
      </c>
      <c r="D586" s="96" t="s">
        <v>1898</v>
      </c>
      <c r="E586" s="96">
        <v>520038605</v>
      </c>
      <c r="F586" s="96" t="s">
        <v>308</v>
      </c>
      <c r="G586" s="96" t="s">
        <v>2484</v>
      </c>
      <c r="H586" s="96" t="s">
        <v>2485</v>
      </c>
      <c r="I586" s="96" t="s">
        <v>320</v>
      </c>
      <c r="J586" s="96" t="s">
        <v>918</v>
      </c>
      <c r="K586" s="96" t="s">
        <v>203</v>
      </c>
      <c r="L586" s="96" t="s">
        <v>203</v>
      </c>
      <c r="M586" s="96" t="s">
        <v>324</v>
      </c>
      <c r="N586" s="96" t="s">
        <v>339</v>
      </c>
      <c r="O586" s="96" t="s">
        <v>446</v>
      </c>
      <c r="P586" s="96" t="s">
        <v>337</v>
      </c>
      <c r="Q586" s="96" t="s">
        <v>1200</v>
      </c>
      <c r="R586" s="97">
        <v>31.549942999999999</v>
      </c>
      <c r="S586" s="97">
        <v>1</v>
      </c>
      <c r="T586" s="97">
        <v>17980</v>
      </c>
      <c r="U586" s="96"/>
      <c r="V586" s="97">
        <v>5.6726789999999996</v>
      </c>
      <c r="W586" s="98">
        <v>3.0000000000000001E-6</v>
      </c>
      <c r="X586" s="98">
        <v>2.48E-3</v>
      </c>
      <c r="Y586" s="98">
        <v>3.4000000000000002E-4</v>
      </c>
      <c r="Z586" s="106"/>
    </row>
    <row r="587" spans="1:26" ht="15" customHeight="1">
      <c r="A587" s="106"/>
      <c r="B587" s="96">
        <v>286</v>
      </c>
      <c r="C587" s="96">
        <v>9803</v>
      </c>
      <c r="D587" s="96" t="s">
        <v>1529</v>
      </c>
      <c r="E587" s="96">
        <v>520003781</v>
      </c>
      <c r="F587" s="96" t="s">
        <v>308</v>
      </c>
      <c r="G587" s="96" t="s">
        <v>2696</v>
      </c>
      <c r="H587" s="96" t="s">
        <v>2697</v>
      </c>
      <c r="I587" s="96" t="s">
        <v>320</v>
      </c>
      <c r="J587" s="96" t="s">
        <v>918</v>
      </c>
      <c r="K587" s="96" t="s">
        <v>203</v>
      </c>
      <c r="L587" s="96" t="s">
        <v>203</v>
      </c>
      <c r="M587" s="96" t="s">
        <v>324</v>
      </c>
      <c r="N587" s="96" t="s">
        <v>339</v>
      </c>
      <c r="O587" s="96" t="s">
        <v>458</v>
      </c>
      <c r="P587" s="96" t="s">
        <v>338</v>
      </c>
      <c r="Q587" s="96" t="s">
        <v>1200</v>
      </c>
      <c r="R587" s="97">
        <v>326.81473599999998</v>
      </c>
      <c r="S587" s="97">
        <v>1</v>
      </c>
      <c r="T587" s="97">
        <v>5599</v>
      </c>
      <c r="U587" s="96"/>
      <c r="V587" s="97">
        <v>18.298355999999998</v>
      </c>
      <c r="W587" s="98">
        <v>1.9999999999999999E-6</v>
      </c>
      <c r="X587" s="98">
        <v>8.0000000000000002E-3</v>
      </c>
      <c r="Y587" s="98">
        <v>1.0970000000000001E-3</v>
      </c>
      <c r="Z587" s="106"/>
    </row>
    <row r="588" spans="1:26" ht="15" customHeight="1">
      <c r="A588" s="106"/>
      <c r="B588" s="96">
        <v>286</v>
      </c>
      <c r="C588" s="96">
        <v>9803</v>
      </c>
      <c r="D588" s="96" t="s">
        <v>1774</v>
      </c>
      <c r="E588" s="96">
        <v>520039967</v>
      </c>
      <c r="F588" s="96" t="s">
        <v>308</v>
      </c>
      <c r="G588" s="96" t="s">
        <v>2455</v>
      </c>
      <c r="H588" s="96" t="s">
        <v>2456</v>
      </c>
      <c r="I588" s="96" t="s">
        <v>320</v>
      </c>
      <c r="J588" s="96" t="s">
        <v>918</v>
      </c>
      <c r="K588" s="96" t="s">
        <v>203</v>
      </c>
      <c r="L588" s="96" t="s">
        <v>203</v>
      </c>
      <c r="M588" s="96" t="s">
        <v>324</v>
      </c>
      <c r="N588" s="96" t="s">
        <v>339</v>
      </c>
      <c r="O588" s="96" t="s">
        <v>474</v>
      </c>
      <c r="P588" s="96" t="s">
        <v>337</v>
      </c>
      <c r="Q588" s="96" t="s">
        <v>1200</v>
      </c>
      <c r="R588" s="97">
        <v>109.680791</v>
      </c>
      <c r="S588" s="97">
        <v>1</v>
      </c>
      <c r="T588" s="97">
        <v>7427</v>
      </c>
      <c r="U588" s="96"/>
      <c r="V588" s="97">
        <v>8.1459910000000004</v>
      </c>
      <c r="W588" s="98">
        <v>3.9999999999999998E-6</v>
      </c>
      <c r="X588" s="98">
        <v>3.5609999999999999E-3</v>
      </c>
      <c r="Y588" s="98">
        <v>4.8700000000000002E-4</v>
      </c>
      <c r="Z588" s="106"/>
    </row>
    <row r="589" spans="1:26" ht="15" customHeight="1">
      <c r="A589" s="106"/>
      <c r="B589" s="96">
        <v>286</v>
      </c>
      <c r="C589" s="96">
        <v>9803</v>
      </c>
      <c r="D589" s="96" t="s">
        <v>2639</v>
      </c>
      <c r="E589" s="96">
        <v>520025990</v>
      </c>
      <c r="F589" s="96" t="s">
        <v>308</v>
      </c>
      <c r="G589" s="96" t="s">
        <v>2640</v>
      </c>
      <c r="H589" s="96" t="s">
        <v>2641</v>
      </c>
      <c r="I589" s="96" t="s">
        <v>320</v>
      </c>
      <c r="J589" s="96" t="s">
        <v>918</v>
      </c>
      <c r="K589" s="96" t="s">
        <v>203</v>
      </c>
      <c r="L589" s="96" t="s">
        <v>203</v>
      </c>
      <c r="M589" s="96" t="s">
        <v>324</v>
      </c>
      <c r="N589" s="96" t="s">
        <v>339</v>
      </c>
      <c r="O589" s="96" t="s">
        <v>446</v>
      </c>
      <c r="P589" s="96" t="s">
        <v>338</v>
      </c>
      <c r="Q589" s="96" t="s">
        <v>1200</v>
      </c>
      <c r="R589" s="97">
        <v>580.89635699999997</v>
      </c>
      <c r="S589" s="97">
        <v>1</v>
      </c>
      <c r="T589" s="97">
        <v>1549</v>
      </c>
      <c r="U589" s="96"/>
      <c r="V589" s="97">
        <v>8.9980840000000004</v>
      </c>
      <c r="W589" s="98">
        <v>1.9999999999999999E-6</v>
      </c>
      <c r="X589" s="98">
        <v>3.934E-3</v>
      </c>
      <c r="Y589" s="98">
        <v>5.3899999999999998E-4</v>
      </c>
      <c r="Z589" s="106"/>
    </row>
    <row r="590" spans="1:26" ht="15" customHeight="1">
      <c r="A590" s="106"/>
      <c r="B590" s="96">
        <v>286</v>
      </c>
      <c r="C590" s="96">
        <v>9803</v>
      </c>
      <c r="D590" s="96" t="s">
        <v>2703</v>
      </c>
      <c r="E590" s="96">
        <v>513639013</v>
      </c>
      <c r="F590" s="96" t="s">
        <v>308</v>
      </c>
      <c r="G590" s="96" t="s">
        <v>2704</v>
      </c>
      <c r="H590" s="96" t="s">
        <v>2705</v>
      </c>
      <c r="I590" s="96" t="s">
        <v>320</v>
      </c>
      <c r="J590" s="96" t="s">
        <v>918</v>
      </c>
      <c r="K590" s="96" t="s">
        <v>203</v>
      </c>
      <c r="L590" s="96" t="s">
        <v>203</v>
      </c>
      <c r="M590" s="96" t="s">
        <v>324</v>
      </c>
      <c r="N590" s="96" t="s">
        <v>339</v>
      </c>
      <c r="O590" s="96" t="s">
        <v>479</v>
      </c>
      <c r="P590" s="96" t="s">
        <v>338</v>
      </c>
      <c r="Q590" s="96" t="s">
        <v>1200</v>
      </c>
      <c r="R590" s="97">
        <v>27.076340999999999</v>
      </c>
      <c r="S590" s="97">
        <v>1</v>
      </c>
      <c r="T590" s="97">
        <v>8000</v>
      </c>
      <c r="U590" s="96"/>
      <c r="V590" s="97">
        <v>2.1661069999999998</v>
      </c>
      <c r="W590" s="98">
        <v>0</v>
      </c>
      <c r="X590" s="98">
        <v>9.4700000000000003E-4</v>
      </c>
      <c r="Y590" s="98">
        <v>1.2899999999999999E-4</v>
      </c>
      <c r="Z590" s="106"/>
    </row>
    <row r="591" spans="1:26" ht="15" customHeight="1">
      <c r="A591" s="106"/>
      <c r="B591" s="96">
        <v>286</v>
      </c>
      <c r="C591" s="96">
        <v>9803</v>
      </c>
      <c r="D591" s="96" t="s">
        <v>2714</v>
      </c>
      <c r="E591" s="96">
        <v>511399388</v>
      </c>
      <c r="F591" s="96" t="s">
        <v>308</v>
      </c>
      <c r="G591" s="96" t="s">
        <v>2715</v>
      </c>
      <c r="H591" s="96" t="s">
        <v>2716</v>
      </c>
      <c r="I591" s="96" t="s">
        <v>320</v>
      </c>
      <c r="J591" s="96" t="s">
        <v>918</v>
      </c>
      <c r="K591" s="96" t="s">
        <v>203</v>
      </c>
      <c r="L591" s="96" t="s">
        <v>203</v>
      </c>
      <c r="M591" s="96" t="s">
        <v>324</v>
      </c>
      <c r="N591" s="96" t="s">
        <v>339</v>
      </c>
      <c r="O591" s="96" t="s">
        <v>446</v>
      </c>
      <c r="P591" s="96" t="s">
        <v>338</v>
      </c>
      <c r="Q591" s="96" t="s">
        <v>1200</v>
      </c>
      <c r="R591" s="97">
        <v>57.448748999999999</v>
      </c>
      <c r="S591" s="97">
        <v>1</v>
      </c>
      <c r="T591" s="97">
        <v>27830</v>
      </c>
      <c r="U591" s="96"/>
      <c r="V591" s="97">
        <v>15.987985999999999</v>
      </c>
      <c r="W591" s="98">
        <v>1.9999999999999999E-6</v>
      </c>
      <c r="X591" s="98">
        <v>6.9909999999999998E-3</v>
      </c>
      <c r="Y591" s="98">
        <v>9.5799999999999998E-4</v>
      </c>
      <c r="Z591" s="106"/>
    </row>
    <row r="592" spans="1:26" ht="15" customHeight="1">
      <c r="A592" s="106"/>
      <c r="B592" s="96">
        <v>286</v>
      </c>
      <c r="C592" s="96">
        <v>9803</v>
      </c>
      <c r="D592" s="96" t="s">
        <v>2486</v>
      </c>
      <c r="E592" s="96">
        <v>520039132</v>
      </c>
      <c r="F592" s="96" t="s">
        <v>308</v>
      </c>
      <c r="G592" s="96" t="s">
        <v>2487</v>
      </c>
      <c r="H592" s="96" t="s">
        <v>2488</v>
      </c>
      <c r="I592" s="96" t="s">
        <v>320</v>
      </c>
      <c r="J592" s="96" t="s">
        <v>918</v>
      </c>
      <c r="K592" s="96" t="s">
        <v>203</v>
      </c>
      <c r="L592" s="96" t="s">
        <v>203</v>
      </c>
      <c r="M592" s="96" t="s">
        <v>324</v>
      </c>
      <c r="N592" s="96" t="s">
        <v>339</v>
      </c>
      <c r="O592" s="96" t="s">
        <v>463</v>
      </c>
      <c r="P592" s="96" t="s">
        <v>337</v>
      </c>
      <c r="Q592" s="96" t="s">
        <v>1200</v>
      </c>
      <c r="R592" s="97">
        <v>27.062791000000001</v>
      </c>
      <c r="S592" s="97">
        <v>1</v>
      </c>
      <c r="T592" s="97">
        <v>19190</v>
      </c>
      <c r="U592" s="96"/>
      <c r="V592" s="97">
        <v>5.1933490000000004</v>
      </c>
      <c r="W592" s="98">
        <v>3.9999999999999998E-6</v>
      </c>
      <c r="X592" s="98">
        <v>2.2699999999999999E-3</v>
      </c>
      <c r="Y592" s="98">
        <v>3.1100000000000002E-4</v>
      </c>
      <c r="Z592" s="106"/>
    </row>
    <row r="593" spans="1:26" ht="15" customHeight="1">
      <c r="A593" s="106"/>
      <c r="B593" s="96">
        <v>286</v>
      </c>
      <c r="C593" s="96">
        <v>9803</v>
      </c>
      <c r="D593" s="96" t="s">
        <v>2402</v>
      </c>
      <c r="E593" s="96">
        <v>520034760</v>
      </c>
      <c r="F593" s="96" t="s">
        <v>308</v>
      </c>
      <c r="G593" s="96" t="s">
        <v>2402</v>
      </c>
      <c r="H593" s="96" t="s">
        <v>2403</v>
      </c>
      <c r="I593" s="96" t="s">
        <v>320</v>
      </c>
      <c r="J593" s="96" t="s">
        <v>918</v>
      </c>
      <c r="K593" s="96" t="s">
        <v>203</v>
      </c>
      <c r="L593" s="96" t="s">
        <v>203</v>
      </c>
      <c r="M593" s="96" t="s">
        <v>324</v>
      </c>
      <c r="N593" s="96" t="s">
        <v>339</v>
      </c>
      <c r="O593" s="96" t="s">
        <v>446</v>
      </c>
      <c r="P593" s="96" t="s">
        <v>337</v>
      </c>
      <c r="Q593" s="96" t="s">
        <v>1200</v>
      </c>
      <c r="R593" s="97">
        <v>54.525880999999998</v>
      </c>
      <c r="S593" s="97">
        <v>1</v>
      </c>
      <c r="T593" s="97">
        <v>20500</v>
      </c>
      <c r="U593" s="96"/>
      <c r="V593" s="97">
        <v>11.177804</v>
      </c>
      <c r="W593" s="98">
        <v>3.9999999999999998E-6</v>
      </c>
      <c r="X593" s="98">
        <v>4.8869999999999999E-3</v>
      </c>
      <c r="Y593" s="98">
        <v>6.7000000000000002E-4</v>
      </c>
      <c r="Z593" s="106"/>
    </row>
    <row r="594" spans="1:26" ht="15" customHeight="1">
      <c r="A594" s="106"/>
      <c r="B594" s="96">
        <v>286</v>
      </c>
      <c r="C594" s="96">
        <v>9803</v>
      </c>
      <c r="D594" s="96" t="s">
        <v>1757</v>
      </c>
      <c r="E594" s="96">
        <v>520041146</v>
      </c>
      <c r="F594" s="96" t="s">
        <v>308</v>
      </c>
      <c r="G594" s="96" t="s">
        <v>2691</v>
      </c>
      <c r="H594" s="96" t="s">
        <v>2692</v>
      </c>
      <c r="I594" s="96" t="s">
        <v>320</v>
      </c>
      <c r="J594" s="96" t="s">
        <v>918</v>
      </c>
      <c r="K594" s="96" t="s">
        <v>203</v>
      </c>
      <c r="L594" s="96" t="s">
        <v>203</v>
      </c>
      <c r="M594" s="96" t="s">
        <v>324</v>
      </c>
      <c r="N594" s="96" t="s">
        <v>339</v>
      </c>
      <c r="O594" s="96" t="s">
        <v>440</v>
      </c>
      <c r="P594" s="96" t="s">
        <v>337</v>
      </c>
      <c r="Q594" s="96" t="s">
        <v>1200</v>
      </c>
      <c r="R594" s="97">
        <v>429.08834200000001</v>
      </c>
      <c r="S594" s="97">
        <v>1</v>
      </c>
      <c r="T594" s="97">
        <v>5985</v>
      </c>
      <c r="U594" s="96"/>
      <c r="V594" s="97">
        <v>25.680937</v>
      </c>
      <c r="W594" s="98">
        <v>3.0000000000000001E-6</v>
      </c>
      <c r="X594" s="98">
        <v>1.1228999999999999E-2</v>
      </c>
      <c r="Y594" s="98">
        <v>1.5399999999999999E-3</v>
      </c>
      <c r="Z594" s="106"/>
    </row>
    <row r="595" spans="1:26" ht="15" customHeight="1">
      <c r="A595" s="106"/>
      <c r="B595" s="96">
        <v>286</v>
      </c>
      <c r="C595" s="96">
        <v>9803</v>
      </c>
      <c r="D595" s="96" t="s">
        <v>2624</v>
      </c>
      <c r="E595" s="96">
        <v>520020942</v>
      </c>
      <c r="F595" s="96" t="s">
        <v>308</v>
      </c>
      <c r="G595" s="96" t="s">
        <v>2625</v>
      </c>
      <c r="H595" s="96" t="s">
        <v>2626</v>
      </c>
      <c r="I595" s="96" t="s">
        <v>320</v>
      </c>
      <c r="J595" s="96" t="s">
        <v>918</v>
      </c>
      <c r="K595" s="96" t="s">
        <v>203</v>
      </c>
      <c r="L595" s="96" t="s">
        <v>203</v>
      </c>
      <c r="M595" s="96" t="s">
        <v>324</v>
      </c>
      <c r="N595" s="96" t="s">
        <v>339</v>
      </c>
      <c r="O595" s="96" t="s">
        <v>453</v>
      </c>
      <c r="P595" s="96" t="s">
        <v>337</v>
      </c>
      <c r="Q595" s="96" t="s">
        <v>1200</v>
      </c>
      <c r="R595" s="97">
        <v>471.63606399999998</v>
      </c>
      <c r="S595" s="97">
        <v>1</v>
      </c>
      <c r="T595" s="97">
        <v>2011</v>
      </c>
      <c r="U595" s="96"/>
      <c r="V595" s="97">
        <v>9.4846009999999996</v>
      </c>
      <c r="W595" s="98">
        <v>3.9999999999999998E-6</v>
      </c>
      <c r="X595" s="98">
        <v>4.1469999999999996E-3</v>
      </c>
      <c r="Y595" s="98">
        <v>5.6700000000000001E-4</v>
      </c>
      <c r="Z595" s="106"/>
    </row>
    <row r="596" spans="1:26" ht="15" customHeight="1">
      <c r="A596" s="106"/>
      <c r="B596" s="96">
        <v>286</v>
      </c>
      <c r="C596" s="96">
        <v>9803</v>
      </c>
      <c r="D596" s="96" t="s">
        <v>2660</v>
      </c>
      <c r="E596" s="96">
        <v>1884</v>
      </c>
      <c r="F596" s="96" t="s">
        <v>80</v>
      </c>
      <c r="G596" s="96" t="s">
        <v>2661</v>
      </c>
      <c r="H596" s="96" t="s">
        <v>2662</v>
      </c>
      <c r="I596" s="96" t="s">
        <v>320</v>
      </c>
      <c r="J596" s="96" t="s">
        <v>918</v>
      </c>
      <c r="K596" s="96" t="s">
        <v>203</v>
      </c>
      <c r="L596" s="96" t="s">
        <v>203</v>
      </c>
      <c r="M596" s="96" t="s">
        <v>324</v>
      </c>
      <c r="N596" s="96" t="s">
        <v>339</v>
      </c>
      <c r="O596" s="96" t="s">
        <v>464</v>
      </c>
      <c r="P596" s="96" t="s">
        <v>337</v>
      </c>
      <c r="Q596" s="96" t="s">
        <v>1200</v>
      </c>
      <c r="R596" s="97">
        <v>68.724374999999995</v>
      </c>
      <c r="S596" s="97">
        <v>1</v>
      </c>
      <c r="T596" s="97">
        <v>7921</v>
      </c>
      <c r="U596" s="96"/>
      <c r="V596" s="97">
        <v>5.443657</v>
      </c>
      <c r="W596" s="98">
        <v>3.0000000000000001E-6</v>
      </c>
      <c r="X596" s="98">
        <v>2.3800000000000002E-3</v>
      </c>
      <c r="Y596" s="98">
        <v>3.2600000000000001E-4</v>
      </c>
      <c r="Z596" s="106"/>
    </row>
    <row r="597" spans="1:26" ht="15" customHeight="1">
      <c r="A597" s="106"/>
      <c r="B597" s="96">
        <v>286</v>
      </c>
      <c r="C597" s="96">
        <v>9803</v>
      </c>
      <c r="D597" s="96" t="s">
        <v>2649</v>
      </c>
      <c r="E597" s="96">
        <v>511812463</v>
      </c>
      <c r="F597" s="96" t="s">
        <v>308</v>
      </c>
      <c r="G597" s="96" t="s">
        <v>2650</v>
      </c>
      <c r="H597" s="96" t="s">
        <v>2651</v>
      </c>
      <c r="I597" s="96" t="s">
        <v>320</v>
      </c>
      <c r="J597" s="96" t="s">
        <v>918</v>
      </c>
      <c r="K597" s="96" t="s">
        <v>203</v>
      </c>
      <c r="L597" s="96" t="s">
        <v>203</v>
      </c>
      <c r="M597" s="96" t="s">
        <v>324</v>
      </c>
      <c r="N597" s="96" t="s">
        <v>339</v>
      </c>
      <c r="O597" s="96" t="s">
        <v>457</v>
      </c>
      <c r="P597" s="96" t="s">
        <v>337</v>
      </c>
      <c r="Q597" s="96" t="s">
        <v>1200</v>
      </c>
      <c r="R597" s="97">
        <v>48.795833000000002</v>
      </c>
      <c r="S597" s="97">
        <v>1</v>
      </c>
      <c r="T597" s="97">
        <v>87800</v>
      </c>
      <c r="U597" s="96"/>
      <c r="V597" s="97">
        <v>42.842740999999997</v>
      </c>
      <c r="W597" s="98">
        <v>9.9999999999999995E-7</v>
      </c>
      <c r="X597" s="98">
        <v>1.8733E-2</v>
      </c>
      <c r="Y597" s="98">
        <v>2.568E-3</v>
      </c>
      <c r="Z597" s="106"/>
    </row>
    <row r="598" spans="1:26" ht="15" customHeight="1">
      <c r="A598" s="106"/>
      <c r="B598" s="96">
        <v>286</v>
      </c>
      <c r="C598" s="96">
        <v>9803</v>
      </c>
      <c r="D598" s="96" t="s">
        <v>2559</v>
      </c>
      <c r="E598" s="96">
        <v>520039298</v>
      </c>
      <c r="F598" s="96" t="s">
        <v>308</v>
      </c>
      <c r="G598" s="96" t="s">
        <v>2713</v>
      </c>
      <c r="H598" s="96" t="s">
        <v>2561</v>
      </c>
      <c r="I598" s="96" t="s">
        <v>320</v>
      </c>
      <c r="J598" s="96" t="s">
        <v>918</v>
      </c>
      <c r="K598" s="96" t="s">
        <v>203</v>
      </c>
      <c r="L598" s="96" t="s">
        <v>203</v>
      </c>
      <c r="M598" s="96" t="s">
        <v>326</v>
      </c>
      <c r="N598" s="96" t="s">
        <v>339</v>
      </c>
      <c r="O598" s="96" t="s">
        <v>446</v>
      </c>
      <c r="P598" s="96" t="s">
        <v>337</v>
      </c>
      <c r="Q598" s="96" t="s">
        <v>1200</v>
      </c>
      <c r="R598" s="97">
        <v>145.537352</v>
      </c>
      <c r="S598" s="97">
        <v>1</v>
      </c>
      <c r="T598" s="97">
        <v>1140.7186999999999</v>
      </c>
      <c r="U598" s="96"/>
      <c r="V598" s="97">
        <v>1.6601710000000001</v>
      </c>
      <c r="W598" s="98">
        <v>0</v>
      </c>
      <c r="X598" s="98">
        <v>7.2499999999999995E-4</v>
      </c>
      <c r="Y598" s="98">
        <v>9.8999999999999994E-5</v>
      </c>
      <c r="Z598" s="106"/>
    </row>
    <row r="599" spans="1:26" ht="15" customHeight="1">
      <c r="A599" s="106"/>
      <c r="B599" s="96">
        <v>286</v>
      </c>
      <c r="C599" s="96">
        <v>9803</v>
      </c>
      <c r="D599" s="96" t="s">
        <v>2723</v>
      </c>
      <c r="E599" s="96">
        <v>520036740</v>
      </c>
      <c r="F599" s="96" t="s">
        <v>308</v>
      </c>
      <c r="G599" s="96" t="s">
        <v>2724</v>
      </c>
      <c r="H599" s="96" t="s">
        <v>2725</v>
      </c>
      <c r="I599" s="96" t="s">
        <v>320</v>
      </c>
      <c r="J599" s="96" t="s">
        <v>918</v>
      </c>
      <c r="K599" s="96" t="s">
        <v>203</v>
      </c>
      <c r="L599" s="96" t="s">
        <v>203</v>
      </c>
      <c r="M599" s="96" t="s">
        <v>324</v>
      </c>
      <c r="N599" s="96" t="s">
        <v>339</v>
      </c>
      <c r="O599" s="96" t="s">
        <v>479</v>
      </c>
      <c r="P599" s="96" t="s">
        <v>338</v>
      </c>
      <c r="Q599" s="96" t="s">
        <v>1200</v>
      </c>
      <c r="R599" s="97">
        <v>62.254511999999998</v>
      </c>
      <c r="S599" s="97">
        <v>1</v>
      </c>
      <c r="T599" s="97">
        <v>3667</v>
      </c>
      <c r="U599" s="96"/>
      <c r="V599" s="97">
        <v>2.2828719999999998</v>
      </c>
      <c r="W599" s="98">
        <v>9.9999999999999995E-7</v>
      </c>
      <c r="X599" s="98">
        <v>9.9700000000000006E-4</v>
      </c>
      <c r="Y599" s="98">
        <v>1.36E-4</v>
      </c>
      <c r="Z599" s="106"/>
    </row>
    <row r="600" spans="1:26" ht="15" customHeight="1">
      <c r="A600" s="106"/>
      <c r="B600" s="96">
        <v>286</v>
      </c>
      <c r="C600" s="96">
        <v>9803</v>
      </c>
      <c r="D600" s="96" t="s">
        <v>2399</v>
      </c>
      <c r="E600" s="96"/>
      <c r="F600" s="96" t="s">
        <v>308</v>
      </c>
      <c r="G600" s="96" t="s">
        <v>2400</v>
      </c>
      <c r="H600" s="96" t="s">
        <v>2401</v>
      </c>
      <c r="I600" s="96" t="s">
        <v>320</v>
      </c>
      <c r="J600" s="96" t="s">
        <v>918</v>
      </c>
      <c r="K600" s="96" t="s">
        <v>203</v>
      </c>
      <c r="L600" s="96" t="s">
        <v>203</v>
      </c>
      <c r="M600" s="96" t="s">
        <v>326</v>
      </c>
      <c r="N600" s="96" t="s">
        <v>339</v>
      </c>
      <c r="O600" s="96" t="s">
        <v>440</v>
      </c>
      <c r="P600" s="96" t="s">
        <v>338</v>
      </c>
      <c r="Q600" s="96" t="s">
        <v>1200</v>
      </c>
      <c r="R600" s="97">
        <v>1.7531890000000001</v>
      </c>
      <c r="S600" s="97">
        <v>1</v>
      </c>
      <c r="T600" s="97">
        <v>3183.9468000000002</v>
      </c>
      <c r="U600" s="96"/>
      <c r="V600" s="97">
        <v>5.5820000000000002E-2</v>
      </c>
      <c r="W600" s="98">
        <v>0</v>
      </c>
      <c r="X600" s="98">
        <v>2.4000000000000001E-5</v>
      </c>
      <c r="Y600" s="98">
        <v>3.0000000000000001E-6</v>
      </c>
      <c r="Z600" s="106"/>
    </row>
    <row r="601" spans="1:26" ht="15" customHeight="1">
      <c r="A601" s="106"/>
      <c r="B601" s="96">
        <v>286</v>
      </c>
      <c r="C601" s="96">
        <v>9803</v>
      </c>
      <c r="D601" s="96" t="s">
        <v>1955</v>
      </c>
      <c r="E601" s="96">
        <v>516167343</v>
      </c>
      <c r="F601" s="96" t="s">
        <v>308</v>
      </c>
      <c r="G601" s="96" t="s">
        <v>2770</v>
      </c>
      <c r="H601" s="96" t="s">
        <v>2498</v>
      </c>
      <c r="I601" s="96" t="s">
        <v>320</v>
      </c>
      <c r="J601" s="96" t="s">
        <v>918</v>
      </c>
      <c r="K601" s="96" t="s">
        <v>203</v>
      </c>
      <c r="L601" s="96" t="s">
        <v>203</v>
      </c>
      <c r="M601" s="96" t="s">
        <v>326</v>
      </c>
      <c r="N601" s="96" t="s">
        <v>339</v>
      </c>
      <c r="O601" s="96" t="s">
        <v>439</v>
      </c>
      <c r="P601" s="96" t="s">
        <v>338</v>
      </c>
      <c r="Q601" s="96" t="s">
        <v>1200</v>
      </c>
      <c r="R601" s="97">
        <v>551.17629699999998</v>
      </c>
      <c r="S601" s="97">
        <v>1</v>
      </c>
      <c r="T601" s="97">
        <v>247.12809999999999</v>
      </c>
      <c r="U601" s="96"/>
      <c r="V601" s="97">
        <v>1.3621110000000001</v>
      </c>
      <c r="W601" s="98">
        <v>0</v>
      </c>
      <c r="X601" s="98">
        <v>5.9500000000000004E-4</v>
      </c>
      <c r="Y601" s="98">
        <v>8.1000000000000004E-5</v>
      </c>
      <c r="Z601" s="106"/>
    </row>
    <row r="602" spans="1:26" ht="15" customHeight="1">
      <c r="A602" s="106"/>
      <c r="B602" s="96">
        <v>286</v>
      </c>
      <c r="C602" s="96">
        <v>9803</v>
      </c>
      <c r="D602" s="96" t="s">
        <v>2475</v>
      </c>
      <c r="E602" s="96">
        <v>520008483</v>
      </c>
      <c r="F602" s="96" t="s">
        <v>308</v>
      </c>
      <c r="G602" s="96" t="s">
        <v>2476</v>
      </c>
      <c r="H602" s="96" t="s">
        <v>2477</v>
      </c>
      <c r="I602" s="96" t="s">
        <v>320</v>
      </c>
      <c r="J602" s="96" t="s">
        <v>918</v>
      </c>
      <c r="K602" s="96" t="s">
        <v>203</v>
      </c>
      <c r="L602" s="96" t="s">
        <v>203</v>
      </c>
      <c r="M602" s="96" t="s">
        <v>324</v>
      </c>
      <c r="N602" s="96" t="s">
        <v>339</v>
      </c>
      <c r="O602" s="96" t="s">
        <v>483</v>
      </c>
      <c r="P602" s="96" t="s">
        <v>337</v>
      </c>
      <c r="Q602" s="96" t="s">
        <v>1200</v>
      </c>
      <c r="R602" s="97">
        <v>24.389690000000002</v>
      </c>
      <c r="S602" s="97">
        <v>1</v>
      </c>
      <c r="T602" s="97">
        <v>6049</v>
      </c>
      <c r="U602" s="96"/>
      <c r="V602" s="97">
        <v>1.4753320000000001</v>
      </c>
      <c r="W602" s="98">
        <v>7.9999999999999996E-6</v>
      </c>
      <c r="X602" s="98">
        <v>6.4499999999999996E-4</v>
      </c>
      <c r="Y602" s="98">
        <v>8.7999999999999998E-5</v>
      </c>
      <c r="Z602" s="106"/>
    </row>
    <row r="603" spans="1:26" ht="15" customHeight="1">
      <c r="A603" s="106"/>
      <c r="B603" s="96">
        <v>286</v>
      </c>
      <c r="C603" s="96">
        <v>9803</v>
      </c>
      <c r="D603" s="96" t="s">
        <v>2767</v>
      </c>
      <c r="E603" s="96">
        <v>520029026</v>
      </c>
      <c r="F603" s="96" t="s">
        <v>308</v>
      </c>
      <c r="G603" s="96" t="s">
        <v>2768</v>
      </c>
      <c r="H603" s="96" t="s">
        <v>2769</v>
      </c>
      <c r="I603" s="96" t="s">
        <v>320</v>
      </c>
      <c r="J603" s="96" t="s">
        <v>918</v>
      </c>
      <c r="K603" s="96" t="s">
        <v>203</v>
      </c>
      <c r="L603" s="96" t="s">
        <v>203</v>
      </c>
      <c r="M603" s="96" t="s">
        <v>324</v>
      </c>
      <c r="N603" s="96" t="s">
        <v>339</v>
      </c>
      <c r="O603" s="96" t="s">
        <v>447</v>
      </c>
      <c r="P603" s="96" t="s">
        <v>338</v>
      </c>
      <c r="Q603" s="96" t="s">
        <v>1200</v>
      </c>
      <c r="R603" s="97">
        <v>57.345984999999999</v>
      </c>
      <c r="S603" s="97">
        <v>1</v>
      </c>
      <c r="T603" s="97">
        <v>15200</v>
      </c>
      <c r="U603" s="96"/>
      <c r="V603" s="97">
        <v>8.7165890000000008</v>
      </c>
      <c r="W603" s="98">
        <v>9.9999999999999995E-7</v>
      </c>
      <c r="X603" s="98">
        <v>3.8110000000000002E-3</v>
      </c>
      <c r="Y603" s="98">
        <v>5.2099999999999998E-4</v>
      </c>
      <c r="Z603" s="106"/>
    </row>
    <row r="604" spans="1:26" ht="15" customHeight="1">
      <c r="A604" s="106"/>
      <c r="B604" s="96">
        <v>286</v>
      </c>
      <c r="C604" s="96">
        <v>9803</v>
      </c>
      <c r="D604" s="96" t="s">
        <v>1570</v>
      </c>
      <c r="E604" s="96">
        <v>512719485</v>
      </c>
      <c r="F604" s="96" t="s">
        <v>308</v>
      </c>
      <c r="G604" s="96" t="s">
        <v>2672</v>
      </c>
      <c r="H604" s="96" t="s">
        <v>2673</v>
      </c>
      <c r="I604" s="96" t="s">
        <v>320</v>
      </c>
      <c r="J604" s="96" t="s">
        <v>918</v>
      </c>
      <c r="K604" s="96" t="s">
        <v>203</v>
      </c>
      <c r="L604" s="96" t="s">
        <v>203</v>
      </c>
      <c r="M604" s="96" t="s">
        <v>324</v>
      </c>
      <c r="N604" s="96" t="s">
        <v>339</v>
      </c>
      <c r="O604" s="96" t="s">
        <v>463</v>
      </c>
      <c r="P604" s="96" t="s">
        <v>337</v>
      </c>
      <c r="Q604" s="96" t="s">
        <v>1200</v>
      </c>
      <c r="R604" s="97">
        <v>902.23877500000003</v>
      </c>
      <c r="S604" s="97">
        <v>1</v>
      </c>
      <c r="T604" s="97">
        <v>729.3</v>
      </c>
      <c r="U604" s="96"/>
      <c r="V604" s="97">
        <v>6.5800270000000003</v>
      </c>
      <c r="W604" s="98">
        <v>5.0000000000000004E-6</v>
      </c>
      <c r="X604" s="98">
        <v>2.8770000000000002E-3</v>
      </c>
      <c r="Y604" s="98">
        <v>3.9300000000000001E-4</v>
      </c>
      <c r="Z604" s="106"/>
    </row>
    <row r="605" spans="1:26" ht="15" customHeight="1">
      <c r="A605" s="106"/>
      <c r="B605" s="96">
        <v>286</v>
      </c>
      <c r="C605" s="96">
        <v>9803</v>
      </c>
      <c r="D605" s="96" t="s">
        <v>2642</v>
      </c>
      <c r="E605" s="96">
        <v>550013098</v>
      </c>
      <c r="F605" s="96" t="s">
        <v>309</v>
      </c>
      <c r="G605" s="96" t="s">
        <v>2643</v>
      </c>
      <c r="H605" s="96" t="s">
        <v>2644</v>
      </c>
      <c r="I605" s="96" t="s">
        <v>320</v>
      </c>
      <c r="J605" s="96" t="s">
        <v>959</v>
      </c>
      <c r="K605" s="96" t="s">
        <v>203</v>
      </c>
      <c r="L605" s="96" t="s">
        <v>203</v>
      </c>
      <c r="M605" s="96" t="s">
        <v>324</v>
      </c>
      <c r="N605" s="96" t="s">
        <v>339</v>
      </c>
      <c r="O605" s="96" t="s">
        <v>453</v>
      </c>
      <c r="P605" s="96" t="s">
        <v>338</v>
      </c>
      <c r="Q605" s="96" t="s">
        <v>1200</v>
      </c>
      <c r="R605" s="97">
        <v>2916.7620099999999</v>
      </c>
      <c r="S605" s="97">
        <v>1</v>
      </c>
      <c r="T605" s="97">
        <v>895.6</v>
      </c>
      <c r="U605" s="96"/>
      <c r="V605" s="97">
        <v>26.122519</v>
      </c>
      <c r="W605" s="98">
        <v>1.9999999999999999E-6</v>
      </c>
      <c r="X605" s="98">
        <v>1.1421000000000001E-2</v>
      </c>
      <c r="Y605" s="98">
        <v>1.565E-3</v>
      </c>
      <c r="Z605" s="106"/>
    </row>
    <row r="606" spans="1:26" ht="15" customHeight="1">
      <c r="A606" s="106"/>
      <c r="B606" s="96">
        <v>286</v>
      </c>
      <c r="C606" s="96">
        <v>9803</v>
      </c>
      <c r="D606" s="96" t="s">
        <v>2449</v>
      </c>
      <c r="E606" s="96">
        <v>516632387</v>
      </c>
      <c r="F606" s="96" t="s">
        <v>308</v>
      </c>
      <c r="G606" s="96" t="s">
        <v>2450</v>
      </c>
      <c r="H606" s="96" t="s">
        <v>2451</v>
      </c>
      <c r="I606" s="96" t="s">
        <v>320</v>
      </c>
      <c r="J606" s="96" t="s">
        <v>918</v>
      </c>
      <c r="K606" s="96" t="s">
        <v>203</v>
      </c>
      <c r="L606" s="96" t="s">
        <v>203</v>
      </c>
      <c r="M606" s="96" t="s">
        <v>324</v>
      </c>
      <c r="N606" s="96" t="s">
        <v>339</v>
      </c>
      <c r="O606" s="96" t="s">
        <v>463</v>
      </c>
      <c r="P606" s="96" t="s">
        <v>337</v>
      </c>
      <c r="Q606" s="96" t="s">
        <v>1200</v>
      </c>
      <c r="R606" s="97">
        <v>28.167287000000002</v>
      </c>
      <c r="S606" s="97">
        <v>1</v>
      </c>
      <c r="T606" s="97">
        <v>28570</v>
      </c>
      <c r="U606" s="96"/>
      <c r="V606" s="97">
        <v>8.0473940000000006</v>
      </c>
      <c r="W606" s="98">
        <v>3.9999999999999998E-6</v>
      </c>
      <c r="X606" s="98">
        <v>3.5179999999999999E-3</v>
      </c>
      <c r="Y606" s="98">
        <v>4.8200000000000001E-4</v>
      </c>
      <c r="Z606" s="106"/>
    </row>
    <row r="607" spans="1:26" ht="15" customHeight="1">
      <c r="A607" s="106"/>
      <c r="B607" s="96">
        <v>286</v>
      </c>
      <c r="C607" s="96">
        <v>9803</v>
      </c>
      <c r="D607" s="96" t="s">
        <v>2508</v>
      </c>
      <c r="E607" s="96">
        <v>511725459</v>
      </c>
      <c r="F607" s="96" t="s">
        <v>308</v>
      </c>
      <c r="G607" s="96" t="s">
        <v>2509</v>
      </c>
      <c r="H607" s="96" t="s">
        <v>2510</v>
      </c>
      <c r="I607" s="96" t="s">
        <v>320</v>
      </c>
      <c r="J607" s="96" t="s">
        <v>918</v>
      </c>
      <c r="K607" s="96" t="s">
        <v>203</v>
      </c>
      <c r="L607" s="96" t="s">
        <v>203</v>
      </c>
      <c r="M607" s="96" t="s">
        <v>324</v>
      </c>
      <c r="N607" s="96" t="s">
        <v>339</v>
      </c>
      <c r="O607" s="96" t="s">
        <v>461</v>
      </c>
      <c r="P607" s="96" t="s">
        <v>338</v>
      </c>
      <c r="Q607" s="96" t="s">
        <v>1200</v>
      </c>
      <c r="R607" s="97">
        <v>59.520629999999997</v>
      </c>
      <c r="S607" s="97">
        <v>1</v>
      </c>
      <c r="T607" s="97">
        <v>5893</v>
      </c>
      <c r="U607" s="96"/>
      <c r="V607" s="97">
        <v>3.5075500000000002</v>
      </c>
      <c r="W607" s="98">
        <v>1.9999999999999999E-6</v>
      </c>
      <c r="X607" s="98">
        <v>1.5330000000000001E-3</v>
      </c>
      <c r="Y607" s="98">
        <v>2.1000000000000001E-4</v>
      </c>
      <c r="Z607" s="106"/>
    </row>
    <row r="608" spans="1:26" ht="15" customHeight="1">
      <c r="A608" s="106"/>
      <c r="B608" s="96">
        <v>286</v>
      </c>
      <c r="C608" s="96">
        <v>9803</v>
      </c>
      <c r="D608" s="96" t="s">
        <v>2539</v>
      </c>
      <c r="E608" s="96"/>
      <c r="F608" s="96" t="s">
        <v>308</v>
      </c>
      <c r="G608" s="96" t="s">
        <v>2540</v>
      </c>
      <c r="H608" s="96" t="s">
        <v>2541</v>
      </c>
      <c r="I608" s="96" t="s">
        <v>320</v>
      </c>
      <c r="J608" s="96" t="s">
        <v>918</v>
      </c>
      <c r="K608" s="96" t="s">
        <v>203</v>
      </c>
      <c r="L608" s="96" t="s">
        <v>203</v>
      </c>
      <c r="M608" s="96" t="s">
        <v>324</v>
      </c>
      <c r="N608" s="96" t="s">
        <v>339</v>
      </c>
      <c r="O608" s="96" t="s">
        <v>475</v>
      </c>
      <c r="P608" s="96" t="s">
        <v>338</v>
      </c>
      <c r="Q608" s="96" t="s">
        <v>1200</v>
      </c>
      <c r="R608" s="97">
        <v>3.53267</v>
      </c>
      <c r="S608" s="97">
        <v>1</v>
      </c>
      <c r="T608" s="97">
        <v>5741</v>
      </c>
      <c r="U608" s="96"/>
      <c r="V608" s="97">
        <v>0.20280999999999999</v>
      </c>
      <c r="W608" s="98">
        <v>0</v>
      </c>
      <c r="X608" s="98">
        <v>8.7999999999999998E-5</v>
      </c>
      <c r="Y608" s="98">
        <v>1.2E-5</v>
      </c>
      <c r="Z608" s="106"/>
    </row>
    <row r="609" spans="1:26" ht="15" customHeight="1">
      <c r="A609" s="106"/>
      <c r="B609" s="96">
        <v>286</v>
      </c>
      <c r="C609" s="96">
        <v>9803</v>
      </c>
      <c r="D609" s="96" t="s">
        <v>1414</v>
      </c>
      <c r="E609" s="96">
        <v>520037789</v>
      </c>
      <c r="F609" s="96" t="s">
        <v>308</v>
      </c>
      <c r="G609" s="96" t="s">
        <v>2677</v>
      </c>
      <c r="H609" s="96" t="s">
        <v>2678</v>
      </c>
      <c r="I609" s="96" t="s">
        <v>320</v>
      </c>
      <c r="J609" s="96" t="s">
        <v>918</v>
      </c>
      <c r="K609" s="96" t="s">
        <v>203</v>
      </c>
      <c r="L609" s="96" t="s">
        <v>203</v>
      </c>
      <c r="M609" s="96" t="s">
        <v>324</v>
      </c>
      <c r="N609" s="96" t="s">
        <v>339</v>
      </c>
      <c r="O609" s="96" t="s">
        <v>463</v>
      </c>
      <c r="P609" s="96" t="s">
        <v>337</v>
      </c>
      <c r="Q609" s="96" t="s">
        <v>1200</v>
      </c>
      <c r="R609" s="97">
        <v>163.79805200000001</v>
      </c>
      <c r="S609" s="97">
        <v>1</v>
      </c>
      <c r="T609" s="97">
        <v>24710</v>
      </c>
      <c r="U609" s="96"/>
      <c r="V609" s="97">
        <v>40.474497999999997</v>
      </c>
      <c r="W609" s="98">
        <v>3.0000000000000001E-6</v>
      </c>
      <c r="X609" s="98">
        <v>1.7697999999999998E-2</v>
      </c>
      <c r="Y609" s="98">
        <v>2.4269999999999999E-3</v>
      </c>
      <c r="Z609" s="106"/>
    </row>
    <row r="610" spans="1:26" ht="15" customHeight="1">
      <c r="A610" s="106"/>
      <c r="B610" s="96">
        <v>286</v>
      </c>
      <c r="C610" s="96">
        <v>9803</v>
      </c>
      <c r="D610" s="96" t="s">
        <v>2413</v>
      </c>
      <c r="E610" s="96">
        <v>520037805</v>
      </c>
      <c r="F610" s="96" t="s">
        <v>308</v>
      </c>
      <c r="G610" s="96" t="s">
        <v>2414</v>
      </c>
      <c r="H610" s="96" t="s">
        <v>2415</v>
      </c>
      <c r="I610" s="96" t="s">
        <v>320</v>
      </c>
      <c r="J610" s="96" t="s">
        <v>918</v>
      </c>
      <c r="K610" s="96" t="s">
        <v>203</v>
      </c>
      <c r="L610" s="96" t="s">
        <v>203</v>
      </c>
      <c r="M610" s="96" t="s">
        <v>324</v>
      </c>
      <c r="N610" s="96" t="s">
        <v>339</v>
      </c>
      <c r="O610" s="96" t="s">
        <v>454</v>
      </c>
      <c r="P610" s="96" t="s">
        <v>338</v>
      </c>
      <c r="Q610" s="96" t="s">
        <v>1200</v>
      </c>
      <c r="R610" s="97">
        <v>10.596397</v>
      </c>
      <c r="S610" s="97">
        <v>1</v>
      </c>
      <c r="T610" s="97">
        <v>1398</v>
      </c>
      <c r="U610" s="96"/>
      <c r="V610" s="97">
        <v>0.14813599999999999</v>
      </c>
      <c r="W610" s="98">
        <v>0</v>
      </c>
      <c r="X610" s="98">
        <v>6.3999999999999997E-5</v>
      </c>
      <c r="Y610" s="98">
        <v>7.9999999999999996E-6</v>
      </c>
      <c r="Z610" s="106"/>
    </row>
    <row r="611" spans="1:26" ht="15" customHeight="1">
      <c r="A611" s="106"/>
      <c r="B611" s="96">
        <v>286</v>
      </c>
      <c r="C611" s="96">
        <v>9803</v>
      </c>
      <c r="D611" s="96" t="s">
        <v>1934</v>
      </c>
      <c r="E611" s="96">
        <v>520025602</v>
      </c>
      <c r="F611" s="96" t="s">
        <v>308</v>
      </c>
      <c r="G611" s="96" t="s">
        <v>2421</v>
      </c>
      <c r="H611" s="96" t="s">
        <v>2422</v>
      </c>
      <c r="I611" s="96" t="s">
        <v>320</v>
      </c>
      <c r="J611" s="96" t="s">
        <v>918</v>
      </c>
      <c r="K611" s="96" t="s">
        <v>203</v>
      </c>
      <c r="L611" s="96" t="s">
        <v>203</v>
      </c>
      <c r="M611" s="96" t="s">
        <v>324</v>
      </c>
      <c r="N611" s="96" t="s">
        <v>339</v>
      </c>
      <c r="O611" s="96" t="s">
        <v>436</v>
      </c>
      <c r="P611" s="96" t="s">
        <v>338</v>
      </c>
      <c r="Q611" s="96" t="s">
        <v>1200</v>
      </c>
      <c r="R611" s="97">
        <v>66.085728000000003</v>
      </c>
      <c r="S611" s="97">
        <v>1</v>
      </c>
      <c r="T611" s="97">
        <v>15700</v>
      </c>
      <c r="U611" s="96"/>
      <c r="V611" s="97">
        <v>10.375458999999999</v>
      </c>
      <c r="W611" s="98">
        <v>1.9999999999999999E-6</v>
      </c>
      <c r="X611" s="98">
        <v>4.5360000000000001E-3</v>
      </c>
      <c r="Y611" s="98">
        <v>6.2200000000000005E-4</v>
      </c>
      <c r="Z611" s="106"/>
    </row>
    <row r="612" spans="1:26" ht="15" customHeight="1">
      <c r="A612" s="106"/>
      <c r="B612" s="96">
        <v>286</v>
      </c>
      <c r="C612" s="96">
        <v>9803</v>
      </c>
      <c r="D612" s="96" t="s">
        <v>2596</v>
      </c>
      <c r="E612" s="96">
        <v>520038274</v>
      </c>
      <c r="F612" s="96" t="s">
        <v>308</v>
      </c>
      <c r="G612" s="96" t="s">
        <v>2597</v>
      </c>
      <c r="H612" s="96" t="s">
        <v>2598</v>
      </c>
      <c r="I612" s="96" t="s">
        <v>320</v>
      </c>
      <c r="J612" s="96" t="s">
        <v>918</v>
      </c>
      <c r="K612" s="96" t="s">
        <v>203</v>
      </c>
      <c r="L612" s="96" t="s">
        <v>203</v>
      </c>
      <c r="M612" s="96" t="s">
        <v>324</v>
      </c>
      <c r="N612" s="96" t="s">
        <v>339</v>
      </c>
      <c r="O612" s="96" t="s">
        <v>446</v>
      </c>
      <c r="P612" s="96" t="s">
        <v>337</v>
      </c>
      <c r="Q612" s="96" t="s">
        <v>1200</v>
      </c>
      <c r="R612" s="97">
        <v>1925.3685840000001</v>
      </c>
      <c r="S612" s="97">
        <v>1</v>
      </c>
      <c r="T612" s="97">
        <v>1209</v>
      </c>
      <c r="U612" s="96"/>
      <c r="V612" s="97">
        <v>23.277705999999998</v>
      </c>
      <c r="W612" s="98">
        <v>6.0000000000000002E-6</v>
      </c>
      <c r="X612" s="98">
        <v>1.0178E-2</v>
      </c>
      <c r="Y612" s="98">
        <v>1.395E-3</v>
      </c>
      <c r="Z612" s="106"/>
    </row>
    <row r="613" spans="1:26" ht="15" customHeight="1">
      <c r="A613" s="106"/>
      <c r="B613" s="96">
        <v>286</v>
      </c>
      <c r="C613" s="96">
        <v>9803</v>
      </c>
      <c r="D613" s="96" t="s">
        <v>1675</v>
      </c>
      <c r="E613" s="96">
        <v>520043720</v>
      </c>
      <c r="F613" s="96" t="s">
        <v>308</v>
      </c>
      <c r="G613" s="96" t="s">
        <v>2754</v>
      </c>
      <c r="H613" s="96" t="s">
        <v>2755</v>
      </c>
      <c r="I613" s="96" t="s">
        <v>320</v>
      </c>
      <c r="J613" s="96" t="s">
        <v>918</v>
      </c>
      <c r="K613" s="96" t="s">
        <v>203</v>
      </c>
      <c r="L613" s="96" t="s">
        <v>203</v>
      </c>
      <c r="M613" s="96" t="s">
        <v>324</v>
      </c>
      <c r="N613" s="96" t="s">
        <v>339</v>
      </c>
      <c r="O613" s="96" t="s">
        <v>464</v>
      </c>
      <c r="P613" s="96" t="s">
        <v>337</v>
      </c>
      <c r="Q613" s="96" t="s">
        <v>1200</v>
      </c>
      <c r="R613" s="97">
        <v>490.12957999999998</v>
      </c>
      <c r="S613" s="97">
        <v>1</v>
      </c>
      <c r="T613" s="97">
        <v>4210</v>
      </c>
      <c r="U613" s="96"/>
      <c r="V613" s="97">
        <v>20.634454000000002</v>
      </c>
      <c r="W613" s="98">
        <v>6.0000000000000002E-6</v>
      </c>
      <c r="X613" s="98">
        <v>9.0220000000000005E-3</v>
      </c>
      <c r="Y613" s="98">
        <v>1.2359999999999999E-3</v>
      </c>
      <c r="Z613" s="106"/>
    </row>
    <row r="614" spans="1:26" ht="15" customHeight="1">
      <c r="A614" s="106"/>
      <c r="B614" s="96">
        <v>286</v>
      </c>
      <c r="C614" s="96">
        <v>9803</v>
      </c>
      <c r="D614" s="96" t="s">
        <v>1814</v>
      </c>
      <c r="E614" s="96">
        <v>514599943</v>
      </c>
      <c r="F614" s="96" t="s">
        <v>308</v>
      </c>
      <c r="G614" s="96" t="s">
        <v>2669</v>
      </c>
      <c r="H614" s="96" t="s">
        <v>2463</v>
      </c>
      <c r="I614" s="96" t="s">
        <v>320</v>
      </c>
      <c r="J614" s="96" t="s">
        <v>918</v>
      </c>
      <c r="K614" s="96" t="s">
        <v>203</v>
      </c>
      <c r="L614" s="96" t="s">
        <v>203</v>
      </c>
      <c r="M614" s="96" t="s">
        <v>326</v>
      </c>
      <c r="N614" s="96" t="s">
        <v>339</v>
      </c>
      <c r="O614" s="96" t="s">
        <v>440</v>
      </c>
      <c r="P614" s="96" t="s">
        <v>338</v>
      </c>
      <c r="Q614" s="96" t="s">
        <v>1200</v>
      </c>
      <c r="R614" s="97">
        <v>0.318438</v>
      </c>
      <c r="S614" s="97">
        <v>1</v>
      </c>
      <c r="T614" s="97">
        <v>7941.8741</v>
      </c>
      <c r="U614" s="96"/>
      <c r="V614" s="97">
        <v>2.5288999999999999E-2</v>
      </c>
      <c r="W614" s="98">
        <v>0</v>
      </c>
      <c r="X614" s="98">
        <v>1.1E-5</v>
      </c>
      <c r="Y614" s="98">
        <v>9.9999999999999995E-7</v>
      </c>
      <c r="Z614" s="106"/>
    </row>
    <row r="615" spans="1:26" ht="15" customHeight="1">
      <c r="A615" s="106"/>
      <c r="B615" s="96">
        <v>286</v>
      </c>
      <c r="C615" s="96">
        <v>9803</v>
      </c>
      <c r="D615" s="96" t="s">
        <v>2611</v>
      </c>
      <c r="E615" s="96">
        <v>520039942</v>
      </c>
      <c r="F615" s="96" t="s">
        <v>308</v>
      </c>
      <c r="G615" s="96" t="s">
        <v>2612</v>
      </c>
      <c r="H615" s="96" t="s">
        <v>2613</v>
      </c>
      <c r="I615" s="96" t="s">
        <v>320</v>
      </c>
      <c r="J615" s="96" t="s">
        <v>918</v>
      </c>
      <c r="K615" s="96" t="s">
        <v>203</v>
      </c>
      <c r="L615" s="96" t="s">
        <v>203</v>
      </c>
      <c r="M615" s="96" t="s">
        <v>324</v>
      </c>
      <c r="N615" s="96" t="s">
        <v>339</v>
      </c>
      <c r="O615" s="96" t="s">
        <v>475</v>
      </c>
      <c r="P615" s="96" t="s">
        <v>338</v>
      </c>
      <c r="Q615" s="96" t="s">
        <v>1200</v>
      </c>
      <c r="R615" s="97">
        <v>19.115558</v>
      </c>
      <c r="S615" s="97">
        <v>1</v>
      </c>
      <c r="T615" s="97">
        <v>19600</v>
      </c>
      <c r="U615" s="96"/>
      <c r="V615" s="97">
        <v>3.7466490000000001</v>
      </c>
      <c r="W615" s="98">
        <v>0</v>
      </c>
      <c r="X615" s="98">
        <v>1.6379999999999999E-3</v>
      </c>
      <c r="Y615" s="98">
        <v>2.24E-4</v>
      </c>
      <c r="Z615" s="106"/>
    </row>
    <row r="616" spans="1:26" ht="15" customHeight="1">
      <c r="A616" s="106"/>
      <c r="B616" s="96">
        <v>286</v>
      </c>
      <c r="C616" s="96">
        <v>9803</v>
      </c>
      <c r="D616" s="96" t="s">
        <v>1325</v>
      </c>
      <c r="E616" s="96">
        <v>510488190</v>
      </c>
      <c r="F616" s="96" t="s">
        <v>308</v>
      </c>
      <c r="G616" s="96" t="s">
        <v>2557</v>
      </c>
      <c r="H616" s="96" t="s">
        <v>2558</v>
      </c>
      <c r="I616" s="96" t="s">
        <v>320</v>
      </c>
      <c r="J616" s="96" t="s">
        <v>918</v>
      </c>
      <c r="K616" s="96" t="s">
        <v>203</v>
      </c>
      <c r="L616" s="96" t="s">
        <v>203</v>
      </c>
      <c r="M616" s="96" t="s">
        <v>324</v>
      </c>
      <c r="N616" s="96" t="s">
        <v>339</v>
      </c>
      <c r="O616" s="96" t="s">
        <v>446</v>
      </c>
      <c r="P616" s="96" t="s">
        <v>338</v>
      </c>
      <c r="Q616" s="96" t="s">
        <v>1200</v>
      </c>
      <c r="R616" s="97">
        <v>168.66820799999999</v>
      </c>
      <c r="S616" s="97">
        <v>1</v>
      </c>
      <c r="T616" s="97">
        <v>2349</v>
      </c>
      <c r="U616" s="96"/>
      <c r="V616" s="97">
        <v>3.9620160000000002</v>
      </c>
      <c r="W616" s="98">
        <v>3.0000000000000001E-6</v>
      </c>
      <c r="X616" s="98">
        <v>1.732E-3</v>
      </c>
      <c r="Y616" s="98">
        <v>2.3699999999999999E-4</v>
      </c>
      <c r="Z616" s="106"/>
    </row>
    <row r="617" spans="1:26" ht="15" customHeight="1">
      <c r="A617" s="106"/>
      <c r="B617" s="96">
        <v>286</v>
      </c>
      <c r="C617" s="96">
        <v>9803</v>
      </c>
      <c r="D617" s="96" t="s">
        <v>1212</v>
      </c>
      <c r="E617" s="96">
        <v>520007030</v>
      </c>
      <c r="F617" s="96" t="s">
        <v>308</v>
      </c>
      <c r="G617" s="96" t="s">
        <v>2499</v>
      </c>
      <c r="H617" s="96" t="s">
        <v>2500</v>
      </c>
      <c r="I617" s="96" t="s">
        <v>320</v>
      </c>
      <c r="J617" s="96" t="s">
        <v>918</v>
      </c>
      <c r="K617" s="96" t="s">
        <v>203</v>
      </c>
      <c r="L617" s="96" t="s">
        <v>203</v>
      </c>
      <c r="M617" s="96" t="s">
        <v>324</v>
      </c>
      <c r="N617" s="96" t="s">
        <v>339</v>
      </c>
      <c r="O617" s="96" t="s">
        <v>447</v>
      </c>
      <c r="P617" s="96" t="s">
        <v>338</v>
      </c>
      <c r="Q617" s="96" t="s">
        <v>1200</v>
      </c>
      <c r="R617" s="97">
        <v>3770.2511789999999</v>
      </c>
      <c r="S617" s="97">
        <v>1</v>
      </c>
      <c r="T617" s="97">
        <v>1909</v>
      </c>
      <c r="U617" s="96"/>
      <c r="V617" s="97">
        <v>71.974093999999994</v>
      </c>
      <c r="W617" s="98">
        <v>3.0000000000000001E-6</v>
      </c>
      <c r="X617" s="98">
        <v>3.1470999999999999E-2</v>
      </c>
      <c r="Y617" s="98">
        <v>4.3150000000000003E-3</v>
      </c>
      <c r="Z617" s="106"/>
    </row>
    <row r="618" spans="1:26" ht="15" customHeight="1">
      <c r="A618" s="106"/>
      <c r="B618" s="96">
        <v>286</v>
      </c>
      <c r="C618" s="96">
        <v>9803</v>
      </c>
      <c r="D618" s="96" t="s">
        <v>2706</v>
      </c>
      <c r="E618" s="96">
        <v>520043480</v>
      </c>
      <c r="F618" s="96" t="s">
        <v>308</v>
      </c>
      <c r="G618" s="96" t="s">
        <v>2707</v>
      </c>
      <c r="H618" s="96" t="s">
        <v>2708</v>
      </c>
      <c r="I618" s="96" t="s">
        <v>320</v>
      </c>
      <c r="J618" s="96" t="s">
        <v>918</v>
      </c>
      <c r="K618" s="96" t="s">
        <v>203</v>
      </c>
      <c r="L618" s="96" t="s">
        <v>203</v>
      </c>
      <c r="M618" s="96" t="s">
        <v>324</v>
      </c>
      <c r="N618" s="96" t="s">
        <v>339</v>
      </c>
      <c r="O618" s="96" t="s">
        <v>462</v>
      </c>
      <c r="P618" s="96" t="s">
        <v>337</v>
      </c>
      <c r="Q618" s="96" t="s">
        <v>1200</v>
      </c>
      <c r="R618" s="97">
        <v>49.111863999999997</v>
      </c>
      <c r="S618" s="97">
        <v>1</v>
      </c>
      <c r="T618" s="97">
        <v>21460</v>
      </c>
      <c r="U618" s="96"/>
      <c r="V618" s="97">
        <v>10.539405</v>
      </c>
      <c r="W618" s="98">
        <v>5.0000000000000004E-6</v>
      </c>
      <c r="X618" s="98">
        <v>4.6080000000000001E-3</v>
      </c>
      <c r="Y618" s="98">
        <v>6.3100000000000005E-4</v>
      </c>
      <c r="Z618" s="106"/>
    </row>
    <row r="619" spans="1:26" ht="15" customHeight="1">
      <c r="A619" s="106"/>
      <c r="B619" s="96">
        <v>286</v>
      </c>
      <c r="C619" s="96">
        <v>9803</v>
      </c>
      <c r="D619" s="96" t="s">
        <v>2895</v>
      </c>
      <c r="E619" s="96" t="s">
        <v>2896</v>
      </c>
      <c r="F619" s="96" t="s">
        <v>312</v>
      </c>
      <c r="G619" s="96" t="s">
        <v>2897</v>
      </c>
      <c r="H619" s="96" t="s">
        <v>2898</v>
      </c>
      <c r="I619" s="96" t="s">
        <v>320</v>
      </c>
      <c r="J619" s="96" t="s">
        <v>918</v>
      </c>
      <c r="K619" s="96" t="s">
        <v>204</v>
      </c>
      <c r="L619" s="96" t="s">
        <v>223</v>
      </c>
      <c r="M619" s="96" t="s">
        <v>324</v>
      </c>
      <c r="N619" s="96" t="s">
        <v>345</v>
      </c>
      <c r="O619" s="96" t="s">
        <v>548</v>
      </c>
      <c r="P619" s="96" t="s">
        <v>338</v>
      </c>
      <c r="Q619" s="96" t="s">
        <v>1201</v>
      </c>
      <c r="R619" s="97">
        <v>6.9102999999999998E-2</v>
      </c>
      <c r="S619" s="97">
        <v>3.7589999999999999</v>
      </c>
      <c r="T619" s="97">
        <v>457</v>
      </c>
      <c r="U619" s="96"/>
      <c r="V619" s="97">
        <v>1.1869999999999999E-3</v>
      </c>
      <c r="W619" s="98">
        <v>0</v>
      </c>
      <c r="X619" s="98">
        <v>0</v>
      </c>
      <c r="Y619" s="98">
        <v>0</v>
      </c>
      <c r="Z619" s="106"/>
    </row>
    <row r="620" spans="1:26" ht="15" customHeight="1">
      <c r="A620" s="106"/>
      <c r="B620" s="96">
        <v>286</v>
      </c>
      <c r="C620" s="96">
        <v>9803</v>
      </c>
      <c r="D620" s="96" t="s">
        <v>1514</v>
      </c>
      <c r="E620" s="96">
        <v>520043027</v>
      </c>
      <c r="F620" s="96" t="s">
        <v>308</v>
      </c>
      <c r="G620" s="96" t="s">
        <v>2923</v>
      </c>
      <c r="H620" s="96" t="s">
        <v>2479</v>
      </c>
      <c r="I620" s="96" t="s">
        <v>320</v>
      </c>
      <c r="J620" s="96" t="s">
        <v>918</v>
      </c>
      <c r="K620" s="96" t="s">
        <v>204</v>
      </c>
      <c r="L620" s="96" t="s">
        <v>203</v>
      </c>
      <c r="M620" s="96" t="s">
        <v>324</v>
      </c>
      <c r="N620" s="96" t="s">
        <v>345</v>
      </c>
      <c r="O620" s="96" t="s">
        <v>492</v>
      </c>
      <c r="P620" s="96" t="s">
        <v>338</v>
      </c>
      <c r="Q620" s="96" t="s">
        <v>1201</v>
      </c>
      <c r="R620" s="97">
        <v>0.47320699999999999</v>
      </c>
      <c r="S620" s="97">
        <v>3.7589999999999999</v>
      </c>
      <c r="T620" s="97">
        <v>17663</v>
      </c>
      <c r="U620" s="96"/>
      <c r="V620" s="97">
        <v>0.31418699999999999</v>
      </c>
      <c r="W620" s="98">
        <v>0</v>
      </c>
      <c r="X620" s="98">
        <v>1.37E-4</v>
      </c>
      <c r="Y620" s="98">
        <v>1.8E-5</v>
      </c>
      <c r="Z620" s="106"/>
    </row>
    <row r="621" spans="1:26" ht="15" customHeight="1">
      <c r="A621" s="106"/>
      <c r="B621" s="96">
        <v>286</v>
      </c>
      <c r="C621" s="96">
        <v>9803</v>
      </c>
      <c r="D621" s="96" t="s">
        <v>2932</v>
      </c>
      <c r="E621" s="96">
        <v>513537621</v>
      </c>
      <c r="F621" s="96" t="s">
        <v>308</v>
      </c>
      <c r="G621" s="96" t="s">
        <v>2933</v>
      </c>
      <c r="H621" s="96" t="s">
        <v>2934</v>
      </c>
      <c r="I621" s="96" t="s">
        <v>320</v>
      </c>
      <c r="J621" s="96" t="s">
        <v>918</v>
      </c>
      <c r="K621" s="96" t="s">
        <v>204</v>
      </c>
      <c r="L621" s="96" t="s">
        <v>203</v>
      </c>
      <c r="M621" s="96" t="s">
        <v>324</v>
      </c>
      <c r="N621" s="96" t="s">
        <v>345</v>
      </c>
      <c r="O621" s="96" t="s">
        <v>532</v>
      </c>
      <c r="P621" s="96" t="s">
        <v>337</v>
      </c>
      <c r="Q621" s="96" t="s">
        <v>1201</v>
      </c>
      <c r="R621" s="97">
        <v>148.59726599999999</v>
      </c>
      <c r="S621" s="97">
        <v>3.7589999999999999</v>
      </c>
      <c r="T621" s="97">
        <v>1678</v>
      </c>
      <c r="U621" s="96"/>
      <c r="V621" s="97">
        <v>9.3729239999999994</v>
      </c>
      <c r="W621" s="98">
        <v>3.0000000000000001E-6</v>
      </c>
      <c r="X621" s="98">
        <v>4.0980000000000001E-3</v>
      </c>
      <c r="Y621" s="98">
        <v>5.62E-4</v>
      </c>
      <c r="Z621" s="106"/>
    </row>
    <row r="622" spans="1:26" ht="15" customHeight="1">
      <c r="A622" s="106"/>
      <c r="B622" s="96">
        <v>286</v>
      </c>
      <c r="C622" s="96">
        <v>9803</v>
      </c>
      <c r="D622" s="96" t="s">
        <v>2953</v>
      </c>
      <c r="E622" s="96" t="s">
        <v>2954</v>
      </c>
      <c r="F622" s="96" t="s">
        <v>312</v>
      </c>
      <c r="G622" s="96" t="s">
        <v>2955</v>
      </c>
      <c r="H622" s="96" t="s">
        <v>2956</v>
      </c>
      <c r="I622" s="96" t="s">
        <v>320</v>
      </c>
      <c r="J622" s="96" t="s">
        <v>918</v>
      </c>
      <c r="K622" s="96" t="s">
        <v>204</v>
      </c>
      <c r="L622" s="96" t="s">
        <v>223</v>
      </c>
      <c r="M622" s="96" t="s">
        <v>324</v>
      </c>
      <c r="N622" s="96" t="s">
        <v>313</v>
      </c>
      <c r="O622" s="96" t="s">
        <v>533</v>
      </c>
      <c r="P622" s="96" t="s">
        <v>338</v>
      </c>
      <c r="Q622" s="96" t="s">
        <v>1201</v>
      </c>
      <c r="R622" s="97">
        <v>3.3780739999999998</v>
      </c>
      <c r="S622" s="97">
        <v>3.7589999999999999</v>
      </c>
      <c r="T622" s="97">
        <v>69</v>
      </c>
      <c r="U622" s="96"/>
      <c r="V622" s="97">
        <v>8.7609999999999997E-3</v>
      </c>
      <c r="W622" s="98">
        <v>9.9999999999999995E-7</v>
      </c>
      <c r="X622" s="98">
        <v>3.0000000000000001E-6</v>
      </c>
      <c r="Y622" s="98">
        <v>0</v>
      </c>
      <c r="Z622" s="106"/>
    </row>
    <row r="623" spans="1:26" ht="15" customHeight="1">
      <c r="A623" s="106"/>
      <c r="B623" s="96">
        <v>286</v>
      </c>
      <c r="C623" s="96">
        <v>9803</v>
      </c>
      <c r="D623" s="96" t="s">
        <v>1499</v>
      </c>
      <c r="E623" s="96">
        <v>520027830</v>
      </c>
      <c r="F623" s="96" t="s">
        <v>308</v>
      </c>
      <c r="G623" s="96" t="s">
        <v>2912</v>
      </c>
      <c r="H623" s="96" t="s">
        <v>2409</v>
      </c>
      <c r="I623" s="96" t="s">
        <v>320</v>
      </c>
      <c r="J623" s="96" t="s">
        <v>918</v>
      </c>
      <c r="K623" s="96" t="s">
        <v>204</v>
      </c>
      <c r="L623" s="96" t="s">
        <v>203</v>
      </c>
      <c r="M623" s="96" t="s">
        <v>324</v>
      </c>
      <c r="N623" s="96" t="s">
        <v>343</v>
      </c>
      <c r="O623" s="96" t="s">
        <v>487</v>
      </c>
      <c r="P623" s="96" t="s">
        <v>338</v>
      </c>
      <c r="Q623" s="96" t="s">
        <v>1201</v>
      </c>
      <c r="R623" s="97">
        <v>50.170807000000003</v>
      </c>
      <c r="S623" s="97">
        <v>3.7589999999999999</v>
      </c>
      <c r="T623" s="97">
        <v>428</v>
      </c>
      <c r="U623" s="96"/>
      <c r="V623" s="97">
        <v>0.80717399999999995</v>
      </c>
      <c r="W623" s="98">
        <v>0</v>
      </c>
      <c r="X623" s="98">
        <v>3.5199999999999999E-4</v>
      </c>
      <c r="Y623" s="98">
        <v>4.8000000000000001E-5</v>
      </c>
      <c r="Z623" s="106"/>
    </row>
    <row r="624" spans="1:26" ht="15" customHeight="1">
      <c r="A624" s="106"/>
      <c r="B624" s="96">
        <v>286</v>
      </c>
      <c r="C624" s="96">
        <v>9803</v>
      </c>
      <c r="D624" s="96" t="s">
        <v>1672</v>
      </c>
      <c r="E624" s="96">
        <v>1146</v>
      </c>
      <c r="F624" s="96" t="s">
        <v>80</v>
      </c>
      <c r="G624" s="96" t="s">
        <v>2920</v>
      </c>
      <c r="H624" s="96" t="s">
        <v>2684</v>
      </c>
      <c r="I624" s="96" t="s">
        <v>320</v>
      </c>
      <c r="J624" s="96" t="s">
        <v>918</v>
      </c>
      <c r="K624" s="96" t="s">
        <v>204</v>
      </c>
      <c r="L624" s="96" t="s">
        <v>203</v>
      </c>
      <c r="M624" s="96" t="s">
        <v>324</v>
      </c>
      <c r="N624" s="96" t="s">
        <v>345</v>
      </c>
      <c r="O624" s="96" t="s">
        <v>543</v>
      </c>
      <c r="P624" s="96" t="s">
        <v>338</v>
      </c>
      <c r="Q624" s="96" t="s">
        <v>1201</v>
      </c>
      <c r="R624" s="97">
        <v>20.802111</v>
      </c>
      <c r="S624" s="97">
        <v>3.7589999999999999</v>
      </c>
      <c r="T624" s="97">
        <v>3393</v>
      </c>
      <c r="U624" s="96"/>
      <c r="V624" s="97">
        <v>2.6531600000000002</v>
      </c>
      <c r="W624" s="98">
        <v>0</v>
      </c>
      <c r="X624" s="98">
        <v>1.16E-3</v>
      </c>
      <c r="Y624" s="98">
        <v>1.5899999999999999E-4</v>
      </c>
      <c r="Z624" s="106"/>
    </row>
    <row r="625" spans="1:26" ht="15" customHeight="1">
      <c r="A625" s="106"/>
      <c r="B625" s="96">
        <v>286</v>
      </c>
      <c r="C625" s="96">
        <v>9803</v>
      </c>
      <c r="D625" s="96" t="s">
        <v>2969</v>
      </c>
      <c r="E625" s="96">
        <v>520015041</v>
      </c>
      <c r="F625" s="96" t="s">
        <v>308</v>
      </c>
      <c r="G625" s="96" t="s">
        <v>2970</v>
      </c>
      <c r="H625" s="96" t="s">
        <v>2971</v>
      </c>
      <c r="I625" s="96" t="s">
        <v>320</v>
      </c>
      <c r="J625" s="96" t="s">
        <v>918</v>
      </c>
      <c r="K625" s="96" t="s">
        <v>204</v>
      </c>
      <c r="L625" s="96" t="s">
        <v>203</v>
      </c>
      <c r="M625" s="96" t="s">
        <v>324</v>
      </c>
      <c r="N625" s="96" t="s">
        <v>343</v>
      </c>
      <c r="O625" s="96" t="s">
        <v>504</v>
      </c>
      <c r="P625" s="96" t="s">
        <v>338</v>
      </c>
      <c r="Q625" s="96" t="s">
        <v>1201</v>
      </c>
      <c r="R625" s="97">
        <v>90.363988000000006</v>
      </c>
      <c r="S625" s="97">
        <v>3.7589999999999999</v>
      </c>
      <c r="T625" s="97">
        <v>2217</v>
      </c>
      <c r="U625" s="96"/>
      <c r="V625" s="97">
        <v>7.5306660000000001</v>
      </c>
      <c r="W625" s="98">
        <v>0</v>
      </c>
      <c r="X625" s="98">
        <v>3.2919999999999998E-3</v>
      </c>
      <c r="Y625" s="98">
        <v>4.5100000000000001E-4</v>
      </c>
      <c r="Z625" s="106"/>
    </row>
    <row r="626" spans="1:26" ht="15" customHeight="1">
      <c r="A626" s="106"/>
      <c r="B626" s="96">
        <v>286</v>
      </c>
      <c r="C626" s="96">
        <v>9803</v>
      </c>
      <c r="D626" s="96" t="s">
        <v>2995</v>
      </c>
      <c r="E626" s="96" t="s">
        <v>2996</v>
      </c>
      <c r="F626" s="96" t="s">
        <v>312</v>
      </c>
      <c r="G626" s="96" t="s">
        <v>2997</v>
      </c>
      <c r="H626" s="96" t="s">
        <v>2998</v>
      </c>
      <c r="I626" s="96" t="s">
        <v>320</v>
      </c>
      <c r="J626" s="96" t="s">
        <v>918</v>
      </c>
      <c r="K626" s="96" t="s">
        <v>204</v>
      </c>
      <c r="L626" s="96" t="s">
        <v>232</v>
      </c>
      <c r="M626" s="96" t="s">
        <v>324</v>
      </c>
      <c r="N626" s="96" t="s">
        <v>369</v>
      </c>
      <c r="O626" s="96" t="s">
        <v>515</v>
      </c>
      <c r="P626" s="96" t="s">
        <v>338</v>
      </c>
      <c r="Q626" s="96" t="s">
        <v>1205</v>
      </c>
      <c r="R626" s="97">
        <v>80.653097000000002</v>
      </c>
      <c r="S626" s="97">
        <v>4.7504999999999997</v>
      </c>
      <c r="T626" s="97">
        <v>1300</v>
      </c>
      <c r="U626" s="96"/>
      <c r="V626" s="97">
        <v>4.9808519999999996</v>
      </c>
      <c r="W626" s="98">
        <v>9.9999999999999995E-7</v>
      </c>
      <c r="X626" s="98">
        <v>2.1770000000000001E-3</v>
      </c>
      <c r="Y626" s="98">
        <v>2.9799999999999998E-4</v>
      </c>
      <c r="Z626" s="106"/>
    </row>
    <row r="627" spans="1:26" ht="15" customHeight="1">
      <c r="A627" s="106"/>
      <c r="B627" s="96">
        <v>286</v>
      </c>
      <c r="C627" s="96">
        <v>9803</v>
      </c>
      <c r="D627" s="96" t="s">
        <v>2649</v>
      </c>
      <c r="E627" s="96">
        <v>511812463</v>
      </c>
      <c r="F627" s="96" t="s">
        <v>308</v>
      </c>
      <c r="G627" s="96" t="s">
        <v>2924</v>
      </c>
      <c r="H627" s="96" t="s">
        <v>2651</v>
      </c>
      <c r="I627" s="96" t="s">
        <v>320</v>
      </c>
      <c r="J627" s="96" t="s">
        <v>918</v>
      </c>
      <c r="K627" s="96" t="s">
        <v>204</v>
      </c>
      <c r="L627" s="96" t="s">
        <v>203</v>
      </c>
      <c r="M627" s="96" t="s">
        <v>324</v>
      </c>
      <c r="N627" s="96" t="s">
        <v>345</v>
      </c>
      <c r="O627" s="96" t="s">
        <v>547</v>
      </c>
      <c r="P627" s="96" t="s">
        <v>337</v>
      </c>
      <c r="Q627" s="96" t="s">
        <v>1201</v>
      </c>
      <c r="R627" s="97">
        <v>83.306325000000001</v>
      </c>
      <c r="S627" s="97">
        <v>3.7589999999999999</v>
      </c>
      <c r="T627" s="97">
        <v>23453</v>
      </c>
      <c r="U627" s="96"/>
      <c r="V627" s="97">
        <v>73.442712</v>
      </c>
      <c r="W627" s="98">
        <v>1.9999999999999999E-6</v>
      </c>
      <c r="X627" s="98">
        <v>3.2113000000000003E-2</v>
      </c>
      <c r="Y627" s="98">
        <v>4.4029999999999998E-3</v>
      </c>
      <c r="Z627" s="106"/>
    </row>
    <row r="628" spans="1:26" ht="15" customHeight="1">
      <c r="A628" s="106"/>
      <c r="B628" s="96">
        <v>286</v>
      </c>
      <c r="C628" s="96">
        <v>9803</v>
      </c>
      <c r="D628" s="96" t="s">
        <v>2851</v>
      </c>
      <c r="E628" s="96" t="s">
        <v>2852</v>
      </c>
      <c r="F628" s="96" t="s">
        <v>312</v>
      </c>
      <c r="G628" s="96" t="s">
        <v>2853</v>
      </c>
      <c r="H628" s="96" t="s">
        <v>2854</v>
      </c>
      <c r="I628" s="96" t="s">
        <v>320</v>
      </c>
      <c r="J628" s="96" t="s">
        <v>918</v>
      </c>
      <c r="K628" s="96" t="s">
        <v>204</v>
      </c>
      <c r="L628" s="96" t="s">
        <v>223</v>
      </c>
      <c r="M628" s="96" t="s">
        <v>324</v>
      </c>
      <c r="N628" s="96" t="s">
        <v>345</v>
      </c>
      <c r="O628" s="96" t="s">
        <v>547</v>
      </c>
      <c r="P628" s="96" t="s">
        <v>338</v>
      </c>
      <c r="Q628" s="96" t="s">
        <v>1201</v>
      </c>
      <c r="R628" s="97">
        <v>30.688179999999999</v>
      </c>
      <c r="S628" s="97">
        <v>3.7589999999999999</v>
      </c>
      <c r="T628" s="97">
        <v>2526</v>
      </c>
      <c r="U628" s="96"/>
      <c r="V628" s="97">
        <v>2.9139140000000001</v>
      </c>
      <c r="W628" s="98">
        <v>0</v>
      </c>
      <c r="X628" s="98">
        <v>1.273E-3</v>
      </c>
      <c r="Y628" s="98">
        <v>1.74E-4</v>
      </c>
      <c r="Z628" s="106"/>
    </row>
    <row r="629" spans="1:26" ht="15" customHeight="1">
      <c r="A629" s="106"/>
      <c r="B629" s="96">
        <v>286</v>
      </c>
      <c r="C629" s="96">
        <v>9803</v>
      </c>
      <c r="D629" s="96" t="s">
        <v>2731</v>
      </c>
      <c r="E629" s="96" t="s">
        <v>2732</v>
      </c>
      <c r="F629" s="96" t="s">
        <v>312</v>
      </c>
      <c r="G629" s="96" t="s">
        <v>2775</v>
      </c>
      <c r="H629" s="96" t="s">
        <v>2734</v>
      </c>
      <c r="I629" s="96" t="s">
        <v>320</v>
      </c>
      <c r="J629" s="96" t="s">
        <v>918</v>
      </c>
      <c r="K629" s="96" t="s">
        <v>204</v>
      </c>
      <c r="L629" s="96" t="s">
        <v>232</v>
      </c>
      <c r="M629" s="96" t="s">
        <v>324</v>
      </c>
      <c r="N629" s="96" t="s">
        <v>369</v>
      </c>
      <c r="O629" s="96" t="s">
        <v>486</v>
      </c>
      <c r="P629" s="96" t="s">
        <v>338</v>
      </c>
      <c r="Q629" s="96" t="s">
        <v>1205</v>
      </c>
      <c r="R629" s="97">
        <v>128.68401600000001</v>
      </c>
      <c r="S629" s="97">
        <v>4.7504999999999997</v>
      </c>
      <c r="T629" s="97">
        <v>986</v>
      </c>
      <c r="U629" s="96"/>
      <c r="V629" s="97">
        <v>6.0275499999999997</v>
      </c>
      <c r="W629" s="98">
        <v>0</v>
      </c>
      <c r="X629" s="98">
        <v>2.6350000000000002E-3</v>
      </c>
      <c r="Y629" s="98">
        <v>3.6099999999999999E-4</v>
      </c>
      <c r="Z629" s="106"/>
    </row>
    <row r="630" spans="1:26" ht="15" customHeight="1">
      <c r="A630" s="106"/>
      <c r="B630" s="96">
        <v>286</v>
      </c>
      <c r="C630" s="96">
        <v>9803</v>
      </c>
      <c r="D630" s="96" t="s">
        <v>2949</v>
      </c>
      <c r="E630" s="96" t="s">
        <v>2950</v>
      </c>
      <c r="F630" s="96" t="s">
        <v>312</v>
      </c>
      <c r="G630" s="96" t="s">
        <v>2951</v>
      </c>
      <c r="H630" s="96" t="s">
        <v>2952</v>
      </c>
      <c r="I630" s="96" t="s">
        <v>320</v>
      </c>
      <c r="J630" s="96" t="s">
        <v>918</v>
      </c>
      <c r="K630" s="96" t="s">
        <v>204</v>
      </c>
      <c r="L630" s="96" t="s">
        <v>237</v>
      </c>
      <c r="M630" s="96" t="s">
        <v>324</v>
      </c>
      <c r="N630" s="96" t="s">
        <v>369</v>
      </c>
      <c r="O630" s="96" t="s">
        <v>562</v>
      </c>
      <c r="P630" s="96" t="s">
        <v>338</v>
      </c>
      <c r="Q630" s="96" t="s">
        <v>1202</v>
      </c>
      <c r="R630" s="97">
        <v>74.329183999999998</v>
      </c>
      <c r="S630" s="97">
        <v>4.0202</v>
      </c>
      <c r="T630" s="97">
        <v>244</v>
      </c>
      <c r="U630" s="96"/>
      <c r="V630" s="97">
        <v>0.72911599999999999</v>
      </c>
      <c r="W630" s="98">
        <v>0</v>
      </c>
      <c r="X630" s="98">
        <v>3.1799999999999998E-4</v>
      </c>
      <c r="Y630" s="98">
        <v>4.3000000000000002E-5</v>
      </c>
      <c r="Z630" s="106"/>
    </row>
    <row r="631" spans="1:26" ht="15" customHeight="1">
      <c r="A631" s="106"/>
      <c r="B631" s="96">
        <v>286</v>
      </c>
      <c r="C631" s="96">
        <v>9803</v>
      </c>
      <c r="D631" s="96" t="s">
        <v>2703</v>
      </c>
      <c r="E631" s="96">
        <v>513639013</v>
      </c>
      <c r="F631" s="96" t="s">
        <v>308</v>
      </c>
      <c r="G631" s="96" t="s">
        <v>3003</v>
      </c>
      <c r="H631" s="96" t="s">
        <v>2705</v>
      </c>
      <c r="I631" s="96" t="s">
        <v>320</v>
      </c>
      <c r="J631" s="96" t="s">
        <v>918</v>
      </c>
      <c r="K631" s="96" t="s">
        <v>204</v>
      </c>
      <c r="L631" s="96" t="s">
        <v>203</v>
      </c>
      <c r="M631" s="96" t="s">
        <v>324</v>
      </c>
      <c r="N631" s="96" t="s">
        <v>345</v>
      </c>
      <c r="O631" s="96" t="s">
        <v>546</v>
      </c>
      <c r="P631" s="96" t="s">
        <v>338</v>
      </c>
      <c r="Q631" s="96" t="s">
        <v>1201</v>
      </c>
      <c r="R631" s="97">
        <v>19.356743000000002</v>
      </c>
      <c r="S631" s="97">
        <v>3.7589999999999999</v>
      </c>
      <c r="T631" s="97">
        <v>2180</v>
      </c>
      <c r="U631" s="96"/>
      <c r="V631" s="97">
        <v>1.586211</v>
      </c>
      <c r="W631" s="98">
        <v>0</v>
      </c>
      <c r="X631" s="98">
        <v>6.9300000000000004E-4</v>
      </c>
      <c r="Y631" s="98">
        <v>9.5000000000000005E-5</v>
      </c>
      <c r="Z631" s="106"/>
    </row>
    <row r="632" spans="1:26" ht="15" customHeight="1">
      <c r="A632" s="106"/>
      <c r="B632" s="96">
        <v>286</v>
      </c>
      <c r="C632" s="96">
        <v>9803</v>
      </c>
      <c r="D632" s="96" t="s">
        <v>2431</v>
      </c>
      <c r="E632" s="96">
        <v>520041997</v>
      </c>
      <c r="F632" s="96" t="s">
        <v>308</v>
      </c>
      <c r="G632" s="96" t="s">
        <v>2907</v>
      </c>
      <c r="H632" s="96" t="s">
        <v>2433</v>
      </c>
      <c r="I632" s="96" t="s">
        <v>320</v>
      </c>
      <c r="J632" s="96" t="s">
        <v>918</v>
      </c>
      <c r="K632" s="96" t="s">
        <v>204</v>
      </c>
      <c r="L632" s="96" t="s">
        <v>203</v>
      </c>
      <c r="M632" s="96" t="s">
        <v>324</v>
      </c>
      <c r="N632" s="96" t="s">
        <v>345</v>
      </c>
      <c r="O632" s="96" t="s">
        <v>547</v>
      </c>
      <c r="P632" s="96" t="s">
        <v>338</v>
      </c>
      <c r="Q632" s="96" t="s">
        <v>1201</v>
      </c>
      <c r="R632" s="97">
        <v>74.573079000000007</v>
      </c>
      <c r="S632" s="97">
        <v>3.7589999999999999</v>
      </c>
      <c r="T632" s="97">
        <v>3931</v>
      </c>
      <c r="U632" s="96"/>
      <c r="V632" s="97">
        <v>11.019386000000001</v>
      </c>
      <c r="W632" s="98">
        <v>0</v>
      </c>
      <c r="X632" s="98">
        <v>4.8180000000000002E-3</v>
      </c>
      <c r="Y632" s="98">
        <v>6.6E-4</v>
      </c>
      <c r="Z632" s="106"/>
    </row>
    <row r="633" spans="1:26" ht="15" customHeight="1">
      <c r="A633" s="106"/>
      <c r="B633" s="96">
        <v>286</v>
      </c>
      <c r="C633" s="96">
        <v>9803</v>
      </c>
      <c r="D633" s="96" t="s">
        <v>2793</v>
      </c>
      <c r="E633" s="96"/>
      <c r="F633" s="96" t="s">
        <v>312</v>
      </c>
      <c r="G633" s="96" t="s">
        <v>2794</v>
      </c>
      <c r="H633" s="96" t="s">
        <v>2795</v>
      </c>
      <c r="I633" s="96" t="s">
        <v>320</v>
      </c>
      <c r="J633" s="96" t="s">
        <v>918</v>
      </c>
      <c r="K633" s="96" t="s">
        <v>204</v>
      </c>
      <c r="L633" s="96" t="s">
        <v>203</v>
      </c>
      <c r="M633" s="96" t="s">
        <v>324</v>
      </c>
      <c r="N633" s="96" t="s">
        <v>313</v>
      </c>
      <c r="O633" s="96" t="s">
        <v>543</v>
      </c>
      <c r="P633" s="96" t="s">
        <v>338</v>
      </c>
      <c r="Q633" s="96" t="s">
        <v>1201</v>
      </c>
      <c r="R633" s="97">
        <v>68.613718000000006</v>
      </c>
      <c r="S633" s="97">
        <v>3.7589999999999999</v>
      </c>
      <c r="T633" s="97">
        <v>777</v>
      </c>
      <c r="U633" s="96"/>
      <c r="V633" s="97">
        <v>2.0040300000000002</v>
      </c>
      <c r="W633" s="98">
        <v>0</v>
      </c>
      <c r="X633" s="98">
        <v>8.7600000000000004E-4</v>
      </c>
      <c r="Y633" s="98">
        <v>1.2E-4</v>
      </c>
      <c r="Z633" s="106"/>
    </row>
    <row r="634" spans="1:26" ht="15" customHeight="1">
      <c r="A634" s="106"/>
      <c r="B634" s="96">
        <v>286</v>
      </c>
      <c r="C634" s="96">
        <v>9803</v>
      </c>
      <c r="D634" s="96" t="s">
        <v>2835</v>
      </c>
      <c r="E634" s="96" t="s">
        <v>2836</v>
      </c>
      <c r="F634" s="96" t="s">
        <v>312</v>
      </c>
      <c r="G634" s="96" t="s">
        <v>2837</v>
      </c>
      <c r="H634" s="96" t="s">
        <v>2838</v>
      </c>
      <c r="I634" s="96" t="s">
        <v>320</v>
      </c>
      <c r="J634" s="96" t="s">
        <v>918</v>
      </c>
      <c r="K634" s="96" t="s">
        <v>204</v>
      </c>
      <c r="L634" s="96" t="s">
        <v>223</v>
      </c>
      <c r="M634" s="96" t="s">
        <v>324</v>
      </c>
      <c r="N634" s="96" t="s">
        <v>345</v>
      </c>
      <c r="O634" s="96" t="s">
        <v>542</v>
      </c>
      <c r="P634" s="96" t="s">
        <v>338</v>
      </c>
      <c r="Q634" s="96" t="s">
        <v>1201</v>
      </c>
      <c r="R634" s="97">
        <v>44.382947000000001</v>
      </c>
      <c r="S634" s="97">
        <v>3.7589999999999999</v>
      </c>
      <c r="T634" s="97">
        <v>7892</v>
      </c>
      <c r="U634" s="96"/>
      <c r="V634" s="97">
        <v>13.166657000000001</v>
      </c>
      <c r="W634" s="98">
        <v>0</v>
      </c>
      <c r="X634" s="98">
        <v>5.757E-3</v>
      </c>
      <c r="Y634" s="98">
        <v>7.8899999999999999E-4</v>
      </c>
      <c r="Z634" s="106"/>
    </row>
    <row r="635" spans="1:26" ht="15" customHeight="1">
      <c r="A635" s="106"/>
      <c r="B635" s="96">
        <v>286</v>
      </c>
      <c r="C635" s="96">
        <v>9803</v>
      </c>
      <c r="D635" s="96" t="s">
        <v>2877</v>
      </c>
      <c r="E635" s="96">
        <v>514073618</v>
      </c>
      <c r="F635" s="96" t="s">
        <v>308</v>
      </c>
      <c r="G635" s="96" t="s">
        <v>2878</v>
      </c>
      <c r="H635" s="96" t="s">
        <v>2879</v>
      </c>
      <c r="I635" s="96" t="s">
        <v>320</v>
      </c>
      <c r="J635" s="96" t="s">
        <v>918</v>
      </c>
      <c r="K635" s="96" t="s">
        <v>204</v>
      </c>
      <c r="L635" s="96" t="s">
        <v>203</v>
      </c>
      <c r="M635" s="96" t="s">
        <v>324</v>
      </c>
      <c r="N635" s="96" t="s">
        <v>345</v>
      </c>
      <c r="O635" s="96" t="s">
        <v>529</v>
      </c>
      <c r="P635" s="96" t="s">
        <v>338</v>
      </c>
      <c r="Q635" s="96" t="s">
        <v>1201</v>
      </c>
      <c r="R635" s="97">
        <v>75.777456000000001</v>
      </c>
      <c r="S635" s="97">
        <v>3.7589999999999999</v>
      </c>
      <c r="T635" s="97">
        <v>1824</v>
      </c>
      <c r="U635" s="96"/>
      <c r="V635" s="97">
        <v>5.1956170000000004</v>
      </c>
      <c r="W635" s="98">
        <v>0</v>
      </c>
      <c r="X635" s="98">
        <v>2.271E-3</v>
      </c>
      <c r="Y635" s="98">
        <v>3.1100000000000002E-4</v>
      </c>
      <c r="Z635" s="106"/>
    </row>
    <row r="636" spans="1:26" ht="15" customHeight="1">
      <c r="A636" s="106"/>
      <c r="B636" s="96">
        <v>286</v>
      </c>
      <c r="C636" s="96">
        <v>9803</v>
      </c>
      <c r="D636" s="96" t="s">
        <v>1757</v>
      </c>
      <c r="E636" s="96">
        <v>520041146</v>
      </c>
      <c r="F636" s="96" t="s">
        <v>308</v>
      </c>
      <c r="G636" s="96" t="s">
        <v>2861</v>
      </c>
      <c r="H636" s="96" t="s">
        <v>2692</v>
      </c>
      <c r="I636" s="96" t="s">
        <v>320</v>
      </c>
      <c r="J636" s="96" t="s">
        <v>918</v>
      </c>
      <c r="K636" s="96" t="s">
        <v>204</v>
      </c>
      <c r="L636" s="96" t="s">
        <v>203</v>
      </c>
      <c r="M636" s="96" t="s">
        <v>324</v>
      </c>
      <c r="N636" s="96" t="s">
        <v>345</v>
      </c>
      <c r="O636" s="96" t="s">
        <v>557</v>
      </c>
      <c r="P636" s="96" t="s">
        <v>337</v>
      </c>
      <c r="Q636" s="96" t="s">
        <v>1201</v>
      </c>
      <c r="R636" s="97">
        <v>57.603344</v>
      </c>
      <c r="S636" s="97">
        <v>3.7589999999999999</v>
      </c>
      <c r="T636" s="97">
        <v>1616</v>
      </c>
      <c r="U636" s="96"/>
      <c r="V636" s="97">
        <v>3.4991400000000001</v>
      </c>
      <c r="W636" s="98">
        <v>0</v>
      </c>
      <c r="X636" s="98">
        <v>1.529E-3</v>
      </c>
      <c r="Y636" s="98">
        <v>2.0900000000000001E-4</v>
      </c>
      <c r="Z636" s="106"/>
    </row>
    <row r="637" spans="1:26" ht="15" customHeight="1">
      <c r="A637" s="106"/>
      <c r="B637" s="96">
        <v>286</v>
      </c>
      <c r="C637" s="96">
        <v>9803</v>
      </c>
      <c r="D637" s="96" t="s">
        <v>2790</v>
      </c>
      <c r="E637" s="96">
        <v>512849498</v>
      </c>
      <c r="F637" s="96" t="s">
        <v>308</v>
      </c>
      <c r="G637" s="96" t="s">
        <v>2791</v>
      </c>
      <c r="H637" s="96" t="s">
        <v>2792</v>
      </c>
      <c r="I637" s="96" t="s">
        <v>320</v>
      </c>
      <c r="J637" s="96" t="s">
        <v>918</v>
      </c>
      <c r="K637" s="96" t="s">
        <v>204</v>
      </c>
      <c r="L637" s="96" t="s">
        <v>203</v>
      </c>
      <c r="M637" s="96" t="s">
        <v>324</v>
      </c>
      <c r="N637" s="96" t="s">
        <v>345</v>
      </c>
      <c r="O637" s="96" t="s">
        <v>550</v>
      </c>
      <c r="P637" s="96" t="s">
        <v>338</v>
      </c>
      <c r="Q637" s="96" t="s">
        <v>1201</v>
      </c>
      <c r="R637" s="97">
        <v>91.277109999999993</v>
      </c>
      <c r="S637" s="97">
        <v>3.7589999999999999</v>
      </c>
      <c r="T637" s="97">
        <v>835</v>
      </c>
      <c r="U637" s="96"/>
      <c r="V637" s="97">
        <v>2.864973</v>
      </c>
      <c r="W637" s="98">
        <v>9.9999999999999995E-7</v>
      </c>
      <c r="X637" s="98">
        <v>1.2520000000000001E-3</v>
      </c>
      <c r="Y637" s="98">
        <v>1.7100000000000001E-4</v>
      </c>
      <c r="Z637" s="106"/>
    </row>
    <row r="638" spans="1:26" ht="15" customHeight="1">
      <c r="A638" s="106"/>
      <c r="B638" s="96">
        <v>286</v>
      </c>
      <c r="C638" s="96">
        <v>9803</v>
      </c>
      <c r="D638" s="96" t="s">
        <v>2796</v>
      </c>
      <c r="E638" s="96">
        <v>513870683</v>
      </c>
      <c r="F638" s="96" t="s">
        <v>308</v>
      </c>
      <c r="G638" s="96" t="s">
        <v>2797</v>
      </c>
      <c r="H638" s="96" t="s">
        <v>2798</v>
      </c>
      <c r="I638" s="96" t="s">
        <v>320</v>
      </c>
      <c r="J638" s="96" t="s">
        <v>918</v>
      </c>
      <c r="K638" s="96" t="s">
        <v>204</v>
      </c>
      <c r="L638" s="96" t="s">
        <v>203</v>
      </c>
      <c r="M638" s="96" t="s">
        <v>324</v>
      </c>
      <c r="N638" s="96" t="s">
        <v>345</v>
      </c>
      <c r="O638" s="96" t="s">
        <v>552</v>
      </c>
      <c r="P638" s="96" t="s">
        <v>338</v>
      </c>
      <c r="Q638" s="96" t="s">
        <v>1201</v>
      </c>
      <c r="R638" s="97">
        <v>271.81609900000001</v>
      </c>
      <c r="S638" s="97">
        <v>3.7589999999999999</v>
      </c>
      <c r="T638" s="97">
        <v>344</v>
      </c>
      <c r="U638" s="96"/>
      <c r="V638" s="97">
        <v>3.5148419999999998</v>
      </c>
      <c r="W638" s="98">
        <v>0</v>
      </c>
      <c r="X638" s="98">
        <v>1.536E-3</v>
      </c>
      <c r="Y638" s="98">
        <v>2.1000000000000001E-4</v>
      </c>
      <c r="Z638" s="106"/>
    </row>
    <row r="639" spans="1:26" ht="15" customHeight="1">
      <c r="A639" s="106"/>
      <c r="B639" s="96">
        <v>286</v>
      </c>
      <c r="C639" s="96">
        <v>9803</v>
      </c>
      <c r="D639" s="96" t="s">
        <v>2603</v>
      </c>
      <c r="E639" s="96">
        <v>520036872</v>
      </c>
      <c r="F639" s="96" t="s">
        <v>308</v>
      </c>
      <c r="G639" s="96" t="s">
        <v>2855</v>
      </c>
      <c r="H639" s="96" t="s">
        <v>2856</v>
      </c>
      <c r="I639" s="96" t="s">
        <v>320</v>
      </c>
      <c r="J639" s="96" t="s">
        <v>918</v>
      </c>
      <c r="K639" s="96" t="s">
        <v>204</v>
      </c>
      <c r="L639" s="96" t="s">
        <v>203</v>
      </c>
      <c r="M639" s="96" t="s">
        <v>324</v>
      </c>
      <c r="N639" s="96" t="s">
        <v>345</v>
      </c>
      <c r="O639" s="96" t="s">
        <v>543</v>
      </c>
      <c r="P639" s="96" t="s">
        <v>338</v>
      </c>
      <c r="Q639" s="96" t="s">
        <v>1201</v>
      </c>
      <c r="R639" s="97">
        <v>67.560258000000005</v>
      </c>
      <c r="S639" s="97">
        <v>3.7589999999999999</v>
      </c>
      <c r="T639" s="97">
        <v>17197</v>
      </c>
      <c r="U639" s="96"/>
      <c r="V639" s="97">
        <v>43.673332000000002</v>
      </c>
      <c r="W639" s="98">
        <v>9.9999999999999995E-7</v>
      </c>
      <c r="X639" s="98">
        <v>1.9095000000000001E-2</v>
      </c>
      <c r="Y639" s="98">
        <v>2.6180000000000001E-3</v>
      </c>
      <c r="Z639" s="106"/>
    </row>
    <row r="640" spans="1:26" ht="15" customHeight="1">
      <c r="A640" s="106"/>
      <c r="B640" s="96">
        <v>286</v>
      </c>
      <c r="C640" s="96">
        <v>9803</v>
      </c>
      <c r="D640" s="96" t="s">
        <v>2884</v>
      </c>
      <c r="E640" s="96">
        <v>511235434</v>
      </c>
      <c r="F640" s="96" t="s">
        <v>308</v>
      </c>
      <c r="G640" s="96" t="s">
        <v>2885</v>
      </c>
      <c r="H640" s="96" t="s">
        <v>2886</v>
      </c>
      <c r="I640" s="96" t="s">
        <v>320</v>
      </c>
      <c r="J640" s="96" t="s">
        <v>918</v>
      </c>
      <c r="K640" s="96" t="s">
        <v>204</v>
      </c>
      <c r="L640" s="96" t="s">
        <v>203</v>
      </c>
      <c r="M640" s="96" t="s">
        <v>324</v>
      </c>
      <c r="N640" s="96" t="s">
        <v>345</v>
      </c>
      <c r="O640" s="96" t="s">
        <v>547</v>
      </c>
      <c r="P640" s="96" t="s">
        <v>338</v>
      </c>
      <c r="Q640" s="96" t="s">
        <v>1201</v>
      </c>
      <c r="R640" s="97">
        <v>34.482939999999999</v>
      </c>
      <c r="S640" s="97">
        <v>3.7589999999999999</v>
      </c>
      <c r="T640" s="97">
        <v>12524</v>
      </c>
      <c r="U640" s="96"/>
      <c r="V640" s="97">
        <v>16.233779999999999</v>
      </c>
      <c r="W640" s="98">
        <v>0</v>
      </c>
      <c r="X640" s="98">
        <v>7.097E-3</v>
      </c>
      <c r="Y640" s="98">
        <v>9.7199999999999999E-4</v>
      </c>
      <c r="Z640" s="106"/>
    </row>
    <row r="641" spans="1:26" ht="15" customHeight="1">
      <c r="A641" s="106"/>
      <c r="B641" s="96">
        <v>286</v>
      </c>
      <c r="C641" s="96">
        <v>9803</v>
      </c>
      <c r="D641" s="96" t="s">
        <v>2827</v>
      </c>
      <c r="E641" s="96" t="s">
        <v>2828</v>
      </c>
      <c r="F641" s="96" t="s">
        <v>312</v>
      </c>
      <c r="G641" s="96" t="s">
        <v>2829</v>
      </c>
      <c r="H641" s="96" t="s">
        <v>2830</v>
      </c>
      <c r="I641" s="96" t="s">
        <v>320</v>
      </c>
      <c r="J641" s="96" t="s">
        <v>918</v>
      </c>
      <c r="K641" s="96" t="s">
        <v>204</v>
      </c>
      <c r="L641" s="96" t="s">
        <v>223</v>
      </c>
      <c r="M641" s="96" t="s">
        <v>324</v>
      </c>
      <c r="N641" s="96" t="s">
        <v>345</v>
      </c>
      <c r="O641" s="96" t="s">
        <v>543</v>
      </c>
      <c r="P641" s="96" t="s">
        <v>338</v>
      </c>
      <c r="Q641" s="96" t="s">
        <v>1201</v>
      </c>
      <c r="R641" s="97">
        <v>9.506354</v>
      </c>
      <c r="S641" s="97">
        <v>3.7589999999999999</v>
      </c>
      <c r="T641" s="97">
        <v>33901</v>
      </c>
      <c r="U641" s="96"/>
      <c r="V641" s="97">
        <v>12.114314</v>
      </c>
      <c r="W641" s="98">
        <v>0</v>
      </c>
      <c r="X641" s="98">
        <v>5.2969999999999996E-3</v>
      </c>
      <c r="Y641" s="98">
        <v>7.2599999999999997E-4</v>
      </c>
      <c r="Z641" s="106"/>
    </row>
    <row r="642" spans="1:26" ht="15" customHeight="1">
      <c r="A642" s="106"/>
      <c r="B642" s="96">
        <v>286</v>
      </c>
      <c r="C642" s="96">
        <v>9803</v>
      </c>
      <c r="D642" s="96" t="s">
        <v>2549</v>
      </c>
      <c r="E642" s="96">
        <v>520013954</v>
      </c>
      <c r="F642" s="96" t="s">
        <v>308</v>
      </c>
      <c r="G642" s="96" t="s">
        <v>2921</v>
      </c>
      <c r="H642" s="96" t="s">
        <v>2922</v>
      </c>
      <c r="I642" s="96" t="s">
        <v>320</v>
      </c>
      <c r="J642" s="96" t="s">
        <v>918</v>
      </c>
      <c r="K642" s="96" t="s">
        <v>204</v>
      </c>
      <c r="L642" s="96" t="s">
        <v>203</v>
      </c>
      <c r="M642" s="96" t="s">
        <v>324</v>
      </c>
      <c r="N642" s="96" t="s">
        <v>343</v>
      </c>
      <c r="O642" s="96" t="s">
        <v>533</v>
      </c>
      <c r="P642" s="96" t="s">
        <v>338</v>
      </c>
      <c r="Q642" s="96" t="s">
        <v>1201</v>
      </c>
      <c r="R642" s="97">
        <v>1860.7017269999999</v>
      </c>
      <c r="S642" s="97">
        <v>3.7589999999999999</v>
      </c>
      <c r="T642" s="97">
        <v>1625</v>
      </c>
      <c r="U642" s="96"/>
      <c r="V642" s="97">
        <v>113.658638</v>
      </c>
      <c r="W642" s="98">
        <v>9.9999999999999995E-7</v>
      </c>
      <c r="X642" s="98">
        <v>4.9697999999999999E-2</v>
      </c>
      <c r="Y642" s="98">
        <v>6.8139999999999997E-3</v>
      </c>
      <c r="Z642" s="106"/>
    </row>
    <row r="643" spans="1:26" ht="15" customHeight="1">
      <c r="A643" s="106"/>
      <c r="B643" s="96">
        <v>286</v>
      </c>
      <c r="C643" s="96">
        <v>9803</v>
      </c>
      <c r="D643" s="96" t="s">
        <v>2929</v>
      </c>
      <c r="E643" s="96"/>
      <c r="F643" s="96" t="s">
        <v>312</v>
      </c>
      <c r="G643" s="96" t="s">
        <v>2930</v>
      </c>
      <c r="H643" s="96" t="s">
        <v>2931</v>
      </c>
      <c r="I643" s="96" t="s">
        <v>320</v>
      </c>
      <c r="J643" s="96" t="s">
        <v>918</v>
      </c>
      <c r="K643" s="96" t="s">
        <v>204</v>
      </c>
      <c r="L643" s="96" t="s">
        <v>223</v>
      </c>
      <c r="M643" s="96" t="s">
        <v>324</v>
      </c>
      <c r="N643" s="96" t="s">
        <v>345</v>
      </c>
      <c r="O643" s="96" t="s">
        <v>509</v>
      </c>
      <c r="P643" s="96" t="s">
        <v>338</v>
      </c>
      <c r="Q643" s="96" t="s">
        <v>1201</v>
      </c>
      <c r="R643" s="97">
        <v>24.841152999999998</v>
      </c>
      <c r="S643" s="97">
        <v>3.7589999999999999</v>
      </c>
      <c r="T643" s="97">
        <v>2808.5</v>
      </c>
      <c r="U643" s="96"/>
      <c r="V643" s="97">
        <v>2.6225179999999999</v>
      </c>
      <c r="W643" s="98">
        <v>0</v>
      </c>
      <c r="X643" s="98">
        <v>1.1460000000000001E-3</v>
      </c>
      <c r="Y643" s="98">
        <v>1.5699999999999999E-4</v>
      </c>
      <c r="Z643" s="106"/>
    </row>
    <row r="644" spans="1:26" ht="15" customHeight="1">
      <c r="A644" s="106"/>
      <c r="B644" s="96">
        <v>286</v>
      </c>
      <c r="C644" s="96">
        <v>9803</v>
      </c>
      <c r="D644" s="96" t="s">
        <v>2843</v>
      </c>
      <c r="E644" s="96" t="s">
        <v>2844</v>
      </c>
      <c r="F644" s="96" t="s">
        <v>312</v>
      </c>
      <c r="G644" s="96" t="s">
        <v>2845</v>
      </c>
      <c r="H644" s="96" t="s">
        <v>2846</v>
      </c>
      <c r="I644" s="96" t="s">
        <v>320</v>
      </c>
      <c r="J644" s="96" t="s">
        <v>918</v>
      </c>
      <c r="K644" s="96" t="s">
        <v>204</v>
      </c>
      <c r="L644" s="96" t="s">
        <v>237</v>
      </c>
      <c r="M644" s="96" t="s">
        <v>324</v>
      </c>
      <c r="N644" s="96" t="s">
        <v>313</v>
      </c>
      <c r="O644" s="96" t="s">
        <v>567</v>
      </c>
      <c r="P644" s="96" t="s">
        <v>338</v>
      </c>
      <c r="Q644" s="96" t="s">
        <v>1202</v>
      </c>
      <c r="R644" s="97">
        <v>1104.2117450000001</v>
      </c>
      <c r="S644" s="97">
        <v>4.0202</v>
      </c>
      <c r="T644" s="97">
        <v>196.55</v>
      </c>
      <c r="U644" s="96"/>
      <c r="V644" s="97">
        <v>8.7251530000000006</v>
      </c>
      <c r="W644" s="98">
        <v>0</v>
      </c>
      <c r="X644" s="98">
        <v>3.8149999999999998E-3</v>
      </c>
      <c r="Y644" s="98">
        <v>5.2300000000000003E-4</v>
      </c>
      <c r="Z644" s="106"/>
    </row>
    <row r="645" spans="1:26" ht="15" customHeight="1">
      <c r="A645" s="106"/>
      <c r="B645" s="96">
        <v>286</v>
      </c>
      <c r="C645" s="96">
        <v>14418</v>
      </c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106"/>
    </row>
    <row r="646" spans="1:26" ht="15" customHeight="1">
      <c r="A646" s="106"/>
      <c r="B646" s="96">
        <v>286</v>
      </c>
      <c r="C646" s="96">
        <v>1445</v>
      </c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106"/>
    </row>
    <row r="647" spans="1:26" ht="15" customHeight="1">
      <c r="A647" s="106"/>
      <c r="B647" s="105" t="s">
        <v>3767</v>
      </c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6"/>
    </row>
  </sheetData>
  <mergeCells count="4">
    <mergeCell ref="B647:Y647"/>
    <mergeCell ref="A1:A647"/>
    <mergeCell ref="B1:Y1"/>
    <mergeCell ref="Z1:Z647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AA167"/>
  <sheetViews>
    <sheetView rightToLeft="1" workbookViewId="0">
      <selection sqref="A1:A167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3.875" bestFit="1" customWidth="1"/>
    <col min="5" max="5" width="24.75" bestFit="1" customWidth="1"/>
    <col min="6" max="6" width="22.75" bestFit="1" customWidth="1"/>
    <col min="7" max="7" width="40.625" bestFit="1" customWidth="1"/>
    <col min="8" max="8" width="14.625" bestFit="1" customWidth="1"/>
    <col min="9" max="9" width="11" bestFit="1" customWidth="1"/>
    <col min="10" max="10" width="24.5" bestFit="1" customWidth="1"/>
    <col min="11" max="11" width="8.75" bestFit="1" customWidth="1"/>
    <col min="12" max="12" width="10.75" bestFit="1" customWidth="1"/>
    <col min="13" max="13" width="11" bestFit="1" customWidth="1"/>
    <col min="14" max="14" width="92.25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.875" bestFit="1" customWidth="1"/>
    <col min="20" max="20" width="9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5" width="3.125" customWidth="1"/>
    <col min="26" max="27" width="9" customWidth="1"/>
  </cols>
  <sheetData>
    <row r="1" spans="1:27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6" t="s">
        <v>3766</v>
      </c>
    </row>
    <row r="2" spans="1:27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70</v>
      </c>
      <c r="N2" s="21" t="s">
        <v>90</v>
      </c>
      <c r="O2" s="21" t="s">
        <v>56</v>
      </c>
      <c r="P2" s="21" t="s">
        <v>59</v>
      </c>
      <c r="Q2" s="21" t="s">
        <v>76</v>
      </c>
      <c r="R2" s="21" t="s">
        <v>61</v>
      </c>
      <c r="S2" s="21" t="s">
        <v>77</v>
      </c>
      <c r="T2" s="99" t="s">
        <v>75</v>
      </c>
      <c r="U2" s="21" t="s">
        <v>63</v>
      </c>
      <c r="V2" s="21" t="s">
        <v>79</v>
      </c>
      <c r="W2" s="21" t="s">
        <v>64</v>
      </c>
      <c r="X2" s="21" t="s">
        <v>65</v>
      </c>
      <c r="Y2" s="106"/>
      <c r="Z2" s="10"/>
      <c r="AA2" s="10"/>
    </row>
    <row r="3" spans="1:27" ht="15" customHeight="1">
      <c r="A3" s="106"/>
      <c r="B3" s="96">
        <v>286</v>
      </c>
      <c r="C3" s="96">
        <v>14418</v>
      </c>
      <c r="D3" s="96" t="s">
        <v>3019</v>
      </c>
      <c r="E3" s="96">
        <v>510791031</v>
      </c>
      <c r="F3" s="96" t="s">
        <v>308</v>
      </c>
      <c r="G3" s="96" t="s">
        <v>3020</v>
      </c>
      <c r="H3" s="96" t="s">
        <v>3021</v>
      </c>
      <c r="I3" s="96" t="s">
        <v>320</v>
      </c>
      <c r="J3" s="96" t="s">
        <v>966</v>
      </c>
      <c r="K3" s="96" t="s">
        <v>203</v>
      </c>
      <c r="L3" s="96" t="s">
        <v>223</v>
      </c>
      <c r="M3" s="96" t="s">
        <v>339</v>
      </c>
      <c r="N3" s="96" t="s">
        <v>597</v>
      </c>
      <c r="O3" s="96" t="s">
        <v>338</v>
      </c>
      <c r="P3" s="96" t="s">
        <v>1200</v>
      </c>
      <c r="Q3" s="97">
        <v>6027</v>
      </c>
      <c r="R3" s="97">
        <v>1</v>
      </c>
      <c r="S3" s="97">
        <v>5797</v>
      </c>
      <c r="T3" s="97"/>
      <c r="U3" s="97">
        <v>349.38519000000002</v>
      </c>
      <c r="V3" s="98">
        <v>1.7065E-2</v>
      </c>
      <c r="W3" s="98">
        <v>0.100396</v>
      </c>
      <c r="X3" s="98">
        <v>8.0798999999999996E-2</v>
      </c>
      <c r="Y3" s="106"/>
    </row>
    <row r="4" spans="1:27" ht="15" customHeight="1">
      <c r="A4" s="106"/>
      <c r="B4" s="96">
        <v>286</v>
      </c>
      <c r="C4" s="96">
        <v>14418</v>
      </c>
      <c r="D4" s="96" t="s">
        <v>3022</v>
      </c>
      <c r="E4" s="96">
        <v>513765339</v>
      </c>
      <c r="F4" s="96" t="s">
        <v>308</v>
      </c>
      <c r="G4" s="96" t="s">
        <v>3023</v>
      </c>
      <c r="H4" s="96" t="s">
        <v>3024</v>
      </c>
      <c r="I4" s="96" t="s">
        <v>320</v>
      </c>
      <c r="J4" s="96" t="s">
        <v>966</v>
      </c>
      <c r="K4" s="96" t="s">
        <v>203</v>
      </c>
      <c r="L4" s="96" t="s">
        <v>223</v>
      </c>
      <c r="M4" s="96" t="s">
        <v>339</v>
      </c>
      <c r="N4" s="96" t="s">
        <v>594</v>
      </c>
      <c r="O4" s="96" t="s">
        <v>338</v>
      </c>
      <c r="P4" s="96" t="s">
        <v>1200</v>
      </c>
      <c r="Q4" s="97">
        <v>12607.08</v>
      </c>
      <c r="R4" s="97">
        <v>1</v>
      </c>
      <c r="S4" s="97">
        <v>2887</v>
      </c>
      <c r="T4" s="96"/>
      <c r="U4" s="97">
        <v>363.96640000000002</v>
      </c>
      <c r="V4" s="98">
        <v>1.3829999999999999E-3</v>
      </c>
      <c r="W4" s="98">
        <v>0.104585</v>
      </c>
      <c r="X4" s="98">
        <v>8.4170999999999996E-2</v>
      </c>
      <c r="Y4" s="106"/>
    </row>
    <row r="5" spans="1:27" ht="15" customHeight="1">
      <c r="A5" s="106"/>
      <c r="B5" s="96">
        <v>286</v>
      </c>
      <c r="C5" s="96">
        <v>14418</v>
      </c>
      <c r="D5" s="96" t="s">
        <v>3025</v>
      </c>
      <c r="E5" s="96">
        <v>514884485</v>
      </c>
      <c r="F5" s="96" t="s">
        <v>308</v>
      </c>
      <c r="G5" s="96" t="s">
        <v>3026</v>
      </c>
      <c r="H5" s="96" t="s">
        <v>3027</v>
      </c>
      <c r="I5" s="96" t="s">
        <v>320</v>
      </c>
      <c r="J5" s="96" t="s">
        <v>966</v>
      </c>
      <c r="K5" s="96" t="s">
        <v>203</v>
      </c>
      <c r="L5" s="96" t="s">
        <v>223</v>
      </c>
      <c r="M5" s="96" t="s">
        <v>339</v>
      </c>
      <c r="N5" s="96" t="s">
        <v>597</v>
      </c>
      <c r="O5" s="96" t="s">
        <v>338</v>
      </c>
      <c r="P5" s="96" t="s">
        <v>1200</v>
      </c>
      <c r="Q5" s="97">
        <v>3735</v>
      </c>
      <c r="R5" s="97">
        <v>1</v>
      </c>
      <c r="S5" s="97">
        <v>9387</v>
      </c>
      <c r="T5" s="96"/>
      <c r="U5" s="97">
        <v>350.60444999999999</v>
      </c>
      <c r="V5" s="98">
        <v>3.0200000000000002E-4</v>
      </c>
      <c r="W5" s="98">
        <v>0.100746</v>
      </c>
      <c r="X5" s="98">
        <v>8.1081E-2</v>
      </c>
      <c r="Y5" s="106"/>
    </row>
    <row r="6" spans="1:27" ht="15" customHeight="1">
      <c r="A6" s="106"/>
      <c r="B6" s="96">
        <v>286</v>
      </c>
      <c r="C6" s="96">
        <v>14418</v>
      </c>
      <c r="D6" s="96" t="s">
        <v>3028</v>
      </c>
      <c r="E6" s="96">
        <v>513534974</v>
      </c>
      <c r="F6" s="96" t="s">
        <v>308</v>
      </c>
      <c r="G6" s="96" t="s">
        <v>3029</v>
      </c>
      <c r="H6" s="96" t="s">
        <v>3030</v>
      </c>
      <c r="I6" s="96" t="s">
        <v>320</v>
      </c>
      <c r="J6" s="96" t="s">
        <v>966</v>
      </c>
      <c r="K6" s="96" t="s">
        <v>203</v>
      </c>
      <c r="L6" s="96" t="s">
        <v>223</v>
      </c>
      <c r="M6" s="96" t="s">
        <v>339</v>
      </c>
      <c r="N6" s="96" t="s">
        <v>594</v>
      </c>
      <c r="O6" s="96" t="s">
        <v>338</v>
      </c>
      <c r="P6" s="96" t="s">
        <v>1200</v>
      </c>
      <c r="Q6" s="97">
        <v>7967.22</v>
      </c>
      <c r="R6" s="97">
        <v>1</v>
      </c>
      <c r="S6" s="97">
        <v>4898</v>
      </c>
      <c r="T6" s="96"/>
      <c r="U6" s="97">
        <v>390.23444000000001</v>
      </c>
      <c r="V6" s="98">
        <v>7.0899999999999999E-4</v>
      </c>
      <c r="W6" s="98">
        <v>0.112134</v>
      </c>
      <c r="X6" s="98">
        <v>9.0246000000000007E-2</v>
      </c>
      <c r="Y6" s="106"/>
    </row>
    <row r="7" spans="1:27" ht="15" customHeight="1">
      <c r="A7" s="106"/>
      <c r="B7" s="96">
        <v>286</v>
      </c>
      <c r="C7" s="96">
        <v>14418</v>
      </c>
      <c r="D7" s="96" t="s">
        <v>3031</v>
      </c>
      <c r="E7" s="96">
        <v>511303661</v>
      </c>
      <c r="F7" s="96" t="s">
        <v>308</v>
      </c>
      <c r="G7" s="96" t="s">
        <v>3032</v>
      </c>
      <c r="H7" s="96" t="s">
        <v>3033</v>
      </c>
      <c r="I7" s="96" t="s">
        <v>320</v>
      </c>
      <c r="J7" s="96" t="s">
        <v>966</v>
      </c>
      <c r="K7" s="96" t="s">
        <v>203</v>
      </c>
      <c r="L7" s="96" t="s">
        <v>223</v>
      </c>
      <c r="M7" s="96" t="s">
        <v>339</v>
      </c>
      <c r="N7" s="96" t="s">
        <v>597</v>
      </c>
      <c r="O7" s="96" t="s">
        <v>338</v>
      </c>
      <c r="P7" s="96" t="s">
        <v>1200</v>
      </c>
      <c r="Q7" s="97">
        <v>3479</v>
      </c>
      <c r="R7" s="97">
        <v>1</v>
      </c>
      <c r="S7" s="97">
        <v>7892</v>
      </c>
      <c r="T7" s="96"/>
      <c r="U7" s="97">
        <v>274.56268</v>
      </c>
      <c r="V7" s="98">
        <v>6.7900000000000002E-4</v>
      </c>
      <c r="W7" s="98">
        <v>7.8895000000000007E-2</v>
      </c>
      <c r="X7" s="98">
        <v>6.3494999999999996E-2</v>
      </c>
      <c r="Y7" s="106"/>
    </row>
    <row r="8" spans="1:27" ht="15" customHeight="1">
      <c r="A8" s="106"/>
      <c r="B8" s="96">
        <v>286</v>
      </c>
      <c r="C8" s="96">
        <v>14418</v>
      </c>
      <c r="D8" s="96" t="s">
        <v>3034</v>
      </c>
      <c r="E8" s="96">
        <v>510938608</v>
      </c>
      <c r="F8" s="96" t="s">
        <v>308</v>
      </c>
      <c r="G8" s="96" t="s">
        <v>3035</v>
      </c>
      <c r="H8" s="96" t="s">
        <v>3036</v>
      </c>
      <c r="I8" s="96" t="s">
        <v>320</v>
      </c>
      <c r="J8" s="96" t="s">
        <v>966</v>
      </c>
      <c r="K8" s="96" t="s">
        <v>203</v>
      </c>
      <c r="L8" s="96" t="s">
        <v>223</v>
      </c>
      <c r="M8" s="96" t="s">
        <v>339</v>
      </c>
      <c r="N8" s="96" t="s">
        <v>597</v>
      </c>
      <c r="O8" s="96" t="s">
        <v>338</v>
      </c>
      <c r="P8" s="96" t="s">
        <v>1200</v>
      </c>
      <c r="Q8" s="97">
        <v>2105</v>
      </c>
      <c r="R8" s="97">
        <v>1</v>
      </c>
      <c r="S8" s="97">
        <v>16590</v>
      </c>
      <c r="T8" s="96"/>
      <c r="U8" s="97">
        <v>349.21949999999998</v>
      </c>
      <c r="V8" s="98">
        <v>3.9800000000000002E-4</v>
      </c>
      <c r="W8" s="98">
        <v>0.10034800000000001</v>
      </c>
      <c r="X8" s="98">
        <v>8.0760999999999999E-2</v>
      </c>
      <c r="Y8" s="106"/>
    </row>
    <row r="9" spans="1:27" ht="15" customHeight="1">
      <c r="A9" s="106"/>
      <c r="B9" s="96">
        <v>286</v>
      </c>
      <c r="C9" s="96">
        <v>14418</v>
      </c>
      <c r="D9" s="96" t="s">
        <v>3031</v>
      </c>
      <c r="E9" s="96">
        <v>511303661</v>
      </c>
      <c r="F9" s="96" t="s">
        <v>308</v>
      </c>
      <c r="G9" s="96" t="s">
        <v>3037</v>
      </c>
      <c r="H9" s="96" t="s">
        <v>3038</v>
      </c>
      <c r="I9" s="96" t="s">
        <v>320</v>
      </c>
      <c r="J9" s="96" t="s">
        <v>966</v>
      </c>
      <c r="K9" s="96" t="s">
        <v>203</v>
      </c>
      <c r="L9" s="96" t="s">
        <v>223</v>
      </c>
      <c r="M9" s="96" t="s">
        <v>339</v>
      </c>
      <c r="N9" s="96" t="s">
        <v>594</v>
      </c>
      <c r="O9" s="96" t="s">
        <v>338</v>
      </c>
      <c r="P9" s="96" t="s">
        <v>1200</v>
      </c>
      <c r="Q9" s="97">
        <v>10602.03</v>
      </c>
      <c r="R9" s="97">
        <v>1</v>
      </c>
      <c r="S9" s="97">
        <v>3548</v>
      </c>
      <c r="T9" s="96"/>
      <c r="U9" s="97">
        <v>376.16001999999997</v>
      </c>
      <c r="V9" s="98">
        <v>7.1599999999999995E-4</v>
      </c>
      <c r="W9" s="98">
        <v>0.108089</v>
      </c>
      <c r="X9" s="98">
        <v>8.6990999999999999E-2</v>
      </c>
      <c r="Y9" s="106"/>
    </row>
    <row r="10" spans="1:27" ht="15" customHeight="1">
      <c r="A10" s="106"/>
      <c r="B10" s="96">
        <v>286</v>
      </c>
      <c r="C10" s="96">
        <v>14418</v>
      </c>
      <c r="D10" s="96" t="s">
        <v>3034</v>
      </c>
      <c r="E10" s="96">
        <v>510938608</v>
      </c>
      <c r="F10" s="96" t="s">
        <v>308</v>
      </c>
      <c r="G10" s="96" t="s">
        <v>3039</v>
      </c>
      <c r="H10" s="96" t="s">
        <v>3040</v>
      </c>
      <c r="I10" s="96" t="s">
        <v>320</v>
      </c>
      <c r="J10" s="96" t="s">
        <v>966</v>
      </c>
      <c r="K10" s="96" t="s">
        <v>203</v>
      </c>
      <c r="L10" s="96" t="s">
        <v>223</v>
      </c>
      <c r="M10" s="96" t="s">
        <v>339</v>
      </c>
      <c r="N10" s="96" t="s">
        <v>594</v>
      </c>
      <c r="O10" s="96" t="s">
        <v>338</v>
      </c>
      <c r="P10" s="96" t="s">
        <v>1200</v>
      </c>
      <c r="Q10" s="97">
        <v>5965.65</v>
      </c>
      <c r="R10" s="97">
        <v>1</v>
      </c>
      <c r="S10" s="97">
        <v>6635</v>
      </c>
      <c r="T10" s="96"/>
      <c r="U10" s="97">
        <v>395.82087999999999</v>
      </c>
      <c r="V10" s="98">
        <v>7.9199999999999995E-4</v>
      </c>
      <c r="W10" s="98">
        <v>0.11373900000000001</v>
      </c>
      <c r="X10" s="98">
        <v>9.1537999999999994E-2</v>
      </c>
      <c r="Y10" s="106"/>
    </row>
    <row r="11" spans="1:27" ht="15" customHeight="1">
      <c r="A11" s="106"/>
      <c r="B11" s="96">
        <v>286</v>
      </c>
      <c r="C11" s="96">
        <v>14418</v>
      </c>
      <c r="D11" s="96" t="s">
        <v>3041</v>
      </c>
      <c r="E11" s="96">
        <v>514103811</v>
      </c>
      <c r="F11" s="96" t="s">
        <v>308</v>
      </c>
      <c r="G11" s="96" t="s">
        <v>3042</v>
      </c>
      <c r="H11" s="96" t="s">
        <v>3043</v>
      </c>
      <c r="I11" s="96" t="s">
        <v>320</v>
      </c>
      <c r="J11" s="96" t="s">
        <v>966</v>
      </c>
      <c r="K11" s="96" t="s">
        <v>203</v>
      </c>
      <c r="L11" s="96" t="s">
        <v>295</v>
      </c>
      <c r="M11" s="96" t="s">
        <v>339</v>
      </c>
      <c r="N11" s="96" t="s">
        <v>597</v>
      </c>
      <c r="O11" s="96" t="s">
        <v>338</v>
      </c>
      <c r="P11" s="96" t="s">
        <v>1200</v>
      </c>
      <c r="Q11" s="97">
        <v>1586</v>
      </c>
      <c r="R11" s="97">
        <v>1</v>
      </c>
      <c r="S11" s="97">
        <v>17240</v>
      </c>
      <c r="T11" s="96"/>
      <c r="U11" s="97">
        <v>273.4264</v>
      </c>
      <c r="V11" s="98">
        <v>5.6099999999999998E-4</v>
      </c>
      <c r="W11" s="98">
        <v>7.8569E-2</v>
      </c>
      <c r="X11" s="98">
        <v>6.3232999999999998E-2</v>
      </c>
      <c r="Y11" s="106"/>
    </row>
    <row r="12" spans="1:27" ht="15" customHeight="1">
      <c r="A12" s="106"/>
      <c r="B12" s="96">
        <v>286</v>
      </c>
      <c r="C12" s="96">
        <v>14418</v>
      </c>
      <c r="D12" s="96" t="s">
        <v>3044</v>
      </c>
      <c r="E12" s="96">
        <v>550276174</v>
      </c>
      <c r="F12" s="96" t="s">
        <v>309</v>
      </c>
      <c r="G12" s="96" t="s">
        <v>3045</v>
      </c>
      <c r="H12" s="96" t="s">
        <v>3046</v>
      </c>
      <c r="I12" s="96" t="s">
        <v>320</v>
      </c>
      <c r="J12" s="96" t="s">
        <v>966</v>
      </c>
      <c r="K12" s="96" t="s">
        <v>204</v>
      </c>
      <c r="L12" s="96" t="s">
        <v>223</v>
      </c>
      <c r="M12" s="96" t="s">
        <v>343</v>
      </c>
      <c r="N12" s="96" t="s">
        <v>582</v>
      </c>
      <c r="O12" s="96" t="s">
        <v>338</v>
      </c>
      <c r="P12" s="96" t="s">
        <v>1201</v>
      </c>
      <c r="Q12" s="97">
        <v>940</v>
      </c>
      <c r="R12" s="97">
        <v>3.7589999999999999</v>
      </c>
      <c r="S12" s="97">
        <v>10084</v>
      </c>
      <c r="T12" s="96"/>
      <c r="U12" s="97">
        <v>356.31411000000003</v>
      </c>
      <c r="V12" s="98">
        <v>3.0000000000000001E-6</v>
      </c>
      <c r="W12" s="98">
        <v>0.10238700000000001</v>
      </c>
      <c r="X12" s="98">
        <v>8.2401000000000002E-2</v>
      </c>
      <c r="Y12" s="106"/>
    </row>
    <row r="13" spans="1:27" ht="15" customHeight="1">
      <c r="A13" s="106"/>
      <c r="B13" s="96">
        <v>286</v>
      </c>
      <c r="C13" s="96">
        <v>1445</v>
      </c>
      <c r="D13" s="96" t="s">
        <v>3047</v>
      </c>
      <c r="E13" s="96">
        <v>511776783</v>
      </c>
      <c r="F13" s="96" t="s">
        <v>308</v>
      </c>
      <c r="G13" s="96" t="s">
        <v>3048</v>
      </c>
      <c r="H13" s="96" t="s">
        <v>3049</v>
      </c>
      <c r="I13" s="96" t="s">
        <v>320</v>
      </c>
      <c r="J13" s="96" t="s">
        <v>967</v>
      </c>
      <c r="K13" s="96" t="s">
        <v>203</v>
      </c>
      <c r="L13" s="96" t="s">
        <v>203</v>
      </c>
      <c r="M13" s="96" t="s">
        <v>339</v>
      </c>
      <c r="N13" s="96" t="s">
        <v>575</v>
      </c>
      <c r="O13" s="96" t="s">
        <v>338</v>
      </c>
      <c r="P13" s="96" t="s">
        <v>1200</v>
      </c>
      <c r="Q13" s="97">
        <v>28115.806753000001</v>
      </c>
      <c r="R13" s="97">
        <v>1</v>
      </c>
      <c r="S13" s="97">
        <v>355.84</v>
      </c>
      <c r="T13" s="96"/>
      <c r="U13" s="97">
        <v>100.047286</v>
      </c>
      <c r="V13" s="98">
        <v>1.3999999999999999E-4</v>
      </c>
      <c r="W13" s="98">
        <v>5.6336999999999998E-2</v>
      </c>
      <c r="X13" s="98">
        <v>1.905E-3</v>
      </c>
      <c r="Y13" s="106"/>
    </row>
    <row r="14" spans="1:27" ht="15" customHeight="1">
      <c r="A14" s="106"/>
      <c r="B14" s="96">
        <v>286</v>
      </c>
      <c r="C14" s="96">
        <v>1445</v>
      </c>
      <c r="D14" s="96" t="s">
        <v>3022</v>
      </c>
      <c r="E14" s="96">
        <v>513765339</v>
      </c>
      <c r="F14" s="96" t="s">
        <v>308</v>
      </c>
      <c r="G14" s="96" t="s">
        <v>3050</v>
      </c>
      <c r="H14" s="96" t="s">
        <v>3051</v>
      </c>
      <c r="I14" s="96" t="s">
        <v>320</v>
      </c>
      <c r="J14" s="96" t="s">
        <v>967</v>
      </c>
      <c r="K14" s="96" t="s">
        <v>203</v>
      </c>
      <c r="L14" s="96" t="s">
        <v>203</v>
      </c>
      <c r="M14" s="96" t="s">
        <v>339</v>
      </c>
      <c r="N14" s="96" t="s">
        <v>575</v>
      </c>
      <c r="O14" s="96" t="s">
        <v>338</v>
      </c>
      <c r="P14" s="96" t="s">
        <v>1200</v>
      </c>
      <c r="Q14" s="97">
        <v>52627.574968000001</v>
      </c>
      <c r="R14" s="97">
        <v>1</v>
      </c>
      <c r="S14" s="97">
        <v>357.8</v>
      </c>
      <c r="T14" s="96"/>
      <c r="U14" s="97">
        <v>188.30146300000001</v>
      </c>
      <c r="V14" s="98">
        <v>1.75E-4</v>
      </c>
      <c r="W14" s="98">
        <v>0.106033</v>
      </c>
      <c r="X14" s="98">
        <v>3.5850000000000001E-3</v>
      </c>
      <c r="Y14" s="106"/>
    </row>
    <row r="15" spans="1:27" ht="15" customHeight="1">
      <c r="A15" s="106"/>
      <c r="B15" s="96">
        <v>286</v>
      </c>
      <c r="C15" s="96">
        <v>1445</v>
      </c>
      <c r="D15" s="96" t="s">
        <v>3034</v>
      </c>
      <c r="E15" s="96">
        <v>510938608</v>
      </c>
      <c r="F15" s="96" t="s">
        <v>308</v>
      </c>
      <c r="G15" s="96" t="s">
        <v>3052</v>
      </c>
      <c r="H15" s="96" t="s">
        <v>3053</v>
      </c>
      <c r="I15" s="96" t="s">
        <v>320</v>
      </c>
      <c r="J15" s="96" t="s">
        <v>967</v>
      </c>
      <c r="K15" s="96" t="s">
        <v>203</v>
      </c>
      <c r="L15" s="96" t="s">
        <v>203</v>
      </c>
      <c r="M15" s="96" t="s">
        <v>339</v>
      </c>
      <c r="N15" s="96" t="s">
        <v>615</v>
      </c>
      <c r="O15" s="96" t="s">
        <v>338</v>
      </c>
      <c r="P15" s="96" t="s">
        <v>1200</v>
      </c>
      <c r="Q15" s="97">
        <v>347.990994</v>
      </c>
      <c r="R15" s="97">
        <v>1</v>
      </c>
      <c r="S15" s="97">
        <v>1158.93</v>
      </c>
      <c r="T15" s="96"/>
      <c r="U15" s="97">
        <v>4.032972</v>
      </c>
      <c r="V15" s="98">
        <v>1.1E-5</v>
      </c>
      <c r="W15" s="98">
        <v>2.2699999999999999E-3</v>
      </c>
      <c r="X15" s="98">
        <v>7.6000000000000004E-5</v>
      </c>
      <c r="Y15" s="106"/>
    </row>
    <row r="16" spans="1:27" ht="15" customHeight="1">
      <c r="A16" s="106"/>
      <c r="B16" s="96">
        <v>286</v>
      </c>
      <c r="C16" s="96">
        <v>1445</v>
      </c>
      <c r="D16" s="96" t="s">
        <v>3034</v>
      </c>
      <c r="E16" s="96">
        <v>510938608</v>
      </c>
      <c r="F16" s="96" t="s">
        <v>308</v>
      </c>
      <c r="G16" s="96" t="s">
        <v>3054</v>
      </c>
      <c r="H16" s="96" t="s">
        <v>3055</v>
      </c>
      <c r="I16" s="96" t="s">
        <v>320</v>
      </c>
      <c r="J16" s="96" t="s">
        <v>967</v>
      </c>
      <c r="K16" s="96" t="s">
        <v>203</v>
      </c>
      <c r="L16" s="96" t="s">
        <v>203</v>
      </c>
      <c r="M16" s="96" t="s">
        <v>339</v>
      </c>
      <c r="N16" s="96" t="s">
        <v>629</v>
      </c>
      <c r="O16" s="96" t="s">
        <v>338</v>
      </c>
      <c r="P16" s="96" t="s">
        <v>1200</v>
      </c>
      <c r="Q16" s="97">
        <v>4780.2037689999997</v>
      </c>
      <c r="R16" s="97">
        <v>1</v>
      </c>
      <c r="S16" s="97">
        <v>3822.15</v>
      </c>
      <c r="T16" s="96"/>
      <c r="U16" s="97">
        <v>182.706558</v>
      </c>
      <c r="V16" s="98">
        <v>1.47E-4</v>
      </c>
      <c r="W16" s="98">
        <v>0.102883</v>
      </c>
      <c r="X16" s="98">
        <v>3.4789999999999999E-3</v>
      </c>
      <c r="Y16" s="106"/>
    </row>
    <row r="17" spans="1:25" ht="15" customHeight="1">
      <c r="A17" s="106"/>
      <c r="B17" s="96">
        <v>286</v>
      </c>
      <c r="C17" s="96">
        <v>1445</v>
      </c>
      <c r="D17" s="96" t="s">
        <v>3031</v>
      </c>
      <c r="E17" s="96">
        <v>511303661</v>
      </c>
      <c r="F17" s="96" t="s">
        <v>308</v>
      </c>
      <c r="G17" s="96" t="s">
        <v>3056</v>
      </c>
      <c r="H17" s="96" t="s">
        <v>3057</v>
      </c>
      <c r="I17" s="96" t="s">
        <v>320</v>
      </c>
      <c r="J17" s="96" t="s">
        <v>967</v>
      </c>
      <c r="K17" s="96" t="s">
        <v>203</v>
      </c>
      <c r="L17" s="96" t="s">
        <v>203</v>
      </c>
      <c r="M17" s="96" t="s">
        <v>339</v>
      </c>
      <c r="N17" s="96" t="s">
        <v>572</v>
      </c>
      <c r="O17" s="96" t="s">
        <v>338</v>
      </c>
      <c r="P17" s="96" t="s">
        <v>1200</v>
      </c>
      <c r="Q17" s="97">
        <v>1426.066941</v>
      </c>
      <c r="R17" s="97">
        <v>1</v>
      </c>
      <c r="S17" s="97">
        <v>450.15</v>
      </c>
      <c r="T17" s="96"/>
      <c r="U17" s="97">
        <v>6.4194399999999998</v>
      </c>
      <c r="V17" s="98">
        <v>1.2999999999999999E-5</v>
      </c>
      <c r="W17" s="98">
        <v>3.614E-3</v>
      </c>
      <c r="X17" s="98">
        <v>1.22E-4</v>
      </c>
      <c r="Y17" s="106"/>
    </row>
    <row r="18" spans="1:25" ht="15" customHeight="1">
      <c r="A18" s="106"/>
      <c r="B18" s="96">
        <v>286</v>
      </c>
      <c r="C18" s="96">
        <v>1445</v>
      </c>
      <c r="D18" s="96" t="s">
        <v>3028</v>
      </c>
      <c r="E18" s="96">
        <v>513534974</v>
      </c>
      <c r="F18" s="96" t="s">
        <v>308</v>
      </c>
      <c r="G18" s="96" t="s">
        <v>3058</v>
      </c>
      <c r="H18" s="96" t="s">
        <v>3059</v>
      </c>
      <c r="I18" s="96" t="s">
        <v>320</v>
      </c>
      <c r="J18" s="96" t="s">
        <v>967</v>
      </c>
      <c r="K18" s="96" t="s">
        <v>203</v>
      </c>
      <c r="L18" s="96" t="s">
        <v>203</v>
      </c>
      <c r="M18" s="96" t="s">
        <v>339</v>
      </c>
      <c r="N18" s="96" t="s">
        <v>629</v>
      </c>
      <c r="O18" s="96" t="s">
        <v>338</v>
      </c>
      <c r="P18" s="96" t="s">
        <v>1200</v>
      </c>
      <c r="Q18" s="97">
        <v>14905.092833000001</v>
      </c>
      <c r="R18" s="97">
        <v>1</v>
      </c>
      <c r="S18" s="97">
        <v>384.65</v>
      </c>
      <c r="T18" s="96"/>
      <c r="U18" s="97">
        <v>57.332439000000001</v>
      </c>
      <c r="V18" s="98">
        <v>5.1E-5</v>
      </c>
      <c r="W18" s="98">
        <v>3.2284E-2</v>
      </c>
      <c r="X18" s="98">
        <v>1.091E-3</v>
      </c>
      <c r="Y18" s="106"/>
    </row>
    <row r="19" spans="1:25" ht="15" customHeight="1">
      <c r="A19" s="106"/>
      <c r="B19" s="96">
        <v>286</v>
      </c>
      <c r="C19" s="96">
        <v>1445</v>
      </c>
      <c r="D19" s="96" t="s">
        <v>3047</v>
      </c>
      <c r="E19" s="96">
        <v>511776783</v>
      </c>
      <c r="F19" s="96" t="s">
        <v>308</v>
      </c>
      <c r="G19" s="96" t="s">
        <v>3060</v>
      </c>
      <c r="H19" s="96" t="s">
        <v>3061</v>
      </c>
      <c r="I19" s="96" t="s">
        <v>320</v>
      </c>
      <c r="J19" s="96" t="s">
        <v>967</v>
      </c>
      <c r="K19" s="96" t="s">
        <v>203</v>
      </c>
      <c r="L19" s="96" t="s">
        <v>203</v>
      </c>
      <c r="M19" s="96" t="s">
        <v>339</v>
      </c>
      <c r="N19" s="96" t="s">
        <v>629</v>
      </c>
      <c r="O19" s="96" t="s">
        <v>338</v>
      </c>
      <c r="P19" s="96" t="s">
        <v>1200</v>
      </c>
      <c r="Q19" s="97">
        <v>3522.4502320000001</v>
      </c>
      <c r="R19" s="97">
        <v>1</v>
      </c>
      <c r="S19" s="97">
        <v>383.33</v>
      </c>
      <c r="T19" s="96"/>
      <c r="U19" s="97">
        <v>13.502608</v>
      </c>
      <c r="V19" s="98">
        <v>2.0000000000000002E-5</v>
      </c>
      <c r="W19" s="98">
        <v>7.6030000000000004E-3</v>
      </c>
      <c r="X19" s="98">
        <v>2.5700000000000001E-4</v>
      </c>
      <c r="Y19" s="106"/>
    </row>
    <row r="20" spans="1:25" ht="15" customHeight="1">
      <c r="A20" s="106"/>
      <c r="B20" s="96">
        <v>286</v>
      </c>
      <c r="C20" s="96">
        <v>1445</v>
      </c>
      <c r="D20" s="96" t="s">
        <v>3028</v>
      </c>
      <c r="E20" s="96">
        <v>513534974</v>
      </c>
      <c r="F20" s="96" t="s">
        <v>308</v>
      </c>
      <c r="G20" s="96" t="s">
        <v>3062</v>
      </c>
      <c r="H20" s="96" t="s">
        <v>3063</v>
      </c>
      <c r="I20" s="96" t="s">
        <v>320</v>
      </c>
      <c r="J20" s="96" t="s">
        <v>967</v>
      </c>
      <c r="K20" s="96" t="s">
        <v>203</v>
      </c>
      <c r="L20" s="96" t="s">
        <v>203</v>
      </c>
      <c r="M20" s="96" t="s">
        <v>339</v>
      </c>
      <c r="N20" s="96" t="s">
        <v>572</v>
      </c>
      <c r="O20" s="96" t="s">
        <v>338</v>
      </c>
      <c r="P20" s="96" t="s">
        <v>1200</v>
      </c>
      <c r="Q20" s="97">
        <v>9123.6225570000006</v>
      </c>
      <c r="R20" s="97">
        <v>1</v>
      </c>
      <c r="S20" s="97">
        <v>361.68</v>
      </c>
      <c r="T20" s="96"/>
      <c r="U20" s="97">
        <v>32.998317999999998</v>
      </c>
      <c r="V20" s="98">
        <v>4.3999999999999999E-5</v>
      </c>
      <c r="W20" s="98">
        <v>1.8581E-2</v>
      </c>
      <c r="X20" s="98">
        <v>6.2799999999999998E-4</v>
      </c>
      <c r="Y20" s="106"/>
    </row>
    <row r="21" spans="1:25" ht="15" customHeight="1">
      <c r="A21" s="106"/>
      <c r="B21" s="96">
        <v>286</v>
      </c>
      <c r="C21" s="96">
        <v>1445</v>
      </c>
      <c r="D21" s="96" t="s">
        <v>3034</v>
      </c>
      <c r="E21" s="96">
        <v>510938608</v>
      </c>
      <c r="F21" s="96" t="s">
        <v>308</v>
      </c>
      <c r="G21" s="96" t="s">
        <v>3064</v>
      </c>
      <c r="H21" s="96" t="s">
        <v>3065</v>
      </c>
      <c r="I21" s="96" t="s">
        <v>320</v>
      </c>
      <c r="J21" s="96" t="s">
        <v>967</v>
      </c>
      <c r="K21" s="96" t="s">
        <v>203</v>
      </c>
      <c r="L21" s="96" t="s">
        <v>203</v>
      </c>
      <c r="M21" s="96" t="s">
        <v>339</v>
      </c>
      <c r="N21" s="96" t="s">
        <v>633</v>
      </c>
      <c r="O21" s="96" t="s">
        <v>338</v>
      </c>
      <c r="P21" s="96" t="s">
        <v>1200</v>
      </c>
      <c r="Q21" s="97">
        <v>353.65247900000003</v>
      </c>
      <c r="R21" s="97">
        <v>1</v>
      </c>
      <c r="S21" s="97">
        <v>3854.27</v>
      </c>
      <c r="T21" s="96"/>
      <c r="U21" s="97">
        <v>13.630720999999999</v>
      </c>
      <c r="V21" s="98">
        <v>2.0000000000000001E-4</v>
      </c>
      <c r="W21" s="98">
        <v>7.6750000000000004E-3</v>
      </c>
      <c r="X21" s="98">
        <v>2.5900000000000001E-4</v>
      </c>
      <c r="Y21" s="106"/>
    </row>
    <row r="22" spans="1:25" ht="15" customHeight="1">
      <c r="A22" s="106"/>
      <c r="B22" s="96">
        <v>286</v>
      </c>
      <c r="C22" s="96">
        <v>1445</v>
      </c>
      <c r="D22" s="96" t="s">
        <v>3028</v>
      </c>
      <c r="E22" s="96">
        <v>513534974</v>
      </c>
      <c r="F22" s="96" t="s">
        <v>308</v>
      </c>
      <c r="G22" s="96" t="s">
        <v>3066</v>
      </c>
      <c r="H22" s="96" t="s">
        <v>3067</v>
      </c>
      <c r="I22" s="96" t="s">
        <v>320</v>
      </c>
      <c r="J22" s="96" t="s">
        <v>967</v>
      </c>
      <c r="K22" s="96" t="s">
        <v>203</v>
      </c>
      <c r="L22" s="96" t="s">
        <v>203</v>
      </c>
      <c r="M22" s="96" t="s">
        <v>339</v>
      </c>
      <c r="N22" s="96" t="s">
        <v>575</v>
      </c>
      <c r="O22" s="96" t="s">
        <v>338</v>
      </c>
      <c r="P22" s="96" t="s">
        <v>1200</v>
      </c>
      <c r="Q22" s="97">
        <v>44350.381544999997</v>
      </c>
      <c r="R22" s="97">
        <v>1</v>
      </c>
      <c r="S22" s="97">
        <v>356.58</v>
      </c>
      <c r="T22" s="96"/>
      <c r="U22" s="97">
        <v>158.14458999999999</v>
      </c>
      <c r="V22" s="98">
        <v>1.16E-4</v>
      </c>
      <c r="W22" s="98">
        <v>8.9052000000000006E-2</v>
      </c>
      <c r="X22" s="98">
        <v>3.0109999999999998E-3</v>
      </c>
      <c r="Y22" s="106"/>
    </row>
    <row r="23" spans="1:25" ht="15" customHeight="1">
      <c r="A23" s="106"/>
      <c r="B23" s="96">
        <v>286</v>
      </c>
      <c r="C23" s="96">
        <v>1445</v>
      </c>
      <c r="D23" s="96" t="s">
        <v>3047</v>
      </c>
      <c r="E23" s="96">
        <v>511776783</v>
      </c>
      <c r="F23" s="96" t="s">
        <v>308</v>
      </c>
      <c r="G23" s="96" t="s">
        <v>3068</v>
      </c>
      <c r="H23" s="96" t="s">
        <v>3069</v>
      </c>
      <c r="I23" s="96" t="s">
        <v>320</v>
      </c>
      <c r="J23" s="96" t="s">
        <v>967</v>
      </c>
      <c r="K23" s="96" t="s">
        <v>203</v>
      </c>
      <c r="L23" s="96" t="s">
        <v>203</v>
      </c>
      <c r="M23" s="96" t="s">
        <v>339</v>
      </c>
      <c r="N23" s="96" t="s">
        <v>572</v>
      </c>
      <c r="O23" s="96" t="s">
        <v>338</v>
      </c>
      <c r="P23" s="96" t="s">
        <v>1200</v>
      </c>
      <c r="Q23" s="97">
        <v>13666.136404999999</v>
      </c>
      <c r="R23" s="97">
        <v>1</v>
      </c>
      <c r="S23" s="97">
        <v>364.58</v>
      </c>
      <c r="T23" s="96"/>
      <c r="U23" s="97">
        <v>49.823999999999998</v>
      </c>
      <c r="V23" s="98">
        <v>1.4799999999999999E-4</v>
      </c>
      <c r="W23" s="98">
        <v>2.8056000000000001E-2</v>
      </c>
      <c r="X23" s="98">
        <v>9.4799999999999995E-4</v>
      </c>
      <c r="Y23" s="106"/>
    </row>
    <row r="24" spans="1:25" ht="15" customHeight="1">
      <c r="A24" s="106"/>
      <c r="B24" s="96">
        <v>286</v>
      </c>
      <c r="C24" s="96">
        <v>1445</v>
      </c>
      <c r="D24" s="96" t="s">
        <v>3034</v>
      </c>
      <c r="E24" s="96">
        <v>510938608</v>
      </c>
      <c r="F24" s="96" t="s">
        <v>308</v>
      </c>
      <c r="G24" s="96" t="s">
        <v>3070</v>
      </c>
      <c r="H24" s="96" t="s">
        <v>3071</v>
      </c>
      <c r="I24" s="96" t="s">
        <v>320</v>
      </c>
      <c r="J24" s="96" t="s">
        <v>967</v>
      </c>
      <c r="K24" s="96" t="s">
        <v>203</v>
      </c>
      <c r="L24" s="96" t="s">
        <v>203</v>
      </c>
      <c r="M24" s="96" t="s">
        <v>339</v>
      </c>
      <c r="N24" s="96" t="s">
        <v>574</v>
      </c>
      <c r="O24" s="96" t="s">
        <v>338</v>
      </c>
      <c r="P24" s="96" t="s">
        <v>1200</v>
      </c>
      <c r="Q24" s="97">
        <v>87.481363000000002</v>
      </c>
      <c r="R24" s="97">
        <v>1</v>
      </c>
      <c r="S24" s="97">
        <v>3455.48</v>
      </c>
      <c r="T24" s="96"/>
      <c r="U24" s="97">
        <v>3.0229010000000001</v>
      </c>
      <c r="V24" s="98">
        <v>1.0000000000000001E-5</v>
      </c>
      <c r="W24" s="98">
        <v>1.702E-3</v>
      </c>
      <c r="X24" s="98">
        <v>5.7000000000000003E-5</v>
      </c>
      <c r="Y24" s="106"/>
    </row>
    <row r="25" spans="1:25" ht="15" customHeight="1">
      <c r="A25" s="106"/>
      <c r="B25" s="96">
        <v>286</v>
      </c>
      <c r="C25" s="96">
        <v>1445</v>
      </c>
      <c r="D25" s="96" t="s">
        <v>3034</v>
      </c>
      <c r="E25" s="96">
        <v>510938608</v>
      </c>
      <c r="F25" s="96" t="s">
        <v>308</v>
      </c>
      <c r="G25" s="96" t="s">
        <v>3072</v>
      </c>
      <c r="H25" s="96" t="s">
        <v>3073</v>
      </c>
      <c r="I25" s="96" t="s">
        <v>320</v>
      </c>
      <c r="J25" s="96" t="s">
        <v>967</v>
      </c>
      <c r="K25" s="96" t="s">
        <v>203</v>
      </c>
      <c r="L25" s="96" t="s">
        <v>203</v>
      </c>
      <c r="M25" s="96" t="s">
        <v>339</v>
      </c>
      <c r="N25" s="96" t="s">
        <v>572</v>
      </c>
      <c r="O25" s="96" t="s">
        <v>338</v>
      </c>
      <c r="P25" s="96" t="s">
        <v>1200</v>
      </c>
      <c r="Q25" s="97">
        <v>1280.8010389999999</v>
      </c>
      <c r="R25" s="97">
        <v>1</v>
      </c>
      <c r="S25" s="97">
        <v>3605.5</v>
      </c>
      <c r="T25" s="96"/>
      <c r="U25" s="97">
        <v>46.179281000000003</v>
      </c>
      <c r="V25" s="98">
        <v>4.6E-5</v>
      </c>
      <c r="W25" s="98">
        <v>2.6002999999999998E-2</v>
      </c>
      <c r="X25" s="98">
        <v>8.7900000000000001E-4</v>
      </c>
      <c r="Y25" s="106"/>
    </row>
    <row r="26" spans="1:25" ht="15" customHeight="1">
      <c r="A26" s="106"/>
      <c r="B26" s="96">
        <v>286</v>
      </c>
      <c r="C26" s="96">
        <v>1445</v>
      </c>
      <c r="D26" s="96" t="s">
        <v>3031</v>
      </c>
      <c r="E26" s="96">
        <v>511303661</v>
      </c>
      <c r="F26" s="96" t="s">
        <v>308</v>
      </c>
      <c r="G26" s="96" t="s">
        <v>3074</v>
      </c>
      <c r="H26" s="96" t="s">
        <v>3075</v>
      </c>
      <c r="I26" s="96" t="s">
        <v>320</v>
      </c>
      <c r="J26" s="96" t="s">
        <v>967</v>
      </c>
      <c r="K26" s="96" t="s">
        <v>203</v>
      </c>
      <c r="L26" s="96" t="s">
        <v>203</v>
      </c>
      <c r="M26" s="96" t="s">
        <v>339</v>
      </c>
      <c r="N26" s="96" t="s">
        <v>629</v>
      </c>
      <c r="O26" s="96" t="s">
        <v>338</v>
      </c>
      <c r="P26" s="96" t="s">
        <v>1200</v>
      </c>
      <c r="Q26" s="97">
        <v>4247.682992</v>
      </c>
      <c r="R26" s="97">
        <v>1</v>
      </c>
      <c r="S26" s="97">
        <v>445</v>
      </c>
      <c r="T26" s="96"/>
      <c r="U26" s="97">
        <v>18.902189</v>
      </c>
      <c r="V26" s="98">
        <v>2.9E-5</v>
      </c>
      <c r="W26" s="98">
        <v>1.0643E-2</v>
      </c>
      <c r="X26" s="98">
        <v>3.59E-4</v>
      </c>
      <c r="Y26" s="106"/>
    </row>
    <row r="27" spans="1:25" ht="15" customHeight="1">
      <c r="A27" s="106"/>
      <c r="B27" s="96">
        <v>286</v>
      </c>
      <c r="C27" s="96">
        <v>1445</v>
      </c>
      <c r="D27" s="96" t="s">
        <v>3031</v>
      </c>
      <c r="E27" s="96">
        <v>511303661</v>
      </c>
      <c r="F27" s="96" t="s">
        <v>308</v>
      </c>
      <c r="G27" s="96" t="s">
        <v>3076</v>
      </c>
      <c r="H27" s="96" t="s">
        <v>3077</v>
      </c>
      <c r="I27" s="96" t="s">
        <v>320</v>
      </c>
      <c r="J27" s="96" t="s">
        <v>967</v>
      </c>
      <c r="K27" s="96" t="s">
        <v>203</v>
      </c>
      <c r="L27" s="96" t="s">
        <v>203</v>
      </c>
      <c r="M27" s="96" t="s">
        <v>339</v>
      </c>
      <c r="N27" s="96" t="s">
        <v>575</v>
      </c>
      <c r="O27" s="96" t="s">
        <v>338</v>
      </c>
      <c r="P27" s="96" t="s">
        <v>1200</v>
      </c>
      <c r="Q27" s="97">
        <v>7282.5274250000002</v>
      </c>
      <c r="R27" s="97">
        <v>1</v>
      </c>
      <c r="S27" s="97">
        <v>454.12</v>
      </c>
      <c r="T27" s="96"/>
      <c r="U27" s="97">
        <v>33.071413</v>
      </c>
      <c r="V27" s="98">
        <v>6.0000000000000002E-5</v>
      </c>
      <c r="W27" s="98">
        <v>1.8622E-2</v>
      </c>
      <c r="X27" s="98">
        <v>6.29E-4</v>
      </c>
      <c r="Y27" s="106"/>
    </row>
    <row r="28" spans="1:25" ht="15" customHeight="1">
      <c r="A28" s="106"/>
      <c r="B28" s="96">
        <v>286</v>
      </c>
      <c r="C28" s="96">
        <v>1445</v>
      </c>
      <c r="D28" s="96" t="s">
        <v>3047</v>
      </c>
      <c r="E28" s="96">
        <v>511776783</v>
      </c>
      <c r="F28" s="96" t="s">
        <v>308</v>
      </c>
      <c r="G28" s="96" t="s">
        <v>3078</v>
      </c>
      <c r="H28" s="96" t="s">
        <v>3079</v>
      </c>
      <c r="I28" s="96" t="s">
        <v>320</v>
      </c>
      <c r="J28" s="96" t="s">
        <v>967</v>
      </c>
      <c r="K28" s="96" t="s">
        <v>203</v>
      </c>
      <c r="L28" s="96" t="s">
        <v>203</v>
      </c>
      <c r="M28" s="96" t="s">
        <v>339</v>
      </c>
      <c r="N28" s="96" t="s">
        <v>631</v>
      </c>
      <c r="O28" s="96" t="s">
        <v>338</v>
      </c>
      <c r="P28" s="96" t="s">
        <v>1200</v>
      </c>
      <c r="Q28" s="97">
        <v>26703.361603000001</v>
      </c>
      <c r="R28" s="97">
        <v>1</v>
      </c>
      <c r="S28" s="97">
        <v>382.65</v>
      </c>
      <c r="T28" s="96"/>
      <c r="U28" s="97">
        <v>102.180413</v>
      </c>
      <c r="V28" s="98">
        <v>2.5700000000000001E-4</v>
      </c>
      <c r="W28" s="98">
        <v>5.7537999999999999E-2</v>
      </c>
      <c r="X28" s="98">
        <v>1.9449999999999999E-3</v>
      </c>
      <c r="Y28" s="106"/>
    </row>
    <row r="29" spans="1:25" ht="15" customHeight="1">
      <c r="A29" s="106"/>
      <c r="B29" s="96">
        <v>286</v>
      </c>
      <c r="C29" s="96">
        <v>1445</v>
      </c>
      <c r="D29" s="96" t="s">
        <v>3028</v>
      </c>
      <c r="E29" s="96">
        <v>513534974</v>
      </c>
      <c r="F29" s="96" t="s">
        <v>308</v>
      </c>
      <c r="G29" s="96" t="s">
        <v>3080</v>
      </c>
      <c r="H29" s="96" t="s">
        <v>3081</v>
      </c>
      <c r="I29" s="96" t="s">
        <v>320</v>
      </c>
      <c r="J29" s="96" t="s">
        <v>967</v>
      </c>
      <c r="K29" s="96" t="s">
        <v>203</v>
      </c>
      <c r="L29" s="96" t="s">
        <v>203</v>
      </c>
      <c r="M29" s="96" t="s">
        <v>339</v>
      </c>
      <c r="N29" s="96" t="s">
        <v>631</v>
      </c>
      <c r="O29" s="96" t="s">
        <v>338</v>
      </c>
      <c r="P29" s="96" t="s">
        <v>1200</v>
      </c>
      <c r="Q29" s="97">
        <v>2017.5353359999999</v>
      </c>
      <c r="R29" s="97">
        <v>1</v>
      </c>
      <c r="S29" s="97">
        <v>3777.39</v>
      </c>
      <c r="T29" s="96"/>
      <c r="U29" s="97">
        <v>76.210177999999999</v>
      </c>
      <c r="V29" s="98">
        <v>1.8599999999999999E-4</v>
      </c>
      <c r="W29" s="98">
        <v>4.2914000000000001E-2</v>
      </c>
      <c r="X29" s="98">
        <v>1.451E-3</v>
      </c>
      <c r="Y29" s="106"/>
    </row>
    <row r="30" spans="1:25" ht="15" customHeight="1">
      <c r="A30" s="106"/>
      <c r="B30" s="96">
        <v>286</v>
      </c>
      <c r="C30" s="96">
        <v>1445</v>
      </c>
      <c r="D30" s="96" t="s">
        <v>3047</v>
      </c>
      <c r="E30" s="96">
        <v>511776783</v>
      </c>
      <c r="F30" s="96" t="s">
        <v>308</v>
      </c>
      <c r="G30" s="96" t="s">
        <v>3082</v>
      </c>
      <c r="H30" s="96" t="s">
        <v>3083</v>
      </c>
      <c r="I30" s="96" t="s">
        <v>320</v>
      </c>
      <c r="J30" s="96" t="s">
        <v>967</v>
      </c>
      <c r="K30" s="96" t="s">
        <v>203</v>
      </c>
      <c r="L30" s="96" t="s">
        <v>203</v>
      </c>
      <c r="M30" s="96" t="s">
        <v>339</v>
      </c>
      <c r="N30" s="96" t="s">
        <v>626</v>
      </c>
      <c r="O30" s="96" t="s">
        <v>338</v>
      </c>
      <c r="P30" s="96" t="s">
        <v>1200</v>
      </c>
      <c r="Q30" s="97">
        <v>5077.5926319999999</v>
      </c>
      <c r="R30" s="97">
        <v>1</v>
      </c>
      <c r="S30" s="97">
        <v>370.12</v>
      </c>
      <c r="T30" s="96"/>
      <c r="U30" s="97">
        <v>18.793185000000001</v>
      </c>
      <c r="V30" s="98">
        <v>1.06E-4</v>
      </c>
      <c r="W30" s="98">
        <v>1.0581999999999999E-2</v>
      </c>
      <c r="X30" s="98">
        <v>3.57E-4</v>
      </c>
      <c r="Y30" s="106"/>
    </row>
    <row r="31" spans="1:25" ht="15" customHeight="1">
      <c r="A31" s="106"/>
      <c r="B31" s="96">
        <v>286</v>
      </c>
      <c r="C31" s="96">
        <v>1445</v>
      </c>
      <c r="D31" s="96" t="s">
        <v>3034</v>
      </c>
      <c r="E31" s="96">
        <v>510938608</v>
      </c>
      <c r="F31" s="96" t="s">
        <v>308</v>
      </c>
      <c r="G31" s="96" t="s">
        <v>3084</v>
      </c>
      <c r="H31" s="96" t="s">
        <v>3085</v>
      </c>
      <c r="I31" s="96" t="s">
        <v>320</v>
      </c>
      <c r="J31" s="96" t="s">
        <v>967</v>
      </c>
      <c r="K31" s="96" t="s">
        <v>203</v>
      </c>
      <c r="L31" s="96" t="s">
        <v>203</v>
      </c>
      <c r="M31" s="96" t="s">
        <v>339</v>
      </c>
      <c r="N31" s="96" t="s">
        <v>575</v>
      </c>
      <c r="O31" s="96" t="s">
        <v>338</v>
      </c>
      <c r="P31" s="96" t="s">
        <v>1200</v>
      </c>
      <c r="Q31" s="97">
        <v>6112.0316439999997</v>
      </c>
      <c r="R31" s="97">
        <v>1</v>
      </c>
      <c r="S31" s="97">
        <v>3548.09</v>
      </c>
      <c r="T31" s="96"/>
      <c r="U31" s="97">
        <v>216.86038300000001</v>
      </c>
      <c r="V31" s="98">
        <v>2.5300000000000002E-4</v>
      </c>
      <c r="W31" s="98">
        <v>0.122115</v>
      </c>
      <c r="X31" s="98">
        <v>4.1289999999999999E-3</v>
      </c>
      <c r="Y31" s="106"/>
    </row>
    <row r="32" spans="1:25" ht="15" customHeight="1">
      <c r="A32" s="106"/>
      <c r="B32" s="96">
        <v>286</v>
      </c>
      <c r="C32" s="96">
        <v>1445</v>
      </c>
      <c r="D32" s="96" t="s">
        <v>3034</v>
      </c>
      <c r="E32" s="96">
        <v>510938608</v>
      </c>
      <c r="F32" s="96" t="s">
        <v>308</v>
      </c>
      <c r="G32" s="96" t="s">
        <v>3086</v>
      </c>
      <c r="H32" s="96" t="s">
        <v>3087</v>
      </c>
      <c r="I32" s="96" t="s">
        <v>320</v>
      </c>
      <c r="J32" s="96" t="s">
        <v>967</v>
      </c>
      <c r="K32" s="96" t="s">
        <v>203</v>
      </c>
      <c r="L32" s="96" t="s">
        <v>203</v>
      </c>
      <c r="M32" s="96" t="s">
        <v>339</v>
      </c>
      <c r="N32" s="96" t="s">
        <v>631</v>
      </c>
      <c r="O32" s="96" t="s">
        <v>338</v>
      </c>
      <c r="P32" s="96" t="s">
        <v>1200</v>
      </c>
      <c r="Q32" s="97">
        <v>4667.0698140000004</v>
      </c>
      <c r="R32" s="97">
        <v>1</v>
      </c>
      <c r="S32" s="97">
        <v>3843.36</v>
      </c>
      <c r="T32" s="96"/>
      <c r="U32" s="97">
        <v>179.37229400000001</v>
      </c>
      <c r="V32" s="98">
        <v>1.9900000000000001E-4</v>
      </c>
      <c r="W32" s="98">
        <v>0.101005</v>
      </c>
      <c r="X32" s="98">
        <v>3.4150000000000001E-3</v>
      </c>
      <c r="Y32" s="106"/>
    </row>
    <row r="33" spans="1:25" ht="15" customHeight="1">
      <c r="A33" s="106"/>
      <c r="B33" s="96">
        <v>286</v>
      </c>
      <c r="C33" s="96">
        <v>1445</v>
      </c>
      <c r="D33" s="96" t="s">
        <v>3031</v>
      </c>
      <c r="E33" s="96">
        <v>511303661</v>
      </c>
      <c r="F33" s="96" t="s">
        <v>308</v>
      </c>
      <c r="G33" s="96" t="s">
        <v>3088</v>
      </c>
      <c r="H33" s="96" t="s">
        <v>3089</v>
      </c>
      <c r="I33" s="96" t="s">
        <v>320</v>
      </c>
      <c r="J33" s="96" t="s">
        <v>967</v>
      </c>
      <c r="K33" s="96" t="s">
        <v>203</v>
      </c>
      <c r="L33" s="96" t="s">
        <v>203</v>
      </c>
      <c r="M33" s="96" t="s">
        <v>339</v>
      </c>
      <c r="N33" s="96" t="s">
        <v>631</v>
      </c>
      <c r="O33" s="96" t="s">
        <v>338</v>
      </c>
      <c r="P33" s="96" t="s">
        <v>1200</v>
      </c>
      <c r="Q33" s="97">
        <v>41113.014372999998</v>
      </c>
      <c r="R33" s="97">
        <v>1</v>
      </c>
      <c r="S33" s="97">
        <v>307.74</v>
      </c>
      <c r="T33" s="96"/>
      <c r="U33" s="97">
        <v>126.52119</v>
      </c>
      <c r="V33" s="98">
        <v>2.24E-4</v>
      </c>
      <c r="W33" s="98">
        <v>7.1244000000000002E-2</v>
      </c>
      <c r="X33" s="98">
        <v>2.4090000000000001E-3</v>
      </c>
      <c r="Y33" s="106"/>
    </row>
    <row r="34" spans="1:25" ht="15" customHeight="1">
      <c r="A34" s="106"/>
      <c r="B34" s="96">
        <v>286</v>
      </c>
      <c r="C34" s="96">
        <v>1445</v>
      </c>
      <c r="D34" s="96" t="s">
        <v>3090</v>
      </c>
      <c r="E34" s="96" t="s">
        <v>3091</v>
      </c>
      <c r="F34" s="96" t="s">
        <v>312</v>
      </c>
      <c r="G34" s="96" t="s">
        <v>3092</v>
      </c>
      <c r="H34" s="96" t="s">
        <v>3093</v>
      </c>
      <c r="I34" s="96" t="s">
        <v>320</v>
      </c>
      <c r="J34" s="96" t="s">
        <v>968</v>
      </c>
      <c r="K34" s="96" t="s">
        <v>204</v>
      </c>
      <c r="L34" s="96" t="s">
        <v>280</v>
      </c>
      <c r="M34" s="96" t="s">
        <v>369</v>
      </c>
      <c r="N34" s="96" t="s">
        <v>735</v>
      </c>
      <c r="O34" s="96" t="s">
        <v>338</v>
      </c>
      <c r="P34" s="96" t="s">
        <v>1202</v>
      </c>
      <c r="Q34" s="97">
        <v>10.102423999999999</v>
      </c>
      <c r="R34" s="97">
        <v>4.0202</v>
      </c>
      <c r="S34" s="97">
        <v>9235</v>
      </c>
      <c r="T34" s="96"/>
      <c r="U34" s="97">
        <v>3.75068</v>
      </c>
      <c r="V34" s="98">
        <v>0</v>
      </c>
      <c r="W34" s="98">
        <v>2.111E-3</v>
      </c>
      <c r="X34" s="98">
        <v>6.9999999999999994E-5</v>
      </c>
      <c r="Y34" s="106"/>
    </row>
    <row r="35" spans="1:25" ht="15" customHeight="1">
      <c r="A35" s="106"/>
      <c r="B35" s="96">
        <v>286</v>
      </c>
      <c r="C35" s="96">
        <v>1445</v>
      </c>
      <c r="D35" s="96" t="s">
        <v>3094</v>
      </c>
      <c r="E35" s="96" t="s">
        <v>3095</v>
      </c>
      <c r="F35" s="96" t="s">
        <v>312</v>
      </c>
      <c r="G35" s="96" t="s">
        <v>3096</v>
      </c>
      <c r="H35" s="96" t="s">
        <v>3097</v>
      </c>
      <c r="I35" s="96" t="s">
        <v>320</v>
      </c>
      <c r="J35" s="96" t="s">
        <v>968</v>
      </c>
      <c r="K35" s="96" t="s">
        <v>204</v>
      </c>
      <c r="L35" s="96" t="s">
        <v>223</v>
      </c>
      <c r="M35" s="96" t="s">
        <v>369</v>
      </c>
      <c r="N35" s="96" t="s">
        <v>735</v>
      </c>
      <c r="O35" s="96" t="s">
        <v>338</v>
      </c>
      <c r="P35" s="96" t="s">
        <v>1201</v>
      </c>
      <c r="Q35" s="97">
        <v>379.63649700000002</v>
      </c>
      <c r="R35" s="97">
        <v>3.7589999999999999</v>
      </c>
      <c r="S35" s="97">
        <v>10095</v>
      </c>
      <c r="T35" s="96"/>
      <c r="U35" s="97">
        <v>144.06106</v>
      </c>
      <c r="V35" s="98">
        <v>3.9999999999999998E-6</v>
      </c>
      <c r="W35" s="98">
        <v>8.1120999999999999E-2</v>
      </c>
      <c r="X35" s="98">
        <v>2.7420000000000001E-3</v>
      </c>
      <c r="Y35" s="106"/>
    </row>
    <row r="36" spans="1:25" ht="15" customHeight="1">
      <c r="A36" s="106"/>
      <c r="B36" s="96">
        <v>286</v>
      </c>
      <c r="C36" s="96">
        <v>1446</v>
      </c>
      <c r="D36" s="96" t="s">
        <v>3025</v>
      </c>
      <c r="E36" s="96">
        <v>514884485</v>
      </c>
      <c r="F36" s="96" t="s">
        <v>308</v>
      </c>
      <c r="G36" s="96" t="s">
        <v>3098</v>
      </c>
      <c r="H36" s="96" t="s">
        <v>3099</v>
      </c>
      <c r="I36" s="96" t="s">
        <v>320</v>
      </c>
      <c r="J36" s="96" t="s">
        <v>965</v>
      </c>
      <c r="K36" s="96" t="s">
        <v>203</v>
      </c>
      <c r="L36" s="96" t="s">
        <v>203</v>
      </c>
      <c r="M36" s="96" t="s">
        <v>339</v>
      </c>
      <c r="N36" s="96" t="s">
        <v>571</v>
      </c>
      <c r="O36" s="96" t="s">
        <v>338</v>
      </c>
      <c r="P36" s="96" t="s">
        <v>1200</v>
      </c>
      <c r="Q36" s="97">
        <v>23.998833999999999</v>
      </c>
      <c r="R36" s="97">
        <v>1</v>
      </c>
      <c r="S36" s="97">
        <v>5316</v>
      </c>
      <c r="T36" s="96"/>
      <c r="U36" s="97">
        <v>1.2757780000000001</v>
      </c>
      <c r="V36" s="98">
        <v>7.9999999999999996E-6</v>
      </c>
      <c r="W36" s="98">
        <v>1.55E-4</v>
      </c>
      <c r="X36" s="98">
        <v>2.0000000000000002E-5</v>
      </c>
      <c r="Y36" s="106"/>
    </row>
    <row r="37" spans="1:25" ht="15" customHeight="1">
      <c r="A37" s="106"/>
      <c r="B37" s="96">
        <v>286</v>
      </c>
      <c r="C37" s="96">
        <v>1446</v>
      </c>
      <c r="D37" s="96" t="s">
        <v>3031</v>
      </c>
      <c r="E37" s="96">
        <v>511303661</v>
      </c>
      <c r="F37" s="96" t="s">
        <v>308</v>
      </c>
      <c r="G37" s="96" t="s">
        <v>3100</v>
      </c>
      <c r="H37" s="96" t="s">
        <v>3101</v>
      </c>
      <c r="I37" s="96" t="s">
        <v>320</v>
      </c>
      <c r="J37" s="96" t="s">
        <v>965</v>
      </c>
      <c r="K37" s="96" t="s">
        <v>203</v>
      </c>
      <c r="L37" s="96" t="s">
        <v>203</v>
      </c>
      <c r="M37" s="96" t="s">
        <v>339</v>
      </c>
      <c r="N37" s="96" t="s">
        <v>571</v>
      </c>
      <c r="O37" s="96" t="s">
        <v>338</v>
      </c>
      <c r="P37" s="96" t="s">
        <v>1200</v>
      </c>
      <c r="Q37" s="97">
        <v>1143.8628120000001</v>
      </c>
      <c r="R37" s="97">
        <v>1</v>
      </c>
      <c r="S37" s="97">
        <v>3016</v>
      </c>
      <c r="T37" s="96"/>
      <c r="U37" s="97">
        <v>34.498902000000001</v>
      </c>
      <c r="V37" s="98">
        <v>2.0000000000000002E-5</v>
      </c>
      <c r="W37" s="98">
        <v>4.1920000000000004E-3</v>
      </c>
      <c r="X37" s="98">
        <v>5.5400000000000002E-4</v>
      </c>
      <c r="Y37" s="106"/>
    </row>
    <row r="38" spans="1:25" ht="15" customHeight="1">
      <c r="A38" s="106"/>
      <c r="B38" s="96">
        <v>286</v>
      </c>
      <c r="C38" s="96">
        <v>1446</v>
      </c>
      <c r="D38" s="96" t="s">
        <v>3022</v>
      </c>
      <c r="E38" s="96">
        <v>513765339</v>
      </c>
      <c r="F38" s="96" t="s">
        <v>308</v>
      </c>
      <c r="G38" s="96" t="s">
        <v>3102</v>
      </c>
      <c r="H38" s="96" t="s">
        <v>3103</v>
      </c>
      <c r="I38" s="96" t="s">
        <v>320</v>
      </c>
      <c r="J38" s="96" t="s">
        <v>965</v>
      </c>
      <c r="K38" s="96" t="s">
        <v>203</v>
      </c>
      <c r="L38" s="96" t="s">
        <v>203</v>
      </c>
      <c r="M38" s="96" t="s">
        <v>339</v>
      </c>
      <c r="N38" s="96" t="s">
        <v>571</v>
      </c>
      <c r="O38" s="96" t="s">
        <v>338</v>
      </c>
      <c r="P38" s="96" t="s">
        <v>1200</v>
      </c>
      <c r="Q38" s="97">
        <v>2322.3475830000002</v>
      </c>
      <c r="R38" s="97">
        <v>1</v>
      </c>
      <c r="S38" s="97">
        <v>1915</v>
      </c>
      <c r="T38" s="96"/>
      <c r="U38" s="97">
        <v>44.472956000000003</v>
      </c>
      <c r="V38" s="98">
        <v>4.6E-5</v>
      </c>
      <c r="W38" s="98">
        <v>5.4039999999999999E-3</v>
      </c>
      <c r="X38" s="98">
        <v>7.1500000000000003E-4</v>
      </c>
      <c r="Y38" s="106"/>
    </row>
    <row r="39" spans="1:25" ht="15" customHeight="1">
      <c r="A39" s="106"/>
      <c r="B39" s="96">
        <v>286</v>
      </c>
      <c r="C39" s="96">
        <v>1446</v>
      </c>
      <c r="D39" s="96" t="s">
        <v>3028</v>
      </c>
      <c r="E39" s="96">
        <v>513534974</v>
      </c>
      <c r="F39" s="96" t="s">
        <v>308</v>
      </c>
      <c r="G39" s="96" t="s">
        <v>3104</v>
      </c>
      <c r="H39" s="96" t="s">
        <v>3105</v>
      </c>
      <c r="I39" s="96" t="s">
        <v>320</v>
      </c>
      <c r="J39" s="96" t="s">
        <v>965</v>
      </c>
      <c r="K39" s="96" t="s">
        <v>203</v>
      </c>
      <c r="L39" s="96" t="s">
        <v>203</v>
      </c>
      <c r="M39" s="96" t="s">
        <v>339</v>
      </c>
      <c r="N39" s="96" t="s">
        <v>695</v>
      </c>
      <c r="O39" s="96" t="s">
        <v>338</v>
      </c>
      <c r="P39" s="96" t="s">
        <v>1200</v>
      </c>
      <c r="Q39" s="97">
        <v>1135.5366859999999</v>
      </c>
      <c r="R39" s="97">
        <v>1</v>
      </c>
      <c r="S39" s="97">
        <v>2746</v>
      </c>
      <c r="T39" s="96"/>
      <c r="U39" s="97">
        <v>31.181837000000002</v>
      </c>
      <c r="V39" s="98">
        <v>1.13E-4</v>
      </c>
      <c r="W39" s="98">
        <v>3.7889999999999998E-3</v>
      </c>
      <c r="X39" s="98">
        <v>5.0100000000000003E-4</v>
      </c>
      <c r="Y39" s="106"/>
    </row>
    <row r="40" spans="1:25" ht="15" customHeight="1">
      <c r="A40" s="106"/>
      <c r="B40" s="96">
        <v>286</v>
      </c>
      <c r="C40" s="96">
        <v>1446</v>
      </c>
      <c r="D40" s="96" t="s">
        <v>3019</v>
      </c>
      <c r="E40" s="96">
        <v>510791031</v>
      </c>
      <c r="F40" s="96" t="s">
        <v>308</v>
      </c>
      <c r="G40" s="96" t="s">
        <v>3106</v>
      </c>
      <c r="H40" s="96" t="s">
        <v>3107</v>
      </c>
      <c r="I40" s="96" t="s">
        <v>320</v>
      </c>
      <c r="J40" s="96" t="s">
        <v>965</v>
      </c>
      <c r="K40" s="96" t="s">
        <v>203</v>
      </c>
      <c r="L40" s="96" t="s">
        <v>203</v>
      </c>
      <c r="M40" s="96" t="s">
        <v>339</v>
      </c>
      <c r="N40" s="96" t="s">
        <v>729</v>
      </c>
      <c r="O40" s="96" t="s">
        <v>338</v>
      </c>
      <c r="P40" s="96" t="s">
        <v>1200</v>
      </c>
      <c r="Q40" s="97">
        <v>20683.346642</v>
      </c>
      <c r="R40" s="97">
        <v>1</v>
      </c>
      <c r="S40" s="97">
        <v>64.5</v>
      </c>
      <c r="T40" s="96"/>
      <c r="U40" s="97">
        <v>13.340757999999999</v>
      </c>
      <c r="V40" s="98">
        <v>6.0999999999999999E-5</v>
      </c>
      <c r="W40" s="98">
        <v>1.621E-3</v>
      </c>
      <c r="X40" s="98">
        <v>2.14E-4</v>
      </c>
      <c r="Y40" s="106"/>
    </row>
    <row r="41" spans="1:25" ht="15" customHeight="1">
      <c r="A41" s="106"/>
      <c r="B41" s="96">
        <v>286</v>
      </c>
      <c r="C41" s="96">
        <v>1446</v>
      </c>
      <c r="D41" s="96" t="s">
        <v>3025</v>
      </c>
      <c r="E41" s="96">
        <v>514884485</v>
      </c>
      <c r="F41" s="96" t="s">
        <v>308</v>
      </c>
      <c r="G41" s="96" t="s">
        <v>3108</v>
      </c>
      <c r="H41" s="96" t="s">
        <v>3109</v>
      </c>
      <c r="I41" s="96" t="s">
        <v>320</v>
      </c>
      <c r="J41" s="96" t="s">
        <v>965</v>
      </c>
      <c r="K41" s="96" t="s">
        <v>203</v>
      </c>
      <c r="L41" s="96" t="s">
        <v>203</v>
      </c>
      <c r="M41" s="96" t="s">
        <v>339</v>
      </c>
      <c r="N41" s="96" t="s">
        <v>696</v>
      </c>
      <c r="O41" s="96" t="s">
        <v>338</v>
      </c>
      <c r="P41" s="96" t="s">
        <v>1200</v>
      </c>
      <c r="Q41" s="97">
        <v>5703.4655270000003</v>
      </c>
      <c r="R41" s="97">
        <v>1</v>
      </c>
      <c r="S41" s="97">
        <v>5621</v>
      </c>
      <c r="T41" s="96"/>
      <c r="U41" s="97">
        <v>320.59179699999999</v>
      </c>
      <c r="V41" s="98">
        <v>1.73E-4</v>
      </c>
      <c r="W41" s="98">
        <v>3.8958E-2</v>
      </c>
      <c r="X41" s="98">
        <v>5.1549999999999999E-3</v>
      </c>
      <c r="Y41" s="106"/>
    </row>
    <row r="42" spans="1:25" ht="15" customHeight="1">
      <c r="A42" s="106"/>
      <c r="B42" s="96">
        <v>286</v>
      </c>
      <c r="C42" s="96">
        <v>1446</v>
      </c>
      <c r="D42" s="96" t="s">
        <v>3047</v>
      </c>
      <c r="E42" s="96">
        <v>511776783</v>
      </c>
      <c r="F42" s="96" t="s">
        <v>308</v>
      </c>
      <c r="G42" s="96" t="s">
        <v>3110</v>
      </c>
      <c r="H42" s="96" t="s">
        <v>3111</v>
      </c>
      <c r="I42" s="96" t="s">
        <v>320</v>
      </c>
      <c r="J42" s="96" t="s">
        <v>965</v>
      </c>
      <c r="K42" s="96" t="s">
        <v>203</v>
      </c>
      <c r="L42" s="96" t="s">
        <v>203</v>
      </c>
      <c r="M42" s="96" t="s">
        <v>339</v>
      </c>
      <c r="N42" s="96" t="s">
        <v>573</v>
      </c>
      <c r="O42" s="96" t="s">
        <v>338</v>
      </c>
      <c r="P42" s="96" t="s">
        <v>1200</v>
      </c>
      <c r="Q42" s="97">
        <v>81.678318000000004</v>
      </c>
      <c r="R42" s="97">
        <v>1</v>
      </c>
      <c r="S42" s="97">
        <v>1961</v>
      </c>
      <c r="T42" s="96"/>
      <c r="U42" s="97">
        <v>1.6017110000000001</v>
      </c>
      <c r="V42" s="98">
        <v>3.0000000000000001E-6</v>
      </c>
      <c r="W42" s="98">
        <v>1.94E-4</v>
      </c>
      <c r="X42" s="98">
        <v>2.5000000000000001E-5</v>
      </c>
      <c r="Y42" s="106"/>
    </row>
    <row r="43" spans="1:25" ht="15" customHeight="1">
      <c r="A43" s="106"/>
      <c r="B43" s="96">
        <v>286</v>
      </c>
      <c r="C43" s="96">
        <v>1446</v>
      </c>
      <c r="D43" s="96" t="s">
        <v>3022</v>
      </c>
      <c r="E43" s="96">
        <v>513765339</v>
      </c>
      <c r="F43" s="96" t="s">
        <v>308</v>
      </c>
      <c r="G43" s="96" t="s">
        <v>3112</v>
      </c>
      <c r="H43" s="96" t="s">
        <v>3113</v>
      </c>
      <c r="I43" s="96" t="s">
        <v>320</v>
      </c>
      <c r="J43" s="96" t="s">
        <v>965</v>
      </c>
      <c r="K43" s="96" t="s">
        <v>203</v>
      </c>
      <c r="L43" s="96" t="s">
        <v>203</v>
      </c>
      <c r="M43" s="96" t="s">
        <v>339</v>
      </c>
      <c r="N43" s="96" t="s">
        <v>696</v>
      </c>
      <c r="O43" s="96" t="s">
        <v>338</v>
      </c>
      <c r="P43" s="96" t="s">
        <v>1200</v>
      </c>
      <c r="Q43" s="97">
        <v>23355.428445000001</v>
      </c>
      <c r="R43" s="97">
        <v>1</v>
      </c>
      <c r="S43" s="97">
        <v>3462</v>
      </c>
      <c r="T43" s="96"/>
      <c r="U43" s="97">
        <v>808.564932</v>
      </c>
      <c r="V43" s="98">
        <v>1.03E-4</v>
      </c>
      <c r="W43" s="98">
        <v>9.8255999999999996E-2</v>
      </c>
      <c r="X43" s="98">
        <v>1.3001E-2</v>
      </c>
      <c r="Y43" s="106"/>
    </row>
    <row r="44" spans="1:25" ht="15" customHeight="1">
      <c r="A44" s="106"/>
      <c r="B44" s="96">
        <v>286</v>
      </c>
      <c r="C44" s="96">
        <v>1446</v>
      </c>
      <c r="D44" s="96" t="s">
        <v>3028</v>
      </c>
      <c r="E44" s="96">
        <v>513534974</v>
      </c>
      <c r="F44" s="96" t="s">
        <v>308</v>
      </c>
      <c r="G44" s="96" t="s">
        <v>3114</v>
      </c>
      <c r="H44" s="96" t="s">
        <v>3115</v>
      </c>
      <c r="I44" s="96" t="s">
        <v>320</v>
      </c>
      <c r="J44" s="96" t="s">
        <v>965</v>
      </c>
      <c r="K44" s="96" t="s">
        <v>203</v>
      </c>
      <c r="L44" s="96" t="s">
        <v>203</v>
      </c>
      <c r="M44" s="96" t="s">
        <v>339</v>
      </c>
      <c r="N44" s="96" t="s">
        <v>573</v>
      </c>
      <c r="O44" s="96" t="s">
        <v>338</v>
      </c>
      <c r="P44" s="96" t="s">
        <v>1200</v>
      </c>
      <c r="Q44" s="97">
        <v>8729.1278839999995</v>
      </c>
      <c r="R44" s="97">
        <v>1</v>
      </c>
      <c r="S44" s="97">
        <v>1960</v>
      </c>
      <c r="T44" s="96"/>
      <c r="U44" s="97">
        <v>171.09090599999999</v>
      </c>
      <c r="V44" s="98">
        <v>1.4200000000000001E-4</v>
      </c>
      <c r="W44" s="98">
        <v>2.0789999999999999E-2</v>
      </c>
      <c r="X44" s="98">
        <v>2.7499999999999998E-3</v>
      </c>
      <c r="Y44" s="106"/>
    </row>
    <row r="45" spans="1:25" ht="15" customHeight="1">
      <c r="A45" s="106"/>
      <c r="B45" s="96">
        <v>286</v>
      </c>
      <c r="C45" s="96">
        <v>1446</v>
      </c>
      <c r="D45" s="96" t="s">
        <v>3116</v>
      </c>
      <c r="E45" s="96">
        <v>513846808</v>
      </c>
      <c r="F45" s="96" t="s">
        <v>308</v>
      </c>
      <c r="G45" s="96" t="s">
        <v>3117</v>
      </c>
      <c r="H45" s="96" t="s">
        <v>3118</v>
      </c>
      <c r="I45" s="96" t="s">
        <v>320</v>
      </c>
      <c r="J45" s="96" t="s">
        <v>965</v>
      </c>
      <c r="K45" s="96" t="s">
        <v>203</v>
      </c>
      <c r="L45" s="96" t="s">
        <v>203</v>
      </c>
      <c r="M45" s="96" t="s">
        <v>339</v>
      </c>
      <c r="N45" s="96" t="s">
        <v>696</v>
      </c>
      <c r="O45" s="96" t="s">
        <v>338</v>
      </c>
      <c r="P45" s="96" t="s">
        <v>1200</v>
      </c>
      <c r="Q45" s="97">
        <v>224.90336199999999</v>
      </c>
      <c r="R45" s="97">
        <v>1</v>
      </c>
      <c r="S45" s="97">
        <v>4900</v>
      </c>
      <c r="T45" s="96"/>
      <c r="U45" s="97">
        <v>11.020263999999999</v>
      </c>
      <c r="V45" s="98">
        <v>8.6000000000000003E-5</v>
      </c>
      <c r="W45" s="98">
        <v>1.3389999999999999E-3</v>
      </c>
      <c r="X45" s="98">
        <v>1.7699999999999999E-4</v>
      </c>
      <c r="Y45" s="106"/>
    </row>
    <row r="46" spans="1:25" ht="15" customHeight="1">
      <c r="A46" s="106"/>
      <c r="B46" s="96">
        <v>286</v>
      </c>
      <c r="C46" s="96">
        <v>1446</v>
      </c>
      <c r="D46" s="96" t="s">
        <v>3031</v>
      </c>
      <c r="E46" s="96">
        <v>511303661</v>
      </c>
      <c r="F46" s="96" t="s">
        <v>308</v>
      </c>
      <c r="G46" s="96" t="s">
        <v>3119</v>
      </c>
      <c r="H46" s="96" t="s">
        <v>3120</v>
      </c>
      <c r="I46" s="96" t="s">
        <v>320</v>
      </c>
      <c r="J46" s="96" t="s">
        <v>965</v>
      </c>
      <c r="K46" s="96" t="s">
        <v>203</v>
      </c>
      <c r="L46" s="96" t="s">
        <v>203</v>
      </c>
      <c r="M46" s="96" t="s">
        <v>339</v>
      </c>
      <c r="N46" s="96" t="s">
        <v>576</v>
      </c>
      <c r="O46" s="96" t="s">
        <v>338</v>
      </c>
      <c r="P46" s="96" t="s">
        <v>1200</v>
      </c>
      <c r="Q46" s="97">
        <v>5184.9251599999998</v>
      </c>
      <c r="R46" s="97">
        <v>1</v>
      </c>
      <c r="S46" s="97">
        <v>2678</v>
      </c>
      <c r="T46" s="96"/>
      <c r="U46" s="97">
        <v>138.852295</v>
      </c>
      <c r="V46" s="98">
        <v>1.2799999999999999E-4</v>
      </c>
      <c r="W46" s="98">
        <v>1.6872999999999999E-2</v>
      </c>
      <c r="X46" s="98">
        <v>2.232E-3</v>
      </c>
      <c r="Y46" s="106"/>
    </row>
    <row r="47" spans="1:25" ht="15" customHeight="1">
      <c r="A47" s="106"/>
      <c r="B47" s="96">
        <v>286</v>
      </c>
      <c r="C47" s="96">
        <v>1446</v>
      </c>
      <c r="D47" s="96" t="s">
        <v>3034</v>
      </c>
      <c r="E47" s="96">
        <v>510938608</v>
      </c>
      <c r="F47" s="96" t="s">
        <v>308</v>
      </c>
      <c r="G47" s="96" t="s">
        <v>3121</v>
      </c>
      <c r="H47" s="96" t="s">
        <v>3122</v>
      </c>
      <c r="I47" s="96" t="s">
        <v>320</v>
      </c>
      <c r="J47" s="96" t="s">
        <v>965</v>
      </c>
      <c r="K47" s="96" t="s">
        <v>203</v>
      </c>
      <c r="L47" s="96" t="s">
        <v>203</v>
      </c>
      <c r="M47" s="96" t="s">
        <v>339</v>
      </c>
      <c r="N47" s="96" t="s">
        <v>573</v>
      </c>
      <c r="O47" s="96" t="s">
        <v>338</v>
      </c>
      <c r="P47" s="96" t="s">
        <v>1200</v>
      </c>
      <c r="Q47" s="97">
        <v>1067.8602619999999</v>
      </c>
      <c r="R47" s="97">
        <v>1</v>
      </c>
      <c r="S47" s="97">
        <v>19470</v>
      </c>
      <c r="T47" s="96"/>
      <c r="U47" s="97">
        <v>207.91239300000001</v>
      </c>
      <c r="V47" s="98">
        <v>1.1900000000000001E-4</v>
      </c>
      <c r="W47" s="98">
        <v>2.5264999999999999E-2</v>
      </c>
      <c r="X47" s="98">
        <v>3.3430000000000001E-3</v>
      </c>
      <c r="Y47" s="106"/>
    </row>
    <row r="48" spans="1:25" ht="15" customHeight="1">
      <c r="A48" s="106"/>
      <c r="B48" s="96">
        <v>286</v>
      </c>
      <c r="C48" s="96">
        <v>1446</v>
      </c>
      <c r="D48" s="96" t="s">
        <v>3034</v>
      </c>
      <c r="E48" s="96">
        <v>510938608</v>
      </c>
      <c r="F48" s="96" t="s">
        <v>308</v>
      </c>
      <c r="G48" s="96" t="s">
        <v>3123</v>
      </c>
      <c r="H48" s="96" t="s">
        <v>3124</v>
      </c>
      <c r="I48" s="96" t="s">
        <v>320</v>
      </c>
      <c r="J48" s="96" t="s">
        <v>965</v>
      </c>
      <c r="K48" s="96" t="s">
        <v>203</v>
      </c>
      <c r="L48" s="96" t="s">
        <v>203</v>
      </c>
      <c r="M48" s="96" t="s">
        <v>339</v>
      </c>
      <c r="N48" s="96" t="s">
        <v>571</v>
      </c>
      <c r="O48" s="96" t="s">
        <v>338</v>
      </c>
      <c r="P48" s="96" t="s">
        <v>1200</v>
      </c>
      <c r="Q48" s="97">
        <v>1183.5470889999999</v>
      </c>
      <c r="R48" s="97">
        <v>1</v>
      </c>
      <c r="S48" s="97">
        <v>19140</v>
      </c>
      <c r="T48" s="96"/>
      <c r="U48" s="97">
        <v>226.530912</v>
      </c>
      <c r="V48" s="98">
        <v>4.3999999999999999E-5</v>
      </c>
      <c r="W48" s="98">
        <v>2.7528E-2</v>
      </c>
      <c r="X48" s="98">
        <v>3.6419999999999998E-3</v>
      </c>
      <c r="Y48" s="106"/>
    </row>
    <row r="49" spans="1:25" ht="15" customHeight="1">
      <c r="A49" s="106"/>
      <c r="B49" s="96">
        <v>286</v>
      </c>
      <c r="C49" s="96">
        <v>1446</v>
      </c>
      <c r="D49" s="96" t="s">
        <v>3047</v>
      </c>
      <c r="E49" s="96">
        <v>511776783</v>
      </c>
      <c r="F49" s="96" t="s">
        <v>308</v>
      </c>
      <c r="G49" s="96" t="s">
        <v>3125</v>
      </c>
      <c r="H49" s="96" t="s">
        <v>3126</v>
      </c>
      <c r="I49" s="96" t="s">
        <v>320</v>
      </c>
      <c r="J49" s="96" t="s">
        <v>965</v>
      </c>
      <c r="K49" s="96" t="s">
        <v>203</v>
      </c>
      <c r="L49" s="96" t="s">
        <v>203</v>
      </c>
      <c r="M49" s="96" t="s">
        <v>339</v>
      </c>
      <c r="N49" s="96" t="s">
        <v>571</v>
      </c>
      <c r="O49" s="96" t="s">
        <v>338</v>
      </c>
      <c r="P49" s="96" t="s">
        <v>1200</v>
      </c>
      <c r="Q49" s="97">
        <v>34.773820999999998</v>
      </c>
      <c r="R49" s="97">
        <v>1</v>
      </c>
      <c r="S49" s="97">
        <v>1921</v>
      </c>
      <c r="T49" s="96"/>
      <c r="U49" s="97">
        <v>0.66800499999999996</v>
      </c>
      <c r="V49" s="98">
        <v>0</v>
      </c>
      <c r="W49" s="98">
        <v>8.1000000000000004E-5</v>
      </c>
      <c r="X49" s="98">
        <v>1.0000000000000001E-5</v>
      </c>
      <c r="Y49" s="106"/>
    </row>
    <row r="50" spans="1:25" ht="15" customHeight="1">
      <c r="A50" s="106"/>
      <c r="B50" s="96">
        <v>286</v>
      </c>
      <c r="C50" s="96">
        <v>1446</v>
      </c>
      <c r="D50" s="96" t="s">
        <v>3028</v>
      </c>
      <c r="E50" s="96">
        <v>513534974</v>
      </c>
      <c r="F50" s="96" t="s">
        <v>308</v>
      </c>
      <c r="G50" s="96" t="s">
        <v>3127</v>
      </c>
      <c r="H50" s="96" t="s">
        <v>3128</v>
      </c>
      <c r="I50" s="96" t="s">
        <v>320</v>
      </c>
      <c r="J50" s="96" t="s">
        <v>965</v>
      </c>
      <c r="K50" s="96" t="s">
        <v>203</v>
      </c>
      <c r="L50" s="96" t="s">
        <v>203</v>
      </c>
      <c r="M50" s="96" t="s">
        <v>339</v>
      </c>
      <c r="N50" s="96" t="s">
        <v>571</v>
      </c>
      <c r="O50" s="96" t="s">
        <v>338</v>
      </c>
      <c r="P50" s="96" t="s">
        <v>1200</v>
      </c>
      <c r="Q50" s="97">
        <v>11985.629642</v>
      </c>
      <c r="R50" s="97">
        <v>1</v>
      </c>
      <c r="S50" s="97">
        <v>1926</v>
      </c>
      <c r="T50" s="96"/>
      <c r="U50" s="97">
        <v>230.84322599999999</v>
      </c>
      <c r="V50" s="98">
        <v>6.7999999999999999E-5</v>
      </c>
      <c r="W50" s="98">
        <v>2.8052000000000001E-2</v>
      </c>
      <c r="X50" s="98">
        <v>3.712E-3</v>
      </c>
      <c r="Y50" s="106"/>
    </row>
    <row r="51" spans="1:25" ht="15" customHeight="1">
      <c r="A51" s="106"/>
      <c r="B51" s="96">
        <v>286</v>
      </c>
      <c r="C51" s="96">
        <v>1446</v>
      </c>
      <c r="D51" s="96" t="s">
        <v>3129</v>
      </c>
      <c r="E51" s="96" t="s">
        <v>3130</v>
      </c>
      <c r="F51" s="96" t="s">
        <v>312</v>
      </c>
      <c r="G51" s="96" t="s">
        <v>3131</v>
      </c>
      <c r="H51" s="96" t="s">
        <v>3132</v>
      </c>
      <c r="I51" s="96" t="s">
        <v>320</v>
      </c>
      <c r="J51" s="96" t="s">
        <v>966</v>
      </c>
      <c r="K51" s="96" t="s">
        <v>204</v>
      </c>
      <c r="L51" s="96" t="s">
        <v>223</v>
      </c>
      <c r="M51" s="96" t="s">
        <v>363</v>
      </c>
      <c r="N51" s="96" t="s">
        <v>734</v>
      </c>
      <c r="O51" s="96" t="s">
        <v>338</v>
      </c>
      <c r="P51" s="96" t="s">
        <v>1201</v>
      </c>
      <c r="Q51" s="97">
        <v>1014.175039</v>
      </c>
      <c r="R51" s="97">
        <v>3.7589999999999999</v>
      </c>
      <c r="S51" s="97">
        <v>5290</v>
      </c>
      <c r="T51" s="96"/>
      <c r="U51" s="97">
        <v>201.66982200000001</v>
      </c>
      <c r="V51" s="98">
        <v>3.0000000000000001E-6</v>
      </c>
      <c r="W51" s="98">
        <v>2.4506E-2</v>
      </c>
      <c r="X51" s="98">
        <v>3.2420000000000001E-3</v>
      </c>
      <c r="Y51" s="106"/>
    </row>
    <row r="52" spans="1:25" ht="15" customHeight="1">
      <c r="A52" s="106"/>
      <c r="B52" s="96">
        <v>286</v>
      </c>
      <c r="C52" s="96">
        <v>1446</v>
      </c>
      <c r="D52" s="96" t="s">
        <v>3133</v>
      </c>
      <c r="E52" s="96" t="s">
        <v>3134</v>
      </c>
      <c r="F52" s="96" t="s">
        <v>312</v>
      </c>
      <c r="G52" s="96" t="s">
        <v>3135</v>
      </c>
      <c r="H52" s="96" t="s">
        <v>3136</v>
      </c>
      <c r="I52" s="96" t="s">
        <v>320</v>
      </c>
      <c r="J52" s="96" t="s">
        <v>966</v>
      </c>
      <c r="K52" s="96" t="s">
        <v>204</v>
      </c>
      <c r="L52" s="96" t="s">
        <v>231</v>
      </c>
      <c r="M52" s="96" t="s">
        <v>313</v>
      </c>
      <c r="N52" s="96" t="s">
        <v>735</v>
      </c>
      <c r="O52" s="96" t="s">
        <v>338</v>
      </c>
      <c r="P52" s="96" t="s">
        <v>1201</v>
      </c>
      <c r="Q52" s="97">
        <v>3257.8646829999998</v>
      </c>
      <c r="R52" s="97">
        <v>3.7589999999999999</v>
      </c>
      <c r="S52" s="97">
        <v>3486</v>
      </c>
      <c r="T52" s="96"/>
      <c r="U52" s="97">
        <v>426.90648199999998</v>
      </c>
      <c r="V52" s="98">
        <v>4.1E-5</v>
      </c>
      <c r="W52" s="98">
        <v>5.1877E-2</v>
      </c>
      <c r="X52" s="98">
        <v>6.8640000000000003E-3</v>
      </c>
      <c r="Y52" s="106"/>
    </row>
    <row r="53" spans="1:25" ht="15" customHeight="1">
      <c r="A53" s="106"/>
      <c r="B53" s="96">
        <v>286</v>
      </c>
      <c r="C53" s="96">
        <v>1446</v>
      </c>
      <c r="D53" s="96" t="s">
        <v>3137</v>
      </c>
      <c r="E53" s="96" t="s">
        <v>3138</v>
      </c>
      <c r="F53" s="96" t="s">
        <v>312</v>
      </c>
      <c r="G53" s="96" t="s">
        <v>3139</v>
      </c>
      <c r="H53" s="96" t="s">
        <v>3140</v>
      </c>
      <c r="I53" s="96" t="s">
        <v>320</v>
      </c>
      <c r="J53" s="96" t="s">
        <v>966</v>
      </c>
      <c r="K53" s="96" t="s">
        <v>204</v>
      </c>
      <c r="L53" s="96" t="s">
        <v>250</v>
      </c>
      <c r="M53" s="96" t="s">
        <v>399</v>
      </c>
      <c r="N53" s="96" t="s">
        <v>735</v>
      </c>
      <c r="O53" s="96" t="s">
        <v>338</v>
      </c>
      <c r="P53" s="96" t="s">
        <v>1217</v>
      </c>
      <c r="Q53" s="97">
        <v>3115.7144269999999</v>
      </c>
      <c r="R53" s="97">
        <v>2.3359000000000001E-2</v>
      </c>
      <c r="S53" s="97">
        <v>291100</v>
      </c>
      <c r="T53" s="96"/>
      <c r="U53" s="97">
        <v>211.86250200000001</v>
      </c>
      <c r="V53" s="98">
        <v>0</v>
      </c>
      <c r="W53" s="98">
        <v>2.5745000000000001E-2</v>
      </c>
      <c r="X53" s="98">
        <v>3.4060000000000002E-3</v>
      </c>
      <c r="Y53" s="106"/>
    </row>
    <row r="54" spans="1:25" ht="15" customHeight="1">
      <c r="A54" s="106"/>
      <c r="B54" s="96">
        <v>286</v>
      </c>
      <c r="C54" s="96">
        <v>1446</v>
      </c>
      <c r="D54" s="96" t="s">
        <v>3141</v>
      </c>
      <c r="E54" s="96" t="s">
        <v>3142</v>
      </c>
      <c r="F54" s="96" t="s">
        <v>312</v>
      </c>
      <c r="G54" s="96" t="s">
        <v>3143</v>
      </c>
      <c r="H54" s="96" t="s">
        <v>3144</v>
      </c>
      <c r="I54" s="96" t="s">
        <v>320</v>
      </c>
      <c r="J54" s="96" t="s">
        <v>966</v>
      </c>
      <c r="K54" s="96" t="s">
        <v>204</v>
      </c>
      <c r="L54" s="96" t="s">
        <v>223</v>
      </c>
      <c r="M54" s="96" t="s">
        <v>343</v>
      </c>
      <c r="N54" s="96" t="s">
        <v>735</v>
      </c>
      <c r="O54" s="96" t="s">
        <v>338</v>
      </c>
      <c r="P54" s="96" t="s">
        <v>1201</v>
      </c>
      <c r="Q54" s="97">
        <v>390.06206800000001</v>
      </c>
      <c r="R54" s="97">
        <v>3.7589999999999999</v>
      </c>
      <c r="S54" s="97">
        <v>7658</v>
      </c>
      <c r="T54" s="96"/>
      <c r="U54" s="97">
        <v>112.28491200000001</v>
      </c>
      <c r="V54" s="98">
        <v>9.9999999999999995E-7</v>
      </c>
      <c r="W54" s="98">
        <v>1.3644E-2</v>
      </c>
      <c r="X54" s="98">
        <v>1.805E-3</v>
      </c>
      <c r="Y54" s="106"/>
    </row>
    <row r="55" spans="1:25" ht="15" customHeight="1">
      <c r="A55" s="106"/>
      <c r="B55" s="96">
        <v>286</v>
      </c>
      <c r="C55" s="96">
        <v>1446</v>
      </c>
      <c r="D55" s="96" t="s">
        <v>3145</v>
      </c>
      <c r="E55" s="96" t="s">
        <v>3146</v>
      </c>
      <c r="F55" s="96" t="s">
        <v>312</v>
      </c>
      <c r="G55" s="96" t="s">
        <v>3147</v>
      </c>
      <c r="H55" s="96" t="s">
        <v>3148</v>
      </c>
      <c r="I55" s="96" t="s">
        <v>320</v>
      </c>
      <c r="J55" s="96" t="s">
        <v>966</v>
      </c>
      <c r="K55" s="96" t="s">
        <v>204</v>
      </c>
      <c r="L55" s="96" t="s">
        <v>267</v>
      </c>
      <c r="M55" s="96" t="s">
        <v>379</v>
      </c>
      <c r="N55" s="96" t="s">
        <v>735</v>
      </c>
      <c r="O55" s="96" t="s">
        <v>338</v>
      </c>
      <c r="P55" s="96" t="s">
        <v>1201</v>
      </c>
      <c r="Q55" s="97">
        <v>5310.1600619999999</v>
      </c>
      <c r="R55" s="97">
        <v>3.7589999999999999</v>
      </c>
      <c r="S55" s="97">
        <v>2154.75</v>
      </c>
      <c r="T55" s="96"/>
      <c r="U55" s="97">
        <v>430.10731199999998</v>
      </c>
      <c r="V55" s="98">
        <v>2.12E-4</v>
      </c>
      <c r="W55" s="98">
        <v>5.2264999999999999E-2</v>
      </c>
      <c r="X55" s="98">
        <v>6.9150000000000001E-3</v>
      </c>
      <c r="Y55" s="106"/>
    </row>
    <row r="56" spans="1:25" ht="15" customHeight="1">
      <c r="A56" s="106"/>
      <c r="B56" s="96">
        <v>286</v>
      </c>
      <c r="C56" s="96">
        <v>1446</v>
      </c>
      <c r="D56" s="96" t="s">
        <v>3149</v>
      </c>
      <c r="E56" s="96" t="s">
        <v>3150</v>
      </c>
      <c r="F56" s="96" t="s">
        <v>312</v>
      </c>
      <c r="G56" s="96" t="s">
        <v>3151</v>
      </c>
      <c r="H56" s="96" t="s">
        <v>3152</v>
      </c>
      <c r="I56" s="96" t="s">
        <v>320</v>
      </c>
      <c r="J56" s="96" t="s">
        <v>966</v>
      </c>
      <c r="K56" s="96" t="s">
        <v>204</v>
      </c>
      <c r="L56" s="96" t="s">
        <v>223</v>
      </c>
      <c r="M56" s="96" t="s">
        <v>343</v>
      </c>
      <c r="N56" s="96" t="s">
        <v>720</v>
      </c>
      <c r="O56" s="96" t="s">
        <v>338</v>
      </c>
      <c r="P56" s="96" t="s">
        <v>1201</v>
      </c>
      <c r="Q56" s="97">
        <v>361.63989800000002</v>
      </c>
      <c r="R56" s="97">
        <v>3.7589999999999999</v>
      </c>
      <c r="S56" s="97">
        <v>12187</v>
      </c>
      <c r="T56" s="96"/>
      <c r="U56" s="97">
        <v>165.67061100000001</v>
      </c>
      <c r="V56" s="98">
        <v>1.9999999999999999E-6</v>
      </c>
      <c r="W56" s="98">
        <v>2.0132000000000001E-2</v>
      </c>
      <c r="X56" s="98">
        <v>2.6640000000000001E-3</v>
      </c>
      <c r="Y56" s="106"/>
    </row>
    <row r="57" spans="1:25" ht="15" customHeight="1">
      <c r="A57" s="106"/>
      <c r="B57" s="96">
        <v>286</v>
      </c>
      <c r="C57" s="96">
        <v>1446</v>
      </c>
      <c r="D57" s="96" t="s">
        <v>3153</v>
      </c>
      <c r="E57" s="96" t="s">
        <v>3154</v>
      </c>
      <c r="F57" s="96" t="s">
        <v>312</v>
      </c>
      <c r="G57" s="96" t="s">
        <v>3155</v>
      </c>
      <c r="H57" s="96" t="s">
        <v>3156</v>
      </c>
      <c r="I57" s="96" t="s">
        <v>320</v>
      </c>
      <c r="J57" s="96" t="s">
        <v>966</v>
      </c>
      <c r="K57" s="96" t="s">
        <v>204</v>
      </c>
      <c r="L57" s="96" t="s">
        <v>223</v>
      </c>
      <c r="M57" s="96" t="s">
        <v>345</v>
      </c>
      <c r="N57" s="96" t="s">
        <v>735</v>
      </c>
      <c r="O57" s="96" t="s">
        <v>338</v>
      </c>
      <c r="P57" s="96" t="s">
        <v>1201</v>
      </c>
      <c r="Q57" s="97">
        <v>570.56494299999997</v>
      </c>
      <c r="R57" s="97">
        <v>3.7589999999999999</v>
      </c>
      <c r="S57" s="97">
        <v>5259</v>
      </c>
      <c r="T57" s="96"/>
      <c r="U57" s="97">
        <v>112.792593</v>
      </c>
      <c r="V57" s="98">
        <v>1.7899999999999999E-4</v>
      </c>
      <c r="W57" s="98">
        <v>1.3705999999999999E-2</v>
      </c>
      <c r="X57" s="98">
        <v>1.8129999999999999E-3</v>
      </c>
      <c r="Y57" s="106"/>
    </row>
    <row r="58" spans="1:25" ht="15" customHeight="1">
      <c r="A58" s="106"/>
      <c r="B58" s="96">
        <v>286</v>
      </c>
      <c r="C58" s="96">
        <v>1446</v>
      </c>
      <c r="D58" s="96" t="s">
        <v>3157</v>
      </c>
      <c r="E58" s="96" t="s">
        <v>3158</v>
      </c>
      <c r="F58" s="96" t="s">
        <v>312</v>
      </c>
      <c r="G58" s="96" t="s">
        <v>3159</v>
      </c>
      <c r="H58" s="96" t="s">
        <v>3160</v>
      </c>
      <c r="I58" s="96" t="s">
        <v>320</v>
      </c>
      <c r="J58" s="96" t="s">
        <v>966</v>
      </c>
      <c r="K58" s="96" t="s">
        <v>204</v>
      </c>
      <c r="L58" s="96" t="s">
        <v>232</v>
      </c>
      <c r="M58" s="96" t="s">
        <v>369</v>
      </c>
      <c r="N58" s="96" t="s">
        <v>735</v>
      </c>
      <c r="O58" s="96" t="s">
        <v>338</v>
      </c>
      <c r="P58" s="96" t="s">
        <v>1201</v>
      </c>
      <c r="Q58" s="97">
        <v>1855.0372030000001</v>
      </c>
      <c r="R58" s="97">
        <v>3.7589999999999999</v>
      </c>
      <c r="S58" s="97">
        <v>3431</v>
      </c>
      <c r="T58" s="96"/>
      <c r="U58" s="97">
        <v>239.24654000000001</v>
      </c>
      <c r="V58" s="98">
        <v>1.9999999999999999E-6</v>
      </c>
      <c r="W58" s="98">
        <v>2.9072000000000001E-2</v>
      </c>
      <c r="X58" s="98">
        <v>3.846E-3</v>
      </c>
      <c r="Y58" s="106"/>
    </row>
    <row r="59" spans="1:25" ht="15" customHeight="1">
      <c r="A59" s="106"/>
      <c r="B59" s="96">
        <v>286</v>
      </c>
      <c r="C59" s="96">
        <v>1446</v>
      </c>
      <c r="D59" s="96" t="s">
        <v>3161</v>
      </c>
      <c r="E59" s="96" t="s">
        <v>3162</v>
      </c>
      <c r="F59" s="96" t="s">
        <v>312</v>
      </c>
      <c r="G59" s="96" t="s">
        <v>3163</v>
      </c>
      <c r="H59" s="96" t="s">
        <v>3164</v>
      </c>
      <c r="I59" s="96" t="s">
        <v>320</v>
      </c>
      <c r="J59" s="96" t="s">
        <v>966</v>
      </c>
      <c r="K59" s="96" t="s">
        <v>204</v>
      </c>
      <c r="L59" s="96" t="s">
        <v>281</v>
      </c>
      <c r="M59" s="96" t="s">
        <v>401</v>
      </c>
      <c r="N59" s="96" t="s">
        <v>735</v>
      </c>
      <c r="O59" s="96" t="s">
        <v>338</v>
      </c>
      <c r="P59" s="96" t="s">
        <v>1215</v>
      </c>
      <c r="Q59" s="97">
        <v>1237.9697490000001</v>
      </c>
      <c r="R59" s="97">
        <v>2.7412999999999998</v>
      </c>
      <c r="S59" s="97">
        <v>5597</v>
      </c>
      <c r="T59" s="96"/>
      <c r="U59" s="97">
        <v>189.94239300000001</v>
      </c>
      <c r="V59" s="98">
        <v>1.9000000000000001E-5</v>
      </c>
      <c r="W59" s="98">
        <v>2.3081000000000001E-2</v>
      </c>
      <c r="X59" s="98">
        <v>3.0539999999999999E-3</v>
      </c>
      <c r="Y59" s="106"/>
    </row>
    <row r="60" spans="1:25" ht="15" customHeight="1">
      <c r="A60" s="106"/>
      <c r="B60" s="96">
        <v>286</v>
      </c>
      <c r="C60" s="96">
        <v>1446</v>
      </c>
      <c r="D60" s="96" t="s">
        <v>3165</v>
      </c>
      <c r="E60" s="96" t="s">
        <v>3166</v>
      </c>
      <c r="F60" s="96" t="s">
        <v>312</v>
      </c>
      <c r="G60" s="96" t="s">
        <v>3167</v>
      </c>
      <c r="H60" s="96" t="s">
        <v>3168</v>
      </c>
      <c r="I60" s="96" t="s">
        <v>320</v>
      </c>
      <c r="J60" s="96" t="s">
        <v>966</v>
      </c>
      <c r="K60" s="96" t="s">
        <v>204</v>
      </c>
      <c r="L60" s="96" t="s">
        <v>223</v>
      </c>
      <c r="M60" s="96" t="s">
        <v>343</v>
      </c>
      <c r="N60" s="96" t="s">
        <v>735</v>
      </c>
      <c r="O60" s="96" t="s">
        <v>338</v>
      </c>
      <c r="P60" s="96" t="s">
        <v>1201</v>
      </c>
      <c r="Q60" s="97">
        <v>654.10291199999995</v>
      </c>
      <c r="R60" s="97">
        <v>3.7589999999999999</v>
      </c>
      <c r="S60" s="97">
        <v>14547</v>
      </c>
      <c r="T60" s="96"/>
      <c r="U60" s="97">
        <v>357.67768599999999</v>
      </c>
      <c r="V60" s="98">
        <v>2.6999999999999999E-5</v>
      </c>
      <c r="W60" s="98">
        <v>4.3464000000000003E-2</v>
      </c>
      <c r="X60" s="98">
        <v>5.751E-3</v>
      </c>
      <c r="Y60" s="106"/>
    </row>
    <row r="61" spans="1:25" ht="15" customHeight="1">
      <c r="A61" s="106"/>
      <c r="B61" s="96">
        <v>286</v>
      </c>
      <c r="C61" s="96">
        <v>1446</v>
      </c>
      <c r="D61" s="96" t="s">
        <v>3169</v>
      </c>
      <c r="E61" s="96"/>
      <c r="F61" s="96" t="s">
        <v>310</v>
      </c>
      <c r="G61" s="96" t="s">
        <v>3170</v>
      </c>
      <c r="H61" s="96" t="s">
        <v>3171</v>
      </c>
      <c r="I61" s="96" t="s">
        <v>320</v>
      </c>
      <c r="J61" s="96" t="s">
        <v>966</v>
      </c>
      <c r="K61" s="96" t="s">
        <v>204</v>
      </c>
      <c r="L61" s="96" t="s">
        <v>223</v>
      </c>
      <c r="M61" s="96" t="s">
        <v>343</v>
      </c>
      <c r="N61" s="96" t="s">
        <v>720</v>
      </c>
      <c r="O61" s="96" t="s">
        <v>338</v>
      </c>
      <c r="P61" s="96" t="s">
        <v>1201</v>
      </c>
      <c r="Q61" s="97">
        <v>1775.503252</v>
      </c>
      <c r="R61" s="97">
        <v>3.7589999999999999</v>
      </c>
      <c r="S61" s="97">
        <v>3313</v>
      </c>
      <c r="T61" s="96"/>
      <c r="U61" s="97">
        <v>221.11348699999999</v>
      </c>
      <c r="V61" s="98">
        <v>2.2599999999999999E-4</v>
      </c>
      <c r="W61" s="98">
        <v>2.6869000000000001E-2</v>
      </c>
      <c r="X61" s="98">
        <v>3.5539999999999999E-3</v>
      </c>
      <c r="Y61" s="106"/>
    </row>
    <row r="62" spans="1:25" ht="15" customHeight="1">
      <c r="A62" s="106"/>
      <c r="B62" s="96">
        <v>286</v>
      </c>
      <c r="C62" s="96">
        <v>1446</v>
      </c>
      <c r="D62" s="96" t="s">
        <v>3172</v>
      </c>
      <c r="E62" s="96" t="s">
        <v>3173</v>
      </c>
      <c r="F62" s="96" t="s">
        <v>312</v>
      </c>
      <c r="G62" s="96" t="s">
        <v>3174</v>
      </c>
      <c r="H62" s="96" t="s">
        <v>3175</v>
      </c>
      <c r="I62" s="96" t="s">
        <v>320</v>
      </c>
      <c r="J62" s="96" t="s">
        <v>966</v>
      </c>
      <c r="K62" s="96" t="s">
        <v>204</v>
      </c>
      <c r="L62" s="96" t="s">
        <v>295</v>
      </c>
      <c r="M62" s="96" t="s">
        <v>345</v>
      </c>
      <c r="N62" s="96" t="s">
        <v>735</v>
      </c>
      <c r="O62" s="96" t="s">
        <v>338</v>
      </c>
      <c r="P62" s="96" t="s">
        <v>1201</v>
      </c>
      <c r="Q62" s="97">
        <v>1668.208075</v>
      </c>
      <c r="R62" s="97">
        <v>3.7589999999999999</v>
      </c>
      <c r="S62" s="97">
        <v>5920</v>
      </c>
      <c r="T62" s="96"/>
      <c r="U62" s="97">
        <v>371.23101400000002</v>
      </c>
      <c r="V62" s="98">
        <v>6.9999999999999999E-6</v>
      </c>
      <c r="W62" s="98">
        <v>4.5111999999999999E-2</v>
      </c>
      <c r="X62" s="98">
        <v>5.9690000000000003E-3</v>
      </c>
      <c r="Y62" s="106"/>
    </row>
    <row r="63" spans="1:25" ht="15" customHeight="1">
      <c r="A63" s="106"/>
      <c r="B63" s="96">
        <v>286</v>
      </c>
      <c r="C63" s="96">
        <v>1446</v>
      </c>
      <c r="D63" s="96" t="s">
        <v>3176</v>
      </c>
      <c r="E63" s="96" t="s">
        <v>3177</v>
      </c>
      <c r="F63" s="96" t="s">
        <v>312</v>
      </c>
      <c r="G63" s="96" t="s">
        <v>3178</v>
      </c>
      <c r="H63" s="96" t="s">
        <v>3179</v>
      </c>
      <c r="I63" s="96" t="s">
        <v>320</v>
      </c>
      <c r="J63" s="96" t="s">
        <v>966</v>
      </c>
      <c r="K63" s="96" t="s">
        <v>204</v>
      </c>
      <c r="L63" s="96" t="s">
        <v>223</v>
      </c>
      <c r="M63" s="96" t="s">
        <v>369</v>
      </c>
      <c r="N63" s="96" t="s">
        <v>735</v>
      </c>
      <c r="O63" s="96" t="s">
        <v>338</v>
      </c>
      <c r="P63" s="96" t="s">
        <v>1201</v>
      </c>
      <c r="Q63" s="97">
        <v>88.611160999999996</v>
      </c>
      <c r="R63" s="97">
        <v>3.7589999999999999</v>
      </c>
      <c r="S63" s="97">
        <v>107787</v>
      </c>
      <c r="T63" s="96"/>
      <c r="U63" s="97">
        <v>359.02702299999999</v>
      </c>
      <c r="V63" s="98">
        <v>3.0000000000000001E-6</v>
      </c>
      <c r="W63" s="98">
        <v>4.3629000000000001E-2</v>
      </c>
      <c r="X63" s="98">
        <v>5.7730000000000004E-3</v>
      </c>
      <c r="Y63" s="106"/>
    </row>
    <row r="64" spans="1:25" ht="15" customHeight="1">
      <c r="A64" s="106"/>
      <c r="B64" s="96">
        <v>286</v>
      </c>
      <c r="C64" s="96">
        <v>1446</v>
      </c>
      <c r="D64" s="96" t="s">
        <v>3180</v>
      </c>
      <c r="E64" s="96" t="s">
        <v>3181</v>
      </c>
      <c r="F64" s="96" t="s">
        <v>312</v>
      </c>
      <c r="G64" s="96" t="s">
        <v>3182</v>
      </c>
      <c r="H64" s="96" t="s">
        <v>3183</v>
      </c>
      <c r="I64" s="96" t="s">
        <v>320</v>
      </c>
      <c r="J64" s="96" t="s">
        <v>966</v>
      </c>
      <c r="K64" s="96" t="s">
        <v>204</v>
      </c>
      <c r="L64" s="96" t="s">
        <v>250</v>
      </c>
      <c r="M64" s="96" t="s">
        <v>399</v>
      </c>
      <c r="N64" s="96" t="s">
        <v>735</v>
      </c>
      <c r="O64" s="96" t="s">
        <v>338</v>
      </c>
      <c r="P64" s="96" t="s">
        <v>1217</v>
      </c>
      <c r="Q64" s="97">
        <v>37042.265769999998</v>
      </c>
      <c r="R64" s="97">
        <v>2.3359000000000001E-2</v>
      </c>
      <c r="S64" s="97">
        <v>36890</v>
      </c>
      <c r="T64" s="96"/>
      <c r="U64" s="97">
        <v>319.19820800000002</v>
      </c>
      <c r="V64" s="98">
        <v>0</v>
      </c>
      <c r="W64" s="98">
        <v>3.8788999999999997E-2</v>
      </c>
      <c r="X64" s="98">
        <v>5.1320000000000003E-3</v>
      </c>
      <c r="Y64" s="106"/>
    </row>
    <row r="65" spans="1:25" ht="15" customHeight="1">
      <c r="A65" s="106"/>
      <c r="B65" s="96">
        <v>286</v>
      </c>
      <c r="C65" s="96">
        <v>1446</v>
      </c>
      <c r="D65" s="96" t="s">
        <v>3184</v>
      </c>
      <c r="E65" s="96" t="s">
        <v>3185</v>
      </c>
      <c r="F65" s="96" t="s">
        <v>312</v>
      </c>
      <c r="G65" s="96" t="s">
        <v>3186</v>
      </c>
      <c r="H65" s="96" t="s">
        <v>3187</v>
      </c>
      <c r="I65" s="96" t="s">
        <v>320</v>
      </c>
      <c r="J65" s="96" t="s">
        <v>966</v>
      </c>
      <c r="K65" s="96" t="s">
        <v>204</v>
      </c>
      <c r="L65" s="96" t="s">
        <v>223</v>
      </c>
      <c r="M65" s="96" t="s">
        <v>343</v>
      </c>
      <c r="N65" s="96" t="s">
        <v>735</v>
      </c>
      <c r="O65" s="96" t="s">
        <v>338</v>
      </c>
      <c r="P65" s="96" t="s">
        <v>1201</v>
      </c>
      <c r="Q65" s="97">
        <v>457.42319500000002</v>
      </c>
      <c r="R65" s="97">
        <v>3.7589999999999999</v>
      </c>
      <c r="S65" s="97">
        <v>14575</v>
      </c>
      <c r="T65" s="96"/>
      <c r="U65" s="97">
        <v>250.610389</v>
      </c>
      <c r="V65" s="98">
        <v>9.9999999999999995E-7</v>
      </c>
      <c r="W65" s="98">
        <v>3.0453000000000001E-2</v>
      </c>
      <c r="X65" s="98">
        <v>4.0280000000000003E-3</v>
      </c>
      <c r="Y65" s="106"/>
    </row>
    <row r="66" spans="1:25" ht="15" customHeight="1">
      <c r="A66" s="106"/>
      <c r="B66" s="96">
        <v>286</v>
      </c>
      <c r="C66" s="96">
        <v>1446</v>
      </c>
      <c r="D66" s="96" t="s">
        <v>3188</v>
      </c>
      <c r="E66" s="96" t="s">
        <v>3189</v>
      </c>
      <c r="F66" s="96" t="s">
        <v>312</v>
      </c>
      <c r="G66" s="96" t="s">
        <v>3190</v>
      </c>
      <c r="H66" s="96" t="s">
        <v>3191</v>
      </c>
      <c r="I66" s="96" t="s">
        <v>320</v>
      </c>
      <c r="J66" s="96" t="s">
        <v>966</v>
      </c>
      <c r="K66" s="96" t="s">
        <v>204</v>
      </c>
      <c r="L66" s="96" t="s">
        <v>232</v>
      </c>
      <c r="M66" s="96" t="s">
        <v>363</v>
      </c>
      <c r="N66" s="96" t="s">
        <v>735</v>
      </c>
      <c r="O66" s="96" t="s">
        <v>338</v>
      </c>
      <c r="P66" s="96" t="s">
        <v>1202</v>
      </c>
      <c r="Q66" s="97">
        <v>744.17098799999997</v>
      </c>
      <c r="R66" s="97">
        <v>4.0202</v>
      </c>
      <c r="S66" s="97">
        <v>15668.6</v>
      </c>
      <c r="T66" s="96"/>
      <c r="U66" s="97">
        <v>468.76004499999999</v>
      </c>
      <c r="V66" s="98">
        <v>1.1900000000000001E-4</v>
      </c>
      <c r="W66" s="98">
        <v>5.6963E-2</v>
      </c>
      <c r="X66" s="98">
        <v>7.5370000000000003E-3</v>
      </c>
      <c r="Y66" s="106"/>
    </row>
    <row r="67" spans="1:25" ht="15" customHeight="1">
      <c r="A67" s="106"/>
      <c r="B67" s="96">
        <v>286</v>
      </c>
      <c r="C67" s="96">
        <v>1446</v>
      </c>
      <c r="D67" s="96" t="s">
        <v>3192</v>
      </c>
      <c r="E67" s="96" t="s">
        <v>3193</v>
      </c>
      <c r="F67" s="96" t="s">
        <v>312</v>
      </c>
      <c r="G67" s="96" t="s">
        <v>3194</v>
      </c>
      <c r="H67" s="96" t="s">
        <v>3195</v>
      </c>
      <c r="I67" s="96" t="s">
        <v>320</v>
      </c>
      <c r="J67" s="96" t="s">
        <v>966</v>
      </c>
      <c r="K67" s="96" t="s">
        <v>204</v>
      </c>
      <c r="L67" s="96" t="s">
        <v>223</v>
      </c>
      <c r="M67" s="96" t="s">
        <v>343</v>
      </c>
      <c r="N67" s="96" t="s">
        <v>720</v>
      </c>
      <c r="O67" s="96" t="s">
        <v>338</v>
      </c>
      <c r="P67" s="96" t="s">
        <v>1201</v>
      </c>
      <c r="Q67" s="97">
        <v>297.05809799999997</v>
      </c>
      <c r="R67" s="97">
        <v>3.7589999999999999</v>
      </c>
      <c r="S67" s="97">
        <v>6814</v>
      </c>
      <c r="T67" s="96"/>
      <c r="U67" s="97">
        <v>76.087942999999996</v>
      </c>
      <c r="V67" s="98">
        <v>9.9999999999999995E-7</v>
      </c>
      <c r="W67" s="98">
        <v>9.2449999999999997E-3</v>
      </c>
      <c r="X67" s="98">
        <v>1.222E-3</v>
      </c>
      <c r="Y67" s="106"/>
    </row>
    <row r="68" spans="1:25" ht="15" customHeight="1">
      <c r="A68" s="106"/>
      <c r="B68" s="96">
        <v>286</v>
      </c>
      <c r="C68" s="96">
        <v>1446</v>
      </c>
      <c r="D68" s="96" t="s">
        <v>3196</v>
      </c>
      <c r="E68" s="96" t="s">
        <v>3197</v>
      </c>
      <c r="F68" s="96" t="s">
        <v>312</v>
      </c>
      <c r="G68" s="96" t="s">
        <v>3198</v>
      </c>
      <c r="H68" s="96" t="s">
        <v>3199</v>
      </c>
      <c r="I68" s="96" t="s">
        <v>320</v>
      </c>
      <c r="J68" s="96" t="s">
        <v>966</v>
      </c>
      <c r="K68" s="96" t="s">
        <v>204</v>
      </c>
      <c r="L68" s="96" t="s">
        <v>242</v>
      </c>
      <c r="M68" s="96" t="s">
        <v>343</v>
      </c>
      <c r="N68" s="96" t="s">
        <v>735</v>
      </c>
      <c r="O68" s="96" t="s">
        <v>338</v>
      </c>
      <c r="P68" s="96" t="s">
        <v>1201</v>
      </c>
      <c r="Q68" s="97">
        <v>1770.5330369999999</v>
      </c>
      <c r="R68" s="97">
        <v>3.7589999999999999</v>
      </c>
      <c r="S68" s="97">
        <v>2187</v>
      </c>
      <c r="T68" s="96"/>
      <c r="U68" s="97">
        <v>145.55433400000001</v>
      </c>
      <c r="V68" s="98">
        <v>2.03E-4</v>
      </c>
      <c r="W68" s="98">
        <v>1.7686E-2</v>
      </c>
      <c r="X68" s="98">
        <v>2.3400000000000001E-3</v>
      </c>
      <c r="Y68" s="106"/>
    </row>
    <row r="69" spans="1:25" ht="15" customHeight="1">
      <c r="A69" s="106"/>
      <c r="B69" s="96">
        <v>286</v>
      </c>
      <c r="C69" s="96">
        <v>1446</v>
      </c>
      <c r="D69" s="96" t="s">
        <v>3200</v>
      </c>
      <c r="E69" s="96" t="s">
        <v>3201</v>
      </c>
      <c r="F69" s="96" t="s">
        <v>312</v>
      </c>
      <c r="G69" s="96" t="s">
        <v>3202</v>
      </c>
      <c r="H69" s="96" t="s">
        <v>3203</v>
      </c>
      <c r="I69" s="96" t="s">
        <v>320</v>
      </c>
      <c r="J69" s="96" t="s">
        <v>966</v>
      </c>
      <c r="K69" s="96" t="s">
        <v>204</v>
      </c>
      <c r="L69" s="96" t="s">
        <v>232</v>
      </c>
      <c r="M69" s="96" t="s">
        <v>313</v>
      </c>
      <c r="N69" s="96" t="s">
        <v>735</v>
      </c>
      <c r="O69" s="96" t="s">
        <v>338</v>
      </c>
      <c r="P69" s="96" t="s">
        <v>1202</v>
      </c>
      <c r="Q69" s="97">
        <v>976.519092</v>
      </c>
      <c r="R69" s="97">
        <v>4.0202</v>
      </c>
      <c r="S69" s="97">
        <v>12118</v>
      </c>
      <c r="T69" s="96"/>
      <c r="U69" s="97">
        <v>475.72869200000002</v>
      </c>
      <c r="V69" s="98">
        <v>1.75E-4</v>
      </c>
      <c r="W69" s="98">
        <v>5.781E-2</v>
      </c>
      <c r="X69" s="98">
        <v>7.6490000000000004E-3</v>
      </c>
      <c r="Y69" s="106"/>
    </row>
    <row r="70" spans="1:25" ht="15" customHeight="1">
      <c r="A70" s="106"/>
      <c r="B70" s="96">
        <v>286</v>
      </c>
      <c r="C70" s="96">
        <v>1446</v>
      </c>
      <c r="D70" s="96" t="s">
        <v>3204</v>
      </c>
      <c r="E70" s="96" t="s">
        <v>3205</v>
      </c>
      <c r="F70" s="96" t="s">
        <v>312</v>
      </c>
      <c r="G70" s="96" t="s">
        <v>3206</v>
      </c>
      <c r="H70" s="96" t="s">
        <v>3207</v>
      </c>
      <c r="I70" s="96" t="s">
        <v>320</v>
      </c>
      <c r="J70" s="96" t="s">
        <v>966</v>
      </c>
      <c r="K70" s="96" t="s">
        <v>204</v>
      </c>
      <c r="L70" s="96" t="s">
        <v>223</v>
      </c>
      <c r="M70" s="96" t="s">
        <v>343</v>
      </c>
      <c r="N70" s="96" t="s">
        <v>720</v>
      </c>
      <c r="O70" s="96" t="s">
        <v>338</v>
      </c>
      <c r="P70" s="96" t="s">
        <v>1201</v>
      </c>
      <c r="Q70" s="97">
        <v>191.17202399999999</v>
      </c>
      <c r="R70" s="97">
        <v>3.7589999999999999</v>
      </c>
      <c r="S70" s="97">
        <v>31618</v>
      </c>
      <c r="T70" s="96"/>
      <c r="U70" s="97">
        <v>227.211893</v>
      </c>
      <c r="V70" s="98">
        <v>3.1000000000000001E-5</v>
      </c>
      <c r="W70" s="98">
        <v>2.7609999999999999E-2</v>
      </c>
      <c r="X70" s="98">
        <v>3.6519999999999999E-3</v>
      </c>
      <c r="Y70" s="106"/>
    </row>
    <row r="71" spans="1:25" ht="15" customHeight="1">
      <c r="A71" s="106"/>
      <c r="B71" s="96">
        <v>286</v>
      </c>
      <c r="C71" s="96">
        <v>1446</v>
      </c>
      <c r="D71" s="96" t="s">
        <v>3208</v>
      </c>
      <c r="E71" s="96" t="s">
        <v>3209</v>
      </c>
      <c r="F71" s="96" t="s">
        <v>312</v>
      </c>
      <c r="G71" s="96" t="s">
        <v>3210</v>
      </c>
      <c r="H71" s="96" t="s">
        <v>3211</v>
      </c>
      <c r="I71" s="96" t="s">
        <v>320</v>
      </c>
      <c r="J71" s="96" t="s">
        <v>966</v>
      </c>
      <c r="K71" s="96" t="s">
        <v>204</v>
      </c>
      <c r="L71" s="96" t="s">
        <v>243</v>
      </c>
      <c r="M71" s="96" t="s">
        <v>343</v>
      </c>
      <c r="N71" s="96" t="s">
        <v>735</v>
      </c>
      <c r="O71" s="96" t="s">
        <v>338</v>
      </c>
      <c r="P71" s="96" t="s">
        <v>1201</v>
      </c>
      <c r="Q71" s="97">
        <v>4124.9118959999996</v>
      </c>
      <c r="R71" s="97">
        <v>3.7589999999999999</v>
      </c>
      <c r="S71" s="97">
        <v>3986</v>
      </c>
      <c r="T71" s="96"/>
      <c r="U71" s="97">
        <v>618.05097599999999</v>
      </c>
      <c r="V71" s="98">
        <v>1.12E-4</v>
      </c>
      <c r="W71" s="98">
        <v>7.5105000000000005E-2</v>
      </c>
      <c r="X71" s="98">
        <v>9.9380000000000007E-3</v>
      </c>
      <c r="Y71" s="106"/>
    </row>
    <row r="72" spans="1:25" ht="15" customHeight="1">
      <c r="A72" s="106"/>
      <c r="B72" s="96">
        <v>286</v>
      </c>
      <c r="C72" s="96">
        <v>286</v>
      </c>
      <c r="D72" s="96" t="s">
        <v>3022</v>
      </c>
      <c r="E72" s="96">
        <v>513765339</v>
      </c>
      <c r="F72" s="96" t="s">
        <v>308</v>
      </c>
      <c r="G72" s="96" t="s">
        <v>3102</v>
      </c>
      <c r="H72" s="96" t="s">
        <v>3103</v>
      </c>
      <c r="I72" s="96" t="s">
        <v>320</v>
      </c>
      <c r="J72" s="96" t="s">
        <v>965</v>
      </c>
      <c r="K72" s="96" t="s">
        <v>203</v>
      </c>
      <c r="L72" s="96" t="s">
        <v>203</v>
      </c>
      <c r="M72" s="96" t="s">
        <v>339</v>
      </c>
      <c r="N72" s="96" t="s">
        <v>571</v>
      </c>
      <c r="O72" s="96" t="s">
        <v>338</v>
      </c>
      <c r="P72" s="96" t="s">
        <v>1200</v>
      </c>
      <c r="Q72" s="97">
        <v>28530.878014000002</v>
      </c>
      <c r="R72" s="97">
        <v>1</v>
      </c>
      <c r="S72" s="97">
        <v>1915</v>
      </c>
      <c r="T72" s="96"/>
      <c r="U72" s="97">
        <v>546.36631299999999</v>
      </c>
      <c r="V72" s="98">
        <v>5.7300000000000005E-4</v>
      </c>
      <c r="W72" s="98">
        <v>3.444E-3</v>
      </c>
      <c r="X72" s="98">
        <v>2.8400000000000002E-4</v>
      </c>
      <c r="Y72" s="106"/>
    </row>
    <row r="73" spans="1:25" ht="15" customHeight="1">
      <c r="A73" s="106"/>
      <c r="B73" s="96">
        <v>286</v>
      </c>
      <c r="C73" s="96">
        <v>286</v>
      </c>
      <c r="D73" s="96" t="s">
        <v>3028</v>
      </c>
      <c r="E73" s="96">
        <v>513534974</v>
      </c>
      <c r="F73" s="96" t="s">
        <v>308</v>
      </c>
      <c r="G73" s="96" t="s">
        <v>3080</v>
      </c>
      <c r="H73" s="96" t="s">
        <v>3081</v>
      </c>
      <c r="I73" s="96" t="s">
        <v>320</v>
      </c>
      <c r="J73" s="96" t="s">
        <v>967</v>
      </c>
      <c r="K73" s="96" t="s">
        <v>203</v>
      </c>
      <c r="L73" s="96" t="s">
        <v>203</v>
      </c>
      <c r="M73" s="96" t="s">
        <v>339</v>
      </c>
      <c r="N73" s="96" t="s">
        <v>631</v>
      </c>
      <c r="O73" s="96" t="s">
        <v>338</v>
      </c>
      <c r="P73" s="96" t="s">
        <v>1200</v>
      </c>
      <c r="Q73" s="97">
        <v>34483.347963</v>
      </c>
      <c r="R73" s="97">
        <v>1</v>
      </c>
      <c r="S73" s="97">
        <v>3777.39</v>
      </c>
      <c r="T73" s="96"/>
      <c r="U73" s="97">
        <v>1302.5705370000001</v>
      </c>
      <c r="V73" s="98">
        <v>3.1939999999999998E-3</v>
      </c>
      <c r="W73" s="98">
        <v>8.2109999999999995E-3</v>
      </c>
      <c r="X73" s="98">
        <v>6.78E-4</v>
      </c>
      <c r="Y73" s="106"/>
    </row>
    <row r="74" spans="1:25" ht="15" customHeight="1">
      <c r="A74" s="106"/>
      <c r="B74" s="96">
        <v>286</v>
      </c>
      <c r="C74" s="96">
        <v>286</v>
      </c>
      <c r="D74" s="96" t="s">
        <v>3028</v>
      </c>
      <c r="E74" s="96">
        <v>513534974</v>
      </c>
      <c r="F74" s="96" t="s">
        <v>308</v>
      </c>
      <c r="G74" s="96" t="s">
        <v>3127</v>
      </c>
      <c r="H74" s="96" t="s">
        <v>3128</v>
      </c>
      <c r="I74" s="96" t="s">
        <v>320</v>
      </c>
      <c r="J74" s="96" t="s">
        <v>965</v>
      </c>
      <c r="K74" s="96" t="s">
        <v>203</v>
      </c>
      <c r="L74" s="96" t="s">
        <v>203</v>
      </c>
      <c r="M74" s="96" t="s">
        <v>339</v>
      </c>
      <c r="N74" s="96" t="s">
        <v>571</v>
      </c>
      <c r="O74" s="96" t="s">
        <v>338</v>
      </c>
      <c r="P74" s="96" t="s">
        <v>1200</v>
      </c>
      <c r="Q74" s="97">
        <v>147247.78484499999</v>
      </c>
      <c r="R74" s="97">
        <v>1</v>
      </c>
      <c r="S74" s="97">
        <v>1926</v>
      </c>
      <c r="T74" s="96"/>
      <c r="U74" s="97">
        <v>2835.9923359999998</v>
      </c>
      <c r="V74" s="98">
        <v>8.3799999999999999E-4</v>
      </c>
      <c r="W74" s="98">
        <v>1.7877000000000001E-2</v>
      </c>
      <c r="X74" s="98">
        <v>1.4760000000000001E-3</v>
      </c>
      <c r="Y74" s="106"/>
    </row>
    <row r="75" spans="1:25" ht="15" customHeight="1">
      <c r="A75" s="106"/>
      <c r="B75" s="96">
        <v>286</v>
      </c>
      <c r="C75" s="96">
        <v>286</v>
      </c>
      <c r="D75" s="96" t="s">
        <v>3031</v>
      </c>
      <c r="E75" s="96">
        <v>511303661</v>
      </c>
      <c r="F75" s="96" t="s">
        <v>308</v>
      </c>
      <c r="G75" s="96" t="s">
        <v>3074</v>
      </c>
      <c r="H75" s="96" t="s">
        <v>3075</v>
      </c>
      <c r="I75" s="96" t="s">
        <v>320</v>
      </c>
      <c r="J75" s="96" t="s">
        <v>967</v>
      </c>
      <c r="K75" s="96" t="s">
        <v>203</v>
      </c>
      <c r="L75" s="96" t="s">
        <v>203</v>
      </c>
      <c r="M75" s="96" t="s">
        <v>339</v>
      </c>
      <c r="N75" s="96" t="s">
        <v>629</v>
      </c>
      <c r="O75" s="96" t="s">
        <v>338</v>
      </c>
      <c r="P75" s="96" t="s">
        <v>1200</v>
      </c>
      <c r="Q75" s="97">
        <v>72600.627135000002</v>
      </c>
      <c r="R75" s="97">
        <v>1</v>
      </c>
      <c r="S75" s="97">
        <v>445</v>
      </c>
      <c r="T75" s="96"/>
      <c r="U75" s="97">
        <v>323.07279</v>
      </c>
      <c r="V75" s="98">
        <v>4.9799999999999996E-4</v>
      </c>
      <c r="W75" s="98">
        <v>2.036E-3</v>
      </c>
      <c r="X75" s="98">
        <v>1.6799999999999999E-4</v>
      </c>
      <c r="Y75" s="106"/>
    </row>
    <row r="76" spans="1:25" ht="15" customHeight="1">
      <c r="A76" s="106"/>
      <c r="B76" s="96">
        <v>286</v>
      </c>
      <c r="C76" s="96">
        <v>286</v>
      </c>
      <c r="D76" s="96" t="s">
        <v>3028</v>
      </c>
      <c r="E76" s="96">
        <v>513534974</v>
      </c>
      <c r="F76" s="96" t="s">
        <v>308</v>
      </c>
      <c r="G76" s="96" t="s">
        <v>3062</v>
      </c>
      <c r="H76" s="96" t="s">
        <v>3063</v>
      </c>
      <c r="I76" s="96" t="s">
        <v>320</v>
      </c>
      <c r="J76" s="96" t="s">
        <v>967</v>
      </c>
      <c r="K76" s="96" t="s">
        <v>203</v>
      </c>
      <c r="L76" s="96" t="s">
        <v>203</v>
      </c>
      <c r="M76" s="96" t="s">
        <v>339</v>
      </c>
      <c r="N76" s="96" t="s">
        <v>572</v>
      </c>
      <c r="O76" s="96" t="s">
        <v>338</v>
      </c>
      <c r="P76" s="96" t="s">
        <v>1200</v>
      </c>
      <c r="Q76" s="97">
        <v>155939.30162799999</v>
      </c>
      <c r="R76" s="97">
        <v>1</v>
      </c>
      <c r="S76" s="97">
        <v>361.68</v>
      </c>
      <c r="T76" s="96"/>
      <c r="U76" s="97">
        <v>564.00126599999999</v>
      </c>
      <c r="V76" s="98">
        <v>7.6300000000000001E-4</v>
      </c>
      <c r="W76" s="98">
        <v>3.555E-3</v>
      </c>
      <c r="X76" s="98">
        <v>2.9300000000000002E-4</v>
      </c>
      <c r="Y76" s="106"/>
    </row>
    <row r="77" spans="1:25" ht="15" customHeight="1">
      <c r="A77" s="106"/>
      <c r="B77" s="96">
        <v>286</v>
      </c>
      <c r="C77" s="96">
        <v>286</v>
      </c>
      <c r="D77" s="96" t="s">
        <v>3022</v>
      </c>
      <c r="E77" s="96">
        <v>513765339</v>
      </c>
      <c r="F77" s="96" t="s">
        <v>308</v>
      </c>
      <c r="G77" s="96" t="s">
        <v>3050</v>
      </c>
      <c r="H77" s="96" t="s">
        <v>3051</v>
      </c>
      <c r="I77" s="96" t="s">
        <v>320</v>
      </c>
      <c r="J77" s="96" t="s">
        <v>967</v>
      </c>
      <c r="K77" s="96" t="s">
        <v>203</v>
      </c>
      <c r="L77" s="96" t="s">
        <v>203</v>
      </c>
      <c r="M77" s="96" t="s">
        <v>339</v>
      </c>
      <c r="N77" s="96" t="s">
        <v>575</v>
      </c>
      <c r="O77" s="96" t="s">
        <v>338</v>
      </c>
      <c r="P77" s="96" t="s">
        <v>1200</v>
      </c>
      <c r="Q77" s="97">
        <v>899500.96413400001</v>
      </c>
      <c r="R77" s="97">
        <v>1</v>
      </c>
      <c r="S77" s="97">
        <v>357.8</v>
      </c>
      <c r="T77" s="96"/>
      <c r="U77" s="97">
        <v>3218.4144489999999</v>
      </c>
      <c r="V77" s="98">
        <v>2.9970000000000001E-3</v>
      </c>
      <c r="W77" s="98">
        <v>2.0288E-2</v>
      </c>
      <c r="X77" s="98">
        <v>1.676E-3</v>
      </c>
      <c r="Y77" s="106"/>
    </row>
    <row r="78" spans="1:25" ht="15" customHeight="1">
      <c r="A78" s="106"/>
      <c r="B78" s="96">
        <v>286</v>
      </c>
      <c r="C78" s="96">
        <v>286</v>
      </c>
      <c r="D78" s="96" t="s">
        <v>3047</v>
      </c>
      <c r="E78" s="96">
        <v>511776783</v>
      </c>
      <c r="F78" s="96" t="s">
        <v>308</v>
      </c>
      <c r="G78" s="96" t="s">
        <v>3082</v>
      </c>
      <c r="H78" s="96" t="s">
        <v>3083</v>
      </c>
      <c r="I78" s="96" t="s">
        <v>320</v>
      </c>
      <c r="J78" s="96" t="s">
        <v>967</v>
      </c>
      <c r="K78" s="96" t="s">
        <v>203</v>
      </c>
      <c r="L78" s="96" t="s">
        <v>203</v>
      </c>
      <c r="M78" s="96" t="s">
        <v>339</v>
      </c>
      <c r="N78" s="96" t="s">
        <v>626</v>
      </c>
      <c r="O78" s="96" t="s">
        <v>338</v>
      </c>
      <c r="P78" s="96" t="s">
        <v>1200</v>
      </c>
      <c r="Q78" s="97">
        <v>86785.292134000003</v>
      </c>
      <c r="R78" s="97">
        <v>1</v>
      </c>
      <c r="S78" s="97">
        <v>370.12</v>
      </c>
      <c r="T78" s="96"/>
      <c r="U78" s="97">
        <v>321.209723</v>
      </c>
      <c r="V78" s="98">
        <v>1.818E-3</v>
      </c>
      <c r="W78" s="98">
        <v>2.0240000000000002E-3</v>
      </c>
      <c r="X78" s="98">
        <v>1.6699999999999999E-4</v>
      </c>
      <c r="Y78" s="106"/>
    </row>
    <row r="79" spans="1:25" ht="15" customHeight="1">
      <c r="A79" s="106"/>
      <c r="B79" s="96">
        <v>286</v>
      </c>
      <c r="C79" s="96">
        <v>286</v>
      </c>
      <c r="D79" s="96" t="s">
        <v>3047</v>
      </c>
      <c r="E79" s="96">
        <v>511776783</v>
      </c>
      <c r="F79" s="96" t="s">
        <v>308</v>
      </c>
      <c r="G79" s="96" t="s">
        <v>3048</v>
      </c>
      <c r="H79" s="96" t="s">
        <v>3049</v>
      </c>
      <c r="I79" s="96" t="s">
        <v>320</v>
      </c>
      <c r="J79" s="96" t="s">
        <v>967</v>
      </c>
      <c r="K79" s="96" t="s">
        <v>203</v>
      </c>
      <c r="L79" s="96" t="s">
        <v>203</v>
      </c>
      <c r="M79" s="96" t="s">
        <v>339</v>
      </c>
      <c r="N79" s="96" t="s">
        <v>575</v>
      </c>
      <c r="O79" s="96" t="s">
        <v>338</v>
      </c>
      <c r="P79" s="96" t="s">
        <v>1200</v>
      </c>
      <c r="Q79" s="97">
        <v>480550.268507</v>
      </c>
      <c r="R79" s="97">
        <v>1</v>
      </c>
      <c r="S79" s="97">
        <v>355.84</v>
      </c>
      <c r="T79" s="96"/>
      <c r="U79" s="97">
        <v>1709.9900749999999</v>
      </c>
      <c r="V79" s="98">
        <v>2.4020000000000001E-3</v>
      </c>
      <c r="W79" s="98">
        <v>1.0779E-2</v>
      </c>
      <c r="X79" s="98">
        <v>8.8999999999999995E-4</v>
      </c>
      <c r="Y79" s="106"/>
    </row>
    <row r="80" spans="1:25" ht="15" customHeight="1">
      <c r="A80" s="106"/>
      <c r="B80" s="96">
        <v>286</v>
      </c>
      <c r="C80" s="96">
        <v>286</v>
      </c>
      <c r="D80" s="96" t="s">
        <v>3047</v>
      </c>
      <c r="E80" s="96">
        <v>511776783</v>
      </c>
      <c r="F80" s="96" t="s">
        <v>308</v>
      </c>
      <c r="G80" s="96" t="s">
        <v>3060</v>
      </c>
      <c r="H80" s="96" t="s">
        <v>3061</v>
      </c>
      <c r="I80" s="96" t="s">
        <v>320</v>
      </c>
      <c r="J80" s="96" t="s">
        <v>967</v>
      </c>
      <c r="K80" s="96" t="s">
        <v>203</v>
      </c>
      <c r="L80" s="96" t="s">
        <v>203</v>
      </c>
      <c r="M80" s="96" t="s">
        <v>339</v>
      </c>
      <c r="N80" s="96" t="s">
        <v>629</v>
      </c>
      <c r="O80" s="96" t="s">
        <v>338</v>
      </c>
      <c r="P80" s="96" t="s">
        <v>1200</v>
      </c>
      <c r="Q80" s="97">
        <v>60205.080356999999</v>
      </c>
      <c r="R80" s="97">
        <v>1</v>
      </c>
      <c r="S80" s="97">
        <v>383.33</v>
      </c>
      <c r="T80" s="96"/>
      <c r="U80" s="97">
        <v>230.78413399999999</v>
      </c>
      <c r="V80" s="98">
        <v>3.4600000000000001E-4</v>
      </c>
      <c r="W80" s="98">
        <v>1.454E-3</v>
      </c>
      <c r="X80" s="98">
        <v>1.2E-4</v>
      </c>
      <c r="Y80" s="106"/>
    </row>
    <row r="81" spans="1:25" ht="15" customHeight="1">
      <c r="A81" s="106"/>
      <c r="B81" s="96">
        <v>286</v>
      </c>
      <c r="C81" s="96">
        <v>286</v>
      </c>
      <c r="D81" s="96" t="s">
        <v>3034</v>
      </c>
      <c r="E81" s="96">
        <v>510938608</v>
      </c>
      <c r="F81" s="96" t="s">
        <v>308</v>
      </c>
      <c r="G81" s="96" t="s">
        <v>3072</v>
      </c>
      <c r="H81" s="96" t="s">
        <v>3073</v>
      </c>
      <c r="I81" s="96" t="s">
        <v>320</v>
      </c>
      <c r="J81" s="96" t="s">
        <v>967</v>
      </c>
      <c r="K81" s="96" t="s">
        <v>203</v>
      </c>
      <c r="L81" s="96" t="s">
        <v>203</v>
      </c>
      <c r="M81" s="96" t="s">
        <v>339</v>
      </c>
      <c r="N81" s="96" t="s">
        <v>572</v>
      </c>
      <c r="O81" s="96" t="s">
        <v>338</v>
      </c>
      <c r="P81" s="96" t="s">
        <v>1200</v>
      </c>
      <c r="Q81" s="97">
        <v>21891.219010000001</v>
      </c>
      <c r="R81" s="97">
        <v>1</v>
      </c>
      <c r="S81" s="97">
        <v>3605.5</v>
      </c>
      <c r="T81" s="96"/>
      <c r="U81" s="97">
        <v>789.28790100000003</v>
      </c>
      <c r="V81" s="98">
        <v>7.9199999999999995E-4</v>
      </c>
      <c r="W81" s="98">
        <v>4.9750000000000003E-3</v>
      </c>
      <c r="X81" s="98">
        <v>4.1100000000000002E-4</v>
      </c>
      <c r="Y81" s="106"/>
    </row>
    <row r="82" spans="1:25" ht="15" customHeight="1">
      <c r="A82" s="106"/>
      <c r="B82" s="96">
        <v>286</v>
      </c>
      <c r="C82" s="96">
        <v>286</v>
      </c>
      <c r="D82" s="96" t="s">
        <v>3031</v>
      </c>
      <c r="E82" s="96">
        <v>511303661</v>
      </c>
      <c r="F82" s="96" t="s">
        <v>308</v>
      </c>
      <c r="G82" s="96" t="s">
        <v>3119</v>
      </c>
      <c r="H82" s="96" t="s">
        <v>3120</v>
      </c>
      <c r="I82" s="96" t="s">
        <v>320</v>
      </c>
      <c r="J82" s="96" t="s">
        <v>965</v>
      </c>
      <c r="K82" s="96" t="s">
        <v>203</v>
      </c>
      <c r="L82" s="96" t="s">
        <v>203</v>
      </c>
      <c r="M82" s="96" t="s">
        <v>339</v>
      </c>
      <c r="N82" s="96" t="s">
        <v>576</v>
      </c>
      <c r="O82" s="96" t="s">
        <v>338</v>
      </c>
      <c r="P82" s="96" t="s">
        <v>1200</v>
      </c>
      <c r="Q82" s="97">
        <v>63698.676435000001</v>
      </c>
      <c r="R82" s="97">
        <v>1</v>
      </c>
      <c r="S82" s="97">
        <v>2678</v>
      </c>
      <c r="T82" s="96"/>
      <c r="U82" s="97">
        <v>1705.8505540000001</v>
      </c>
      <c r="V82" s="98">
        <v>1.5740000000000001E-3</v>
      </c>
      <c r="W82" s="98">
        <v>1.0753E-2</v>
      </c>
      <c r="X82" s="98">
        <v>8.8800000000000001E-4</v>
      </c>
      <c r="Y82" s="106"/>
    </row>
    <row r="83" spans="1:25" ht="15" customHeight="1">
      <c r="A83" s="106"/>
      <c r="B83" s="96">
        <v>286</v>
      </c>
      <c r="C83" s="96">
        <v>286</v>
      </c>
      <c r="D83" s="96" t="s">
        <v>3047</v>
      </c>
      <c r="E83" s="96">
        <v>511776783</v>
      </c>
      <c r="F83" s="96" t="s">
        <v>308</v>
      </c>
      <c r="G83" s="96" t="s">
        <v>3068</v>
      </c>
      <c r="H83" s="96" t="s">
        <v>3069</v>
      </c>
      <c r="I83" s="96" t="s">
        <v>320</v>
      </c>
      <c r="J83" s="96" t="s">
        <v>967</v>
      </c>
      <c r="K83" s="96" t="s">
        <v>203</v>
      </c>
      <c r="L83" s="96" t="s">
        <v>203</v>
      </c>
      <c r="M83" s="96" t="s">
        <v>339</v>
      </c>
      <c r="N83" s="96" t="s">
        <v>572</v>
      </c>
      <c r="O83" s="96" t="s">
        <v>338</v>
      </c>
      <c r="P83" s="96" t="s">
        <v>1200</v>
      </c>
      <c r="Q83" s="97">
        <v>233579.12425299999</v>
      </c>
      <c r="R83" s="97">
        <v>1</v>
      </c>
      <c r="S83" s="97">
        <v>364.58</v>
      </c>
      <c r="T83" s="96"/>
      <c r="U83" s="97">
        <v>851.58277099999998</v>
      </c>
      <c r="V83" s="98">
        <v>2.5349999999999999E-3</v>
      </c>
      <c r="W83" s="98">
        <v>5.3680000000000004E-3</v>
      </c>
      <c r="X83" s="98">
        <v>4.4299999999999998E-4</v>
      </c>
      <c r="Y83" s="106"/>
    </row>
    <row r="84" spans="1:25" ht="15" customHeight="1">
      <c r="A84" s="106"/>
      <c r="B84" s="96">
        <v>286</v>
      </c>
      <c r="C84" s="96">
        <v>286</v>
      </c>
      <c r="D84" s="96" t="s">
        <v>3031</v>
      </c>
      <c r="E84" s="96">
        <v>511303661</v>
      </c>
      <c r="F84" s="96" t="s">
        <v>308</v>
      </c>
      <c r="G84" s="96" t="s">
        <v>3088</v>
      </c>
      <c r="H84" s="96" t="s">
        <v>3089</v>
      </c>
      <c r="I84" s="96" t="s">
        <v>320</v>
      </c>
      <c r="J84" s="96" t="s">
        <v>967</v>
      </c>
      <c r="K84" s="96" t="s">
        <v>203</v>
      </c>
      <c r="L84" s="96" t="s">
        <v>203</v>
      </c>
      <c r="M84" s="96" t="s">
        <v>339</v>
      </c>
      <c r="N84" s="96" t="s">
        <v>631</v>
      </c>
      <c r="O84" s="96" t="s">
        <v>338</v>
      </c>
      <c r="P84" s="96" t="s">
        <v>1200</v>
      </c>
      <c r="Q84" s="97">
        <v>702696.18330899999</v>
      </c>
      <c r="R84" s="97">
        <v>1</v>
      </c>
      <c r="S84" s="97">
        <v>307.74</v>
      </c>
      <c r="T84" s="96"/>
      <c r="U84" s="97">
        <v>2162.477234</v>
      </c>
      <c r="V84" s="98">
        <v>3.8440000000000002E-3</v>
      </c>
      <c r="W84" s="98">
        <v>1.3632E-2</v>
      </c>
      <c r="X84" s="98">
        <v>1.126E-3</v>
      </c>
      <c r="Y84" s="106"/>
    </row>
    <row r="85" spans="1:25" ht="15" customHeight="1">
      <c r="A85" s="106"/>
      <c r="B85" s="96">
        <v>286</v>
      </c>
      <c r="C85" s="96">
        <v>286</v>
      </c>
      <c r="D85" s="96" t="s">
        <v>3028</v>
      </c>
      <c r="E85" s="96">
        <v>513534974</v>
      </c>
      <c r="F85" s="96" t="s">
        <v>308</v>
      </c>
      <c r="G85" s="96" t="s">
        <v>3058</v>
      </c>
      <c r="H85" s="96" t="s">
        <v>3059</v>
      </c>
      <c r="I85" s="96" t="s">
        <v>320</v>
      </c>
      <c r="J85" s="96" t="s">
        <v>967</v>
      </c>
      <c r="K85" s="96" t="s">
        <v>203</v>
      </c>
      <c r="L85" s="96" t="s">
        <v>203</v>
      </c>
      <c r="M85" s="96" t="s">
        <v>339</v>
      </c>
      <c r="N85" s="96" t="s">
        <v>629</v>
      </c>
      <c r="O85" s="96" t="s">
        <v>338</v>
      </c>
      <c r="P85" s="96" t="s">
        <v>1200</v>
      </c>
      <c r="Q85" s="97">
        <v>254755.14275200001</v>
      </c>
      <c r="R85" s="97">
        <v>1</v>
      </c>
      <c r="S85" s="97">
        <v>384.65</v>
      </c>
      <c r="T85" s="96"/>
      <c r="U85" s="97">
        <v>979.91565600000001</v>
      </c>
      <c r="V85" s="98">
        <v>8.8099999999999995E-4</v>
      </c>
      <c r="W85" s="98">
        <v>6.1770000000000002E-3</v>
      </c>
      <c r="X85" s="98">
        <v>5.1000000000000004E-4</v>
      </c>
      <c r="Y85" s="106"/>
    </row>
    <row r="86" spans="1:25" ht="15" customHeight="1">
      <c r="A86" s="106"/>
      <c r="B86" s="96">
        <v>286</v>
      </c>
      <c r="C86" s="96">
        <v>286</v>
      </c>
      <c r="D86" s="96" t="s">
        <v>3116</v>
      </c>
      <c r="E86" s="96">
        <v>513846808</v>
      </c>
      <c r="F86" s="96" t="s">
        <v>308</v>
      </c>
      <c r="G86" s="96" t="s">
        <v>3117</v>
      </c>
      <c r="H86" s="96" t="s">
        <v>3118</v>
      </c>
      <c r="I86" s="96" t="s">
        <v>320</v>
      </c>
      <c r="J86" s="96" t="s">
        <v>965</v>
      </c>
      <c r="K86" s="96" t="s">
        <v>203</v>
      </c>
      <c r="L86" s="96" t="s">
        <v>203</v>
      </c>
      <c r="M86" s="96" t="s">
        <v>339</v>
      </c>
      <c r="N86" s="96" t="s">
        <v>696</v>
      </c>
      <c r="O86" s="96" t="s">
        <v>338</v>
      </c>
      <c r="P86" s="96" t="s">
        <v>1200</v>
      </c>
      <c r="Q86" s="97">
        <v>2763.0189610000002</v>
      </c>
      <c r="R86" s="97">
        <v>1</v>
      </c>
      <c r="S86" s="97">
        <v>4900</v>
      </c>
      <c r="T86" s="96"/>
      <c r="U86" s="97">
        <v>135.38792900000001</v>
      </c>
      <c r="V86" s="98">
        <v>1.057E-3</v>
      </c>
      <c r="W86" s="98">
        <v>8.5300000000000003E-4</v>
      </c>
      <c r="X86" s="98">
        <v>6.9999999999999994E-5</v>
      </c>
      <c r="Y86" s="106"/>
    </row>
    <row r="87" spans="1:25" ht="15" customHeight="1">
      <c r="A87" s="106"/>
      <c r="B87" s="96">
        <v>286</v>
      </c>
      <c r="C87" s="96">
        <v>286</v>
      </c>
      <c r="D87" s="96" t="s">
        <v>3034</v>
      </c>
      <c r="E87" s="96">
        <v>510938608</v>
      </c>
      <c r="F87" s="96" t="s">
        <v>308</v>
      </c>
      <c r="G87" s="96" t="s">
        <v>3123</v>
      </c>
      <c r="H87" s="96" t="s">
        <v>3124</v>
      </c>
      <c r="I87" s="96" t="s">
        <v>320</v>
      </c>
      <c r="J87" s="96" t="s">
        <v>965</v>
      </c>
      <c r="K87" s="96" t="s">
        <v>203</v>
      </c>
      <c r="L87" s="96" t="s">
        <v>203</v>
      </c>
      <c r="M87" s="96" t="s">
        <v>339</v>
      </c>
      <c r="N87" s="96" t="s">
        <v>571</v>
      </c>
      <c r="O87" s="96" t="s">
        <v>338</v>
      </c>
      <c r="P87" s="96" t="s">
        <v>1200</v>
      </c>
      <c r="Q87" s="97">
        <v>14540.303044</v>
      </c>
      <c r="R87" s="97">
        <v>1</v>
      </c>
      <c r="S87" s="97">
        <v>19140</v>
      </c>
      <c r="T87" s="96"/>
      <c r="U87" s="97">
        <v>2783.0140019999999</v>
      </c>
      <c r="V87" s="98">
        <v>5.4199999999999995E-4</v>
      </c>
      <c r="W87" s="98">
        <v>1.7543E-2</v>
      </c>
      <c r="X87" s="98">
        <v>1.449E-3</v>
      </c>
      <c r="Y87" s="106"/>
    </row>
    <row r="88" spans="1:25" ht="15" customHeight="1">
      <c r="A88" s="106"/>
      <c r="B88" s="96">
        <v>286</v>
      </c>
      <c r="C88" s="96">
        <v>286</v>
      </c>
      <c r="D88" s="96" t="s">
        <v>3028</v>
      </c>
      <c r="E88" s="96">
        <v>513534974</v>
      </c>
      <c r="F88" s="96" t="s">
        <v>308</v>
      </c>
      <c r="G88" s="96" t="s">
        <v>3104</v>
      </c>
      <c r="H88" s="96" t="s">
        <v>3105</v>
      </c>
      <c r="I88" s="96" t="s">
        <v>320</v>
      </c>
      <c r="J88" s="96" t="s">
        <v>965</v>
      </c>
      <c r="K88" s="96" t="s">
        <v>203</v>
      </c>
      <c r="L88" s="96" t="s">
        <v>203</v>
      </c>
      <c r="M88" s="96" t="s">
        <v>339</v>
      </c>
      <c r="N88" s="96" t="s">
        <v>695</v>
      </c>
      <c r="O88" s="96" t="s">
        <v>338</v>
      </c>
      <c r="P88" s="96" t="s">
        <v>1200</v>
      </c>
      <c r="Q88" s="97">
        <v>13950.477921</v>
      </c>
      <c r="R88" s="97">
        <v>1</v>
      </c>
      <c r="S88" s="97">
        <v>2746</v>
      </c>
      <c r="T88" s="96"/>
      <c r="U88" s="97">
        <v>383.08012300000001</v>
      </c>
      <c r="V88" s="98">
        <v>1.4E-3</v>
      </c>
      <c r="W88" s="98">
        <v>2.4139999999999999E-3</v>
      </c>
      <c r="X88" s="98">
        <v>1.9900000000000001E-4</v>
      </c>
      <c r="Y88" s="106"/>
    </row>
    <row r="89" spans="1:25" ht="15" customHeight="1">
      <c r="A89" s="106"/>
      <c r="B89" s="96">
        <v>286</v>
      </c>
      <c r="C89" s="96">
        <v>286</v>
      </c>
      <c r="D89" s="96" t="s">
        <v>3025</v>
      </c>
      <c r="E89" s="96">
        <v>514884485</v>
      </c>
      <c r="F89" s="96" t="s">
        <v>308</v>
      </c>
      <c r="G89" s="96" t="s">
        <v>3108</v>
      </c>
      <c r="H89" s="96" t="s">
        <v>3109</v>
      </c>
      <c r="I89" s="96" t="s">
        <v>320</v>
      </c>
      <c r="J89" s="96" t="s">
        <v>965</v>
      </c>
      <c r="K89" s="96" t="s">
        <v>203</v>
      </c>
      <c r="L89" s="96" t="s">
        <v>203</v>
      </c>
      <c r="M89" s="96" t="s">
        <v>339</v>
      </c>
      <c r="N89" s="96" t="s">
        <v>696</v>
      </c>
      <c r="O89" s="96" t="s">
        <v>338</v>
      </c>
      <c r="P89" s="96" t="s">
        <v>1200</v>
      </c>
      <c r="Q89" s="97">
        <v>70069.131942000007</v>
      </c>
      <c r="R89" s="97">
        <v>1</v>
      </c>
      <c r="S89" s="97">
        <v>5621</v>
      </c>
      <c r="T89" s="96"/>
      <c r="U89" s="97">
        <v>3938.5859059999998</v>
      </c>
      <c r="V89" s="98">
        <v>2.1289999999999998E-3</v>
      </c>
      <c r="W89" s="98">
        <v>2.4827999999999999E-2</v>
      </c>
      <c r="X89" s="98">
        <v>2.0509999999999999E-3</v>
      </c>
      <c r="Y89" s="106"/>
    </row>
    <row r="90" spans="1:25" ht="15" customHeight="1">
      <c r="A90" s="106"/>
      <c r="B90" s="96">
        <v>286</v>
      </c>
      <c r="C90" s="96">
        <v>286</v>
      </c>
      <c r="D90" s="96" t="s">
        <v>3034</v>
      </c>
      <c r="E90" s="96">
        <v>510938608</v>
      </c>
      <c r="F90" s="96" t="s">
        <v>308</v>
      </c>
      <c r="G90" s="96" t="s">
        <v>3064</v>
      </c>
      <c r="H90" s="96" t="s">
        <v>3065</v>
      </c>
      <c r="I90" s="96" t="s">
        <v>320</v>
      </c>
      <c r="J90" s="96" t="s">
        <v>967</v>
      </c>
      <c r="K90" s="96" t="s">
        <v>203</v>
      </c>
      <c r="L90" s="96" t="s">
        <v>203</v>
      </c>
      <c r="M90" s="96" t="s">
        <v>339</v>
      </c>
      <c r="N90" s="96" t="s">
        <v>633</v>
      </c>
      <c r="O90" s="96" t="s">
        <v>338</v>
      </c>
      <c r="P90" s="96" t="s">
        <v>1200</v>
      </c>
      <c r="Q90" s="97">
        <v>6044.5640309999999</v>
      </c>
      <c r="R90" s="97">
        <v>1</v>
      </c>
      <c r="S90" s="97">
        <v>3854.27</v>
      </c>
      <c r="T90" s="96"/>
      <c r="U90" s="97">
        <v>232.97381799999999</v>
      </c>
      <c r="V90" s="98">
        <v>3.4269999999999999E-3</v>
      </c>
      <c r="W90" s="98">
        <v>1.4679999999999999E-3</v>
      </c>
      <c r="X90" s="98">
        <v>1.21E-4</v>
      </c>
      <c r="Y90" s="106"/>
    </row>
    <row r="91" spans="1:25" ht="15" customHeight="1">
      <c r="A91" s="106"/>
      <c r="B91" s="96">
        <v>286</v>
      </c>
      <c r="C91" s="96">
        <v>286</v>
      </c>
      <c r="D91" s="96" t="s">
        <v>3028</v>
      </c>
      <c r="E91" s="96">
        <v>513534974</v>
      </c>
      <c r="F91" s="96" t="s">
        <v>308</v>
      </c>
      <c r="G91" s="96" t="s">
        <v>3066</v>
      </c>
      <c r="H91" s="96" t="s">
        <v>3067</v>
      </c>
      <c r="I91" s="96" t="s">
        <v>320</v>
      </c>
      <c r="J91" s="96" t="s">
        <v>967</v>
      </c>
      <c r="K91" s="96" t="s">
        <v>203</v>
      </c>
      <c r="L91" s="96" t="s">
        <v>203</v>
      </c>
      <c r="M91" s="96" t="s">
        <v>339</v>
      </c>
      <c r="N91" s="96" t="s">
        <v>575</v>
      </c>
      <c r="O91" s="96" t="s">
        <v>338</v>
      </c>
      <c r="P91" s="96" t="s">
        <v>1200</v>
      </c>
      <c r="Q91" s="97">
        <v>758028.67572099995</v>
      </c>
      <c r="R91" s="97">
        <v>1</v>
      </c>
      <c r="S91" s="97">
        <v>356.58</v>
      </c>
      <c r="T91" s="96"/>
      <c r="U91" s="97">
        <v>2702.9786509999999</v>
      </c>
      <c r="V91" s="98">
        <v>1.9880000000000002E-3</v>
      </c>
      <c r="W91" s="98">
        <v>1.7038999999999999E-2</v>
      </c>
      <c r="X91" s="98">
        <v>1.407E-3</v>
      </c>
      <c r="Y91" s="106"/>
    </row>
    <row r="92" spans="1:25" ht="15" customHeight="1">
      <c r="A92" s="106"/>
      <c r="B92" s="96">
        <v>286</v>
      </c>
      <c r="C92" s="96">
        <v>286</v>
      </c>
      <c r="D92" s="96" t="s">
        <v>3047</v>
      </c>
      <c r="E92" s="96">
        <v>511776783</v>
      </c>
      <c r="F92" s="96" t="s">
        <v>308</v>
      </c>
      <c r="G92" s="96" t="s">
        <v>3125</v>
      </c>
      <c r="H92" s="96" t="s">
        <v>3126</v>
      </c>
      <c r="I92" s="96" t="s">
        <v>320</v>
      </c>
      <c r="J92" s="96" t="s">
        <v>965</v>
      </c>
      <c r="K92" s="96" t="s">
        <v>203</v>
      </c>
      <c r="L92" s="96" t="s">
        <v>203</v>
      </c>
      <c r="M92" s="96" t="s">
        <v>339</v>
      </c>
      <c r="N92" s="96" t="s">
        <v>571</v>
      </c>
      <c r="O92" s="96" t="s">
        <v>338</v>
      </c>
      <c r="P92" s="96" t="s">
        <v>1200</v>
      </c>
      <c r="Q92" s="97">
        <v>427.20894199999998</v>
      </c>
      <c r="R92" s="97">
        <v>1</v>
      </c>
      <c r="S92" s="97">
        <v>1921</v>
      </c>
      <c r="T92" s="96"/>
      <c r="U92" s="97">
        <v>8.206683</v>
      </c>
      <c r="V92" s="98">
        <v>5.0000000000000004E-6</v>
      </c>
      <c r="W92" s="98">
        <v>5.1E-5</v>
      </c>
      <c r="X92" s="98">
        <v>3.9999999999999998E-6</v>
      </c>
      <c r="Y92" s="106"/>
    </row>
    <row r="93" spans="1:25" ht="15" customHeight="1">
      <c r="A93" s="106"/>
      <c r="B93" s="96">
        <v>286</v>
      </c>
      <c r="C93" s="96">
        <v>286</v>
      </c>
      <c r="D93" s="96" t="s">
        <v>3047</v>
      </c>
      <c r="E93" s="96">
        <v>511776783</v>
      </c>
      <c r="F93" s="96" t="s">
        <v>308</v>
      </c>
      <c r="G93" s="96" t="s">
        <v>3110</v>
      </c>
      <c r="H93" s="96" t="s">
        <v>3111</v>
      </c>
      <c r="I93" s="96" t="s">
        <v>320</v>
      </c>
      <c r="J93" s="96" t="s">
        <v>965</v>
      </c>
      <c r="K93" s="96" t="s">
        <v>203</v>
      </c>
      <c r="L93" s="96" t="s">
        <v>203</v>
      </c>
      <c r="M93" s="96" t="s">
        <v>339</v>
      </c>
      <c r="N93" s="96" t="s">
        <v>573</v>
      </c>
      <c r="O93" s="96" t="s">
        <v>338</v>
      </c>
      <c r="P93" s="96" t="s">
        <v>1200</v>
      </c>
      <c r="Q93" s="97">
        <v>1003.447617</v>
      </c>
      <c r="R93" s="97">
        <v>1</v>
      </c>
      <c r="S93" s="97">
        <v>1961</v>
      </c>
      <c r="T93" s="96"/>
      <c r="U93" s="97">
        <v>19.677606999999998</v>
      </c>
      <c r="V93" s="98">
        <v>4.0000000000000003E-5</v>
      </c>
      <c r="W93" s="98">
        <v>1.2400000000000001E-4</v>
      </c>
      <c r="X93" s="98">
        <v>1.0000000000000001E-5</v>
      </c>
      <c r="Y93" s="106"/>
    </row>
    <row r="94" spans="1:25" ht="15" customHeight="1">
      <c r="A94" s="106"/>
      <c r="B94" s="96">
        <v>286</v>
      </c>
      <c r="C94" s="96">
        <v>286</v>
      </c>
      <c r="D94" s="96" t="s">
        <v>3047</v>
      </c>
      <c r="E94" s="96">
        <v>511776783</v>
      </c>
      <c r="F94" s="96" t="s">
        <v>308</v>
      </c>
      <c r="G94" s="96" t="s">
        <v>3078</v>
      </c>
      <c r="H94" s="96" t="s">
        <v>3079</v>
      </c>
      <c r="I94" s="96" t="s">
        <v>320</v>
      </c>
      <c r="J94" s="96" t="s">
        <v>967</v>
      </c>
      <c r="K94" s="96" t="s">
        <v>203</v>
      </c>
      <c r="L94" s="96" t="s">
        <v>203</v>
      </c>
      <c r="M94" s="96" t="s">
        <v>339</v>
      </c>
      <c r="N94" s="96" t="s">
        <v>631</v>
      </c>
      <c r="O94" s="96" t="s">
        <v>338</v>
      </c>
      <c r="P94" s="96" t="s">
        <v>1200</v>
      </c>
      <c r="Q94" s="97">
        <v>456409.012231</v>
      </c>
      <c r="R94" s="97">
        <v>1</v>
      </c>
      <c r="S94" s="97">
        <v>382.65</v>
      </c>
      <c r="T94" s="96"/>
      <c r="U94" s="97">
        <v>1746.449085</v>
      </c>
      <c r="V94" s="98">
        <v>4.4010000000000004E-3</v>
      </c>
      <c r="W94" s="98">
        <v>1.1009E-2</v>
      </c>
      <c r="X94" s="98">
        <v>9.0899999999999998E-4</v>
      </c>
      <c r="Y94" s="106"/>
    </row>
    <row r="95" spans="1:25" ht="15" customHeight="1">
      <c r="A95" s="106"/>
      <c r="B95" s="96">
        <v>286</v>
      </c>
      <c r="C95" s="96">
        <v>286</v>
      </c>
      <c r="D95" s="96" t="s">
        <v>3034</v>
      </c>
      <c r="E95" s="96">
        <v>510938608</v>
      </c>
      <c r="F95" s="96" t="s">
        <v>308</v>
      </c>
      <c r="G95" s="96" t="s">
        <v>3084</v>
      </c>
      <c r="H95" s="96" t="s">
        <v>3085</v>
      </c>
      <c r="I95" s="96" t="s">
        <v>320</v>
      </c>
      <c r="J95" s="96" t="s">
        <v>967</v>
      </c>
      <c r="K95" s="96" t="s">
        <v>203</v>
      </c>
      <c r="L95" s="96" t="s">
        <v>203</v>
      </c>
      <c r="M95" s="96" t="s">
        <v>339</v>
      </c>
      <c r="N95" s="96" t="s">
        <v>575</v>
      </c>
      <c r="O95" s="96" t="s">
        <v>338</v>
      </c>
      <c r="P95" s="96" t="s">
        <v>1200</v>
      </c>
      <c r="Q95" s="97">
        <v>104465.73607100001</v>
      </c>
      <c r="R95" s="97">
        <v>1</v>
      </c>
      <c r="S95" s="97">
        <v>3548.09</v>
      </c>
      <c r="T95" s="96"/>
      <c r="U95" s="97">
        <v>3706.5383339999998</v>
      </c>
      <c r="V95" s="98">
        <v>4.3350000000000003E-3</v>
      </c>
      <c r="W95" s="98">
        <v>2.3365E-2</v>
      </c>
      <c r="X95" s="98">
        <v>1.9300000000000001E-3</v>
      </c>
      <c r="Y95" s="106"/>
    </row>
    <row r="96" spans="1:25" ht="15" customHeight="1">
      <c r="A96" s="106"/>
      <c r="B96" s="96">
        <v>286</v>
      </c>
      <c r="C96" s="96">
        <v>286</v>
      </c>
      <c r="D96" s="96" t="s">
        <v>3034</v>
      </c>
      <c r="E96" s="96">
        <v>510938608</v>
      </c>
      <c r="F96" s="96" t="s">
        <v>308</v>
      </c>
      <c r="G96" s="96" t="s">
        <v>3121</v>
      </c>
      <c r="H96" s="96" t="s">
        <v>3122</v>
      </c>
      <c r="I96" s="96" t="s">
        <v>320</v>
      </c>
      <c r="J96" s="96" t="s">
        <v>965</v>
      </c>
      <c r="K96" s="96" t="s">
        <v>203</v>
      </c>
      <c r="L96" s="96" t="s">
        <v>203</v>
      </c>
      <c r="M96" s="96" t="s">
        <v>339</v>
      </c>
      <c r="N96" s="96" t="s">
        <v>573</v>
      </c>
      <c r="O96" s="96" t="s">
        <v>338</v>
      </c>
      <c r="P96" s="96" t="s">
        <v>1200</v>
      </c>
      <c r="Q96" s="97">
        <v>13119.048631</v>
      </c>
      <c r="R96" s="97">
        <v>1</v>
      </c>
      <c r="S96" s="97">
        <v>19470</v>
      </c>
      <c r="T96" s="96"/>
      <c r="U96" s="97">
        <v>2554.2787680000001</v>
      </c>
      <c r="V96" s="98">
        <v>1.469E-3</v>
      </c>
      <c r="W96" s="98">
        <v>1.6102000000000002E-2</v>
      </c>
      <c r="X96" s="98">
        <v>1.33E-3</v>
      </c>
      <c r="Y96" s="106"/>
    </row>
    <row r="97" spans="1:25" ht="15" customHeight="1">
      <c r="A97" s="106"/>
      <c r="B97" s="96">
        <v>286</v>
      </c>
      <c r="C97" s="96">
        <v>286</v>
      </c>
      <c r="D97" s="96" t="s">
        <v>3034</v>
      </c>
      <c r="E97" s="96">
        <v>510938608</v>
      </c>
      <c r="F97" s="96" t="s">
        <v>308</v>
      </c>
      <c r="G97" s="96" t="s">
        <v>3054</v>
      </c>
      <c r="H97" s="96" t="s">
        <v>3055</v>
      </c>
      <c r="I97" s="96" t="s">
        <v>320</v>
      </c>
      <c r="J97" s="96" t="s">
        <v>967</v>
      </c>
      <c r="K97" s="96" t="s">
        <v>203</v>
      </c>
      <c r="L97" s="96" t="s">
        <v>203</v>
      </c>
      <c r="M97" s="96" t="s">
        <v>339</v>
      </c>
      <c r="N97" s="96" t="s">
        <v>629</v>
      </c>
      <c r="O97" s="96" t="s">
        <v>338</v>
      </c>
      <c r="P97" s="96" t="s">
        <v>1200</v>
      </c>
      <c r="Q97" s="97">
        <v>81702.375643000007</v>
      </c>
      <c r="R97" s="97">
        <v>1</v>
      </c>
      <c r="S97" s="97">
        <v>3822.15</v>
      </c>
      <c r="T97" s="96"/>
      <c r="U97" s="97">
        <v>3122.7873500000001</v>
      </c>
      <c r="V97" s="98">
        <v>2.5170000000000001E-3</v>
      </c>
      <c r="W97" s="98">
        <v>1.9685000000000001E-2</v>
      </c>
      <c r="X97" s="98">
        <v>1.6260000000000001E-3</v>
      </c>
      <c r="Y97" s="106"/>
    </row>
    <row r="98" spans="1:25" ht="15" customHeight="1">
      <c r="A98" s="106"/>
      <c r="B98" s="96">
        <v>286</v>
      </c>
      <c r="C98" s="96">
        <v>286</v>
      </c>
      <c r="D98" s="96" t="s">
        <v>3028</v>
      </c>
      <c r="E98" s="96">
        <v>513534974</v>
      </c>
      <c r="F98" s="96" t="s">
        <v>308</v>
      </c>
      <c r="G98" s="96" t="s">
        <v>3114</v>
      </c>
      <c r="H98" s="96" t="s">
        <v>3115</v>
      </c>
      <c r="I98" s="96" t="s">
        <v>320</v>
      </c>
      <c r="J98" s="96" t="s">
        <v>965</v>
      </c>
      <c r="K98" s="96" t="s">
        <v>203</v>
      </c>
      <c r="L98" s="96" t="s">
        <v>203</v>
      </c>
      <c r="M98" s="96" t="s">
        <v>339</v>
      </c>
      <c r="N98" s="96" t="s">
        <v>573</v>
      </c>
      <c r="O98" s="96" t="s">
        <v>338</v>
      </c>
      <c r="P98" s="96" t="s">
        <v>1200</v>
      </c>
      <c r="Q98" s="97">
        <v>107240.48572700001</v>
      </c>
      <c r="R98" s="97">
        <v>1</v>
      </c>
      <c r="S98" s="97">
        <v>1960</v>
      </c>
      <c r="T98" s="96"/>
      <c r="U98" s="97">
        <v>2101.9135190000002</v>
      </c>
      <c r="V98" s="98">
        <v>1.745E-3</v>
      </c>
      <c r="W98" s="98">
        <v>1.325E-2</v>
      </c>
      <c r="X98" s="98">
        <v>1.093E-3</v>
      </c>
      <c r="Y98" s="106"/>
    </row>
    <row r="99" spans="1:25" ht="15" customHeight="1">
      <c r="A99" s="106"/>
      <c r="B99" s="96">
        <v>286</v>
      </c>
      <c r="C99" s="96">
        <v>286</v>
      </c>
      <c r="D99" s="96" t="s">
        <v>3025</v>
      </c>
      <c r="E99" s="96">
        <v>514884485</v>
      </c>
      <c r="F99" s="96" t="s">
        <v>308</v>
      </c>
      <c r="G99" s="96" t="s">
        <v>3098</v>
      </c>
      <c r="H99" s="96" t="s">
        <v>3099</v>
      </c>
      <c r="I99" s="96" t="s">
        <v>320</v>
      </c>
      <c r="J99" s="96" t="s">
        <v>965</v>
      </c>
      <c r="K99" s="96" t="s">
        <v>203</v>
      </c>
      <c r="L99" s="96" t="s">
        <v>203</v>
      </c>
      <c r="M99" s="96" t="s">
        <v>339</v>
      </c>
      <c r="N99" s="96" t="s">
        <v>571</v>
      </c>
      <c r="O99" s="96" t="s">
        <v>338</v>
      </c>
      <c r="P99" s="96" t="s">
        <v>1200</v>
      </c>
      <c r="Q99" s="97">
        <v>294.83434</v>
      </c>
      <c r="R99" s="97">
        <v>1</v>
      </c>
      <c r="S99" s="97">
        <v>5316</v>
      </c>
      <c r="T99" s="96"/>
      <c r="U99" s="97">
        <v>15.673393000000001</v>
      </c>
      <c r="V99" s="98">
        <v>1.03E-4</v>
      </c>
      <c r="W99" s="98">
        <v>9.7999999999999997E-5</v>
      </c>
      <c r="X99" s="98">
        <v>7.9999999999999996E-6</v>
      </c>
      <c r="Y99" s="106"/>
    </row>
    <row r="100" spans="1:25" ht="15" customHeight="1">
      <c r="A100" s="106"/>
      <c r="B100" s="96">
        <v>286</v>
      </c>
      <c r="C100" s="96">
        <v>286</v>
      </c>
      <c r="D100" s="96" t="s">
        <v>3031</v>
      </c>
      <c r="E100" s="96">
        <v>511303661</v>
      </c>
      <c r="F100" s="96" t="s">
        <v>308</v>
      </c>
      <c r="G100" s="96" t="s">
        <v>3076</v>
      </c>
      <c r="H100" s="96" t="s">
        <v>3077</v>
      </c>
      <c r="I100" s="96" t="s">
        <v>320</v>
      </c>
      <c r="J100" s="96" t="s">
        <v>967</v>
      </c>
      <c r="K100" s="96" t="s">
        <v>203</v>
      </c>
      <c r="L100" s="96" t="s">
        <v>203</v>
      </c>
      <c r="M100" s="96" t="s">
        <v>339</v>
      </c>
      <c r="N100" s="96" t="s">
        <v>575</v>
      </c>
      <c r="O100" s="96" t="s">
        <v>338</v>
      </c>
      <c r="P100" s="96" t="s">
        <v>1200</v>
      </c>
      <c r="Q100" s="97">
        <v>124471.637617</v>
      </c>
      <c r="R100" s="97">
        <v>1</v>
      </c>
      <c r="S100" s="97">
        <v>454.12</v>
      </c>
      <c r="T100" s="96"/>
      <c r="U100" s="97">
        <v>565.25059999999996</v>
      </c>
      <c r="V100" s="98">
        <v>1.036E-3</v>
      </c>
      <c r="W100" s="98">
        <v>3.5630000000000002E-3</v>
      </c>
      <c r="X100" s="98">
        <v>2.9399999999999999E-4</v>
      </c>
      <c r="Y100" s="106"/>
    </row>
    <row r="101" spans="1:25" ht="15" customHeight="1">
      <c r="A101" s="106"/>
      <c r="B101" s="96">
        <v>286</v>
      </c>
      <c r="C101" s="96">
        <v>286</v>
      </c>
      <c r="D101" s="96" t="s">
        <v>3034</v>
      </c>
      <c r="E101" s="96">
        <v>510938608</v>
      </c>
      <c r="F101" s="96" t="s">
        <v>308</v>
      </c>
      <c r="G101" s="96" t="s">
        <v>3052</v>
      </c>
      <c r="H101" s="96" t="s">
        <v>3053</v>
      </c>
      <c r="I101" s="96" t="s">
        <v>320</v>
      </c>
      <c r="J101" s="96" t="s">
        <v>967</v>
      </c>
      <c r="K101" s="96" t="s">
        <v>203</v>
      </c>
      <c r="L101" s="96" t="s">
        <v>203</v>
      </c>
      <c r="M101" s="96" t="s">
        <v>339</v>
      </c>
      <c r="N101" s="96" t="s">
        <v>615</v>
      </c>
      <c r="O101" s="96" t="s">
        <v>338</v>
      </c>
      <c r="P101" s="96" t="s">
        <v>1200</v>
      </c>
      <c r="Q101" s="97">
        <v>5947.7989440000001</v>
      </c>
      <c r="R101" s="97">
        <v>1</v>
      </c>
      <c r="S101" s="97">
        <v>1158.93</v>
      </c>
      <c r="T101" s="96"/>
      <c r="U101" s="97">
        <v>68.930825999999996</v>
      </c>
      <c r="V101" s="98">
        <v>2.0000000000000001E-4</v>
      </c>
      <c r="W101" s="98">
        <v>4.3399999999999998E-4</v>
      </c>
      <c r="X101" s="98">
        <v>3.4999999999999997E-5</v>
      </c>
      <c r="Y101" s="106"/>
    </row>
    <row r="102" spans="1:25" ht="15" customHeight="1">
      <c r="A102" s="106"/>
      <c r="B102" s="96">
        <v>286</v>
      </c>
      <c r="C102" s="96">
        <v>286</v>
      </c>
      <c r="D102" s="96" t="s">
        <v>3031</v>
      </c>
      <c r="E102" s="96">
        <v>511303661</v>
      </c>
      <c r="F102" s="96" t="s">
        <v>308</v>
      </c>
      <c r="G102" s="96" t="s">
        <v>3100</v>
      </c>
      <c r="H102" s="96" t="s">
        <v>3101</v>
      </c>
      <c r="I102" s="96" t="s">
        <v>320</v>
      </c>
      <c r="J102" s="96" t="s">
        <v>965</v>
      </c>
      <c r="K102" s="96" t="s">
        <v>203</v>
      </c>
      <c r="L102" s="96" t="s">
        <v>203</v>
      </c>
      <c r="M102" s="96" t="s">
        <v>339</v>
      </c>
      <c r="N102" s="96" t="s">
        <v>571</v>
      </c>
      <c r="O102" s="96" t="s">
        <v>338</v>
      </c>
      <c r="P102" s="96" t="s">
        <v>1200</v>
      </c>
      <c r="Q102" s="97">
        <v>14052.767386</v>
      </c>
      <c r="R102" s="97">
        <v>1</v>
      </c>
      <c r="S102" s="97">
        <v>3016</v>
      </c>
      <c r="T102" s="96"/>
      <c r="U102" s="97">
        <v>423.83146399999998</v>
      </c>
      <c r="V102" s="98">
        <v>2.4800000000000001E-4</v>
      </c>
      <c r="W102" s="98">
        <v>2.6710000000000002E-3</v>
      </c>
      <c r="X102" s="98">
        <v>2.2000000000000001E-4</v>
      </c>
      <c r="Y102" s="106"/>
    </row>
    <row r="103" spans="1:25" ht="15" customHeight="1">
      <c r="A103" s="106"/>
      <c r="B103" s="96">
        <v>286</v>
      </c>
      <c r="C103" s="96">
        <v>286</v>
      </c>
      <c r="D103" s="96" t="s">
        <v>3022</v>
      </c>
      <c r="E103" s="96">
        <v>513765339</v>
      </c>
      <c r="F103" s="96" t="s">
        <v>308</v>
      </c>
      <c r="G103" s="96" t="s">
        <v>3112</v>
      </c>
      <c r="H103" s="96" t="s">
        <v>3113</v>
      </c>
      <c r="I103" s="96" t="s">
        <v>320</v>
      </c>
      <c r="J103" s="96" t="s">
        <v>965</v>
      </c>
      <c r="K103" s="96" t="s">
        <v>203</v>
      </c>
      <c r="L103" s="96" t="s">
        <v>203</v>
      </c>
      <c r="M103" s="96" t="s">
        <v>339</v>
      </c>
      <c r="N103" s="96" t="s">
        <v>696</v>
      </c>
      <c r="O103" s="96" t="s">
        <v>338</v>
      </c>
      <c r="P103" s="96" t="s">
        <v>1200</v>
      </c>
      <c r="Q103" s="97">
        <v>286929.86563499999</v>
      </c>
      <c r="R103" s="97">
        <v>1</v>
      </c>
      <c r="S103" s="97">
        <v>3462</v>
      </c>
      <c r="T103" s="96"/>
      <c r="U103" s="97">
        <v>9933.5119470000009</v>
      </c>
      <c r="V103" s="98">
        <v>1.268E-3</v>
      </c>
      <c r="W103" s="98">
        <v>6.2619999999999995E-2</v>
      </c>
      <c r="X103" s="98">
        <v>5.1720000000000004E-3</v>
      </c>
      <c r="Y103" s="106"/>
    </row>
    <row r="104" spans="1:25" ht="15" customHeight="1">
      <c r="A104" s="106"/>
      <c r="B104" s="96">
        <v>286</v>
      </c>
      <c r="C104" s="96">
        <v>286</v>
      </c>
      <c r="D104" s="96" t="s">
        <v>3034</v>
      </c>
      <c r="E104" s="96">
        <v>510938608</v>
      </c>
      <c r="F104" s="96" t="s">
        <v>308</v>
      </c>
      <c r="G104" s="96" t="s">
        <v>3070</v>
      </c>
      <c r="H104" s="96" t="s">
        <v>3071</v>
      </c>
      <c r="I104" s="96" t="s">
        <v>320</v>
      </c>
      <c r="J104" s="96" t="s">
        <v>967</v>
      </c>
      <c r="K104" s="96" t="s">
        <v>203</v>
      </c>
      <c r="L104" s="96" t="s">
        <v>203</v>
      </c>
      <c r="M104" s="96" t="s">
        <v>339</v>
      </c>
      <c r="N104" s="96" t="s">
        <v>574</v>
      </c>
      <c r="O104" s="96" t="s">
        <v>338</v>
      </c>
      <c r="P104" s="96" t="s">
        <v>1200</v>
      </c>
      <c r="Q104" s="97">
        <v>1495.2155949999999</v>
      </c>
      <c r="R104" s="97">
        <v>1</v>
      </c>
      <c r="S104" s="97">
        <v>3455.48</v>
      </c>
      <c r="T104" s="96"/>
      <c r="U104" s="97">
        <v>51.666874999999997</v>
      </c>
      <c r="V104" s="98">
        <v>1.8699999999999999E-4</v>
      </c>
      <c r="W104" s="98">
        <v>3.2499999999999999E-4</v>
      </c>
      <c r="X104" s="98">
        <v>2.5999999999999998E-5</v>
      </c>
      <c r="Y104" s="106"/>
    </row>
    <row r="105" spans="1:25" ht="15" customHeight="1">
      <c r="A105" s="106"/>
      <c r="B105" s="96">
        <v>286</v>
      </c>
      <c r="C105" s="96">
        <v>286</v>
      </c>
      <c r="D105" s="96" t="s">
        <v>3031</v>
      </c>
      <c r="E105" s="96">
        <v>511303661</v>
      </c>
      <c r="F105" s="96" t="s">
        <v>308</v>
      </c>
      <c r="G105" s="96" t="s">
        <v>3056</v>
      </c>
      <c r="H105" s="96" t="s">
        <v>3057</v>
      </c>
      <c r="I105" s="96" t="s">
        <v>320</v>
      </c>
      <c r="J105" s="96" t="s">
        <v>967</v>
      </c>
      <c r="K105" s="96" t="s">
        <v>203</v>
      </c>
      <c r="L105" s="96" t="s">
        <v>203</v>
      </c>
      <c r="M105" s="96" t="s">
        <v>339</v>
      </c>
      <c r="N105" s="96" t="s">
        <v>572</v>
      </c>
      <c r="O105" s="96" t="s">
        <v>338</v>
      </c>
      <c r="P105" s="96" t="s">
        <v>1200</v>
      </c>
      <c r="Q105" s="97">
        <v>24374.077464000002</v>
      </c>
      <c r="R105" s="97">
        <v>1</v>
      </c>
      <c r="S105" s="97">
        <v>450.15</v>
      </c>
      <c r="T105" s="96"/>
      <c r="U105" s="97">
        <v>109.719909</v>
      </c>
      <c r="V105" s="98">
        <v>2.2599999999999999E-4</v>
      </c>
      <c r="W105" s="98">
        <v>6.9099999999999999E-4</v>
      </c>
      <c r="X105" s="98">
        <v>5.7000000000000003E-5</v>
      </c>
      <c r="Y105" s="106"/>
    </row>
    <row r="106" spans="1:25" ht="15" customHeight="1">
      <c r="A106" s="106"/>
      <c r="B106" s="96">
        <v>286</v>
      </c>
      <c r="C106" s="96">
        <v>286</v>
      </c>
      <c r="D106" s="96" t="s">
        <v>3019</v>
      </c>
      <c r="E106" s="96">
        <v>510791031</v>
      </c>
      <c r="F106" s="96" t="s">
        <v>308</v>
      </c>
      <c r="G106" s="96" t="s">
        <v>3106</v>
      </c>
      <c r="H106" s="96" t="s">
        <v>3107</v>
      </c>
      <c r="I106" s="96" t="s">
        <v>320</v>
      </c>
      <c r="J106" s="96" t="s">
        <v>965</v>
      </c>
      <c r="K106" s="96" t="s">
        <v>203</v>
      </c>
      <c r="L106" s="96" t="s">
        <v>203</v>
      </c>
      <c r="M106" s="96" t="s">
        <v>339</v>
      </c>
      <c r="N106" s="96" t="s">
        <v>729</v>
      </c>
      <c r="O106" s="96" t="s">
        <v>338</v>
      </c>
      <c r="P106" s="96" t="s">
        <v>1200</v>
      </c>
      <c r="Q106" s="97">
        <v>254102.37652600001</v>
      </c>
      <c r="R106" s="97">
        <v>1</v>
      </c>
      <c r="S106" s="97">
        <v>64.5</v>
      </c>
      <c r="T106" s="96"/>
      <c r="U106" s="97">
        <v>163.89603199999999</v>
      </c>
      <c r="V106" s="98">
        <v>7.5900000000000002E-4</v>
      </c>
      <c r="W106" s="98">
        <v>1.0330000000000001E-3</v>
      </c>
      <c r="X106" s="98">
        <v>8.5000000000000006E-5</v>
      </c>
      <c r="Y106" s="106"/>
    </row>
    <row r="107" spans="1:25" ht="15" customHeight="1">
      <c r="A107" s="106"/>
      <c r="B107" s="96">
        <v>286</v>
      </c>
      <c r="C107" s="96">
        <v>286</v>
      </c>
      <c r="D107" s="96" t="s">
        <v>3034</v>
      </c>
      <c r="E107" s="96">
        <v>510938608</v>
      </c>
      <c r="F107" s="96" t="s">
        <v>308</v>
      </c>
      <c r="G107" s="96" t="s">
        <v>3086</v>
      </c>
      <c r="H107" s="96" t="s">
        <v>3087</v>
      </c>
      <c r="I107" s="96" t="s">
        <v>320</v>
      </c>
      <c r="J107" s="96" t="s">
        <v>967</v>
      </c>
      <c r="K107" s="96" t="s">
        <v>203</v>
      </c>
      <c r="L107" s="96" t="s">
        <v>203</v>
      </c>
      <c r="M107" s="96" t="s">
        <v>339</v>
      </c>
      <c r="N107" s="96" t="s">
        <v>631</v>
      </c>
      <c r="O107" s="96" t="s">
        <v>338</v>
      </c>
      <c r="P107" s="96" t="s">
        <v>1200</v>
      </c>
      <c r="Q107" s="97">
        <v>79768.710611000002</v>
      </c>
      <c r="R107" s="97">
        <v>1</v>
      </c>
      <c r="S107" s="97">
        <v>3843.36</v>
      </c>
      <c r="T107" s="96"/>
      <c r="U107" s="97">
        <v>3065.7987159999998</v>
      </c>
      <c r="V107" s="98">
        <v>3.4090000000000001E-3</v>
      </c>
      <c r="W107" s="98">
        <v>1.9325999999999999E-2</v>
      </c>
      <c r="X107" s="98">
        <v>1.596E-3</v>
      </c>
      <c r="Y107" s="106"/>
    </row>
    <row r="108" spans="1:25" ht="15" customHeight="1">
      <c r="A108" s="106"/>
      <c r="B108" s="96">
        <v>286</v>
      </c>
      <c r="C108" s="96">
        <v>286</v>
      </c>
      <c r="D108" s="96" t="s">
        <v>3165</v>
      </c>
      <c r="E108" s="96" t="s">
        <v>3166</v>
      </c>
      <c r="F108" s="96" t="s">
        <v>312</v>
      </c>
      <c r="G108" s="96" t="s">
        <v>3167</v>
      </c>
      <c r="H108" s="96" t="s">
        <v>3168</v>
      </c>
      <c r="I108" s="96" t="s">
        <v>320</v>
      </c>
      <c r="J108" s="96" t="s">
        <v>966</v>
      </c>
      <c r="K108" s="96" t="s">
        <v>204</v>
      </c>
      <c r="L108" s="96" t="s">
        <v>223</v>
      </c>
      <c r="M108" s="96" t="s">
        <v>343</v>
      </c>
      <c r="N108" s="96" t="s">
        <v>735</v>
      </c>
      <c r="O108" s="96" t="s">
        <v>338</v>
      </c>
      <c r="P108" s="96" t="s">
        <v>1201</v>
      </c>
      <c r="Q108" s="97">
        <v>10407.85547</v>
      </c>
      <c r="R108" s="97">
        <v>3.7589999999999999</v>
      </c>
      <c r="S108" s="97">
        <v>14547</v>
      </c>
      <c r="T108" s="96"/>
      <c r="U108" s="97">
        <v>5691.2415330000003</v>
      </c>
      <c r="V108" s="98">
        <v>4.3199999999999998E-4</v>
      </c>
      <c r="W108" s="98">
        <v>3.5876999999999999E-2</v>
      </c>
      <c r="X108" s="98">
        <v>2.9629999999999999E-3</v>
      </c>
      <c r="Y108" s="106"/>
    </row>
    <row r="109" spans="1:25" ht="15" customHeight="1">
      <c r="A109" s="106"/>
      <c r="B109" s="96">
        <v>286</v>
      </c>
      <c r="C109" s="96">
        <v>286</v>
      </c>
      <c r="D109" s="96" t="s">
        <v>3090</v>
      </c>
      <c r="E109" s="96" t="s">
        <v>3091</v>
      </c>
      <c r="F109" s="96" t="s">
        <v>312</v>
      </c>
      <c r="G109" s="96" t="s">
        <v>3092</v>
      </c>
      <c r="H109" s="96" t="s">
        <v>3093</v>
      </c>
      <c r="I109" s="96" t="s">
        <v>320</v>
      </c>
      <c r="J109" s="96" t="s">
        <v>968</v>
      </c>
      <c r="K109" s="96" t="s">
        <v>204</v>
      </c>
      <c r="L109" s="96" t="s">
        <v>280</v>
      </c>
      <c r="M109" s="96" t="s">
        <v>369</v>
      </c>
      <c r="N109" s="96" t="s">
        <v>735</v>
      </c>
      <c r="O109" s="96" t="s">
        <v>338</v>
      </c>
      <c r="P109" s="96" t="s">
        <v>1202</v>
      </c>
      <c r="Q109" s="97">
        <v>546.64703499999996</v>
      </c>
      <c r="R109" s="97">
        <v>4.0202</v>
      </c>
      <c r="S109" s="97">
        <v>9235</v>
      </c>
      <c r="T109" s="96"/>
      <c r="U109" s="97">
        <v>202.951167</v>
      </c>
      <c r="V109" s="98">
        <v>6.9999999999999999E-6</v>
      </c>
      <c r="W109" s="98">
        <v>1.2780000000000001E-3</v>
      </c>
      <c r="X109" s="98">
        <v>1.05E-4</v>
      </c>
      <c r="Y109" s="106"/>
    </row>
    <row r="110" spans="1:25" ht="15" customHeight="1">
      <c r="A110" s="106"/>
      <c r="B110" s="96">
        <v>286</v>
      </c>
      <c r="C110" s="96">
        <v>286</v>
      </c>
      <c r="D110" s="96" t="s">
        <v>3145</v>
      </c>
      <c r="E110" s="96" t="s">
        <v>3146</v>
      </c>
      <c r="F110" s="96" t="s">
        <v>312</v>
      </c>
      <c r="G110" s="96" t="s">
        <v>3147</v>
      </c>
      <c r="H110" s="96" t="s">
        <v>3148</v>
      </c>
      <c r="I110" s="96" t="s">
        <v>320</v>
      </c>
      <c r="J110" s="96" t="s">
        <v>966</v>
      </c>
      <c r="K110" s="96" t="s">
        <v>204</v>
      </c>
      <c r="L110" s="96" t="s">
        <v>267</v>
      </c>
      <c r="M110" s="96" t="s">
        <v>379</v>
      </c>
      <c r="N110" s="96" t="s">
        <v>735</v>
      </c>
      <c r="O110" s="96" t="s">
        <v>338</v>
      </c>
      <c r="P110" s="96" t="s">
        <v>1201</v>
      </c>
      <c r="Q110" s="97">
        <v>84493.399076000002</v>
      </c>
      <c r="R110" s="97">
        <v>3.7589999999999999</v>
      </c>
      <c r="S110" s="97">
        <v>2154.75</v>
      </c>
      <c r="T110" s="96"/>
      <c r="U110" s="97">
        <v>6843.7162799999996</v>
      </c>
      <c r="V110" s="98">
        <v>3.388E-3</v>
      </c>
      <c r="W110" s="98">
        <v>4.3140999999999999E-2</v>
      </c>
      <c r="X110" s="98">
        <v>3.5630000000000002E-3</v>
      </c>
      <c r="Y110" s="106"/>
    </row>
    <row r="111" spans="1:25" ht="15" customHeight="1">
      <c r="A111" s="106"/>
      <c r="B111" s="96">
        <v>286</v>
      </c>
      <c r="C111" s="96">
        <v>286</v>
      </c>
      <c r="D111" s="96" t="s">
        <v>3161</v>
      </c>
      <c r="E111" s="96" t="s">
        <v>3162</v>
      </c>
      <c r="F111" s="96" t="s">
        <v>312</v>
      </c>
      <c r="G111" s="96" t="s">
        <v>3163</v>
      </c>
      <c r="H111" s="96" t="s">
        <v>3164</v>
      </c>
      <c r="I111" s="96" t="s">
        <v>320</v>
      </c>
      <c r="J111" s="96" t="s">
        <v>966</v>
      </c>
      <c r="K111" s="96" t="s">
        <v>204</v>
      </c>
      <c r="L111" s="96" t="s">
        <v>281</v>
      </c>
      <c r="M111" s="96" t="s">
        <v>401</v>
      </c>
      <c r="N111" s="96" t="s">
        <v>735</v>
      </c>
      <c r="O111" s="96" t="s">
        <v>338</v>
      </c>
      <c r="P111" s="96" t="s">
        <v>1215</v>
      </c>
      <c r="Q111" s="97">
        <v>19698.139207</v>
      </c>
      <c r="R111" s="97">
        <v>2.7412999999999998</v>
      </c>
      <c r="S111" s="97">
        <v>5597</v>
      </c>
      <c r="T111" s="96"/>
      <c r="U111" s="97">
        <v>3022.2965490000001</v>
      </c>
      <c r="V111" s="98">
        <v>3.0200000000000002E-4</v>
      </c>
      <c r="W111" s="98">
        <v>1.9051999999999999E-2</v>
      </c>
      <c r="X111" s="98">
        <v>1.573E-3</v>
      </c>
      <c r="Y111" s="106"/>
    </row>
    <row r="112" spans="1:25" ht="15" customHeight="1">
      <c r="A112" s="106"/>
      <c r="B112" s="96">
        <v>286</v>
      </c>
      <c r="C112" s="96">
        <v>286</v>
      </c>
      <c r="D112" s="96" t="s">
        <v>3149</v>
      </c>
      <c r="E112" s="96" t="s">
        <v>3150</v>
      </c>
      <c r="F112" s="96" t="s">
        <v>312</v>
      </c>
      <c r="G112" s="96" t="s">
        <v>3151</v>
      </c>
      <c r="H112" s="96" t="s">
        <v>3152</v>
      </c>
      <c r="I112" s="96" t="s">
        <v>320</v>
      </c>
      <c r="J112" s="96" t="s">
        <v>966</v>
      </c>
      <c r="K112" s="96" t="s">
        <v>204</v>
      </c>
      <c r="L112" s="96" t="s">
        <v>223</v>
      </c>
      <c r="M112" s="96" t="s">
        <v>343</v>
      </c>
      <c r="N112" s="96" t="s">
        <v>720</v>
      </c>
      <c r="O112" s="96" t="s">
        <v>338</v>
      </c>
      <c r="P112" s="96" t="s">
        <v>1201</v>
      </c>
      <c r="Q112" s="97">
        <v>5754.2868609999996</v>
      </c>
      <c r="R112" s="97">
        <v>3.7589999999999999</v>
      </c>
      <c r="S112" s="97">
        <v>12187</v>
      </c>
      <c r="T112" s="96"/>
      <c r="U112" s="97">
        <v>2636.092498</v>
      </c>
      <c r="V112" s="98">
        <v>3.8000000000000002E-5</v>
      </c>
      <c r="W112" s="98">
        <v>1.6617E-2</v>
      </c>
      <c r="X112" s="98">
        <v>1.372E-3</v>
      </c>
      <c r="Y112" s="106"/>
    </row>
    <row r="113" spans="1:25" ht="15" customHeight="1">
      <c r="A113" s="106"/>
      <c r="B113" s="96">
        <v>286</v>
      </c>
      <c r="C113" s="96">
        <v>286</v>
      </c>
      <c r="D113" s="96" t="s">
        <v>3141</v>
      </c>
      <c r="E113" s="96" t="s">
        <v>3142</v>
      </c>
      <c r="F113" s="96" t="s">
        <v>312</v>
      </c>
      <c r="G113" s="96" t="s">
        <v>3143</v>
      </c>
      <c r="H113" s="96" t="s">
        <v>3144</v>
      </c>
      <c r="I113" s="96" t="s">
        <v>320</v>
      </c>
      <c r="J113" s="96" t="s">
        <v>966</v>
      </c>
      <c r="K113" s="96" t="s">
        <v>204</v>
      </c>
      <c r="L113" s="96" t="s">
        <v>223</v>
      </c>
      <c r="M113" s="96" t="s">
        <v>343</v>
      </c>
      <c r="N113" s="96" t="s">
        <v>735</v>
      </c>
      <c r="O113" s="96" t="s">
        <v>338</v>
      </c>
      <c r="P113" s="96" t="s">
        <v>1201</v>
      </c>
      <c r="Q113" s="97">
        <v>6206.5304379999998</v>
      </c>
      <c r="R113" s="97">
        <v>3.7589999999999999</v>
      </c>
      <c r="S113" s="97">
        <v>7658</v>
      </c>
      <c r="T113" s="96"/>
      <c r="U113" s="97">
        <v>1786.638042</v>
      </c>
      <c r="V113" s="98">
        <v>3.0000000000000001E-5</v>
      </c>
      <c r="W113" s="98">
        <v>1.1261999999999999E-2</v>
      </c>
      <c r="X113" s="98">
        <v>9.2900000000000003E-4</v>
      </c>
      <c r="Y113" s="106"/>
    </row>
    <row r="114" spans="1:25" ht="15" customHeight="1">
      <c r="A114" s="106"/>
      <c r="B114" s="96">
        <v>286</v>
      </c>
      <c r="C114" s="96">
        <v>286</v>
      </c>
      <c r="D114" s="96" t="s">
        <v>3169</v>
      </c>
      <c r="E114" s="96"/>
      <c r="F114" s="96" t="s">
        <v>310</v>
      </c>
      <c r="G114" s="96" t="s">
        <v>3170</v>
      </c>
      <c r="H114" s="96" t="s">
        <v>3171</v>
      </c>
      <c r="I114" s="96" t="s">
        <v>320</v>
      </c>
      <c r="J114" s="96" t="s">
        <v>966</v>
      </c>
      <c r="K114" s="96" t="s">
        <v>204</v>
      </c>
      <c r="L114" s="96" t="s">
        <v>223</v>
      </c>
      <c r="M114" s="96" t="s">
        <v>343</v>
      </c>
      <c r="N114" s="96" t="s">
        <v>720</v>
      </c>
      <c r="O114" s="96" t="s">
        <v>338</v>
      </c>
      <c r="P114" s="96" t="s">
        <v>1201</v>
      </c>
      <c r="Q114" s="97">
        <v>28251.183229999999</v>
      </c>
      <c r="R114" s="97">
        <v>3.7589999999999999</v>
      </c>
      <c r="S114" s="97">
        <v>3313</v>
      </c>
      <c r="T114" s="96"/>
      <c r="U114" s="97">
        <v>3518.2800309999998</v>
      </c>
      <c r="V114" s="98">
        <v>3.6110000000000001E-3</v>
      </c>
      <c r="W114" s="98">
        <v>2.2178E-2</v>
      </c>
      <c r="X114" s="98">
        <v>1.8309999999999999E-3</v>
      </c>
      <c r="Y114" s="106"/>
    </row>
    <row r="115" spans="1:25" ht="15" customHeight="1">
      <c r="A115" s="106"/>
      <c r="B115" s="96">
        <v>286</v>
      </c>
      <c r="C115" s="96">
        <v>286</v>
      </c>
      <c r="D115" s="96" t="s">
        <v>3208</v>
      </c>
      <c r="E115" s="96" t="s">
        <v>3209</v>
      </c>
      <c r="F115" s="96" t="s">
        <v>312</v>
      </c>
      <c r="G115" s="96" t="s">
        <v>3210</v>
      </c>
      <c r="H115" s="96" t="s">
        <v>3211</v>
      </c>
      <c r="I115" s="96" t="s">
        <v>320</v>
      </c>
      <c r="J115" s="96" t="s">
        <v>966</v>
      </c>
      <c r="K115" s="96" t="s">
        <v>204</v>
      </c>
      <c r="L115" s="96" t="s">
        <v>243</v>
      </c>
      <c r="M115" s="96" t="s">
        <v>343</v>
      </c>
      <c r="N115" s="96" t="s">
        <v>735</v>
      </c>
      <c r="O115" s="96" t="s">
        <v>338</v>
      </c>
      <c r="P115" s="96" t="s">
        <v>1201</v>
      </c>
      <c r="Q115" s="97">
        <v>65634.147169999997</v>
      </c>
      <c r="R115" s="97">
        <v>3.7589999999999999</v>
      </c>
      <c r="S115" s="97">
        <v>3986</v>
      </c>
      <c r="T115" s="96"/>
      <c r="U115" s="97">
        <v>9834.2097419999991</v>
      </c>
      <c r="V115" s="98">
        <v>1.786E-3</v>
      </c>
      <c r="W115" s="98">
        <v>6.1994E-2</v>
      </c>
      <c r="X115" s="98">
        <v>5.1209999999999997E-3</v>
      </c>
      <c r="Y115" s="106"/>
    </row>
    <row r="116" spans="1:25" ht="15" customHeight="1">
      <c r="A116" s="106"/>
      <c r="B116" s="96">
        <v>286</v>
      </c>
      <c r="C116" s="96">
        <v>286</v>
      </c>
      <c r="D116" s="96" t="s">
        <v>3184</v>
      </c>
      <c r="E116" s="96" t="s">
        <v>3185</v>
      </c>
      <c r="F116" s="96" t="s">
        <v>312</v>
      </c>
      <c r="G116" s="96" t="s">
        <v>3186</v>
      </c>
      <c r="H116" s="96" t="s">
        <v>3187</v>
      </c>
      <c r="I116" s="96" t="s">
        <v>320</v>
      </c>
      <c r="J116" s="96" t="s">
        <v>966</v>
      </c>
      <c r="K116" s="96" t="s">
        <v>204</v>
      </c>
      <c r="L116" s="96" t="s">
        <v>223</v>
      </c>
      <c r="M116" s="96" t="s">
        <v>343</v>
      </c>
      <c r="N116" s="96" t="s">
        <v>735</v>
      </c>
      <c r="O116" s="96" t="s">
        <v>338</v>
      </c>
      <c r="P116" s="96" t="s">
        <v>1201</v>
      </c>
      <c r="Q116" s="97">
        <v>7278.3569969999999</v>
      </c>
      <c r="R116" s="97">
        <v>3.7589999999999999</v>
      </c>
      <c r="S116" s="97">
        <v>14575</v>
      </c>
      <c r="T116" s="96"/>
      <c r="U116" s="97">
        <v>3987.6243800000002</v>
      </c>
      <c r="V116" s="98">
        <v>2.6999999999999999E-5</v>
      </c>
      <c r="W116" s="98">
        <v>2.5135999999999999E-2</v>
      </c>
      <c r="X116" s="98">
        <v>2.0760000000000002E-3</v>
      </c>
      <c r="Y116" s="106"/>
    </row>
    <row r="117" spans="1:25" ht="15" customHeight="1">
      <c r="A117" s="106"/>
      <c r="B117" s="96">
        <v>286</v>
      </c>
      <c r="C117" s="96">
        <v>286</v>
      </c>
      <c r="D117" s="96" t="s">
        <v>3196</v>
      </c>
      <c r="E117" s="96" t="s">
        <v>3197</v>
      </c>
      <c r="F117" s="96" t="s">
        <v>312</v>
      </c>
      <c r="G117" s="96" t="s">
        <v>3198</v>
      </c>
      <c r="H117" s="96" t="s">
        <v>3199</v>
      </c>
      <c r="I117" s="96" t="s">
        <v>320</v>
      </c>
      <c r="J117" s="96" t="s">
        <v>966</v>
      </c>
      <c r="K117" s="96" t="s">
        <v>204</v>
      </c>
      <c r="L117" s="96" t="s">
        <v>242</v>
      </c>
      <c r="M117" s="96" t="s">
        <v>343</v>
      </c>
      <c r="N117" s="96" t="s">
        <v>735</v>
      </c>
      <c r="O117" s="96" t="s">
        <v>338</v>
      </c>
      <c r="P117" s="96" t="s">
        <v>1201</v>
      </c>
      <c r="Q117" s="97">
        <v>28172.098913999998</v>
      </c>
      <c r="R117" s="97">
        <v>3.7589999999999999</v>
      </c>
      <c r="S117" s="97">
        <v>2187</v>
      </c>
      <c r="T117" s="96"/>
      <c r="U117" s="97">
        <v>2316.009376</v>
      </c>
      <c r="V117" s="98">
        <v>3.235E-3</v>
      </c>
      <c r="W117" s="98">
        <v>1.4599000000000001E-2</v>
      </c>
      <c r="X117" s="98">
        <v>1.2049999999999999E-3</v>
      </c>
      <c r="Y117" s="106"/>
    </row>
    <row r="118" spans="1:25" ht="15" customHeight="1">
      <c r="A118" s="106"/>
      <c r="B118" s="96">
        <v>286</v>
      </c>
      <c r="C118" s="96">
        <v>286</v>
      </c>
      <c r="D118" s="96" t="s">
        <v>3094</v>
      </c>
      <c r="E118" s="96" t="s">
        <v>3095</v>
      </c>
      <c r="F118" s="96" t="s">
        <v>312</v>
      </c>
      <c r="G118" s="96" t="s">
        <v>3096</v>
      </c>
      <c r="H118" s="96" t="s">
        <v>3097</v>
      </c>
      <c r="I118" s="96" t="s">
        <v>320</v>
      </c>
      <c r="J118" s="96" t="s">
        <v>968</v>
      </c>
      <c r="K118" s="96" t="s">
        <v>204</v>
      </c>
      <c r="L118" s="96" t="s">
        <v>223</v>
      </c>
      <c r="M118" s="96" t="s">
        <v>369</v>
      </c>
      <c r="N118" s="96" t="s">
        <v>735</v>
      </c>
      <c r="O118" s="96" t="s">
        <v>338</v>
      </c>
      <c r="P118" s="96" t="s">
        <v>1201</v>
      </c>
      <c r="Q118" s="97">
        <v>20542.312286</v>
      </c>
      <c r="R118" s="97">
        <v>3.7589999999999999</v>
      </c>
      <c r="S118" s="97">
        <v>10095</v>
      </c>
      <c r="T118" s="96"/>
      <c r="U118" s="97">
        <v>7795.2128110000003</v>
      </c>
      <c r="V118" s="98">
        <v>2.4499999999999999E-4</v>
      </c>
      <c r="W118" s="98">
        <v>4.9139000000000002E-2</v>
      </c>
      <c r="X118" s="98">
        <v>4.058E-3</v>
      </c>
      <c r="Y118" s="106"/>
    </row>
    <row r="119" spans="1:25" ht="15" customHeight="1">
      <c r="A119" s="106"/>
      <c r="B119" s="96">
        <v>286</v>
      </c>
      <c r="C119" s="96">
        <v>286</v>
      </c>
      <c r="D119" s="96" t="s">
        <v>3133</v>
      </c>
      <c r="E119" s="96" t="s">
        <v>3134</v>
      </c>
      <c r="F119" s="96" t="s">
        <v>312</v>
      </c>
      <c r="G119" s="96" t="s">
        <v>3135</v>
      </c>
      <c r="H119" s="96" t="s">
        <v>3136</v>
      </c>
      <c r="I119" s="96" t="s">
        <v>320</v>
      </c>
      <c r="J119" s="96" t="s">
        <v>966</v>
      </c>
      <c r="K119" s="96" t="s">
        <v>204</v>
      </c>
      <c r="L119" s="96" t="s">
        <v>231</v>
      </c>
      <c r="M119" s="96" t="s">
        <v>313</v>
      </c>
      <c r="N119" s="96" t="s">
        <v>735</v>
      </c>
      <c r="O119" s="96" t="s">
        <v>338</v>
      </c>
      <c r="P119" s="96" t="s">
        <v>1201</v>
      </c>
      <c r="Q119" s="97">
        <v>51837.996906</v>
      </c>
      <c r="R119" s="97">
        <v>3.7589999999999999</v>
      </c>
      <c r="S119" s="97">
        <v>3486</v>
      </c>
      <c r="T119" s="96"/>
      <c r="U119" s="97">
        <v>6792.7857979999999</v>
      </c>
      <c r="V119" s="98">
        <v>6.6399999999999999E-4</v>
      </c>
      <c r="W119" s="98">
        <v>4.2820999999999998E-2</v>
      </c>
      <c r="X119" s="98">
        <v>3.5360000000000001E-3</v>
      </c>
      <c r="Y119" s="106"/>
    </row>
    <row r="120" spans="1:25" ht="15" customHeight="1">
      <c r="A120" s="106"/>
      <c r="B120" s="96">
        <v>286</v>
      </c>
      <c r="C120" s="96">
        <v>286</v>
      </c>
      <c r="D120" s="96" t="s">
        <v>3157</v>
      </c>
      <c r="E120" s="96" t="s">
        <v>3158</v>
      </c>
      <c r="F120" s="96" t="s">
        <v>312</v>
      </c>
      <c r="G120" s="96" t="s">
        <v>3159</v>
      </c>
      <c r="H120" s="96" t="s">
        <v>3160</v>
      </c>
      <c r="I120" s="96" t="s">
        <v>320</v>
      </c>
      <c r="J120" s="96" t="s">
        <v>966</v>
      </c>
      <c r="K120" s="96" t="s">
        <v>204</v>
      </c>
      <c r="L120" s="96" t="s">
        <v>232</v>
      </c>
      <c r="M120" s="96" t="s">
        <v>369</v>
      </c>
      <c r="N120" s="96" t="s">
        <v>735</v>
      </c>
      <c r="O120" s="96" t="s">
        <v>338</v>
      </c>
      <c r="P120" s="96" t="s">
        <v>1201</v>
      </c>
      <c r="Q120" s="97">
        <v>29516.699485000001</v>
      </c>
      <c r="R120" s="97">
        <v>3.7589999999999999</v>
      </c>
      <c r="S120" s="97">
        <v>3431</v>
      </c>
      <c r="T120" s="96"/>
      <c r="U120" s="97">
        <v>3806.8068079999998</v>
      </c>
      <c r="V120" s="98">
        <v>4.6E-5</v>
      </c>
      <c r="W120" s="98">
        <v>2.3997000000000001E-2</v>
      </c>
      <c r="X120" s="98">
        <v>1.9810000000000001E-3</v>
      </c>
      <c r="Y120" s="106"/>
    </row>
    <row r="121" spans="1:25" ht="15" customHeight="1">
      <c r="A121" s="106"/>
      <c r="B121" s="96">
        <v>286</v>
      </c>
      <c r="C121" s="96">
        <v>286</v>
      </c>
      <c r="D121" s="96" t="s">
        <v>3153</v>
      </c>
      <c r="E121" s="96" t="s">
        <v>3154</v>
      </c>
      <c r="F121" s="96" t="s">
        <v>312</v>
      </c>
      <c r="G121" s="96" t="s">
        <v>3155</v>
      </c>
      <c r="H121" s="96" t="s">
        <v>3156</v>
      </c>
      <c r="I121" s="96" t="s">
        <v>320</v>
      </c>
      <c r="J121" s="96" t="s">
        <v>966</v>
      </c>
      <c r="K121" s="96" t="s">
        <v>204</v>
      </c>
      <c r="L121" s="96" t="s">
        <v>223</v>
      </c>
      <c r="M121" s="96" t="s">
        <v>345</v>
      </c>
      <c r="N121" s="96" t="s">
        <v>735</v>
      </c>
      <c r="O121" s="96" t="s">
        <v>338</v>
      </c>
      <c r="P121" s="96" t="s">
        <v>1201</v>
      </c>
      <c r="Q121" s="97">
        <v>9078.6286909999999</v>
      </c>
      <c r="R121" s="97">
        <v>3.7589999999999999</v>
      </c>
      <c r="S121" s="97">
        <v>5259</v>
      </c>
      <c r="T121" s="96"/>
      <c r="U121" s="97">
        <v>1794.716066</v>
      </c>
      <c r="V121" s="98">
        <v>2.8479999999999998E-3</v>
      </c>
      <c r="W121" s="98">
        <v>1.1313E-2</v>
      </c>
      <c r="X121" s="98">
        <v>9.3400000000000004E-4</v>
      </c>
      <c r="Y121" s="106"/>
    </row>
    <row r="122" spans="1:25" ht="15" customHeight="1">
      <c r="A122" s="106"/>
      <c r="B122" s="96">
        <v>286</v>
      </c>
      <c r="C122" s="96">
        <v>286</v>
      </c>
      <c r="D122" s="96" t="s">
        <v>3172</v>
      </c>
      <c r="E122" s="96" t="s">
        <v>3173</v>
      </c>
      <c r="F122" s="96" t="s">
        <v>312</v>
      </c>
      <c r="G122" s="96" t="s">
        <v>3174</v>
      </c>
      <c r="H122" s="96" t="s">
        <v>3175</v>
      </c>
      <c r="I122" s="96" t="s">
        <v>320</v>
      </c>
      <c r="J122" s="96" t="s">
        <v>966</v>
      </c>
      <c r="K122" s="96" t="s">
        <v>204</v>
      </c>
      <c r="L122" s="96" t="s">
        <v>295</v>
      </c>
      <c r="M122" s="96" t="s">
        <v>345</v>
      </c>
      <c r="N122" s="96" t="s">
        <v>735</v>
      </c>
      <c r="O122" s="96" t="s">
        <v>338</v>
      </c>
      <c r="P122" s="96" t="s">
        <v>1201</v>
      </c>
      <c r="Q122" s="97">
        <v>26543.940106999999</v>
      </c>
      <c r="R122" s="97">
        <v>3.7589999999999999</v>
      </c>
      <c r="S122" s="97">
        <v>5920</v>
      </c>
      <c r="T122" s="96"/>
      <c r="U122" s="97">
        <v>5906.8973150000002</v>
      </c>
      <c r="V122" s="98">
        <v>1.11E-4</v>
      </c>
      <c r="W122" s="98">
        <v>3.7235999999999998E-2</v>
      </c>
      <c r="X122" s="98">
        <v>3.0760000000000002E-3</v>
      </c>
      <c r="Y122" s="106"/>
    </row>
    <row r="123" spans="1:25" ht="15" customHeight="1">
      <c r="A123" s="106"/>
      <c r="B123" s="96">
        <v>286</v>
      </c>
      <c r="C123" s="96">
        <v>286</v>
      </c>
      <c r="D123" s="96" t="s">
        <v>3192</v>
      </c>
      <c r="E123" s="96" t="s">
        <v>3193</v>
      </c>
      <c r="F123" s="96" t="s">
        <v>312</v>
      </c>
      <c r="G123" s="96" t="s">
        <v>3194</v>
      </c>
      <c r="H123" s="96" t="s">
        <v>3195</v>
      </c>
      <c r="I123" s="96" t="s">
        <v>320</v>
      </c>
      <c r="J123" s="96" t="s">
        <v>966</v>
      </c>
      <c r="K123" s="96" t="s">
        <v>204</v>
      </c>
      <c r="L123" s="96" t="s">
        <v>223</v>
      </c>
      <c r="M123" s="96" t="s">
        <v>343</v>
      </c>
      <c r="N123" s="96" t="s">
        <v>720</v>
      </c>
      <c r="O123" s="96" t="s">
        <v>338</v>
      </c>
      <c r="P123" s="96" t="s">
        <v>1201</v>
      </c>
      <c r="Q123" s="97">
        <v>4726.6839829999999</v>
      </c>
      <c r="R123" s="97">
        <v>3.7589999999999999</v>
      </c>
      <c r="S123" s="97">
        <v>6814</v>
      </c>
      <c r="T123" s="96"/>
      <c r="U123" s="97">
        <v>1210.68461</v>
      </c>
      <c r="V123" s="98">
        <v>2.3E-5</v>
      </c>
      <c r="W123" s="98">
        <v>7.6309999999999998E-3</v>
      </c>
      <c r="X123" s="98">
        <v>6.3000000000000003E-4</v>
      </c>
      <c r="Y123" s="106"/>
    </row>
    <row r="124" spans="1:25" ht="15" customHeight="1">
      <c r="A124" s="106"/>
      <c r="B124" s="96">
        <v>286</v>
      </c>
      <c r="C124" s="96">
        <v>286</v>
      </c>
      <c r="D124" s="96" t="s">
        <v>3129</v>
      </c>
      <c r="E124" s="96" t="s">
        <v>3130</v>
      </c>
      <c r="F124" s="96" t="s">
        <v>312</v>
      </c>
      <c r="G124" s="96" t="s">
        <v>3131</v>
      </c>
      <c r="H124" s="96" t="s">
        <v>3132</v>
      </c>
      <c r="I124" s="96" t="s">
        <v>320</v>
      </c>
      <c r="J124" s="96" t="s">
        <v>966</v>
      </c>
      <c r="K124" s="96" t="s">
        <v>204</v>
      </c>
      <c r="L124" s="96" t="s">
        <v>223</v>
      </c>
      <c r="M124" s="96" t="s">
        <v>363</v>
      </c>
      <c r="N124" s="96" t="s">
        <v>734</v>
      </c>
      <c r="O124" s="96" t="s">
        <v>338</v>
      </c>
      <c r="P124" s="96" t="s">
        <v>1201</v>
      </c>
      <c r="Q124" s="97">
        <v>16137.196497000001</v>
      </c>
      <c r="R124" s="97">
        <v>3.7589999999999999</v>
      </c>
      <c r="S124" s="97">
        <v>5290</v>
      </c>
      <c r="T124" s="96"/>
      <c r="U124" s="97">
        <v>3208.8992739999999</v>
      </c>
      <c r="V124" s="98">
        <v>5.5000000000000002E-5</v>
      </c>
      <c r="W124" s="98">
        <v>2.0227999999999999E-2</v>
      </c>
      <c r="X124" s="98">
        <v>1.671E-3</v>
      </c>
      <c r="Y124" s="106"/>
    </row>
    <row r="125" spans="1:25" ht="15" customHeight="1">
      <c r="A125" s="106"/>
      <c r="B125" s="96">
        <v>286</v>
      </c>
      <c r="C125" s="96">
        <v>286</v>
      </c>
      <c r="D125" s="96" t="s">
        <v>3176</v>
      </c>
      <c r="E125" s="96" t="s">
        <v>3177</v>
      </c>
      <c r="F125" s="96" t="s">
        <v>312</v>
      </c>
      <c r="G125" s="96" t="s">
        <v>3178</v>
      </c>
      <c r="H125" s="96" t="s">
        <v>3179</v>
      </c>
      <c r="I125" s="96" t="s">
        <v>320</v>
      </c>
      <c r="J125" s="96" t="s">
        <v>966</v>
      </c>
      <c r="K125" s="96" t="s">
        <v>204</v>
      </c>
      <c r="L125" s="96" t="s">
        <v>223</v>
      </c>
      <c r="M125" s="96" t="s">
        <v>369</v>
      </c>
      <c r="N125" s="96" t="s">
        <v>735</v>
      </c>
      <c r="O125" s="96" t="s">
        <v>338</v>
      </c>
      <c r="P125" s="96" t="s">
        <v>1201</v>
      </c>
      <c r="Q125" s="97">
        <v>1409.949629</v>
      </c>
      <c r="R125" s="97">
        <v>3.7589999999999999</v>
      </c>
      <c r="S125" s="97">
        <v>107787</v>
      </c>
      <c r="T125" s="96"/>
      <c r="U125" s="97">
        <v>5712.7117099999996</v>
      </c>
      <c r="V125" s="98">
        <v>5.3000000000000001E-5</v>
      </c>
      <c r="W125" s="98">
        <v>3.6012000000000002E-2</v>
      </c>
      <c r="X125" s="98">
        <v>2.9740000000000001E-3</v>
      </c>
      <c r="Y125" s="106"/>
    </row>
    <row r="126" spans="1:25" ht="15" customHeight="1">
      <c r="A126" s="106"/>
      <c r="B126" s="96">
        <v>286</v>
      </c>
      <c r="C126" s="96">
        <v>286</v>
      </c>
      <c r="D126" s="96" t="s">
        <v>3204</v>
      </c>
      <c r="E126" s="96" t="s">
        <v>3205</v>
      </c>
      <c r="F126" s="96" t="s">
        <v>312</v>
      </c>
      <c r="G126" s="96" t="s">
        <v>3206</v>
      </c>
      <c r="H126" s="96" t="s">
        <v>3207</v>
      </c>
      <c r="I126" s="96" t="s">
        <v>320</v>
      </c>
      <c r="J126" s="96" t="s">
        <v>966</v>
      </c>
      <c r="K126" s="96" t="s">
        <v>204</v>
      </c>
      <c r="L126" s="96" t="s">
        <v>223</v>
      </c>
      <c r="M126" s="96" t="s">
        <v>343</v>
      </c>
      <c r="N126" s="96" t="s">
        <v>720</v>
      </c>
      <c r="O126" s="96" t="s">
        <v>338</v>
      </c>
      <c r="P126" s="96" t="s">
        <v>1201</v>
      </c>
      <c r="Q126" s="97">
        <v>3041.8620150000002</v>
      </c>
      <c r="R126" s="97">
        <v>3.7589999999999999</v>
      </c>
      <c r="S126" s="97">
        <v>31618</v>
      </c>
      <c r="T126" s="96"/>
      <c r="U126" s="97">
        <v>3615.315728</v>
      </c>
      <c r="V126" s="98">
        <v>4.9600000000000002E-4</v>
      </c>
      <c r="W126" s="98">
        <v>2.2790000000000001E-2</v>
      </c>
      <c r="X126" s="98">
        <v>1.882E-3</v>
      </c>
      <c r="Y126" s="106"/>
    </row>
    <row r="127" spans="1:25" ht="15" customHeight="1">
      <c r="A127" s="106"/>
      <c r="B127" s="96">
        <v>286</v>
      </c>
      <c r="C127" s="96">
        <v>286</v>
      </c>
      <c r="D127" s="96" t="s">
        <v>3180</v>
      </c>
      <c r="E127" s="96" t="s">
        <v>3181</v>
      </c>
      <c r="F127" s="96" t="s">
        <v>312</v>
      </c>
      <c r="G127" s="96" t="s">
        <v>3182</v>
      </c>
      <c r="H127" s="96" t="s">
        <v>3183</v>
      </c>
      <c r="I127" s="96" t="s">
        <v>320</v>
      </c>
      <c r="J127" s="96" t="s">
        <v>966</v>
      </c>
      <c r="K127" s="96" t="s">
        <v>204</v>
      </c>
      <c r="L127" s="96" t="s">
        <v>250</v>
      </c>
      <c r="M127" s="96" t="s">
        <v>399</v>
      </c>
      <c r="N127" s="96" t="s">
        <v>735</v>
      </c>
      <c r="O127" s="96" t="s">
        <v>338</v>
      </c>
      <c r="P127" s="96" t="s">
        <v>1217</v>
      </c>
      <c r="Q127" s="97">
        <v>589403.50338200002</v>
      </c>
      <c r="R127" s="97">
        <v>2.3359000000000001E-2</v>
      </c>
      <c r="S127" s="97">
        <v>36890</v>
      </c>
      <c r="T127" s="96"/>
      <c r="U127" s="97">
        <v>5078.9696169999997</v>
      </c>
      <c r="V127" s="98">
        <v>1.1E-5</v>
      </c>
      <c r="W127" s="98">
        <v>3.2016999999999997E-2</v>
      </c>
      <c r="X127" s="98">
        <v>2.6440000000000001E-3</v>
      </c>
      <c r="Y127" s="106"/>
    </row>
    <row r="128" spans="1:25" ht="15" customHeight="1">
      <c r="A128" s="106"/>
      <c r="B128" s="96">
        <v>286</v>
      </c>
      <c r="C128" s="96">
        <v>286</v>
      </c>
      <c r="D128" s="96" t="s">
        <v>3137</v>
      </c>
      <c r="E128" s="96" t="s">
        <v>3138</v>
      </c>
      <c r="F128" s="96" t="s">
        <v>312</v>
      </c>
      <c r="G128" s="96" t="s">
        <v>3139</v>
      </c>
      <c r="H128" s="96" t="s">
        <v>3140</v>
      </c>
      <c r="I128" s="96" t="s">
        <v>320</v>
      </c>
      <c r="J128" s="96" t="s">
        <v>966</v>
      </c>
      <c r="K128" s="96" t="s">
        <v>204</v>
      </c>
      <c r="L128" s="96" t="s">
        <v>250</v>
      </c>
      <c r="M128" s="96" t="s">
        <v>399</v>
      </c>
      <c r="N128" s="96" t="s">
        <v>735</v>
      </c>
      <c r="O128" s="96" t="s">
        <v>338</v>
      </c>
      <c r="P128" s="96" t="s">
        <v>1217</v>
      </c>
      <c r="Q128" s="97">
        <v>49576.152026999996</v>
      </c>
      <c r="R128" s="97">
        <v>2.3359000000000001E-2</v>
      </c>
      <c r="S128" s="97">
        <v>291100</v>
      </c>
      <c r="T128" s="96"/>
      <c r="U128" s="97">
        <v>3371.0816140000002</v>
      </c>
      <c r="V128" s="98">
        <v>0</v>
      </c>
      <c r="W128" s="98">
        <v>2.1250999999999999E-2</v>
      </c>
      <c r="X128" s="98">
        <v>1.755E-3</v>
      </c>
      <c r="Y128" s="106"/>
    </row>
    <row r="129" spans="1:25" ht="15" customHeight="1">
      <c r="A129" s="106"/>
      <c r="B129" s="96">
        <v>286</v>
      </c>
      <c r="C129" s="96">
        <v>286</v>
      </c>
      <c r="D129" s="96" t="s">
        <v>3200</v>
      </c>
      <c r="E129" s="96" t="s">
        <v>3201</v>
      </c>
      <c r="F129" s="96" t="s">
        <v>312</v>
      </c>
      <c r="G129" s="96" t="s">
        <v>3202</v>
      </c>
      <c r="H129" s="96" t="s">
        <v>3203</v>
      </c>
      <c r="I129" s="96" t="s">
        <v>320</v>
      </c>
      <c r="J129" s="96" t="s">
        <v>966</v>
      </c>
      <c r="K129" s="96" t="s">
        <v>204</v>
      </c>
      <c r="L129" s="96" t="s">
        <v>232</v>
      </c>
      <c r="M129" s="96" t="s">
        <v>313</v>
      </c>
      <c r="N129" s="96" t="s">
        <v>735</v>
      </c>
      <c r="O129" s="96" t="s">
        <v>338</v>
      </c>
      <c r="P129" s="96" t="s">
        <v>1202</v>
      </c>
      <c r="Q129" s="97">
        <v>15538.028305</v>
      </c>
      <c r="R129" s="97">
        <v>4.0202</v>
      </c>
      <c r="S129" s="97">
        <v>12118</v>
      </c>
      <c r="T129" s="96"/>
      <c r="U129" s="97">
        <v>7569.6276250000001</v>
      </c>
      <c r="V129" s="98">
        <v>2.7950000000000002E-3</v>
      </c>
      <c r="W129" s="98">
        <v>4.7718000000000003E-2</v>
      </c>
      <c r="X129" s="98">
        <v>3.9410000000000001E-3</v>
      </c>
      <c r="Y129" s="106"/>
    </row>
    <row r="130" spans="1:25" ht="15" customHeight="1">
      <c r="A130" s="106"/>
      <c r="B130" s="96">
        <v>286</v>
      </c>
      <c r="C130" s="96">
        <v>286</v>
      </c>
      <c r="D130" s="96" t="s">
        <v>3188</v>
      </c>
      <c r="E130" s="96" t="s">
        <v>3189</v>
      </c>
      <c r="F130" s="96" t="s">
        <v>312</v>
      </c>
      <c r="G130" s="96" t="s">
        <v>3190</v>
      </c>
      <c r="H130" s="96" t="s">
        <v>3191</v>
      </c>
      <c r="I130" s="96" t="s">
        <v>320</v>
      </c>
      <c r="J130" s="96" t="s">
        <v>966</v>
      </c>
      <c r="K130" s="96" t="s">
        <v>204</v>
      </c>
      <c r="L130" s="96" t="s">
        <v>232</v>
      </c>
      <c r="M130" s="96" t="s">
        <v>363</v>
      </c>
      <c r="N130" s="96" t="s">
        <v>735</v>
      </c>
      <c r="O130" s="96" t="s">
        <v>338</v>
      </c>
      <c r="P130" s="96" t="s">
        <v>1202</v>
      </c>
      <c r="Q130" s="97">
        <v>11840.987005000001</v>
      </c>
      <c r="R130" s="97">
        <v>4.0202</v>
      </c>
      <c r="S130" s="97">
        <v>15668.6</v>
      </c>
      <c r="T130" s="96"/>
      <c r="U130" s="97">
        <v>7458.74496</v>
      </c>
      <c r="V130" s="98">
        <v>1.902E-3</v>
      </c>
      <c r="W130" s="98">
        <v>4.7018999999999998E-2</v>
      </c>
      <c r="X130" s="98">
        <v>3.8839999999999999E-3</v>
      </c>
      <c r="Y130" s="106"/>
    </row>
    <row r="131" spans="1:25" ht="15" customHeight="1">
      <c r="A131" s="106"/>
      <c r="B131" s="96">
        <v>286</v>
      </c>
      <c r="C131" s="96">
        <v>9803</v>
      </c>
      <c r="D131" s="96" t="s">
        <v>3031</v>
      </c>
      <c r="E131" s="96">
        <v>511303661</v>
      </c>
      <c r="F131" s="96" t="s">
        <v>308</v>
      </c>
      <c r="G131" s="96" t="s">
        <v>3100</v>
      </c>
      <c r="H131" s="96" t="s">
        <v>3101</v>
      </c>
      <c r="I131" s="96" t="s">
        <v>320</v>
      </c>
      <c r="J131" s="96" t="s">
        <v>965</v>
      </c>
      <c r="K131" s="96" t="s">
        <v>203</v>
      </c>
      <c r="L131" s="96" t="s">
        <v>203</v>
      </c>
      <c r="M131" s="96" t="s">
        <v>339</v>
      </c>
      <c r="N131" s="96" t="s">
        <v>571</v>
      </c>
      <c r="O131" s="96" t="s">
        <v>338</v>
      </c>
      <c r="P131" s="96" t="s">
        <v>1200</v>
      </c>
      <c r="Q131" s="97">
        <v>150.69224600000001</v>
      </c>
      <c r="R131" s="97">
        <v>1</v>
      </c>
      <c r="S131" s="97">
        <v>3016</v>
      </c>
      <c r="T131" s="96"/>
      <c r="U131" s="97">
        <v>4.5448779999999998</v>
      </c>
      <c r="V131" s="98">
        <v>1.9999999999999999E-6</v>
      </c>
      <c r="W131" s="98">
        <v>3.7759999999999998E-3</v>
      </c>
      <c r="X131" s="98">
        <v>2.72E-4</v>
      </c>
      <c r="Y131" s="106"/>
    </row>
    <row r="132" spans="1:25" ht="15" customHeight="1">
      <c r="A132" s="106"/>
      <c r="B132" s="96">
        <v>286</v>
      </c>
      <c r="C132" s="96">
        <v>9803</v>
      </c>
      <c r="D132" s="96" t="s">
        <v>3034</v>
      </c>
      <c r="E132" s="96">
        <v>510938608</v>
      </c>
      <c r="F132" s="96" t="s">
        <v>308</v>
      </c>
      <c r="G132" s="96" t="s">
        <v>3072</v>
      </c>
      <c r="H132" s="96" t="s">
        <v>3073</v>
      </c>
      <c r="I132" s="96" t="s">
        <v>320</v>
      </c>
      <c r="J132" s="96" t="s">
        <v>967</v>
      </c>
      <c r="K132" s="96" t="s">
        <v>203</v>
      </c>
      <c r="L132" s="96" t="s">
        <v>203</v>
      </c>
      <c r="M132" s="96" t="s">
        <v>339</v>
      </c>
      <c r="N132" s="96" t="s">
        <v>572</v>
      </c>
      <c r="O132" s="96" t="s">
        <v>338</v>
      </c>
      <c r="P132" s="96" t="s">
        <v>1200</v>
      </c>
      <c r="Q132" s="97">
        <v>714.45979999999997</v>
      </c>
      <c r="R132" s="97">
        <v>1</v>
      </c>
      <c r="S132" s="97">
        <v>3605.5</v>
      </c>
      <c r="T132" s="96"/>
      <c r="U132" s="97">
        <v>25.759848000000002</v>
      </c>
      <c r="V132" s="98">
        <v>2.5000000000000001E-5</v>
      </c>
      <c r="W132" s="98">
        <v>2.1402000000000001E-2</v>
      </c>
      <c r="X132" s="98">
        <v>1.544E-3</v>
      </c>
      <c r="Y132" s="106"/>
    </row>
    <row r="133" spans="1:25" ht="15" customHeight="1">
      <c r="A133" s="106"/>
      <c r="B133" s="96">
        <v>286</v>
      </c>
      <c r="C133" s="96">
        <v>9803</v>
      </c>
      <c r="D133" s="96" t="s">
        <v>3034</v>
      </c>
      <c r="E133" s="96">
        <v>510938608</v>
      </c>
      <c r="F133" s="96" t="s">
        <v>308</v>
      </c>
      <c r="G133" s="96" t="s">
        <v>3064</v>
      </c>
      <c r="H133" s="96" t="s">
        <v>3065</v>
      </c>
      <c r="I133" s="96" t="s">
        <v>320</v>
      </c>
      <c r="J133" s="96" t="s">
        <v>967</v>
      </c>
      <c r="K133" s="96" t="s">
        <v>203</v>
      </c>
      <c r="L133" s="96" t="s">
        <v>203</v>
      </c>
      <c r="M133" s="96" t="s">
        <v>339</v>
      </c>
      <c r="N133" s="96" t="s">
        <v>633</v>
      </c>
      <c r="O133" s="96" t="s">
        <v>338</v>
      </c>
      <c r="P133" s="96" t="s">
        <v>1200</v>
      </c>
      <c r="Q133" s="97">
        <v>197.27535499999999</v>
      </c>
      <c r="R133" s="97">
        <v>1</v>
      </c>
      <c r="S133" s="97">
        <v>3854.27</v>
      </c>
      <c r="T133" s="96"/>
      <c r="U133" s="97">
        <v>7.6035240000000002</v>
      </c>
      <c r="V133" s="98">
        <v>1.11E-4</v>
      </c>
      <c r="W133" s="98">
        <v>6.3169999999999997E-3</v>
      </c>
      <c r="X133" s="98">
        <v>4.55E-4</v>
      </c>
      <c r="Y133" s="106"/>
    </row>
    <row r="134" spans="1:25" ht="15" customHeight="1">
      <c r="A134" s="106"/>
      <c r="B134" s="96">
        <v>286</v>
      </c>
      <c r="C134" s="96">
        <v>9803</v>
      </c>
      <c r="D134" s="96" t="s">
        <v>3028</v>
      </c>
      <c r="E134" s="96">
        <v>513534974</v>
      </c>
      <c r="F134" s="96" t="s">
        <v>308</v>
      </c>
      <c r="G134" s="96" t="s">
        <v>3104</v>
      </c>
      <c r="H134" s="96" t="s">
        <v>3105</v>
      </c>
      <c r="I134" s="96" t="s">
        <v>320</v>
      </c>
      <c r="J134" s="96" t="s">
        <v>965</v>
      </c>
      <c r="K134" s="96" t="s">
        <v>203</v>
      </c>
      <c r="L134" s="96" t="s">
        <v>203</v>
      </c>
      <c r="M134" s="96" t="s">
        <v>339</v>
      </c>
      <c r="N134" s="96" t="s">
        <v>695</v>
      </c>
      <c r="O134" s="96" t="s">
        <v>338</v>
      </c>
      <c r="P134" s="96" t="s">
        <v>1200</v>
      </c>
      <c r="Q134" s="97">
        <v>149.59536399999999</v>
      </c>
      <c r="R134" s="97">
        <v>1</v>
      </c>
      <c r="S134" s="97">
        <v>2746</v>
      </c>
      <c r="T134" s="96"/>
      <c r="U134" s="97">
        <v>4.107888</v>
      </c>
      <c r="V134" s="98">
        <v>1.5E-5</v>
      </c>
      <c r="W134" s="98">
        <v>3.4129999999999998E-3</v>
      </c>
      <c r="X134" s="98">
        <v>2.4600000000000002E-4</v>
      </c>
      <c r="Y134" s="106"/>
    </row>
    <row r="135" spans="1:25" ht="15" customHeight="1">
      <c r="A135" s="106"/>
      <c r="B135" s="96">
        <v>286</v>
      </c>
      <c r="C135" s="96">
        <v>9803</v>
      </c>
      <c r="D135" s="96" t="s">
        <v>3028</v>
      </c>
      <c r="E135" s="96">
        <v>513534974</v>
      </c>
      <c r="F135" s="96" t="s">
        <v>308</v>
      </c>
      <c r="G135" s="96" t="s">
        <v>3127</v>
      </c>
      <c r="H135" s="96" t="s">
        <v>3128</v>
      </c>
      <c r="I135" s="96" t="s">
        <v>320</v>
      </c>
      <c r="J135" s="96" t="s">
        <v>965</v>
      </c>
      <c r="K135" s="96" t="s">
        <v>203</v>
      </c>
      <c r="L135" s="96" t="s">
        <v>203</v>
      </c>
      <c r="M135" s="96" t="s">
        <v>339</v>
      </c>
      <c r="N135" s="96" t="s">
        <v>571</v>
      </c>
      <c r="O135" s="96" t="s">
        <v>338</v>
      </c>
      <c r="P135" s="96" t="s">
        <v>1200</v>
      </c>
      <c r="Q135" s="97">
        <v>1578.9843310000001</v>
      </c>
      <c r="R135" s="97">
        <v>1</v>
      </c>
      <c r="S135" s="97">
        <v>1926</v>
      </c>
      <c r="T135" s="96"/>
      <c r="U135" s="97">
        <v>30.411238000000001</v>
      </c>
      <c r="V135" s="98">
        <v>7.9999999999999996E-6</v>
      </c>
      <c r="W135" s="98">
        <v>2.5267000000000001E-2</v>
      </c>
      <c r="X135" s="98">
        <v>1.823E-3</v>
      </c>
      <c r="Y135" s="106"/>
    </row>
    <row r="136" spans="1:25" ht="15" customHeight="1">
      <c r="A136" s="106"/>
      <c r="B136" s="96">
        <v>286</v>
      </c>
      <c r="C136" s="96">
        <v>9803</v>
      </c>
      <c r="D136" s="96" t="s">
        <v>3025</v>
      </c>
      <c r="E136" s="96">
        <v>514884485</v>
      </c>
      <c r="F136" s="96" t="s">
        <v>308</v>
      </c>
      <c r="G136" s="96" t="s">
        <v>3108</v>
      </c>
      <c r="H136" s="96" t="s">
        <v>3109</v>
      </c>
      <c r="I136" s="96" t="s">
        <v>320</v>
      </c>
      <c r="J136" s="96" t="s">
        <v>965</v>
      </c>
      <c r="K136" s="96" t="s">
        <v>203</v>
      </c>
      <c r="L136" s="96" t="s">
        <v>203</v>
      </c>
      <c r="M136" s="96" t="s">
        <v>339</v>
      </c>
      <c r="N136" s="96" t="s">
        <v>696</v>
      </c>
      <c r="O136" s="96" t="s">
        <v>338</v>
      </c>
      <c r="P136" s="96" t="s">
        <v>1200</v>
      </c>
      <c r="Q136" s="97">
        <v>751.37334999999996</v>
      </c>
      <c r="R136" s="97">
        <v>1</v>
      </c>
      <c r="S136" s="97">
        <v>5621</v>
      </c>
      <c r="T136" s="96"/>
      <c r="U136" s="97">
        <v>42.234696</v>
      </c>
      <c r="V136" s="98">
        <v>2.1999999999999999E-5</v>
      </c>
      <c r="W136" s="98">
        <v>3.5090000000000003E-2</v>
      </c>
      <c r="X136" s="98">
        <v>2.532E-3</v>
      </c>
      <c r="Y136" s="106"/>
    </row>
    <row r="137" spans="1:25" ht="15" customHeight="1">
      <c r="A137" s="106"/>
      <c r="B137" s="96">
        <v>286</v>
      </c>
      <c r="C137" s="96">
        <v>9803</v>
      </c>
      <c r="D137" s="96" t="s">
        <v>3028</v>
      </c>
      <c r="E137" s="96">
        <v>513534974</v>
      </c>
      <c r="F137" s="96" t="s">
        <v>308</v>
      </c>
      <c r="G137" s="96" t="s">
        <v>3062</v>
      </c>
      <c r="H137" s="96" t="s">
        <v>3063</v>
      </c>
      <c r="I137" s="96" t="s">
        <v>320</v>
      </c>
      <c r="J137" s="96" t="s">
        <v>967</v>
      </c>
      <c r="K137" s="96" t="s">
        <v>203</v>
      </c>
      <c r="L137" s="96" t="s">
        <v>203</v>
      </c>
      <c r="M137" s="96" t="s">
        <v>339</v>
      </c>
      <c r="N137" s="96" t="s">
        <v>572</v>
      </c>
      <c r="O137" s="96" t="s">
        <v>338</v>
      </c>
      <c r="P137" s="96" t="s">
        <v>1200</v>
      </c>
      <c r="Q137" s="97">
        <v>5089.3631059999998</v>
      </c>
      <c r="R137" s="97">
        <v>1</v>
      </c>
      <c r="S137" s="97">
        <v>361.68</v>
      </c>
      <c r="T137" s="96"/>
      <c r="U137" s="97">
        <v>18.407208000000001</v>
      </c>
      <c r="V137" s="98">
        <v>2.4000000000000001E-5</v>
      </c>
      <c r="W137" s="98">
        <v>1.5292999999999999E-2</v>
      </c>
      <c r="X137" s="98">
        <v>1.103E-3</v>
      </c>
      <c r="Y137" s="106"/>
    </row>
    <row r="138" spans="1:25" ht="15" customHeight="1">
      <c r="A138" s="106"/>
      <c r="B138" s="96">
        <v>286</v>
      </c>
      <c r="C138" s="96">
        <v>9803</v>
      </c>
      <c r="D138" s="96" t="s">
        <v>3116</v>
      </c>
      <c r="E138" s="96">
        <v>513846808</v>
      </c>
      <c r="F138" s="96" t="s">
        <v>308</v>
      </c>
      <c r="G138" s="96" t="s">
        <v>3117</v>
      </c>
      <c r="H138" s="96" t="s">
        <v>3118</v>
      </c>
      <c r="I138" s="96" t="s">
        <v>320</v>
      </c>
      <c r="J138" s="96" t="s">
        <v>965</v>
      </c>
      <c r="K138" s="96" t="s">
        <v>203</v>
      </c>
      <c r="L138" s="96" t="s">
        <v>203</v>
      </c>
      <c r="M138" s="96" t="s">
        <v>339</v>
      </c>
      <c r="N138" s="96" t="s">
        <v>696</v>
      </c>
      <c r="O138" s="96" t="s">
        <v>338</v>
      </c>
      <c r="P138" s="96" t="s">
        <v>1200</v>
      </c>
      <c r="Q138" s="97">
        <v>29.628720999999999</v>
      </c>
      <c r="R138" s="97">
        <v>1</v>
      </c>
      <c r="S138" s="97">
        <v>4900</v>
      </c>
      <c r="T138" s="96"/>
      <c r="U138" s="97">
        <v>1.4518070000000001</v>
      </c>
      <c r="V138" s="98">
        <v>1.1E-5</v>
      </c>
      <c r="W138" s="98">
        <v>1.206E-3</v>
      </c>
      <c r="X138" s="98">
        <v>8.7000000000000001E-5</v>
      </c>
      <c r="Y138" s="106"/>
    </row>
    <row r="139" spans="1:25" ht="15" customHeight="1">
      <c r="A139" s="106"/>
      <c r="B139" s="96">
        <v>286</v>
      </c>
      <c r="C139" s="96">
        <v>9803</v>
      </c>
      <c r="D139" s="96" t="s">
        <v>3028</v>
      </c>
      <c r="E139" s="96">
        <v>513534974</v>
      </c>
      <c r="F139" s="96" t="s">
        <v>308</v>
      </c>
      <c r="G139" s="96" t="s">
        <v>3080</v>
      </c>
      <c r="H139" s="96" t="s">
        <v>3081</v>
      </c>
      <c r="I139" s="96" t="s">
        <v>320</v>
      </c>
      <c r="J139" s="96" t="s">
        <v>967</v>
      </c>
      <c r="K139" s="96" t="s">
        <v>203</v>
      </c>
      <c r="L139" s="96" t="s">
        <v>203</v>
      </c>
      <c r="M139" s="96" t="s">
        <v>339</v>
      </c>
      <c r="N139" s="96" t="s">
        <v>631</v>
      </c>
      <c r="O139" s="96" t="s">
        <v>338</v>
      </c>
      <c r="P139" s="96" t="s">
        <v>1200</v>
      </c>
      <c r="Q139" s="97">
        <v>1125.426862</v>
      </c>
      <c r="R139" s="97">
        <v>1</v>
      </c>
      <c r="S139" s="97">
        <v>3777.39</v>
      </c>
      <c r="T139" s="96"/>
      <c r="U139" s="97">
        <v>42.511761</v>
      </c>
      <c r="V139" s="98">
        <v>1.0399999999999999E-4</v>
      </c>
      <c r="W139" s="98">
        <v>3.5319999999999997E-2</v>
      </c>
      <c r="X139" s="98">
        <v>2.5490000000000001E-3</v>
      </c>
      <c r="Y139" s="106"/>
    </row>
    <row r="140" spans="1:25" ht="15" customHeight="1">
      <c r="A140" s="106"/>
      <c r="B140" s="96">
        <v>286</v>
      </c>
      <c r="C140" s="96">
        <v>9803</v>
      </c>
      <c r="D140" s="96" t="s">
        <v>3034</v>
      </c>
      <c r="E140" s="96">
        <v>510938608</v>
      </c>
      <c r="F140" s="96" t="s">
        <v>308</v>
      </c>
      <c r="G140" s="96" t="s">
        <v>3054</v>
      </c>
      <c r="H140" s="96" t="s">
        <v>3055</v>
      </c>
      <c r="I140" s="96" t="s">
        <v>320</v>
      </c>
      <c r="J140" s="96" t="s">
        <v>967</v>
      </c>
      <c r="K140" s="96" t="s">
        <v>203</v>
      </c>
      <c r="L140" s="96" t="s">
        <v>203</v>
      </c>
      <c r="M140" s="96" t="s">
        <v>339</v>
      </c>
      <c r="N140" s="96" t="s">
        <v>629</v>
      </c>
      <c r="O140" s="96" t="s">
        <v>338</v>
      </c>
      <c r="P140" s="96" t="s">
        <v>1200</v>
      </c>
      <c r="Q140" s="97">
        <v>2666.5058260000001</v>
      </c>
      <c r="R140" s="97">
        <v>1</v>
      </c>
      <c r="S140" s="97">
        <v>3822.15</v>
      </c>
      <c r="T140" s="96"/>
      <c r="U140" s="97">
        <v>101.917852</v>
      </c>
      <c r="V140" s="98">
        <v>8.2000000000000001E-5</v>
      </c>
      <c r="W140" s="98">
        <v>8.4678000000000003E-2</v>
      </c>
      <c r="X140" s="98">
        <v>6.1120000000000002E-3</v>
      </c>
      <c r="Y140" s="106"/>
    </row>
    <row r="141" spans="1:25" ht="15" customHeight="1">
      <c r="A141" s="106"/>
      <c r="B141" s="96">
        <v>286</v>
      </c>
      <c r="C141" s="96">
        <v>9803</v>
      </c>
      <c r="D141" s="96" t="s">
        <v>3025</v>
      </c>
      <c r="E141" s="96">
        <v>514884485</v>
      </c>
      <c r="F141" s="96" t="s">
        <v>308</v>
      </c>
      <c r="G141" s="96" t="s">
        <v>3098</v>
      </c>
      <c r="H141" s="96" t="s">
        <v>3099</v>
      </c>
      <c r="I141" s="96" t="s">
        <v>320</v>
      </c>
      <c r="J141" s="96" t="s">
        <v>965</v>
      </c>
      <c r="K141" s="96" t="s">
        <v>203</v>
      </c>
      <c r="L141" s="96" t="s">
        <v>203</v>
      </c>
      <c r="M141" s="96" t="s">
        <v>339</v>
      </c>
      <c r="N141" s="96" t="s">
        <v>571</v>
      </c>
      <c r="O141" s="96" t="s">
        <v>338</v>
      </c>
      <c r="P141" s="96" t="s">
        <v>1200</v>
      </c>
      <c r="Q141" s="97">
        <v>3.1616010000000001</v>
      </c>
      <c r="R141" s="97">
        <v>1</v>
      </c>
      <c r="S141" s="97">
        <v>5316</v>
      </c>
      <c r="T141" s="96"/>
      <c r="U141" s="97">
        <v>0.16807</v>
      </c>
      <c r="V141" s="98">
        <v>9.9999999999999995E-7</v>
      </c>
      <c r="W141" s="98">
        <v>1.3899999999999999E-4</v>
      </c>
      <c r="X141" s="98">
        <v>1.0000000000000001E-5</v>
      </c>
      <c r="Y141" s="106"/>
    </row>
    <row r="142" spans="1:25" ht="15" customHeight="1">
      <c r="A142" s="106"/>
      <c r="B142" s="96">
        <v>286</v>
      </c>
      <c r="C142" s="96">
        <v>9803</v>
      </c>
      <c r="D142" s="96" t="s">
        <v>3022</v>
      </c>
      <c r="E142" s="96">
        <v>513765339</v>
      </c>
      <c r="F142" s="96" t="s">
        <v>308</v>
      </c>
      <c r="G142" s="96" t="s">
        <v>3112</v>
      </c>
      <c r="H142" s="96" t="s">
        <v>3113</v>
      </c>
      <c r="I142" s="96" t="s">
        <v>320</v>
      </c>
      <c r="J142" s="96" t="s">
        <v>965</v>
      </c>
      <c r="K142" s="96" t="s">
        <v>203</v>
      </c>
      <c r="L142" s="96" t="s">
        <v>203</v>
      </c>
      <c r="M142" s="96" t="s">
        <v>339</v>
      </c>
      <c r="N142" s="96" t="s">
        <v>696</v>
      </c>
      <c r="O142" s="96" t="s">
        <v>338</v>
      </c>
      <c r="P142" s="96" t="s">
        <v>1200</v>
      </c>
      <c r="Q142" s="97">
        <v>3076.8392359999998</v>
      </c>
      <c r="R142" s="97">
        <v>1</v>
      </c>
      <c r="S142" s="97">
        <v>3462</v>
      </c>
      <c r="T142" s="96"/>
      <c r="U142" s="97">
        <v>106.520174</v>
      </c>
      <c r="V142" s="98">
        <v>1.2999999999999999E-5</v>
      </c>
      <c r="W142" s="98">
        <v>8.8501999999999997E-2</v>
      </c>
      <c r="X142" s="98">
        <v>6.3870000000000003E-3</v>
      </c>
      <c r="Y142" s="106"/>
    </row>
    <row r="143" spans="1:25" ht="15" customHeight="1">
      <c r="A143" s="106"/>
      <c r="B143" s="96">
        <v>286</v>
      </c>
      <c r="C143" s="96">
        <v>9803</v>
      </c>
      <c r="D143" s="96" t="s">
        <v>3028</v>
      </c>
      <c r="E143" s="96">
        <v>513534974</v>
      </c>
      <c r="F143" s="96" t="s">
        <v>308</v>
      </c>
      <c r="G143" s="96" t="s">
        <v>3066</v>
      </c>
      <c r="H143" s="96" t="s">
        <v>3067</v>
      </c>
      <c r="I143" s="96" t="s">
        <v>320</v>
      </c>
      <c r="J143" s="96" t="s">
        <v>967</v>
      </c>
      <c r="K143" s="96" t="s">
        <v>203</v>
      </c>
      <c r="L143" s="96" t="s">
        <v>203</v>
      </c>
      <c r="M143" s="96" t="s">
        <v>339</v>
      </c>
      <c r="N143" s="96" t="s">
        <v>575</v>
      </c>
      <c r="O143" s="96" t="s">
        <v>338</v>
      </c>
      <c r="P143" s="96" t="s">
        <v>1200</v>
      </c>
      <c r="Q143" s="97">
        <v>24739.646359999999</v>
      </c>
      <c r="R143" s="97">
        <v>1</v>
      </c>
      <c r="S143" s="97">
        <v>356.58</v>
      </c>
      <c r="T143" s="96"/>
      <c r="U143" s="97">
        <v>88.216629999999995</v>
      </c>
      <c r="V143" s="98">
        <v>6.3999999999999997E-5</v>
      </c>
      <c r="W143" s="98">
        <v>7.3293999999999998E-2</v>
      </c>
      <c r="X143" s="98">
        <v>5.2900000000000004E-3</v>
      </c>
      <c r="Y143" s="106"/>
    </row>
    <row r="144" spans="1:25" ht="15" customHeight="1">
      <c r="A144" s="106"/>
      <c r="B144" s="96">
        <v>286</v>
      </c>
      <c r="C144" s="96">
        <v>9803</v>
      </c>
      <c r="D144" s="96" t="s">
        <v>3047</v>
      </c>
      <c r="E144" s="96">
        <v>511776783</v>
      </c>
      <c r="F144" s="96" t="s">
        <v>308</v>
      </c>
      <c r="G144" s="96" t="s">
        <v>3048</v>
      </c>
      <c r="H144" s="96" t="s">
        <v>3049</v>
      </c>
      <c r="I144" s="96" t="s">
        <v>320</v>
      </c>
      <c r="J144" s="96" t="s">
        <v>967</v>
      </c>
      <c r="K144" s="96" t="s">
        <v>203</v>
      </c>
      <c r="L144" s="96" t="s">
        <v>203</v>
      </c>
      <c r="M144" s="96" t="s">
        <v>339</v>
      </c>
      <c r="N144" s="96" t="s">
        <v>575</v>
      </c>
      <c r="O144" s="96" t="s">
        <v>338</v>
      </c>
      <c r="P144" s="96" t="s">
        <v>1200</v>
      </c>
      <c r="Q144" s="97">
        <v>15683.633195</v>
      </c>
      <c r="R144" s="97">
        <v>1</v>
      </c>
      <c r="S144" s="97">
        <v>355.84</v>
      </c>
      <c r="T144" s="96"/>
      <c r="U144" s="97">
        <v>55.808639999999997</v>
      </c>
      <c r="V144" s="98">
        <v>7.7999999999999999E-5</v>
      </c>
      <c r="W144" s="98">
        <v>4.6367999999999999E-2</v>
      </c>
      <c r="X144" s="98">
        <v>3.346E-3</v>
      </c>
      <c r="Y144" s="106"/>
    </row>
    <row r="145" spans="1:25" ht="15" customHeight="1">
      <c r="A145" s="106"/>
      <c r="B145" s="96">
        <v>286</v>
      </c>
      <c r="C145" s="96">
        <v>9803</v>
      </c>
      <c r="D145" s="96" t="s">
        <v>3047</v>
      </c>
      <c r="E145" s="96">
        <v>511776783</v>
      </c>
      <c r="F145" s="96" t="s">
        <v>308</v>
      </c>
      <c r="G145" s="96" t="s">
        <v>3125</v>
      </c>
      <c r="H145" s="96" t="s">
        <v>3126</v>
      </c>
      <c r="I145" s="96" t="s">
        <v>320</v>
      </c>
      <c r="J145" s="96" t="s">
        <v>965</v>
      </c>
      <c r="K145" s="96" t="s">
        <v>203</v>
      </c>
      <c r="L145" s="96" t="s">
        <v>203</v>
      </c>
      <c r="M145" s="96" t="s">
        <v>339</v>
      </c>
      <c r="N145" s="96" t="s">
        <v>571</v>
      </c>
      <c r="O145" s="96" t="s">
        <v>338</v>
      </c>
      <c r="P145" s="96" t="s">
        <v>1200</v>
      </c>
      <c r="Q145" s="97">
        <v>4.5810950000000004</v>
      </c>
      <c r="R145" s="97">
        <v>1</v>
      </c>
      <c r="S145" s="97">
        <v>1921</v>
      </c>
      <c r="T145" s="96"/>
      <c r="U145" s="97">
        <v>8.8001999999999997E-2</v>
      </c>
      <c r="V145" s="98">
        <v>0</v>
      </c>
      <c r="W145" s="98">
        <v>7.2999999999999999E-5</v>
      </c>
      <c r="X145" s="98">
        <v>5.0000000000000004E-6</v>
      </c>
      <c r="Y145" s="106"/>
    </row>
    <row r="146" spans="1:25" ht="15" customHeight="1">
      <c r="A146" s="106"/>
      <c r="B146" s="96">
        <v>286</v>
      </c>
      <c r="C146" s="96">
        <v>9803</v>
      </c>
      <c r="D146" s="96" t="s">
        <v>3031</v>
      </c>
      <c r="E146" s="96">
        <v>511303661</v>
      </c>
      <c r="F146" s="96" t="s">
        <v>308</v>
      </c>
      <c r="G146" s="96" t="s">
        <v>3056</v>
      </c>
      <c r="H146" s="96" t="s">
        <v>3057</v>
      </c>
      <c r="I146" s="96" t="s">
        <v>320</v>
      </c>
      <c r="J146" s="96" t="s">
        <v>967</v>
      </c>
      <c r="K146" s="96" t="s">
        <v>203</v>
      </c>
      <c r="L146" s="96" t="s">
        <v>203</v>
      </c>
      <c r="M146" s="96" t="s">
        <v>339</v>
      </c>
      <c r="N146" s="96" t="s">
        <v>572</v>
      </c>
      <c r="O146" s="96" t="s">
        <v>338</v>
      </c>
      <c r="P146" s="96" t="s">
        <v>1200</v>
      </c>
      <c r="Q146" s="97">
        <v>795.49240799999995</v>
      </c>
      <c r="R146" s="97">
        <v>1</v>
      </c>
      <c r="S146" s="97">
        <v>450.15</v>
      </c>
      <c r="T146" s="96"/>
      <c r="U146" s="97">
        <v>3.5809090000000001</v>
      </c>
      <c r="V146" s="98">
        <v>6.9999999999999999E-6</v>
      </c>
      <c r="W146" s="98">
        <v>2.9750000000000002E-3</v>
      </c>
      <c r="X146" s="98">
        <v>2.14E-4</v>
      </c>
      <c r="Y146" s="106"/>
    </row>
    <row r="147" spans="1:25" ht="15" customHeight="1">
      <c r="A147" s="106"/>
      <c r="B147" s="96">
        <v>286</v>
      </c>
      <c r="C147" s="96">
        <v>9803</v>
      </c>
      <c r="D147" s="96" t="s">
        <v>3028</v>
      </c>
      <c r="E147" s="96">
        <v>513534974</v>
      </c>
      <c r="F147" s="96" t="s">
        <v>308</v>
      </c>
      <c r="G147" s="96" t="s">
        <v>3058</v>
      </c>
      <c r="H147" s="96" t="s">
        <v>3059</v>
      </c>
      <c r="I147" s="96" t="s">
        <v>320</v>
      </c>
      <c r="J147" s="96" t="s">
        <v>967</v>
      </c>
      <c r="K147" s="96" t="s">
        <v>203</v>
      </c>
      <c r="L147" s="96" t="s">
        <v>203</v>
      </c>
      <c r="M147" s="96" t="s">
        <v>339</v>
      </c>
      <c r="N147" s="96" t="s">
        <v>629</v>
      </c>
      <c r="O147" s="96" t="s">
        <v>338</v>
      </c>
      <c r="P147" s="96" t="s">
        <v>1200</v>
      </c>
      <c r="Q147" s="97">
        <v>8314.3980460000002</v>
      </c>
      <c r="R147" s="97">
        <v>1</v>
      </c>
      <c r="S147" s="97">
        <v>384.65</v>
      </c>
      <c r="T147" s="96"/>
      <c r="U147" s="97">
        <v>31.981331999999998</v>
      </c>
      <c r="V147" s="98">
        <v>2.8E-5</v>
      </c>
      <c r="W147" s="98">
        <v>2.6571000000000001E-2</v>
      </c>
      <c r="X147" s="98">
        <v>1.9170000000000001E-3</v>
      </c>
      <c r="Y147" s="106"/>
    </row>
    <row r="148" spans="1:25" ht="15" customHeight="1">
      <c r="A148" s="106"/>
      <c r="B148" s="96">
        <v>286</v>
      </c>
      <c r="C148" s="96">
        <v>9803</v>
      </c>
      <c r="D148" s="96" t="s">
        <v>3031</v>
      </c>
      <c r="E148" s="96">
        <v>511303661</v>
      </c>
      <c r="F148" s="96" t="s">
        <v>308</v>
      </c>
      <c r="G148" s="96" t="s">
        <v>3076</v>
      </c>
      <c r="H148" s="96" t="s">
        <v>3077</v>
      </c>
      <c r="I148" s="96" t="s">
        <v>320</v>
      </c>
      <c r="J148" s="96" t="s">
        <v>967</v>
      </c>
      <c r="K148" s="96" t="s">
        <v>203</v>
      </c>
      <c r="L148" s="96" t="s">
        <v>203</v>
      </c>
      <c r="M148" s="96" t="s">
        <v>339</v>
      </c>
      <c r="N148" s="96" t="s">
        <v>575</v>
      </c>
      <c r="O148" s="96" t="s">
        <v>338</v>
      </c>
      <c r="P148" s="96" t="s">
        <v>1200</v>
      </c>
      <c r="Q148" s="97">
        <v>4062.3585819999998</v>
      </c>
      <c r="R148" s="97">
        <v>1</v>
      </c>
      <c r="S148" s="97">
        <v>454.12</v>
      </c>
      <c r="T148" s="96"/>
      <c r="U148" s="97">
        <v>18.447982</v>
      </c>
      <c r="V148" s="98">
        <v>3.3000000000000003E-5</v>
      </c>
      <c r="W148" s="98">
        <v>1.5327E-2</v>
      </c>
      <c r="X148" s="98">
        <v>1.106E-3</v>
      </c>
      <c r="Y148" s="106"/>
    </row>
    <row r="149" spans="1:25" ht="15" customHeight="1">
      <c r="A149" s="106"/>
      <c r="B149" s="96">
        <v>286</v>
      </c>
      <c r="C149" s="96">
        <v>9803</v>
      </c>
      <c r="D149" s="96" t="s">
        <v>3047</v>
      </c>
      <c r="E149" s="96">
        <v>511776783</v>
      </c>
      <c r="F149" s="96" t="s">
        <v>308</v>
      </c>
      <c r="G149" s="96" t="s">
        <v>3060</v>
      </c>
      <c r="H149" s="96" t="s">
        <v>3061</v>
      </c>
      <c r="I149" s="96" t="s">
        <v>320</v>
      </c>
      <c r="J149" s="96" t="s">
        <v>967</v>
      </c>
      <c r="K149" s="96" t="s">
        <v>203</v>
      </c>
      <c r="L149" s="96" t="s">
        <v>203</v>
      </c>
      <c r="M149" s="96" t="s">
        <v>339</v>
      </c>
      <c r="N149" s="96" t="s">
        <v>629</v>
      </c>
      <c r="O149" s="96" t="s">
        <v>338</v>
      </c>
      <c r="P149" s="96" t="s">
        <v>1200</v>
      </c>
      <c r="Q149" s="97">
        <v>1964.9024429999999</v>
      </c>
      <c r="R149" s="97">
        <v>1</v>
      </c>
      <c r="S149" s="97">
        <v>383.33</v>
      </c>
      <c r="T149" s="96"/>
      <c r="U149" s="97">
        <v>7.5320600000000004</v>
      </c>
      <c r="V149" s="98">
        <v>1.1E-5</v>
      </c>
      <c r="W149" s="98">
        <v>6.2579999999999997E-3</v>
      </c>
      <c r="X149" s="98">
        <v>4.5100000000000001E-4</v>
      </c>
      <c r="Y149" s="106"/>
    </row>
    <row r="150" spans="1:25" ht="15" customHeight="1">
      <c r="A150" s="106"/>
      <c r="B150" s="96">
        <v>286</v>
      </c>
      <c r="C150" s="96">
        <v>9803</v>
      </c>
      <c r="D150" s="96" t="s">
        <v>3034</v>
      </c>
      <c r="E150" s="96">
        <v>510938608</v>
      </c>
      <c r="F150" s="96" t="s">
        <v>308</v>
      </c>
      <c r="G150" s="96" t="s">
        <v>3084</v>
      </c>
      <c r="H150" s="96" t="s">
        <v>3085</v>
      </c>
      <c r="I150" s="96" t="s">
        <v>320</v>
      </c>
      <c r="J150" s="96" t="s">
        <v>967</v>
      </c>
      <c r="K150" s="96" t="s">
        <v>203</v>
      </c>
      <c r="L150" s="96" t="s">
        <v>203</v>
      </c>
      <c r="M150" s="96" t="s">
        <v>339</v>
      </c>
      <c r="N150" s="96" t="s">
        <v>575</v>
      </c>
      <c r="O150" s="96" t="s">
        <v>338</v>
      </c>
      <c r="P150" s="96" t="s">
        <v>1200</v>
      </c>
      <c r="Q150" s="97">
        <v>3409.4295499999998</v>
      </c>
      <c r="R150" s="97">
        <v>1</v>
      </c>
      <c r="S150" s="97">
        <v>3548.09</v>
      </c>
      <c r="T150" s="96"/>
      <c r="U150" s="97">
        <v>120.969628</v>
      </c>
      <c r="V150" s="98">
        <v>1.4100000000000001E-4</v>
      </c>
      <c r="W150" s="98">
        <v>0.100507</v>
      </c>
      <c r="X150" s="98">
        <v>7.254E-3</v>
      </c>
      <c r="Y150" s="106"/>
    </row>
    <row r="151" spans="1:25" ht="15" customHeight="1">
      <c r="A151" s="106"/>
      <c r="B151" s="96">
        <v>286</v>
      </c>
      <c r="C151" s="96">
        <v>9803</v>
      </c>
      <c r="D151" s="96" t="s">
        <v>3034</v>
      </c>
      <c r="E151" s="96">
        <v>510938608</v>
      </c>
      <c r="F151" s="96" t="s">
        <v>308</v>
      </c>
      <c r="G151" s="96" t="s">
        <v>3121</v>
      </c>
      <c r="H151" s="96" t="s">
        <v>3122</v>
      </c>
      <c r="I151" s="96" t="s">
        <v>320</v>
      </c>
      <c r="J151" s="96" t="s">
        <v>965</v>
      </c>
      <c r="K151" s="96" t="s">
        <v>203</v>
      </c>
      <c r="L151" s="96" t="s">
        <v>203</v>
      </c>
      <c r="M151" s="96" t="s">
        <v>339</v>
      </c>
      <c r="N151" s="96" t="s">
        <v>573</v>
      </c>
      <c r="O151" s="96" t="s">
        <v>338</v>
      </c>
      <c r="P151" s="96" t="s">
        <v>1200</v>
      </c>
      <c r="Q151" s="97">
        <v>140.679686</v>
      </c>
      <c r="R151" s="97">
        <v>1</v>
      </c>
      <c r="S151" s="97">
        <v>19470</v>
      </c>
      <c r="T151" s="96"/>
      <c r="U151" s="97">
        <v>27.390333999999999</v>
      </c>
      <c r="V151" s="98">
        <v>1.5E-5</v>
      </c>
      <c r="W151" s="98">
        <v>2.2756999999999999E-2</v>
      </c>
      <c r="X151" s="98">
        <v>1.642E-3</v>
      </c>
      <c r="Y151" s="106"/>
    </row>
    <row r="152" spans="1:25" ht="15" customHeight="1">
      <c r="A152" s="106"/>
      <c r="B152" s="96">
        <v>286</v>
      </c>
      <c r="C152" s="96">
        <v>9803</v>
      </c>
      <c r="D152" s="96" t="s">
        <v>3022</v>
      </c>
      <c r="E152" s="96">
        <v>513765339</v>
      </c>
      <c r="F152" s="96" t="s">
        <v>308</v>
      </c>
      <c r="G152" s="96" t="s">
        <v>3102</v>
      </c>
      <c r="H152" s="96" t="s">
        <v>3103</v>
      </c>
      <c r="I152" s="96" t="s">
        <v>320</v>
      </c>
      <c r="J152" s="96" t="s">
        <v>965</v>
      </c>
      <c r="K152" s="96" t="s">
        <v>203</v>
      </c>
      <c r="L152" s="96" t="s">
        <v>203</v>
      </c>
      <c r="M152" s="96" t="s">
        <v>339</v>
      </c>
      <c r="N152" s="96" t="s">
        <v>571</v>
      </c>
      <c r="O152" s="96" t="s">
        <v>338</v>
      </c>
      <c r="P152" s="96" t="s">
        <v>1200</v>
      </c>
      <c r="Q152" s="97">
        <v>305.945582</v>
      </c>
      <c r="R152" s="97">
        <v>1</v>
      </c>
      <c r="S152" s="97">
        <v>1915</v>
      </c>
      <c r="T152" s="96"/>
      <c r="U152" s="97">
        <v>5.8588570000000004</v>
      </c>
      <c r="V152" s="98">
        <v>6.0000000000000002E-6</v>
      </c>
      <c r="W152" s="98">
        <v>4.8669999999999998E-3</v>
      </c>
      <c r="X152" s="98">
        <v>3.5100000000000002E-4</v>
      </c>
      <c r="Y152" s="106"/>
    </row>
    <row r="153" spans="1:25" ht="15" customHeight="1">
      <c r="A153" s="106"/>
      <c r="B153" s="96">
        <v>286</v>
      </c>
      <c r="C153" s="96">
        <v>9803</v>
      </c>
      <c r="D153" s="96" t="s">
        <v>3028</v>
      </c>
      <c r="E153" s="96">
        <v>513534974</v>
      </c>
      <c r="F153" s="96" t="s">
        <v>308</v>
      </c>
      <c r="G153" s="96" t="s">
        <v>3114</v>
      </c>
      <c r="H153" s="96" t="s">
        <v>3115</v>
      </c>
      <c r="I153" s="96" t="s">
        <v>320</v>
      </c>
      <c r="J153" s="96" t="s">
        <v>965</v>
      </c>
      <c r="K153" s="96" t="s">
        <v>203</v>
      </c>
      <c r="L153" s="96" t="s">
        <v>203</v>
      </c>
      <c r="M153" s="96" t="s">
        <v>339</v>
      </c>
      <c r="N153" s="96" t="s">
        <v>573</v>
      </c>
      <c r="O153" s="96" t="s">
        <v>338</v>
      </c>
      <c r="P153" s="96" t="s">
        <v>1200</v>
      </c>
      <c r="Q153" s="97">
        <v>1149.973473</v>
      </c>
      <c r="R153" s="97">
        <v>1</v>
      </c>
      <c r="S153" s="97">
        <v>1960</v>
      </c>
      <c r="T153" s="96"/>
      <c r="U153" s="97">
        <v>22.539479</v>
      </c>
      <c r="V153" s="98">
        <v>1.8E-5</v>
      </c>
      <c r="W153" s="98">
        <v>1.8726E-2</v>
      </c>
      <c r="X153" s="98">
        <v>1.351E-3</v>
      </c>
      <c r="Y153" s="106"/>
    </row>
    <row r="154" spans="1:25" ht="15" customHeight="1">
      <c r="A154" s="106"/>
      <c r="B154" s="96">
        <v>286</v>
      </c>
      <c r="C154" s="96">
        <v>9803</v>
      </c>
      <c r="D154" s="96" t="s">
        <v>3047</v>
      </c>
      <c r="E154" s="96">
        <v>511776783</v>
      </c>
      <c r="F154" s="96" t="s">
        <v>308</v>
      </c>
      <c r="G154" s="96" t="s">
        <v>3068</v>
      </c>
      <c r="H154" s="96" t="s">
        <v>3069</v>
      </c>
      <c r="I154" s="96" t="s">
        <v>320</v>
      </c>
      <c r="J154" s="96" t="s">
        <v>967</v>
      </c>
      <c r="K154" s="96" t="s">
        <v>203</v>
      </c>
      <c r="L154" s="96" t="s">
        <v>203</v>
      </c>
      <c r="M154" s="96" t="s">
        <v>339</v>
      </c>
      <c r="N154" s="96" t="s">
        <v>572</v>
      </c>
      <c r="O154" s="96" t="s">
        <v>338</v>
      </c>
      <c r="P154" s="96" t="s">
        <v>1200</v>
      </c>
      <c r="Q154" s="97">
        <v>7623.2801159999999</v>
      </c>
      <c r="R154" s="97">
        <v>1</v>
      </c>
      <c r="S154" s="97">
        <v>364.58</v>
      </c>
      <c r="T154" s="96"/>
      <c r="U154" s="97">
        <v>27.792954000000002</v>
      </c>
      <c r="V154" s="98">
        <v>8.2000000000000001E-5</v>
      </c>
      <c r="W154" s="98">
        <v>2.3091E-2</v>
      </c>
      <c r="X154" s="98">
        <v>1.6659999999999999E-3</v>
      </c>
      <c r="Y154" s="106"/>
    </row>
    <row r="155" spans="1:25" ht="15" customHeight="1">
      <c r="A155" s="106"/>
      <c r="B155" s="96">
        <v>286</v>
      </c>
      <c r="C155" s="96">
        <v>9803</v>
      </c>
      <c r="D155" s="96" t="s">
        <v>3034</v>
      </c>
      <c r="E155" s="96">
        <v>510938608</v>
      </c>
      <c r="F155" s="96" t="s">
        <v>308</v>
      </c>
      <c r="G155" s="96" t="s">
        <v>3070</v>
      </c>
      <c r="H155" s="96" t="s">
        <v>3071</v>
      </c>
      <c r="I155" s="96" t="s">
        <v>320</v>
      </c>
      <c r="J155" s="96" t="s">
        <v>967</v>
      </c>
      <c r="K155" s="96" t="s">
        <v>203</v>
      </c>
      <c r="L155" s="96" t="s">
        <v>203</v>
      </c>
      <c r="M155" s="96" t="s">
        <v>339</v>
      </c>
      <c r="N155" s="96" t="s">
        <v>574</v>
      </c>
      <c r="O155" s="96" t="s">
        <v>338</v>
      </c>
      <c r="P155" s="96" t="s">
        <v>1200</v>
      </c>
      <c r="Q155" s="97">
        <v>48.799084000000001</v>
      </c>
      <c r="R155" s="97">
        <v>1</v>
      </c>
      <c r="S155" s="97">
        <v>3455.48</v>
      </c>
      <c r="T155" s="96"/>
      <c r="U155" s="97">
        <v>1.686242</v>
      </c>
      <c r="V155" s="98">
        <v>6.0000000000000002E-6</v>
      </c>
      <c r="W155" s="98">
        <v>1.4009999999999999E-3</v>
      </c>
      <c r="X155" s="98">
        <v>1.01E-4</v>
      </c>
      <c r="Y155" s="106"/>
    </row>
    <row r="156" spans="1:25" ht="15" customHeight="1">
      <c r="A156" s="106"/>
      <c r="B156" s="96">
        <v>286</v>
      </c>
      <c r="C156" s="96">
        <v>9803</v>
      </c>
      <c r="D156" s="96" t="s">
        <v>3047</v>
      </c>
      <c r="E156" s="96">
        <v>511776783</v>
      </c>
      <c r="F156" s="96" t="s">
        <v>308</v>
      </c>
      <c r="G156" s="96" t="s">
        <v>3110</v>
      </c>
      <c r="H156" s="96" t="s">
        <v>3111</v>
      </c>
      <c r="I156" s="96" t="s">
        <v>320</v>
      </c>
      <c r="J156" s="96" t="s">
        <v>965</v>
      </c>
      <c r="K156" s="96" t="s">
        <v>203</v>
      </c>
      <c r="L156" s="96" t="s">
        <v>203</v>
      </c>
      <c r="M156" s="96" t="s">
        <v>339</v>
      </c>
      <c r="N156" s="96" t="s">
        <v>573</v>
      </c>
      <c r="O156" s="96" t="s">
        <v>338</v>
      </c>
      <c r="P156" s="96" t="s">
        <v>1200</v>
      </c>
      <c r="Q156" s="97">
        <v>10.760284</v>
      </c>
      <c r="R156" s="97">
        <v>1</v>
      </c>
      <c r="S156" s="97">
        <v>1961</v>
      </c>
      <c r="T156" s="96"/>
      <c r="U156" s="97">
        <v>0.211009</v>
      </c>
      <c r="V156" s="98">
        <v>0</v>
      </c>
      <c r="W156" s="98">
        <v>1.75E-4</v>
      </c>
      <c r="X156" s="98">
        <v>1.2E-5</v>
      </c>
      <c r="Y156" s="106"/>
    </row>
    <row r="157" spans="1:25" ht="15" customHeight="1">
      <c r="A157" s="106"/>
      <c r="B157" s="96">
        <v>286</v>
      </c>
      <c r="C157" s="96">
        <v>9803</v>
      </c>
      <c r="D157" s="96" t="s">
        <v>3034</v>
      </c>
      <c r="E157" s="96">
        <v>510938608</v>
      </c>
      <c r="F157" s="96" t="s">
        <v>308</v>
      </c>
      <c r="G157" s="96" t="s">
        <v>3052</v>
      </c>
      <c r="H157" s="96" t="s">
        <v>3053</v>
      </c>
      <c r="I157" s="96" t="s">
        <v>320</v>
      </c>
      <c r="J157" s="96" t="s">
        <v>967</v>
      </c>
      <c r="K157" s="96" t="s">
        <v>203</v>
      </c>
      <c r="L157" s="96" t="s">
        <v>203</v>
      </c>
      <c r="M157" s="96" t="s">
        <v>339</v>
      </c>
      <c r="N157" s="96" t="s">
        <v>615</v>
      </c>
      <c r="O157" s="96" t="s">
        <v>338</v>
      </c>
      <c r="P157" s="96" t="s">
        <v>1200</v>
      </c>
      <c r="Q157" s="97">
        <v>194.11725000000001</v>
      </c>
      <c r="R157" s="97">
        <v>1</v>
      </c>
      <c r="S157" s="97">
        <v>1158.93</v>
      </c>
      <c r="T157" s="96"/>
      <c r="U157" s="97">
        <v>2.2496830000000001</v>
      </c>
      <c r="V157" s="98">
        <v>6.0000000000000002E-6</v>
      </c>
      <c r="W157" s="98">
        <v>1.869E-3</v>
      </c>
      <c r="X157" s="98">
        <v>1.34E-4</v>
      </c>
      <c r="Y157" s="106"/>
    </row>
    <row r="158" spans="1:25" ht="15" customHeight="1">
      <c r="A158" s="106"/>
      <c r="B158" s="96">
        <v>286</v>
      </c>
      <c r="C158" s="96">
        <v>9803</v>
      </c>
      <c r="D158" s="96" t="s">
        <v>3019</v>
      </c>
      <c r="E158" s="96">
        <v>510791031</v>
      </c>
      <c r="F158" s="96" t="s">
        <v>308</v>
      </c>
      <c r="G158" s="96" t="s">
        <v>3106</v>
      </c>
      <c r="H158" s="96" t="s">
        <v>3107</v>
      </c>
      <c r="I158" s="96" t="s">
        <v>320</v>
      </c>
      <c r="J158" s="96" t="s">
        <v>965</v>
      </c>
      <c r="K158" s="96" t="s">
        <v>203</v>
      </c>
      <c r="L158" s="96" t="s">
        <v>203</v>
      </c>
      <c r="M158" s="96" t="s">
        <v>339</v>
      </c>
      <c r="N158" s="96" t="s">
        <v>729</v>
      </c>
      <c r="O158" s="96" t="s">
        <v>338</v>
      </c>
      <c r="P158" s="96" t="s">
        <v>1200</v>
      </c>
      <c r="Q158" s="97">
        <v>2724.8197409999998</v>
      </c>
      <c r="R158" s="97">
        <v>1</v>
      </c>
      <c r="S158" s="97">
        <v>64.5</v>
      </c>
      <c r="T158" s="96"/>
      <c r="U158" s="97">
        <v>1.7575080000000001</v>
      </c>
      <c r="V158" s="98">
        <v>7.9999999999999996E-6</v>
      </c>
      <c r="W158" s="98">
        <v>1.4599999999999999E-3</v>
      </c>
      <c r="X158" s="98">
        <v>1.05E-4</v>
      </c>
      <c r="Y158" s="106"/>
    </row>
    <row r="159" spans="1:25" ht="15" customHeight="1">
      <c r="A159" s="106"/>
      <c r="B159" s="96">
        <v>286</v>
      </c>
      <c r="C159" s="96">
        <v>9803</v>
      </c>
      <c r="D159" s="96" t="s">
        <v>3034</v>
      </c>
      <c r="E159" s="96">
        <v>510938608</v>
      </c>
      <c r="F159" s="96" t="s">
        <v>308</v>
      </c>
      <c r="G159" s="96" t="s">
        <v>3086</v>
      </c>
      <c r="H159" s="96" t="s">
        <v>3087</v>
      </c>
      <c r="I159" s="96" t="s">
        <v>320</v>
      </c>
      <c r="J159" s="96" t="s">
        <v>967</v>
      </c>
      <c r="K159" s="96" t="s">
        <v>203</v>
      </c>
      <c r="L159" s="96" t="s">
        <v>203</v>
      </c>
      <c r="M159" s="96" t="s">
        <v>339</v>
      </c>
      <c r="N159" s="96" t="s">
        <v>631</v>
      </c>
      <c r="O159" s="96" t="s">
        <v>338</v>
      </c>
      <c r="P159" s="96" t="s">
        <v>1200</v>
      </c>
      <c r="Q159" s="97">
        <v>2603.3971459999998</v>
      </c>
      <c r="R159" s="97">
        <v>1</v>
      </c>
      <c r="S159" s="97">
        <v>3843.36</v>
      </c>
      <c r="T159" s="96"/>
      <c r="U159" s="97">
        <v>100.057924</v>
      </c>
      <c r="V159" s="98">
        <v>1.11E-4</v>
      </c>
      <c r="W159" s="98">
        <v>8.3132999999999999E-2</v>
      </c>
      <c r="X159" s="98">
        <v>6.0000000000000001E-3</v>
      </c>
      <c r="Y159" s="106"/>
    </row>
    <row r="160" spans="1:25" ht="15" customHeight="1">
      <c r="A160" s="106"/>
      <c r="B160" s="96">
        <v>286</v>
      </c>
      <c r="C160" s="96">
        <v>9803</v>
      </c>
      <c r="D160" s="96" t="s">
        <v>3031</v>
      </c>
      <c r="E160" s="96">
        <v>511303661</v>
      </c>
      <c r="F160" s="96" t="s">
        <v>308</v>
      </c>
      <c r="G160" s="96" t="s">
        <v>3088</v>
      </c>
      <c r="H160" s="96" t="s">
        <v>3089</v>
      </c>
      <c r="I160" s="96" t="s">
        <v>320</v>
      </c>
      <c r="J160" s="96" t="s">
        <v>967</v>
      </c>
      <c r="K160" s="96" t="s">
        <v>203</v>
      </c>
      <c r="L160" s="96" t="s">
        <v>203</v>
      </c>
      <c r="M160" s="96" t="s">
        <v>339</v>
      </c>
      <c r="N160" s="96" t="s">
        <v>631</v>
      </c>
      <c r="O160" s="96" t="s">
        <v>338</v>
      </c>
      <c r="P160" s="96" t="s">
        <v>1200</v>
      </c>
      <c r="Q160" s="97">
        <v>22933.769698</v>
      </c>
      <c r="R160" s="97">
        <v>1</v>
      </c>
      <c r="S160" s="97">
        <v>307.74</v>
      </c>
      <c r="T160" s="96"/>
      <c r="U160" s="97">
        <v>70.576381999999995</v>
      </c>
      <c r="V160" s="98">
        <v>1.25E-4</v>
      </c>
      <c r="W160" s="98">
        <v>5.8638000000000003E-2</v>
      </c>
      <c r="X160" s="98">
        <v>4.2319999999999997E-3</v>
      </c>
      <c r="Y160" s="106"/>
    </row>
    <row r="161" spans="1:25" ht="15" customHeight="1">
      <c r="A161" s="106"/>
      <c r="B161" s="96">
        <v>286</v>
      </c>
      <c r="C161" s="96">
        <v>9803</v>
      </c>
      <c r="D161" s="96" t="s">
        <v>3031</v>
      </c>
      <c r="E161" s="96">
        <v>511303661</v>
      </c>
      <c r="F161" s="96" t="s">
        <v>308</v>
      </c>
      <c r="G161" s="96" t="s">
        <v>3074</v>
      </c>
      <c r="H161" s="96" t="s">
        <v>3075</v>
      </c>
      <c r="I161" s="96" t="s">
        <v>320</v>
      </c>
      <c r="J161" s="96" t="s">
        <v>967</v>
      </c>
      <c r="K161" s="96" t="s">
        <v>203</v>
      </c>
      <c r="L161" s="96" t="s">
        <v>203</v>
      </c>
      <c r="M161" s="96" t="s">
        <v>339</v>
      </c>
      <c r="N161" s="96" t="s">
        <v>629</v>
      </c>
      <c r="O161" s="96" t="s">
        <v>338</v>
      </c>
      <c r="P161" s="96" t="s">
        <v>1200</v>
      </c>
      <c r="Q161" s="97">
        <v>2369.4536870000002</v>
      </c>
      <c r="R161" s="97">
        <v>1</v>
      </c>
      <c r="S161" s="97">
        <v>445</v>
      </c>
      <c r="T161" s="96"/>
      <c r="U161" s="97">
        <v>10.544067999999999</v>
      </c>
      <c r="V161" s="98">
        <v>1.5999999999999999E-5</v>
      </c>
      <c r="W161" s="98">
        <v>8.7600000000000004E-3</v>
      </c>
      <c r="X161" s="98">
        <v>6.3199999999999997E-4</v>
      </c>
      <c r="Y161" s="106"/>
    </row>
    <row r="162" spans="1:25" ht="15" customHeight="1">
      <c r="A162" s="106"/>
      <c r="B162" s="96">
        <v>286</v>
      </c>
      <c r="C162" s="96">
        <v>9803</v>
      </c>
      <c r="D162" s="96" t="s">
        <v>3034</v>
      </c>
      <c r="E162" s="96">
        <v>510938608</v>
      </c>
      <c r="F162" s="96" t="s">
        <v>308</v>
      </c>
      <c r="G162" s="96" t="s">
        <v>3123</v>
      </c>
      <c r="H162" s="96" t="s">
        <v>3124</v>
      </c>
      <c r="I162" s="96" t="s">
        <v>320</v>
      </c>
      <c r="J162" s="96" t="s">
        <v>965</v>
      </c>
      <c r="K162" s="96" t="s">
        <v>203</v>
      </c>
      <c r="L162" s="96" t="s">
        <v>203</v>
      </c>
      <c r="M162" s="96" t="s">
        <v>339</v>
      </c>
      <c r="N162" s="96" t="s">
        <v>571</v>
      </c>
      <c r="O162" s="96" t="s">
        <v>338</v>
      </c>
      <c r="P162" s="96" t="s">
        <v>1200</v>
      </c>
      <c r="Q162" s="97">
        <v>155.920244</v>
      </c>
      <c r="R162" s="97">
        <v>1</v>
      </c>
      <c r="S162" s="97">
        <v>19140</v>
      </c>
      <c r="T162" s="96"/>
      <c r="U162" s="97">
        <v>29.843133999999999</v>
      </c>
      <c r="V162" s="98">
        <v>5.0000000000000004E-6</v>
      </c>
      <c r="W162" s="98">
        <v>2.4795000000000001E-2</v>
      </c>
      <c r="X162" s="98">
        <v>1.789E-3</v>
      </c>
      <c r="Y162" s="106"/>
    </row>
    <row r="163" spans="1:25" ht="15" customHeight="1">
      <c r="A163" s="106"/>
      <c r="B163" s="96">
        <v>286</v>
      </c>
      <c r="C163" s="96">
        <v>9803</v>
      </c>
      <c r="D163" s="96" t="s">
        <v>3022</v>
      </c>
      <c r="E163" s="96">
        <v>513765339</v>
      </c>
      <c r="F163" s="96" t="s">
        <v>308</v>
      </c>
      <c r="G163" s="96" t="s">
        <v>3050</v>
      </c>
      <c r="H163" s="96" t="s">
        <v>3051</v>
      </c>
      <c r="I163" s="96" t="s">
        <v>320</v>
      </c>
      <c r="J163" s="96" t="s">
        <v>967</v>
      </c>
      <c r="K163" s="96" t="s">
        <v>203</v>
      </c>
      <c r="L163" s="96" t="s">
        <v>203</v>
      </c>
      <c r="M163" s="96" t="s">
        <v>339</v>
      </c>
      <c r="N163" s="96" t="s">
        <v>575</v>
      </c>
      <c r="O163" s="96" t="s">
        <v>338</v>
      </c>
      <c r="P163" s="96" t="s">
        <v>1200</v>
      </c>
      <c r="Q163" s="97">
        <v>29356.852143</v>
      </c>
      <c r="R163" s="97">
        <v>1</v>
      </c>
      <c r="S163" s="97">
        <v>357.8</v>
      </c>
      <c r="T163" s="96"/>
      <c r="U163" s="97">
        <v>105.038816</v>
      </c>
      <c r="V163" s="98">
        <v>9.7E-5</v>
      </c>
      <c r="W163" s="98">
        <v>8.7271000000000001E-2</v>
      </c>
      <c r="X163" s="98">
        <v>6.2989999999999999E-3</v>
      </c>
      <c r="Y163" s="106"/>
    </row>
    <row r="164" spans="1:25" ht="15" customHeight="1">
      <c r="A164" s="106"/>
      <c r="B164" s="96">
        <v>286</v>
      </c>
      <c r="C164" s="96">
        <v>9803</v>
      </c>
      <c r="D164" s="96" t="s">
        <v>3047</v>
      </c>
      <c r="E164" s="96">
        <v>511776783</v>
      </c>
      <c r="F164" s="96" t="s">
        <v>308</v>
      </c>
      <c r="G164" s="96" t="s">
        <v>3082</v>
      </c>
      <c r="H164" s="96" t="s">
        <v>3083</v>
      </c>
      <c r="I164" s="96" t="s">
        <v>320</v>
      </c>
      <c r="J164" s="96" t="s">
        <v>967</v>
      </c>
      <c r="K164" s="96" t="s">
        <v>203</v>
      </c>
      <c r="L164" s="96" t="s">
        <v>203</v>
      </c>
      <c r="M164" s="96" t="s">
        <v>339</v>
      </c>
      <c r="N164" s="96" t="s">
        <v>626</v>
      </c>
      <c r="O164" s="96" t="s">
        <v>338</v>
      </c>
      <c r="P164" s="96" t="s">
        <v>1200</v>
      </c>
      <c r="Q164" s="97">
        <v>2832.3960619999998</v>
      </c>
      <c r="R164" s="97">
        <v>1</v>
      </c>
      <c r="S164" s="97">
        <v>370.12</v>
      </c>
      <c r="T164" s="96"/>
      <c r="U164" s="97">
        <v>10.483264</v>
      </c>
      <c r="V164" s="98">
        <v>5.8999999999999998E-5</v>
      </c>
      <c r="W164" s="98">
        <v>8.7100000000000007E-3</v>
      </c>
      <c r="X164" s="98">
        <v>6.2799999999999998E-4</v>
      </c>
      <c r="Y164" s="106"/>
    </row>
    <row r="165" spans="1:25" ht="15" customHeight="1">
      <c r="A165" s="106"/>
      <c r="B165" s="96">
        <v>286</v>
      </c>
      <c r="C165" s="96">
        <v>9803</v>
      </c>
      <c r="D165" s="96" t="s">
        <v>3047</v>
      </c>
      <c r="E165" s="96">
        <v>511776783</v>
      </c>
      <c r="F165" s="96" t="s">
        <v>308</v>
      </c>
      <c r="G165" s="96" t="s">
        <v>3078</v>
      </c>
      <c r="H165" s="96" t="s">
        <v>3079</v>
      </c>
      <c r="I165" s="96" t="s">
        <v>320</v>
      </c>
      <c r="J165" s="96" t="s">
        <v>967</v>
      </c>
      <c r="K165" s="96" t="s">
        <v>203</v>
      </c>
      <c r="L165" s="96" t="s">
        <v>203</v>
      </c>
      <c r="M165" s="96" t="s">
        <v>339</v>
      </c>
      <c r="N165" s="96" t="s">
        <v>631</v>
      </c>
      <c r="O165" s="96" t="s">
        <v>338</v>
      </c>
      <c r="P165" s="96" t="s">
        <v>1200</v>
      </c>
      <c r="Q165" s="97">
        <v>14895.73933</v>
      </c>
      <c r="R165" s="97">
        <v>1</v>
      </c>
      <c r="S165" s="97">
        <v>382.65</v>
      </c>
      <c r="T165" s="96"/>
      <c r="U165" s="97">
        <v>56.998545999999997</v>
      </c>
      <c r="V165" s="98">
        <v>1.4300000000000001E-4</v>
      </c>
      <c r="W165" s="98">
        <v>4.7357000000000003E-2</v>
      </c>
      <c r="X165" s="98">
        <v>3.418E-3</v>
      </c>
      <c r="Y165" s="106"/>
    </row>
    <row r="166" spans="1:25" ht="15" customHeight="1">
      <c r="A166" s="106"/>
      <c r="B166" s="96">
        <v>286</v>
      </c>
      <c r="C166" s="96">
        <v>9803</v>
      </c>
      <c r="D166" s="96" t="s">
        <v>3031</v>
      </c>
      <c r="E166" s="96">
        <v>511303661</v>
      </c>
      <c r="F166" s="96" t="s">
        <v>308</v>
      </c>
      <c r="G166" s="96" t="s">
        <v>3119</v>
      </c>
      <c r="H166" s="96" t="s">
        <v>3120</v>
      </c>
      <c r="I166" s="96" t="s">
        <v>320</v>
      </c>
      <c r="J166" s="96" t="s">
        <v>965</v>
      </c>
      <c r="K166" s="96" t="s">
        <v>203</v>
      </c>
      <c r="L166" s="96" t="s">
        <v>203</v>
      </c>
      <c r="M166" s="96" t="s">
        <v>339</v>
      </c>
      <c r="N166" s="96" t="s">
        <v>576</v>
      </c>
      <c r="O166" s="96" t="s">
        <v>338</v>
      </c>
      <c r="P166" s="96" t="s">
        <v>1200</v>
      </c>
      <c r="Q166" s="97">
        <v>683.06095100000005</v>
      </c>
      <c r="R166" s="97">
        <v>1</v>
      </c>
      <c r="S166" s="97">
        <v>2678</v>
      </c>
      <c r="T166" s="96"/>
      <c r="U166" s="97">
        <v>18.292372</v>
      </c>
      <c r="V166" s="98">
        <v>1.5999999999999999E-5</v>
      </c>
      <c r="W166" s="98">
        <v>1.5198E-2</v>
      </c>
      <c r="X166" s="98">
        <v>1.0970000000000001E-3</v>
      </c>
      <c r="Y166" s="106"/>
    </row>
    <row r="167" spans="1:25" ht="15" customHeight="1">
      <c r="A167" s="106"/>
      <c r="B167" s="105" t="s">
        <v>3767</v>
      </c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6"/>
    </row>
  </sheetData>
  <mergeCells count="4">
    <mergeCell ref="B167:X167"/>
    <mergeCell ref="A1:A167"/>
    <mergeCell ref="B1:X1"/>
    <mergeCell ref="Y1:Y167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AA73"/>
  <sheetViews>
    <sheetView rightToLeft="1" workbookViewId="0">
      <selection sqref="A1:A73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9.75" bestFit="1" customWidth="1"/>
    <col min="5" max="5" width="25.125" bestFit="1" customWidth="1"/>
    <col min="6" max="6" width="9.125" bestFit="1" customWidth="1"/>
    <col min="7" max="7" width="41" bestFit="1" customWidth="1"/>
    <col min="8" max="8" width="14.5" bestFit="1" customWidth="1"/>
    <col min="9" max="9" width="11" bestFit="1" customWidth="1"/>
    <col min="10" max="10" width="9.75" bestFit="1" customWidth="1"/>
    <col min="11" max="11" width="8.75" bestFit="1" customWidth="1"/>
    <col min="12" max="12" width="10.75" bestFit="1" customWidth="1"/>
    <col min="13" max="13" width="6.875" bestFit="1" customWidth="1"/>
    <col min="14" max="14" width="8.375" bestFit="1" customWidth="1"/>
    <col min="15" max="15" width="48.5" bestFit="1" customWidth="1"/>
    <col min="16" max="16" width="9.625" bestFit="1" customWidth="1"/>
    <col min="17" max="17" width="9.875" bestFit="1" customWidth="1"/>
    <col min="18" max="18" width="11.875" bestFit="1" customWidth="1"/>
    <col min="19" max="19" width="8.625" bestFit="1" customWidth="1"/>
    <col min="20" max="20" width="13.5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5" width="3.125" customWidth="1"/>
    <col min="26" max="27" width="9" customWidth="1"/>
  </cols>
  <sheetData>
    <row r="1" spans="1:27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6" t="s">
        <v>3766</v>
      </c>
    </row>
    <row r="2" spans="1:27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91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70</v>
      </c>
      <c r="O2" s="21" t="s">
        <v>90</v>
      </c>
      <c r="P2" s="21" t="s">
        <v>56</v>
      </c>
      <c r="Q2" s="21" t="s">
        <v>59</v>
      </c>
      <c r="R2" s="21" t="s">
        <v>76</v>
      </c>
      <c r="S2" s="21" t="s">
        <v>61</v>
      </c>
      <c r="T2" s="21" t="s">
        <v>77</v>
      </c>
      <c r="U2" s="21" t="s">
        <v>63</v>
      </c>
      <c r="V2" s="21" t="s">
        <v>79</v>
      </c>
      <c r="W2" s="21" t="s">
        <v>64</v>
      </c>
      <c r="X2" s="21" t="s">
        <v>65</v>
      </c>
      <c r="Y2" s="106"/>
      <c r="Z2" s="10"/>
      <c r="AA2" s="10"/>
    </row>
    <row r="3" spans="1:27" ht="15" customHeight="1">
      <c r="A3" s="106"/>
      <c r="B3" s="96">
        <v>286</v>
      </c>
      <c r="C3" s="96">
        <v>14418</v>
      </c>
      <c r="D3" s="96" t="s">
        <v>3025</v>
      </c>
      <c r="E3" s="96">
        <v>514884485</v>
      </c>
      <c r="F3" s="96" t="s">
        <v>308</v>
      </c>
      <c r="G3" s="96" t="s">
        <v>3212</v>
      </c>
      <c r="H3" s="96" t="s">
        <v>3213</v>
      </c>
      <c r="I3" s="96" t="s">
        <v>320</v>
      </c>
      <c r="J3" s="96" t="s">
        <v>918</v>
      </c>
      <c r="K3" s="96" t="s">
        <v>203</v>
      </c>
      <c r="L3" s="96" t="s">
        <v>203</v>
      </c>
      <c r="M3" s="96" t="s">
        <v>324</v>
      </c>
      <c r="N3" s="96" t="s">
        <v>339</v>
      </c>
      <c r="O3" s="96" t="s">
        <v>720</v>
      </c>
      <c r="P3" s="96" t="s">
        <v>338</v>
      </c>
      <c r="Q3" s="96" t="s">
        <v>1200</v>
      </c>
      <c r="R3" s="97">
        <v>201729</v>
      </c>
      <c r="S3" s="97">
        <v>1</v>
      </c>
      <c r="T3" s="97">
        <v>175.52</v>
      </c>
      <c r="U3" s="97">
        <v>354.07474000000002</v>
      </c>
      <c r="V3" s="98">
        <v>3.9090000000000001E-3</v>
      </c>
      <c r="W3" s="98">
        <v>1</v>
      </c>
      <c r="X3" s="98">
        <v>8.1882999999999997E-2</v>
      </c>
      <c r="Y3" s="106"/>
    </row>
    <row r="4" spans="1:27" ht="15" customHeight="1">
      <c r="A4" s="106"/>
      <c r="B4" s="96">
        <v>286</v>
      </c>
      <c r="C4" s="96">
        <v>1445</v>
      </c>
      <c r="D4" s="96" t="s">
        <v>3214</v>
      </c>
      <c r="E4" s="96" t="s">
        <v>3215</v>
      </c>
      <c r="F4" s="96" t="s">
        <v>312</v>
      </c>
      <c r="G4" s="96" t="s">
        <v>3216</v>
      </c>
      <c r="H4" s="96" t="s">
        <v>3217</v>
      </c>
      <c r="I4" s="96" t="s">
        <v>320</v>
      </c>
      <c r="J4" s="96" t="s">
        <v>970</v>
      </c>
      <c r="K4" s="96" t="s">
        <v>204</v>
      </c>
      <c r="L4" s="96" t="s">
        <v>223</v>
      </c>
      <c r="M4" s="96" t="s">
        <v>324</v>
      </c>
      <c r="N4" s="96" t="s">
        <v>313</v>
      </c>
      <c r="O4" s="96" t="s">
        <v>731</v>
      </c>
      <c r="P4" s="96" t="s">
        <v>338</v>
      </c>
      <c r="Q4" s="96" t="s">
        <v>1201</v>
      </c>
      <c r="R4" s="97">
        <v>101.575996</v>
      </c>
      <c r="S4" s="97">
        <v>3.7589999999999999</v>
      </c>
      <c r="T4" s="97">
        <v>30056</v>
      </c>
      <c r="U4" s="97">
        <v>114.761072</v>
      </c>
      <c r="V4" s="98">
        <v>1.4E-5</v>
      </c>
      <c r="W4" s="98">
        <v>0.100234</v>
      </c>
      <c r="X4" s="98">
        <v>2.1849999999999999E-3</v>
      </c>
      <c r="Y4" s="106"/>
    </row>
    <row r="5" spans="1:27" ht="15" customHeight="1">
      <c r="A5" s="106"/>
      <c r="B5" s="96">
        <v>286</v>
      </c>
      <c r="C5" s="96">
        <v>1445</v>
      </c>
      <c r="D5" s="96" t="s">
        <v>3218</v>
      </c>
      <c r="E5" s="96" t="s">
        <v>3219</v>
      </c>
      <c r="F5" s="96" t="s">
        <v>312</v>
      </c>
      <c r="G5" s="96" t="s">
        <v>3220</v>
      </c>
      <c r="H5" s="96" t="s">
        <v>3221</v>
      </c>
      <c r="I5" s="96" t="s">
        <v>320</v>
      </c>
      <c r="J5" s="96" t="s">
        <v>970</v>
      </c>
      <c r="K5" s="96" t="s">
        <v>204</v>
      </c>
      <c r="L5" s="96" t="s">
        <v>223</v>
      </c>
      <c r="M5" s="96" t="s">
        <v>324</v>
      </c>
      <c r="N5" s="96" t="s">
        <v>313</v>
      </c>
      <c r="O5" s="96" t="s">
        <v>731</v>
      </c>
      <c r="P5" s="96" t="s">
        <v>338</v>
      </c>
      <c r="Q5" s="96" t="s">
        <v>1201</v>
      </c>
      <c r="R5" s="97">
        <v>15.763821</v>
      </c>
      <c r="S5" s="97">
        <v>3.7589999999999999</v>
      </c>
      <c r="T5" s="97">
        <v>172363</v>
      </c>
      <c r="U5" s="97">
        <v>102.135774</v>
      </c>
      <c r="V5" s="98">
        <v>9.0000000000000002E-6</v>
      </c>
      <c r="W5" s="98">
        <v>8.9206999999999995E-2</v>
      </c>
      <c r="X5" s="98">
        <v>1.944E-3</v>
      </c>
      <c r="Y5" s="106"/>
    </row>
    <row r="6" spans="1:27" ht="15" customHeight="1">
      <c r="A6" s="106"/>
      <c r="B6" s="96">
        <v>286</v>
      </c>
      <c r="C6" s="96">
        <v>1445</v>
      </c>
      <c r="D6" s="96" t="s">
        <v>3222</v>
      </c>
      <c r="E6" s="96" t="s">
        <v>3223</v>
      </c>
      <c r="F6" s="96" t="s">
        <v>312</v>
      </c>
      <c r="G6" s="96" t="s">
        <v>3224</v>
      </c>
      <c r="H6" s="96" t="s">
        <v>3225</v>
      </c>
      <c r="I6" s="96" t="s">
        <v>320</v>
      </c>
      <c r="J6" s="96" t="s">
        <v>970</v>
      </c>
      <c r="K6" s="96" t="s">
        <v>204</v>
      </c>
      <c r="L6" s="96" t="s">
        <v>223</v>
      </c>
      <c r="M6" s="96" t="s">
        <v>324</v>
      </c>
      <c r="N6" s="96" t="s">
        <v>313</v>
      </c>
      <c r="O6" s="96" t="s">
        <v>731</v>
      </c>
      <c r="P6" s="96" t="s">
        <v>338</v>
      </c>
      <c r="Q6" s="96" t="s">
        <v>1201</v>
      </c>
      <c r="R6" s="97">
        <v>176.20961</v>
      </c>
      <c r="S6" s="97">
        <v>3.7589999999999999</v>
      </c>
      <c r="T6" s="97">
        <v>13439</v>
      </c>
      <c r="U6" s="97">
        <v>89.016163000000006</v>
      </c>
      <c r="V6" s="98">
        <v>3.0000000000000001E-6</v>
      </c>
      <c r="W6" s="98">
        <v>7.7747999999999998E-2</v>
      </c>
      <c r="X6" s="98">
        <v>1.6949999999999999E-3</v>
      </c>
      <c r="Y6" s="106"/>
    </row>
    <row r="7" spans="1:27" ht="15" customHeight="1">
      <c r="A7" s="106"/>
      <c r="B7" s="96">
        <v>286</v>
      </c>
      <c r="C7" s="96">
        <v>1445</v>
      </c>
      <c r="D7" s="96" t="s">
        <v>3226</v>
      </c>
      <c r="E7" s="96" t="s">
        <v>3227</v>
      </c>
      <c r="F7" s="96" t="s">
        <v>312</v>
      </c>
      <c r="G7" s="96" t="s">
        <v>3228</v>
      </c>
      <c r="H7" s="96" t="s">
        <v>3229</v>
      </c>
      <c r="I7" s="96" t="s">
        <v>320</v>
      </c>
      <c r="J7" s="96" t="s">
        <v>970</v>
      </c>
      <c r="K7" s="96" t="s">
        <v>204</v>
      </c>
      <c r="L7" s="96" t="s">
        <v>223</v>
      </c>
      <c r="M7" s="96" t="s">
        <v>324</v>
      </c>
      <c r="N7" s="96" t="s">
        <v>313</v>
      </c>
      <c r="O7" s="96" t="s">
        <v>731</v>
      </c>
      <c r="P7" s="96" t="s">
        <v>338</v>
      </c>
      <c r="Q7" s="96" t="s">
        <v>1201</v>
      </c>
      <c r="R7" s="97">
        <v>1022.080585</v>
      </c>
      <c r="S7" s="97">
        <v>3.7589999999999999</v>
      </c>
      <c r="T7" s="97">
        <v>1652</v>
      </c>
      <c r="U7" s="97">
        <v>63.469855000000003</v>
      </c>
      <c r="V7" s="98">
        <v>6.0000000000000002E-6</v>
      </c>
      <c r="W7" s="98">
        <v>5.5434999999999998E-2</v>
      </c>
      <c r="X7" s="98">
        <v>1.2080000000000001E-3</v>
      </c>
      <c r="Y7" s="106"/>
    </row>
    <row r="8" spans="1:27" ht="15" customHeight="1">
      <c r="A8" s="106"/>
      <c r="B8" s="96">
        <v>286</v>
      </c>
      <c r="C8" s="96">
        <v>1445</v>
      </c>
      <c r="D8" s="96" t="s">
        <v>3230</v>
      </c>
      <c r="E8" s="96" t="s">
        <v>3231</v>
      </c>
      <c r="F8" s="96" t="s">
        <v>312</v>
      </c>
      <c r="G8" s="96" t="s">
        <v>3232</v>
      </c>
      <c r="H8" s="96" t="s">
        <v>3233</v>
      </c>
      <c r="I8" s="96" t="s">
        <v>320</v>
      </c>
      <c r="J8" s="96" t="s">
        <v>970</v>
      </c>
      <c r="K8" s="96" t="s">
        <v>204</v>
      </c>
      <c r="L8" s="96" t="s">
        <v>223</v>
      </c>
      <c r="M8" s="96" t="s">
        <v>324</v>
      </c>
      <c r="N8" s="96" t="s">
        <v>313</v>
      </c>
      <c r="O8" s="96" t="s">
        <v>731</v>
      </c>
      <c r="P8" s="96" t="s">
        <v>338</v>
      </c>
      <c r="Q8" s="96" t="s">
        <v>1201</v>
      </c>
      <c r="R8" s="97">
        <v>99.813288</v>
      </c>
      <c r="S8" s="97">
        <v>3.7589999999999999</v>
      </c>
      <c r="T8" s="97">
        <v>17966</v>
      </c>
      <c r="U8" s="97">
        <v>67.408099000000007</v>
      </c>
      <c r="V8" s="98">
        <v>3.0000000000000001E-6</v>
      </c>
      <c r="W8" s="98">
        <v>5.8874999999999997E-2</v>
      </c>
      <c r="X8" s="98">
        <v>1.2830000000000001E-3</v>
      </c>
      <c r="Y8" s="106"/>
    </row>
    <row r="9" spans="1:27" ht="15" customHeight="1">
      <c r="A9" s="106"/>
      <c r="B9" s="96">
        <v>286</v>
      </c>
      <c r="C9" s="96">
        <v>1445</v>
      </c>
      <c r="D9" s="96" t="s">
        <v>3234</v>
      </c>
      <c r="E9" s="96" t="s">
        <v>3235</v>
      </c>
      <c r="F9" s="96" t="s">
        <v>312</v>
      </c>
      <c r="G9" s="96" t="s">
        <v>3236</v>
      </c>
      <c r="H9" s="96" t="s">
        <v>3237</v>
      </c>
      <c r="I9" s="96" t="s">
        <v>320</v>
      </c>
      <c r="J9" s="96" t="s">
        <v>970</v>
      </c>
      <c r="K9" s="96" t="s">
        <v>204</v>
      </c>
      <c r="L9" s="96" t="s">
        <v>223</v>
      </c>
      <c r="M9" s="96" t="s">
        <v>324</v>
      </c>
      <c r="N9" s="96" t="s">
        <v>373</v>
      </c>
      <c r="O9" s="96" t="s">
        <v>731</v>
      </c>
      <c r="P9" s="96" t="s">
        <v>338</v>
      </c>
      <c r="Q9" s="96" t="s">
        <v>1201</v>
      </c>
      <c r="R9" s="97">
        <v>632.43515200000002</v>
      </c>
      <c r="S9" s="97">
        <v>3.7589999999999999</v>
      </c>
      <c r="T9" s="97">
        <v>4155</v>
      </c>
      <c r="U9" s="97">
        <v>98.777800999999997</v>
      </c>
      <c r="V9" s="98">
        <v>1.4E-5</v>
      </c>
      <c r="W9" s="98">
        <v>8.6274000000000003E-2</v>
      </c>
      <c r="X9" s="98">
        <v>1.8810000000000001E-3</v>
      </c>
      <c r="Y9" s="106"/>
    </row>
    <row r="10" spans="1:27" ht="15" customHeight="1">
      <c r="A10" s="106"/>
      <c r="B10" s="96">
        <v>286</v>
      </c>
      <c r="C10" s="96">
        <v>1445</v>
      </c>
      <c r="D10" s="96" t="s">
        <v>3238</v>
      </c>
      <c r="E10" s="96" t="s">
        <v>3239</v>
      </c>
      <c r="F10" s="96" t="s">
        <v>312</v>
      </c>
      <c r="G10" s="96" t="s">
        <v>3240</v>
      </c>
      <c r="H10" s="96" t="s">
        <v>3241</v>
      </c>
      <c r="I10" s="96" t="s">
        <v>320</v>
      </c>
      <c r="J10" s="96" t="s">
        <v>970</v>
      </c>
      <c r="K10" s="96" t="s">
        <v>204</v>
      </c>
      <c r="L10" s="96" t="s">
        <v>223</v>
      </c>
      <c r="M10" s="96" t="s">
        <v>324</v>
      </c>
      <c r="N10" s="96" t="s">
        <v>373</v>
      </c>
      <c r="O10" s="96" t="s">
        <v>731</v>
      </c>
      <c r="P10" s="96" t="s">
        <v>338</v>
      </c>
      <c r="Q10" s="96" t="s">
        <v>1201</v>
      </c>
      <c r="R10" s="97">
        <v>149.95106899999999</v>
      </c>
      <c r="S10" s="97">
        <v>3.7589999999999999</v>
      </c>
      <c r="T10" s="97">
        <v>14552.2</v>
      </c>
      <c r="U10" s="97">
        <v>82.025812999999999</v>
      </c>
      <c r="V10" s="98">
        <v>2.0999999999999999E-5</v>
      </c>
      <c r="W10" s="98">
        <v>7.1641999999999997E-2</v>
      </c>
      <c r="X10" s="98">
        <v>1.562E-3</v>
      </c>
      <c r="Y10" s="106"/>
    </row>
    <row r="11" spans="1:27" ht="15" customHeight="1">
      <c r="A11" s="106"/>
      <c r="B11" s="96">
        <v>286</v>
      </c>
      <c r="C11" s="96">
        <v>1445</v>
      </c>
      <c r="D11" s="96" t="s">
        <v>3242</v>
      </c>
      <c r="E11" s="96" t="s">
        <v>3243</v>
      </c>
      <c r="F11" s="96" t="s">
        <v>312</v>
      </c>
      <c r="G11" s="96" t="s">
        <v>3244</v>
      </c>
      <c r="H11" s="96" t="s">
        <v>3245</v>
      </c>
      <c r="I11" s="96" t="s">
        <v>320</v>
      </c>
      <c r="J11" s="96" t="s">
        <v>970</v>
      </c>
      <c r="K11" s="96" t="s">
        <v>204</v>
      </c>
      <c r="L11" s="96" t="s">
        <v>231</v>
      </c>
      <c r="M11" s="96" t="s">
        <v>324</v>
      </c>
      <c r="N11" s="96" t="s">
        <v>313</v>
      </c>
      <c r="O11" s="96" t="s">
        <v>731</v>
      </c>
      <c r="P11" s="96" t="s">
        <v>338</v>
      </c>
      <c r="Q11" s="96" t="s">
        <v>1201</v>
      </c>
      <c r="R11" s="97">
        <v>15.565486999999999</v>
      </c>
      <c r="S11" s="97">
        <v>3.7589999999999999</v>
      </c>
      <c r="T11" s="97">
        <v>137226.20000000001</v>
      </c>
      <c r="U11" s="97">
        <v>80.291967</v>
      </c>
      <c r="V11" s="98">
        <v>3.0000000000000001E-5</v>
      </c>
      <c r="W11" s="98">
        <v>7.0127999999999996E-2</v>
      </c>
      <c r="X11" s="98">
        <v>1.5280000000000001E-3</v>
      </c>
      <c r="Y11" s="106"/>
    </row>
    <row r="12" spans="1:27" ht="15" customHeight="1">
      <c r="A12" s="106"/>
      <c r="B12" s="96">
        <v>286</v>
      </c>
      <c r="C12" s="96">
        <v>1445</v>
      </c>
      <c r="D12" s="96" t="s">
        <v>3246</v>
      </c>
      <c r="E12" s="96" t="s">
        <v>3247</v>
      </c>
      <c r="F12" s="96" t="s">
        <v>312</v>
      </c>
      <c r="G12" s="96" t="s">
        <v>3248</v>
      </c>
      <c r="H12" s="96" t="s">
        <v>3249</v>
      </c>
      <c r="I12" s="96" t="s">
        <v>320</v>
      </c>
      <c r="J12" s="96" t="s">
        <v>970</v>
      </c>
      <c r="K12" s="96" t="s">
        <v>204</v>
      </c>
      <c r="L12" s="96" t="s">
        <v>223</v>
      </c>
      <c r="M12" s="96" t="s">
        <v>324</v>
      </c>
      <c r="N12" s="96" t="s">
        <v>313</v>
      </c>
      <c r="O12" s="96" t="s">
        <v>731</v>
      </c>
      <c r="P12" s="96" t="s">
        <v>338</v>
      </c>
      <c r="Q12" s="96" t="s">
        <v>1201</v>
      </c>
      <c r="R12" s="97">
        <v>11.272292999999999</v>
      </c>
      <c r="S12" s="97">
        <v>3.7589999999999999</v>
      </c>
      <c r="T12" s="97">
        <v>162418.9</v>
      </c>
      <c r="U12" s="97">
        <v>68.821032000000002</v>
      </c>
      <c r="V12" s="98">
        <v>2.5999999999999998E-5</v>
      </c>
      <c r="W12" s="98">
        <v>6.0109000000000003E-2</v>
      </c>
      <c r="X12" s="98">
        <v>1.31E-3</v>
      </c>
      <c r="Y12" s="106"/>
    </row>
    <row r="13" spans="1:27" ht="15" customHeight="1">
      <c r="A13" s="106"/>
      <c r="B13" s="96">
        <v>286</v>
      </c>
      <c r="C13" s="96">
        <v>1445</v>
      </c>
      <c r="D13" s="96" t="s">
        <v>3250</v>
      </c>
      <c r="E13" s="96" t="s">
        <v>3251</v>
      </c>
      <c r="F13" s="96" t="s">
        <v>312</v>
      </c>
      <c r="G13" s="96" t="s">
        <v>3252</v>
      </c>
      <c r="H13" s="96" t="s">
        <v>3253</v>
      </c>
      <c r="I13" s="96" t="s">
        <v>320</v>
      </c>
      <c r="J13" s="96" t="s">
        <v>970</v>
      </c>
      <c r="K13" s="96" t="s">
        <v>204</v>
      </c>
      <c r="L13" s="96" t="s">
        <v>223</v>
      </c>
      <c r="M13" s="96" t="s">
        <v>324</v>
      </c>
      <c r="N13" s="96" t="s">
        <v>373</v>
      </c>
      <c r="O13" s="96" t="s">
        <v>731</v>
      </c>
      <c r="P13" s="96" t="s">
        <v>338</v>
      </c>
      <c r="Q13" s="96" t="s">
        <v>1201</v>
      </c>
      <c r="R13" s="97">
        <v>141.47999100000001</v>
      </c>
      <c r="S13" s="97">
        <v>3.7589999999999999</v>
      </c>
      <c r="T13" s="97">
        <v>17043</v>
      </c>
      <c r="U13" s="97">
        <v>90.638643000000002</v>
      </c>
      <c r="V13" s="98">
        <v>6.0000000000000002E-6</v>
      </c>
      <c r="W13" s="98">
        <v>7.9164999999999999E-2</v>
      </c>
      <c r="X13" s="98">
        <v>1.7260000000000001E-3</v>
      </c>
      <c r="Y13" s="106"/>
    </row>
    <row r="14" spans="1:27" ht="15" customHeight="1">
      <c r="A14" s="106"/>
      <c r="B14" s="96">
        <v>286</v>
      </c>
      <c r="C14" s="96">
        <v>1445</v>
      </c>
      <c r="D14" s="96" t="s">
        <v>3254</v>
      </c>
      <c r="E14" s="96" t="s">
        <v>3255</v>
      </c>
      <c r="F14" s="96" t="s">
        <v>312</v>
      </c>
      <c r="G14" s="96" t="s">
        <v>3256</v>
      </c>
      <c r="H14" s="96" t="s">
        <v>3257</v>
      </c>
      <c r="I14" s="96" t="s">
        <v>320</v>
      </c>
      <c r="J14" s="96" t="s">
        <v>970</v>
      </c>
      <c r="K14" s="96" t="s">
        <v>204</v>
      </c>
      <c r="L14" s="96" t="s">
        <v>243</v>
      </c>
      <c r="M14" s="96" t="s">
        <v>324</v>
      </c>
      <c r="N14" s="96" t="s">
        <v>313</v>
      </c>
      <c r="O14" s="96" t="s">
        <v>731</v>
      </c>
      <c r="P14" s="96" t="s">
        <v>338</v>
      </c>
      <c r="Q14" s="96" t="s">
        <v>1201</v>
      </c>
      <c r="R14" s="97">
        <v>106.626043</v>
      </c>
      <c r="S14" s="97">
        <v>3.7589999999999999</v>
      </c>
      <c r="T14" s="97">
        <v>11677</v>
      </c>
      <c r="U14" s="97">
        <v>46.802267999999998</v>
      </c>
      <c r="V14" s="98">
        <v>9.0000000000000002E-6</v>
      </c>
      <c r="W14" s="98">
        <v>4.0877999999999998E-2</v>
      </c>
      <c r="X14" s="98">
        <v>8.9099999999999997E-4</v>
      </c>
      <c r="Y14" s="106"/>
    </row>
    <row r="15" spans="1:27" ht="15" customHeight="1">
      <c r="A15" s="106"/>
      <c r="B15" s="96">
        <v>286</v>
      </c>
      <c r="C15" s="96">
        <v>1445</v>
      </c>
      <c r="D15" s="96" t="s">
        <v>3258</v>
      </c>
      <c r="E15" s="96" t="s">
        <v>3259</v>
      </c>
      <c r="F15" s="96" t="s">
        <v>312</v>
      </c>
      <c r="G15" s="96" t="s">
        <v>3260</v>
      </c>
      <c r="H15" s="96" t="s">
        <v>3261</v>
      </c>
      <c r="I15" s="96" t="s">
        <v>320</v>
      </c>
      <c r="J15" s="96" t="s">
        <v>970</v>
      </c>
      <c r="K15" s="96" t="s">
        <v>204</v>
      </c>
      <c r="L15" s="96" t="s">
        <v>223</v>
      </c>
      <c r="M15" s="96" t="s">
        <v>324</v>
      </c>
      <c r="N15" s="96" t="s">
        <v>313</v>
      </c>
      <c r="O15" s="96" t="s">
        <v>731</v>
      </c>
      <c r="P15" s="96" t="s">
        <v>338</v>
      </c>
      <c r="Q15" s="96" t="s">
        <v>1201</v>
      </c>
      <c r="R15" s="97">
        <v>121.84495699999999</v>
      </c>
      <c r="S15" s="97">
        <v>3.7589999999999999</v>
      </c>
      <c r="T15" s="97">
        <v>18707</v>
      </c>
      <c r="U15" s="97">
        <v>85.680902000000003</v>
      </c>
      <c r="V15" s="98">
        <v>1.7E-5</v>
      </c>
      <c r="W15" s="98">
        <v>7.4834999999999999E-2</v>
      </c>
      <c r="X15" s="98">
        <v>1.6310000000000001E-3</v>
      </c>
      <c r="Y15" s="106"/>
    </row>
    <row r="16" spans="1:27" ht="15" customHeight="1">
      <c r="A16" s="106"/>
      <c r="B16" s="96">
        <v>286</v>
      </c>
      <c r="C16" s="96">
        <v>1445</v>
      </c>
      <c r="D16" s="96" t="s">
        <v>3262</v>
      </c>
      <c r="E16" s="96" t="s">
        <v>3263</v>
      </c>
      <c r="F16" s="96" t="s">
        <v>312</v>
      </c>
      <c r="G16" s="96" t="s">
        <v>3264</v>
      </c>
      <c r="H16" s="96" t="s">
        <v>3265</v>
      </c>
      <c r="I16" s="96" t="s">
        <v>320</v>
      </c>
      <c r="J16" s="96" t="s">
        <v>970</v>
      </c>
      <c r="K16" s="96" t="s">
        <v>204</v>
      </c>
      <c r="L16" s="96" t="s">
        <v>223</v>
      </c>
      <c r="M16" s="96" t="s">
        <v>324</v>
      </c>
      <c r="N16" s="96" t="s">
        <v>313</v>
      </c>
      <c r="O16" s="96" t="s">
        <v>731</v>
      </c>
      <c r="P16" s="96" t="s">
        <v>338</v>
      </c>
      <c r="Q16" s="96" t="s">
        <v>1202</v>
      </c>
      <c r="R16" s="97">
        <v>70.334835999999996</v>
      </c>
      <c r="S16" s="97">
        <v>4.0202</v>
      </c>
      <c r="T16" s="97">
        <v>26961</v>
      </c>
      <c r="U16" s="97">
        <v>76.234952000000007</v>
      </c>
      <c r="V16" s="98">
        <v>4.6E-5</v>
      </c>
      <c r="W16" s="98">
        <v>6.6585000000000005E-2</v>
      </c>
      <c r="X16" s="98">
        <v>1.451E-3</v>
      </c>
      <c r="Y16" s="106"/>
    </row>
    <row r="17" spans="1:25" ht="15" customHeight="1">
      <c r="A17" s="106"/>
      <c r="B17" s="96">
        <v>286</v>
      </c>
      <c r="C17" s="96">
        <v>1445</v>
      </c>
      <c r="D17" s="96" t="s">
        <v>3266</v>
      </c>
      <c r="E17" s="96" t="s">
        <v>3267</v>
      </c>
      <c r="F17" s="96" t="s">
        <v>312</v>
      </c>
      <c r="G17" s="96" t="s">
        <v>3268</v>
      </c>
      <c r="H17" s="96" t="s">
        <v>3269</v>
      </c>
      <c r="I17" s="96" t="s">
        <v>320</v>
      </c>
      <c r="J17" s="96" t="s">
        <v>970</v>
      </c>
      <c r="K17" s="96" t="s">
        <v>204</v>
      </c>
      <c r="L17" s="96" t="s">
        <v>232</v>
      </c>
      <c r="M17" s="96" t="s">
        <v>324</v>
      </c>
      <c r="N17" s="96" t="s">
        <v>373</v>
      </c>
      <c r="O17" s="96" t="s">
        <v>731</v>
      </c>
      <c r="P17" s="96" t="s">
        <v>338</v>
      </c>
      <c r="Q17" s="96" t="s">
        <v>1202</v>
      </c>
      <c r="R17" s="97">
        <v>135.70471499999999</v>
      </c>
      <c r="S17" s="97">
        <v>4.0202</v>
      </c>
      <c r="T17" s="97">
        <v>14455</v>
      </c>
      <c r="U17" s="97">
        <v>78.860710999999995</v>
      </c>
      <c r="V17" s="98">
        <v>2.1999999999999999E-5</v>
      </c>
      <c r="W17" s="98">
        <v>6.8877999999999995E-2</v>
      </c>
      <c r="X17" s="98">
        <v>1.5009999999999999E-3</v>
      </c>
      <c r="Y17" s="106"/>
    </row>
    <row r="18" spans="1:25" ht="15" customHeight="1">
      <c r="A18" s="106"/>
      <c r="B18" s="96">
        <v>286</v>
      </c>
      <c r="C18" s="96">
        <v>1446</v>
      </c>
      <c r="D18" s="96" t="s">
        <v>3270</v>
      </c>
      <c r="E18" s="96" t="s">
        <v>3271</v>
      </c>
      <c r="F18" s="96" t="s">
        <v>312</v>
      </c>
      <c r="G18" s="96" t="s">
        <v>3272</v>
      </c>
      <c r="H18" s="96" t="s">
        <v>3273</v>
      </c>
      <c r="I18" s="96" t="s">
        <v>320</v>
      </c>
      <c r="J18" s="96" t="s">
        <v>918</v>
      </c>
      <c r="K18" s="96" t="s">
        <v>204</v>
      </c>
      <c r="L18" s="96" t="s">
        <v>250</v>
      </c>
      <c r="M18" s="96" t="s">
        <v>324</v>
      </c>
      <c r="N18" s="96" t="s">
        <v>313</v>
      </c>
      <c r="O18" s="96" t="s">
        <v>734</v>
      </c>
      <c r="P18" s="96" t="s">
        <v>338</v>
      </c>
      <c r="Q18" s="96" t="s">
        <v>1201</v>
      </c>
      <c r="R18" s="97">
        <v>3869.2547439999998</v>
      </c>
      <c r="S18" s="97">
        <v>3.7589999999999999</v>
      </c>
      <c r="T18" s="97">
        <v>1341.62</v>
      </c>
      <c r="U18" s="97">
        <v>195.132304</v>
      </c>
      <c r="V18" s="98">
        <v>5.3999999999999998E-5</v>
      </c>
      <c r="W18" s="98">
        <v>0.11543100000000001</v>
      </c>
      <c r="X18" s="98">
        <v>3.137E-3</v>
      </c>
      <c r="Y18" s="106"/>
    </row>
    <row r="19" spans="1:25" ht="15" customHeight="1">
      <c r="A19" s="106"/>
      <c r="B19" s="96">
        <v>286</v>
      </c>
      <c r="C19" s="96">
        <v>1446</v>
      </c>
      <c r="D19" s="96" t="s">
        <v>3274</v>
      </c>
      <c r="E19" s="96" t="s">
        <v>3275</v>
      </c>
      <c r="F19" s="96" t="s">
        <v>312</v>
      </c>
      <c r="G19" s="96" t="s">
        <v>3276</v>
      </c>
      <c r="H19" s="96" t="s">
        <v>3277</v>
      </c>
      <c r="I19" s="96" t="s">
        <v>320</v>
      </c>
      <c r="J19" s="96" t="s">
        <v>918</v>
      </c>
      <c r="K19" s="96" t="s">
        <v>204</v>
      </c>
      <c r="L19" s="96" t="s">
        <v>252</v>
      </c>
      <c r="M19" s="96" t="s">
        <v>324</v>
      </c>
      <c r="N19" s="96" t="s">
        <v>313</v>
      </c>
      <c r="O19" s="96" t="s">
        <v>734</v>
      </c>
      <c r="P19" s="96" t="s">
        <v>338</v>
      </c>
      <c r="Q19" s="96" t="s">
        <v>1201</v>
      </c>
      <c r="R19" s="97">
        <v>6599.1953579999999</v>
      </c>
      <c r="S19" s="97">
        <v>3.7589999999999999</v>
      </c>
      <c r="T19" s="97">
        <v>167.13</v>
      </c>
      <c r="U19" s="97">
        <v>41.458894999999998</v>
      </c>
      <c r="V19" s="98">
        <v>5.1999999999999997E-5</v>
      </c>
      <c r="W19" s="98">
        <v>2.4525000000000002E-2</v>
      </c>
      <c r="X19" s="98">
        <v>6.6600000000000003E-4</v>
      </c>
      <c r="Y19" s="106"/>
    </row>
    <row r="20" spans="1:25" ht="15" customHeight="1">
      <c r="A20" s="106"/>
      <c r="B20" s="96">
        <v>286</v>
      </c>
      <c r="C20" s="96">
        <v>1446</v>
      </c>
      <c r="D20" s="96" t="s">
        <v>3278</v>
      </c>
      <c r="E20" s="96" t="s">
        <v>3279</v>
      </c>
      <c r="F20" s="96" t="s">
        <v>312</v>
      </c>
      <c r="G20" s="96" t="s">
        <v>3280</v>
      </c>
      <c r="H20" s="96" t="s">
        <v>3281</v>
      </c>
      <c r="I20" s="96" t="s">
        <v>320</v>
      </c>
      <c r="J20" s="96" t="s">
        <v>918</v>
      </c>
      <c r="K20" s="96" t="s">
        <v>204</v>
      </c>
      <c r="L20" s="96" t="s">
        <v>250</v>
      </c>
      <c r="M20" s="96" t="s">
        <v>324</v>
      </c>
      <c r="N20" s="96" t="s">
        <v>373</v>
      </c>
      <c r="O20" s="96" t="s">
        <v>734</v>
      </c>
      <c r="P20" s="96" t="s">
        <v>338</v>
      </c>
      <c r="Q20" s="96" t="s">
        <v>1217</v>
      </c>
      <c r="R20" s="97">
        <v>312.64438899999999</v>
      </c>
      <c r="S20" s="97">
        <v>2.3359000000000001E-2</v>
      </c>
      <c r="T20" s="97">
        <v>2020000</v>
      </c>
      <c r="U20" s="97">
        <v>147.521817</v>
      </c>
      <c r="V20" s="98">
        <v>0</v>
      </c>
      <c r="W20" s="98">
        <v>8.7266999999999997E-2</v>
      </c>
      <c r="X20" s="98">
        <v>2.372E-3</v>
      </c>
      <c r="Y20" s="106"/>
    </row>
    <row r="21" spans="1:25" ht="15" customHeight="1">
      <c r="A21" s="106"/>
      <c r="B21" s="96">
        <v>286</v>
      </c>
      <c r="C21" s="96">
        <v>1446</v>
      </c>
      <c r="D21" s="96" t="s">
        <v>3282</v>
      </c>
      <c r="E21" s="96" t="s">
        <v>3283</v>
      </c>
      <c r="F21" s="96" t="s">
        <v>312</v>
      </c>
      <c r="G21" s="96" t="s">
        <v>3284</v>
      </c>
      <c r="H21" s="96" t="s">
        <v>3285</v>
      </c>
      <c r="I21" s="96" t="s">
        <v>320</v>
      </c>
      <c r="J21" s="96" t="s">
        <v>918</v>
      </c>
      <c r="K21" s="96" t="s">
        <v>204</v>
      </c>
      <c r="L21" s="96" t="s">
        <v>267</v>
      </c>
      <c r="M21" s="96" t="s">
        <v>324</v>
      </c>
      <c r="N21" s="96" t="s">
        <v>313</v>
      </c>
      <c r="O21" s="96" t="s">
        <v>734</v>
      </c>
      <c r="P21" s="96" t="s">
        <v>338</v>
      </c>
      <c r="Q21" s="96" t="s">
        <v>1201</v>
      </c>
      <c r="R21" s="97">
        <v>46.444716999999997</v>
      </c>
      <c r="S21" s="97">
        <v>3.7589999999999999</v>
      </c>
      <c r="T21" s="97">
        <v>11425</v>
      </c>
      <c r="U21" s="97">
        <v>19.946414999999998</v>
      </c>
      <c r="V21" s="98">
        <v>1.0000000000000001E-5</v>
      </c>
      <c r="W21" s="98">
        <v>1.1799E-2</v>
      </c>
      <c r="X21" s="98">
        <v>3.2000000000000003E-4</v>
      </c>
      <c r="Y21" s="106"/>
    </row>
    <row r="22" spans="1:25" ht="15" customHeight="1">
      <c r="A22" s="106"/>
      <c r="B22" s="96">
        <v>286</v>
      </c>
      <c r="C22" s="96">
        <v>1446</v>
      </c>
      <c r="D22" s="96" t="s">
        <v>3286</v>
      </c>
      <c r="E22" s="96" t="s">
        <v>3287</v>
      </c>
      <c r="F22" s="96" t="s">
        <v>312</v>
      </c>
      <c r="G22" s="96" t="s">
        <v>3288</v>
      </c>
      <c r="H22" s="96" t="s">
        <v>3289</v>
      </c>
      <c r="I22" s="96" t="s">
        <v>320</v>
      </c>
      <c r="J22" s="96" t="s">
        <v>918</v>
      </c>
      <c r="K22" s="96" t="s">
        <v>204</v>
      </c>
      <c r="L22" s="96" t="s">
        <v>232</v>
      </c>
      <c r="M22" s="96" t="s">
        <v>324</v>
      </c>
      <c r="N22" s="96" t="s">
        <v>367</v>
      </c>
      <c r="O22" s="96" t="s">
        <v>734</v>
      </c>
      <c r="P22" s="96" t="s">
        <v>338</v>
      </c>
      <c r="Q22" s="96" t="s">
        <v>1205</v>
      </c>
      <c r="R22" s="97">
        <v>13941.296034000001</v>
      </c>
      <c r="S22" s="97">
        <v>4.7504999999999997</v>
      </c>
      <c r="T22" s="97">
        <v>92.66</v>
      </c>
      <c r="U22" s="97">
        <v>61.366982</v>
      </c>
      <c r="V22" s="98">
        <v>8.7999999999999998E-5</v>
      </c>
      <c r="W22" s="98">
        <v>3.6301E-2</v>
      </c>
      <c r="X22" s="98">
        <v>9.859999999999999E-4</v>
      </c>
      <c r="Y22" s="106"/>
    </row>
    <row r="23" spans="1:25" ht="15" customHeight="1">
      <c r="A23" s="106"/>
      <c r="B23" s="96">
        <v>286</v>
      </c>
      <c r="C23" s="96">
        <v>1446</v>
      </c>
      <c r="D23" s="96" t="s">
        <v>3290</v>
      </c>
      <c r="E23" s="96" t="s">
        <v>3291</v>
      </c>
      <c r="F23" s="96" t="s">
        <v>312</v>
      </c>
      <c r="G23" s="96" t="s">
        <v>3292</v>
      </c>
      <c r="H23" s="96" t="s">
        <v>3293</v>
      </c>
      <c r="I23" s="96" t="s">
        <v>320</v>
      </c>
      <c r="J23" s="96" t="s">
        <v>918</v>
      </c>
      <c r="K23" s="96" t="s">
        <v>204</v>
      </c>
      <c r="L23" s="96" t="s">
        <v>232</v>
      </c>
      <c r="M23" s="96" t="s">
        <v>324</v>
      </c>
      <c r="N23" s="96" t="s">
        <v>367</v>
      </c>
      <c r="O23" s="96" t="s">
        <v>734</v>
      </c>
      <c r="P23" s="96" t="s">
        <v>338</v>
      </c>
      <c r="Q23" s="96" t="s">
        <v>1205</v>
      </c>
      <c r="R23" s="97">
        <v>3782.7488309999999</v>
      </c>
      <c r="S23" s="97">
        <v>4.7504999999999997</v>
      </c>
      <c r="T23" s="97">
        <v>318.89999999999998</v>
      </c>
      <c r="U23" s="97">
        <v>57.306165</v>
      </c>
      <c r="V23" s="98">
        <v>9.0000000000000002E-6</v>
      </c>
      <c r="W23" s="98">
        <v>3.3898999999999999E-2</v>
      </c>
      <c r="X23" s="98">
        <v>9.2100000000000005E-4</v>
      </c>
      <c r="Y23" s="106"/>
    </row>
    <row r="24" spans="1:25" ht="15" customHeight="1">
      <c r="A24" s="106"/>
      <c r="B24" s="96">
        <v>286</v>
      </c>
      <c r="C24" s="96">
        <v>1446</v>
      </c>
      <c r="D24" s="96" t="s">
        <v>3294</v>
      </c>
      <c r="E24" s="96" t="s">
        <v>3295</v>
      </c>
      <c r="F24" s="96" t="s">
        <v>312</v>
      </c>
      <c r="G24" s="96" t="s">
        <v>3296</v>
      </c>
      <c r="H24" s="96" t="s">
        <v>3297</v>
      </c>
      <c r="I24" s="96" t="s">
        <v>320</v>
      </c>
      <c r="J24" s="96" t="s">
        <v>918</v>
      </c>
      <c r="K24" s="96" t="s">
        <v>204</v>
      </c>
      <c r="L24" s="96" t="s">
        <v>267</v>
      </c>
      <c r="M24" s="96" t="s">
        <v>324</v>
      </c>
      <c r="N24" s="96" t="s">
        <v>313</v>
      </c>
      <c r="O24" s="96" t="s">
        <v>734</v>
      </c>
      <c r="P24" s="96" t="s">
        <v>338</v>
      </c>
      <c r="Q24" s="96" t="s">
        <v>1201</v>
      </c>
      <c r="R24" s="97">
        <v>158.90219300000001</v>
      </c>
      <c r="S24" s="97">
        <v>3.7589999999999999</v>
      </c>
      <c r="T24" s="97">
        <v>9574.2800000000007</v>
      </c>
      <c r="U24" s="97">
        <v>57.188451999999998</v>
      </c>
      <c r="V24" s="98">
        <v>6.0000000000000002E-6</v>
      </c>
      <c r="W24" s="98">
        <v>3.3829999999999999E-2</v>
      </c>
      <c r="X24" s="98">
        <v>9.19E-4</v>
      </c>
      <c r="Y24" s="106"/>
    </row>
    <row r="25" spans="1:25" ht="15" customHeight="1">
      <c r="A25" s="106"/>
      <c r="B25" s="96">
        <v>286</v>
      </c>
      <c r="C25" s="96">
        <v>1446</v>
      </c>
      <c r="D25" s="96" t="s">
        <v>3298</v>
      </c>
      <c r="E25" s="96" t="s">
        <v>3299</v>
      </c>
      <c r="F25" s="96" t="s">
        <v>312</v>
      </c>
      <c r="G25" s="96" t="s">
        <v>3300</v>
      </c>
      <c r="H25" s="96" t="s">
        <v>3301</v>
      </c>
      <c r="I25" s="96" t="s">
        <v>320</v>
      </c>
      <c r="J25" s="96" t="s">
        <v>918</v>
      </c>
      <c r="K25" s="96" t="s">
        <v>204</v>
      </c>
      <c r="L25" s="96" t="s">
        <v>223</v>
      </c>
      <c r="M25" s="96" t="s">
        <v>324</v>
      </c>
      <c r="N25" s="96" t="s">
        <v>373</v>
      </c>
      <c r="O25" s="96" t="s">
        <v>734</v>
      </c>
      <c r="P25" s="96" t="s">
        <v>338</v>
      </c>
      <c r="Q25" s="96" t="s">
        <v>1201</v>
      </c>
      <c r="R25" s="97">
        <v>1536.5031509999999</v>
      </c>
      <c r="S25" s="97">
        <v>3.7589999999999999</v>
      </c>
      <c r="T25" s="97">
        <v>1426.35</v>
      </c>
      <c r="U25" s="97">
        <v>82.381915000000006</v>
      </c>
      <c r="V25" s="98">
        <v>9.5000000000000005E-5</v>
      </c>
      <c r="W25" s="98">
        <v>4.8732999999999999E-2</v>
      </c>
      <c r="X25" s="98">
        <v>1.3240000000000001E-3</v>
      </c>
      <c r="Y25" s="106"/>
    </row>
    <row r="26" spans="1:25" ht="15" customHeight="1">
      <c r="A26" s="106"/>
      <c r="B26" s="96">
        <v>286</v>
      </c>
      <c r="C26" s="96">
        <v>1446</v>
      </c>
      <c r="D26" s="96" t="s">
        <v>3302</v>
      </c>
      <c r="E26" s="96" t="s">
        <v>3303</v>
      </c>
      <c r="F26" s="96" t="s">
        <v>312</v>
      </c>
      <c r="G26" s="96" t="s">
        <v>3304</v>
      </c>
      <c r="H26" s="96" t="s">
        <v>3305</v>
      </c>
      <c r="I26" s="96" t="s">
        <v>320</v>
      </c>
      <c r="J26" s="96" t="s">
        <v>918</v>
      </c>
      <c r="K26" s="96" t="s">
        <v>204</v>
      </c>
      <c r="L26" s="96" t="s">
        <v>252</v>
      </c>
      <c r="M26" s="96" t="s">
        <v>324</v>
      </c>
      <c r="N26" s="96" t="s">
        <v>313</v>
      </c>
      <c r="O26" s="96" t="s">
        <v>734</v>
      </c>
      <c r="P26" s="96" t="s">
        <v>338</v>
      </c>
      <c r="Q26" s="96" t="s">
        <v>1217</v>
      </c>
      <c r="R26" s="97">
        <v>262.06589200000002</v>
      </c>
      <c r="S26" s="97">
        <v>2.3359000000000001E-2</v>
      </c>
      <c r="T26" s="97">
        <v>3311900</v>
      </c>
      <c r="U26" s="97">
        <v>202.74117699999999</v>
      </c>
      <c r="V26" s="98">
        <v>0</v>
      </c>
      <c r="W26" s="98">
        <v>0.119932</v>
      </c>
      <c r="X26" s="98">
        <v>3.2599999999999999E-3</v>
      </c>
      <c r="Y26" s="106"/>
    </row>
    <row r="27" spans="1:25" ht="15" customHeight="1">
      <c r="A27" s="106"/>
      <c r="B27" s="96">
        <v>286</v>
      </c>
      <c r="C27" s="96">
        <v>1446</v>
      </c>
      <c r="D27" s="96" t="s">
        <v>3306</v>
      </c>
      <c r="E27" s="96" t="s">
        <v>3307</v>
      </c>
      <c r="F27" s="96" t="s">
        <v>312</v>
      </c>
      <c r="G27" s="96" t="s">
        <v>3308</v>
      </c>
      <c r="H27" s="96" t="s">
        <v>3309</v>
      </c>
      <c r="I27" s="96" t="s">
        <v>320</v>
      </c>
      <c r="J27" s="96" t="s">
        <v>918</v>
      </c>
      <c r="K27" s="96" t="s">
        <v>204</v>
      </c>
      <c r="L27" s="96" t="s">
        <v>250</v>
      </c>
      <c r="M27" s="96" t="s">
        <v>324</v>
      </c>
      <c r="N27" s="96" t="s">
        <v>373</v>
      </c>
      <c r="O27" s="96" t="s">
        <v>734</v>
      </c>
      <c r="P27" s="96" t="s">
        <v>338</v>
      </c>
      <c r="Q27" s="96" t="s">
        <v>1217</v>
      </c>
      <c r="R27" s="97">
        <v>2973.197447</v>
      </c>
      <c r="S27" s="97">
        <v>2.3359000000000001E-2</v>
      </c>
      <c r="T27" s="97">
        <v>195553.7</v>
      </c>
      <c r="U27" s="97">
        <v>135.81384199999999</v>
      </c>
      <c r="V27" s="98">
        <v>0</v>
      </c>
      <c r="W27" s="98">
        <v>8.0340999999999996E-2</v>
      </c>
      <c r="X27" s="98">
        <v>2.183E-3</v>
      </c>
      <c r="Y27" s="106"/>
    </row>
    <row r="28" spans="1:25" ht="15" customHeight="1">
      <c r="A28" s="106"/>
      <c r="B28" s="96">
        <v>286</v>
      </c>
      <c r="C28" s="96">
        <v>1446</v>
      </c>
      <c r="D28" s="96" t="s">
        <v>3310</v>
      </c>
      <c r="E28" s="96" t="s">
        <v>3311</v>
      </c>
      <c r="F28" s="96" t="s">
        <v>312</v>
      </c>
      <c r="G28" s="96" t="s">
        <v>3312</v>
      </c>
      <c r="H28" s="96" t="s">
        <v>3313</v>
      </c>
      <c r="I28" s="96" t="s">
        <v>320</v>
      </c>
      <c r="J28" s="96" t="s">
        <v>918</v>
      </c>
      <c r="K28" s="96" t="s">
        <v>204</v>
      </c>
      <c r="L28" s="96" t="s">
        <v>223</v>
      </c>
      <c r="M28" s="96" t="s">
        <v>324</v>
      </c>
      <c r="N28" s="96" t="s">
        <v>373</v>
      </c>
      <c r="O28" s="96" t="s">
        <v>734</v>
      </c>
      <c r="P28" s="96" t="s">
        <v>338</v>
      </c>
      <c r="Q28" s="96" t="s">
        <v>1201</v>
      </c>
      <c r="R28" s="97">
        <v>46.780968000000001</v>
      </c>
      <c r="S28" s="97">
        <v>3.7589999999999999</v>
      </c>
      <c r="T28" s="97">
        <v>15353</v>
      </c>
      <c r="U28" s="97">
        <v>26.998197999999999</v>
      </c>
      <c r="V28" s="98">
        <v>1.3799999999999999E-4</v>
      </c>
      <c r="W28" s="98">
        <v>1.5970000000000002E-2</v>
      </c>
      <c r="X28" s="98">
        <v>4.3399999999999998E-4</v>
      </c>
      <c r="Y28" s="106"/>
    </row>
    <row r="29" spans="1:25" ht="15" customHeight="1">
      <c r="A29" s="106"/>
      <c r="B29" s="96">
        <v>286</v>
      </c>
      <c r="C29" s="96">
        <v>1446</v>
      </c>
      <c r="D29" s="96" t="s">
        <v>3314</v>
      </c>
      <c r="E29" s="96" t="s">
        <v>3315</v>
      </c>
      <c r="F29" s="96" t="s">
        <v>312</v>
      </c>
      <c r="G29" s="96" t="s">
        <v>3316</v>
      </c>
      <c r="H29" s="96" t="s">
        <v>3317</v>
      </c>
      <c r="I29" s="96" t="s">
        <v>320</v>
      </c>
      <c r="J29" s="96" t="s">
        <v>918</v>
      </c>
      <c r="K29" s="96" t="s">
        <v>204</v>
      </c>
      <c r="L29" s="96" t="s">
        <v>219</v>
      </c>
      <c r="M29" s="96" t="s">
        <v>324</v>
      </c>
      <c r="N29" s="96" t="s">
        <v>373</v>
      </c>
      <c r="O29" s="96" t="s">
        <v>734</v>
      </c>
      <c r="P29" s="96" t="s">
        <v>338</v>
      </c>
      <c r="Q29" s="96" t="s">
        <v>1202</v>
      </c>
      <c r="R29" s="97">
        <v>206.08267000000001</v>
      </c>
      <c r="S29" s="97">
        <v>4.0202</v>
      </c>
      <c r="T29" s="97">
        <v>18413.09</v>
      </c>
      <c r="U29" s="97">
        <v>152.55126300000001</v>
      </c>
      <c r="V29" s="98">
        <v>5.3000000000000001E-5</v>
      </c>
      <c r="W29" s="98">
        <v>9.0242000000000003E-2</v>
      </c>
      <c r="X29" s="98">
        <v>2.4529999999999999E-3</v>
      </c>
      <c r="Y29" s="106"/>
    </row>
    <row r="30" spans="1:25" ht="15" customHeight="1">
      <c r="A30" s="106"/>
      <c r="B30" s="96">
        <v>286</v>
      </c>
      <c r="C30" s="96">
        <v>1446</v>
      </c>
      <c r="D30" s="96" t="s">
        <v>3318</v>
      </c>
      <c r="E30" s="96" t="s">
        <v>3319</v>
      </c>
      <c r="F30" s="96" t="s">
        <v>312</v>
      </c>
      <c r="G30" s="96" t="s">
        <v>3320</v>
      </c>
      <c r="H30" s="96" t="s">
        <v>3321</v>
      </c>
      <c r="I30" s="96" t="s">
        <v>320</v>
      </c>
      <c r="J30" s="96" t="s">
        <v>918</v>
      </c>
      <c r="K30" s="96" t="s">
        <v>204</v>
      </c>
      <c r="L30" s="96" t="s">
        <v>232</v>
      </c>
      <c r="M30" s="96" t="s">
        <v>324</v>
      </c>
      <c r="N30" s="96" t="s">
        <v>373</v>
      </c>
      <c r="O30" s="96" t="s">
        <v>734</v>
      </c>
      <c r="P30" s="96" t="s">
        <v>338</v>
      </c>
      <c r="Q30" s="96" t="s">
        <v>1202</v>
      </c>
      <c r="R30" s="97">
        <v>419.11208299999998</v>
      </c>
      <c r="S30" s="97">
        <v>4.0202</v>
      </c>
      <c r="T30" s="97">
        <v>4912</v>
      </c>
      <c r="U30" s="97">
        <v>82.762995000000004</v>
      </c>
      <c r="V30" s="98">
        <v>3.0000000000000001E-6</v>
      </c>
      <c r="W30" s="98">
        <v>4.8958000000000002E-2</v>
      </c>
      <c r="X30" s="98">
        <v>1.33E-3</v>
      </c>
      <c r="Y30" s="106"/>
    </row>
    <row r="31" spans="1:25" ht="15" customHeight="1">
      <c r="A31" s="106"/>
      <c r="B31" s="96">
        <v>286</v>
      </c>
      <c r="C31" s="96">
        <v>1446</v>
      </c>
      <c r="D31" s="96" t="s">
        <v>3322</v>
      </c>
      <c r="E31" s="96" t="s">
        <v>3323</v>
      </c>
      <c r="F31" s="96" t="s">
        <v>312</v>
      </c>
      <c r="G31" s="96" t="s">
        <v>3324</v>
      </c>
      <c r="H31" s="96" t="s">
        <v>3325</v>
      </c>
      <c r="I31" s="96" t="s">
        <v>320</v>
      </c>
      <c r="J31" s="96" t="s">
        <v>918</v>
      </c>
      <c r="K31" s="96" t="s">
        <v>204</v>
      </c>
      <c r="L31" s="96" t="s">
        <v>267</v>
      </c>
      <c r="M31" s="96" t="s">
        <v>324</v>
      </c>
      <c r="N31" s="96" t="s">
        <v>313</v>
      </c>
      <c r="O31" s="96" t="s">
        <v>734</v>
      </c>
      <c r="P31" s="96" t="s">
        <v>338</v>
      </c>
      <c r="Q31" s="96" t="s">
        <v>1201</v>
      </c>
      <c r="R31" s="97">
        <v>114.30322200000001</v>
      </c>
      <c r="S31" s="97">
        <v>3.7589999999999999</v>
      </c>
      <c r="T31" s="97">
        <v>8657</v>
      </c>
      <c r="U31" s="97">
        <v>37.196168999999998</v>
      </c>
      <c r="V31" s="98">
        <v>2.9E-5</v>
      </c>
      <c r="W31" s="98">
        <v>2.2003000000000002E-2</v>
      </c>
      <c r="X31" s="98">
        <v>5.9800000000000001E-4</v>
      </c>
      <c r="Y31" s="106"/>
    </row>
    <row r="32" spans="1:25" ht="15" customHeight="1">
      <c r="A32" s="106"/>
      <c r="B32" s="96">
        <v>286</v>
      </c>
      <c r="C32" s="96">
        <v>1446</v>
      </c>
      <c r="D32" s="96" t="s">
        <v>3326</v>
      </c>
      <c r="E32" s="96" t="s">
        <v>3327</v>
      </c>
      <c r="F32" s="96" t="s">
        <v>312</v>
      </c>
      <c r="G32" s="96" t="s">
        <v>3328</v>
      </c>
      <c r="H32" s="96" t="s">
        <v>3329</v>
      </c>
      <c r="I32" s="96" t="s">
        <v>320</v>
      </c>
      <c r="J32" s="96" t="s">
        <v>918</v>
      </c>
      <c r="K32" s="96" t="s">
        <v>204</v>
      </c>
      <c r="L32" s="96" t="s">
        <v>252</v>
      </c>
      <c r="M32" s="96" t="s">
        <v>324</v>
      </c>
      <c r="N32" s="96" t="s">
        <v>313</v>
      </c>
      <c r="O32" s="96" t="s">
        <v>734</v>
      </c>
      <c r="P32" s="96" t="s">
        <v>338</v>
      </c>
      <c r="Q32" s="96" t="s">
        <v>1201</v>
      </c>
      <c r="R32" s="97">
        <v>11.925253</v>
      </c>
      <c r="S32" s="97">
        <v>3.7589999999999999</v>
      </c>
      <c r="T32" s="97">
        <v>1216</v>
      </c>
      <c r="U32" s="97">
        <v>0.54509600000000002</v>
      </c>
      <c r="V32" s="98">
        <v>0</v>
      </c>
      <c r="W32" s="98">
        <v>3.2200000000000002E-4</v>
      </c>
      <c r="X32" s="98">
        <v>7.9999999999999996E-6</v>
      </c>
      <c r="Y32" s="106"/>
    </row>
    <row r="33" spans="1:25" ht="15" customHeight="1">
      <c r="A33" s="106"/>
      <c r="B33" s="96">
        <v>286</v>
      </c>
      <c r="C33" s="96">
        <v>1446</v>
      </c>
      <c r="D33" s="96" t="s">
        <v>3330</v>
      </c>
      <c r="E33" s="96" t="s">
        <v>3331</v>
      </c>
      <c r="F33" s="96" t="s">
        <v>312</v>
      </c>
      <c r="G33" s="96" t="s">
        <v>3332</v>
      </c>
      <c r="H33" s="96" t="s">
        <v>3333</v>
      </c>
      <c r="I33" s="96" t="s">
        <v>320</v>
      </c>
      <c r="J33" s="96" t="s">
        <v>918</v>
      </c>
      <c r="K33" s="96" t="s">
        <v>204</v>
      </c>
      <c r="L33" s="96" t="s">
        <v>243</v>
      </c>
      <c r="M33" s="96" t="s">
        <v>324</v>
      </c>
      <c r="N33" s="96" t="s">
        <v>373</v>
      </c>
      <c r="O33" s="96" t="s">
        <v>734</v>
      </c>
      <c r="P33" s="96" t="s">
        <v>338</v>
      </c>
      <c r="Q33" s="96" t="s">
        <v>1201</v>
      </c>
      <c r="R33" s="97">
        <v>149.19577200000001</v>
      </c>
      <c r="S33" s="97">
        <v>3.7589999999999999</v>
      </c>
      <c r="T33" s="97">
        <v>26262</v>
      </c>
      <c r="U33" s="97">
        <v>147.28436300000001</v>
      </c>
      <c r="V33" s="98">
        <v>1.5999999999999999E-5</v>
      </c>
      <c r="W33" s="98">
        <v>8.7125999999999995E-2</v>
      </c>
      <c r="X33" s="98">
        <v>2.3679999999999999E-3</v>
      </c>
      <c r="Y33" s="106"/>
    </row>
    <row r="34" spans="1:25" ht="15" customHeight="1">
      <c r="A34" s="106"/>
      <c r="B34" s="96">
        <v>286</v>
      </c>
      <c r="C34" s="96">
        <v>1446</v>
      </c>
      <c r="D34" s="96" t="s">
        <v>3334</v>
      </c>
      <c r="E34" s="96" t="s">
        <v>3335</v>
      </c>
      <c r="F34" s="96" t="s">
        <v>312</v>
      </c>
      <c r="G34" s="96" t="s">
        <v>3336</v>
      </c>
      <c r="H34" s="96" t="s">
        <v>3337</v>
      </c>
      <c r="I34" s="96" t="s">
        <v>320</v>
      </c>
      <c r="J34" s="96" t="s">
        <v>918</v>
      </c>
      <c r="K34" s="96" t="s">
        <v>204</v>
      </c>
      <c r="L34" s="96" t="s">
        <v>232</v>
      </c>
      <c r="M34" s="96" t="s">
        <v>324</v>
      </c>
      <c r="N34" s="96" t="s">
        <v>367</v>
      </c>
      <c r="O34" s="96" t="s">
        <v>734</v>
      </c>
      <c r="P34" s="96" t="s">
        <v>338</v>
      </c>
      <c r="Q34" s="96" t="s">
        <v>1205</v>
      </c>
      <c r="R34" s="97">
        <v>13974.527124</v>
      </c>
      <c r="S34" s="97">
        <v>4.7504999999999997</v>
      </c>
      <c r="T34" s="97">
        <v>161.51939999999999</v>
      </c>
      <c r="U34" s="97">
        <v>107.226254</v>
      </c>
      <c r="V34" s="98">
        <v>1.0900000000000001E-4</v>
      </c>
      <c r="W34" s="98">
        <v>6.343E-2</v>
      </c>
      <c r="X34" s="98">
        <v>1.7240000000000001E-3</v>
      </c>
      <c r="Y34" s="106"/>
    </row>
    <row r="35" spans="1:25" ht="15" customHeight="1">
      <c r="A35" s="106"/>
      <c r="B35" s="96">
        <v>286</v>
      </c>
      <c r="C35" s="96">
        <v>1446</v>
      </c>
      <c r="D35" s="96" t="s">
        <v>3338</v>
      </c>
      <c r="E35" s="96" t="s">
        <v>3339</v>
      </c>
      <c r="F35" s="96" t="s">
        <v>312</v>
      </c>
      <c r="G35" s="96" t="s">
        <v>3340</v>
      </c>
      <c r="H35" s="96" t="s">
        <v>3341</v>
      </c>
      <c r="I35" s="96" t="s">
        <v>320</v>
      </c>
      <c r="J35" s="96" t="s">
        <v>918</v>
      </c>
      <c r="K35" s="96" t="s">
        <v>204</v>
      </c>
      <c r="L35" s="96" t="s">
        <v>267</v>
      </c>
      <c r="M35" s="96" t="s">
        <v>324</v>
      </c>
      <c r="N35" s="96" t="s">
        <v>313</v>
      </c>
      <c r="O35" s="96" t="s">
        <v>734</v>
      </c>
      <c r="P35" s="96" t="s">
        <v>338</v>
      </c>
      <c r="Q35" s="96" t="s">
        <v>1201</v>
      </c>
      <c r="R35" s="97">
        <v>543.11737600000004</v>
      </c>
      <c r="S35" s="97">
        <v>3.7589999999999999</v>
      </c>
      <c r="T35" s="97">
        <v>982</v>
      </c>
      <c r="U35" s="97">
        <v>20.048297999999999</v>
      </c>
      <c r="V35" s="98">
        <v>2.8E-5</v>
      </c>
      <c r="W35" s="98">
        <v>1.1859E-2</v>
      </c>
      <c r="X35" s="98">
        <v>3.2200000000000002E-4</v>
      </c>
      <c r="Y35" s="106"/>
    </row>
    <row r="36" spans="1:25" ht="15" customHeight="1">
      <c r="A36" s="106"/>
      <c r="B36" s="96">
        <v>286</v>
      </c>
      <c r="C36" s="96">
        <v>1446</v>
      </c>
      <c r="D36" s="96" t="s">
        <v>3342</v>
      </c>
      <c r="E36" s="96" t="s">
        <v>3343</v>
      </c>
      <c r="F36" s="96" t="s">
        <v>312</v>
      </c>
      <c r="G36" s="96" t="s">
        <v>3344</v>
      </c>
      <c r="H36" s="96" t="s">
        <v>3345</v>
      </c>
      <c r="I36" s="96" t="s">
        <v>320</v>
      </c>
      <c r="J36" s="96" t="s">
        <v>918</v>
      </c>
      <c r="K36" s="96" t="s">
        <v>204</v>
      </c>
      <c r="L36" s="96" t="s">
        <v>223</v>
      </c>
      <c r="M36" s="96" t="s">
        <v>324</v>
      </c>
      <c r="N36" s="96" t="s">
        <v>373</v>
      </c>
      <c r="O36" s="96" t="s">
        <v>734</v>
      </c>
      <c r="P36" s="96" t="s">
        <v>338</v>
      </c>
      <c r="Q36" s="96" t="s">
        <v>1201</v>
      </c>
      <c r="R36" s="97">
        <v>61.445914000000002</v>
      </c>
      <c r="S36" s="97">
        <v>3.7589999999999999</v>
      </c>
      <c r="T36" s="97">
        <v>14768</v>
      </c>
      <c r="U36" s="97">
        <v>34.110416000000001</v>
      </c>
      <c r="V36" s="98">
        <v>1.6100000000000001E-4</v>
      </c>
      <c r="W36" s="98">
        <v>2.0178000000000001E-2</v>
      </c>
      <c r="X36" s="98">
        <v>5.4799999999999998E-4</v>
      </c>
      <c r="Y36" s="106"/>
    </row>
    <row r="37" spans="1:25" ht="15" customHeight="1">
      <c r="A37" s="106"/>
      <c r="B37" s="96">
        <v>286</v>
      </c>
      <c r="C37" s="96">
        <v>1446</v>
      </c>
      <c r="D37" s="96" t="s">
        <v>3346</v>
      </c>
      <c r="E37" s="96" t="s">
        <v>3347</v>
      </c>
      <c r="F37" s="96" t="s">
        <v>312</v>
      </c>
      <c r="G37" s="96" t="s">
        <v>3348</v>
      </c>
      <c r="H37" s="96" t="s">
        <v>3349</v>
      </c>
      <c r="I37" s="96" t="s">
        <v>320</v>
      </c>
      <c r="J37" s="96" t="s">
        <v>918</v>
      </c>
      <c r="K37" s="96" t="s">
        <v>204</v>
      </c>
      <c r="L37" s="96" t="s">
        <v>267</v>
      </c>
      <c r="M37" s="96" t="s">
        <v>324</v>
      </c>
      <c r="N37" s="96" t="s">
        <v>313</v>
      </c>
      <c r="O37" s="96" t="s">
        <v>734</v>
      </c>
      <c r="P37" s="96" t="s">
        <v>338</v>
      </c>
      <c r="Q37" s="96" t="s">
        <v>1201</v>
      </c>
      <c r="R37" s="97">
        <v>15.334637000000001</v>
      </c>
      <c r="S37" s="97">
        <v>3.7589999999999999</v>
      </c>
      <c r="T37" s="97">
        <v>140311</v>
      </c>
      <c r="U37" s="97">
        <v>80.879332000000005</v>
      </c>
      <c r="V37" s="98">
        <v>2.0000000000000002E-5</v>
      </c>
      <c r="W37" s="98">
        <v>4.7843999999999998E-2</v>
      </c>
      <c r="X37" s="98">
        <v>1.2999999999999999E-3</v>
      </c>
      <c r="Y37" s="106"/>
    </row>
    <row r="38" spans="1:25" ht="15" customHeight="1">
      <c r="A38" s="106"/>
      <c r="B38" s="96">
        <v>286</v>
      </c>
      <c r="C38" s="96">
        <v>286</v>
      </c>
      <c r="D38" s="96" t="s">
        <v>3334</v>
      </c>
      <c r="E38" s="96" t="s">
        <v>3335</v>
      </c>
      <c r="F38" s="96" t="s">
        <v>312</v>
      </c>
      <c r="G38" s="96" t="s">
        <v>3336</v>
      </c>
      <c r="H38" s="96" t="s">
        <v>3337</v>
      </c>
      <c r="I38" s="96" t="s">
        <v>320</v>
      </c>
      <c r="J38" s="96" t="s">
        <v>918</v>
      </c>
      <c r="K38" s="96" t="s">
        <v>204</v>
      </c>
      <c r="L38" s="96" t="s">
        <v>232</v>
      </c>
      <c r="M38" s="96" t="s">
        <v>324</v>
      </c>
      <c r="N38" s="96" t="s">
        <v>367</v>
      </c>
      <c r="O38" s="96" t="s">
        <v>734</v>
      </c>
      <c r="P38" s="96" t="s">
        <v>338</v>
      </c>
      <c r="Q38" s="96" t="s">
        <v>1205</v>
      </c>
      <c r="R38" s="97">
        <v>222357.76009299999</v>
      </c>
      <c r="S38" s="97">
        <v>4.7504999999999997</v>
      </c>
      <c r="T38" s="97">
        <v>161.51939999999999</v>
      </c>
      <c r="U38" s="97">
        <v>1706.1464450000001</v>
      </c>
      <c r="V38" s="98">
        <v>1.75E-3</v>
      </c>
      <c r="W38" s="98">
        <v>1.9202E-2</v>
      </c>
      <c r="X38" s="98">
        <v>8.8800000000000001E-4</v>
      </c>
      <c r="Y38" s="106"/>
    </row>
    <row r="39" spans="1:25" ht="15" customHeight="1">
      <c r="A39" s="106"/>
      <c r="B39" s="96">
        <v>286</v>
      </c>
      <c r="C39" s="96">
        <v>286</v>
      </c>
      <c r="D39" s="96" t="s">
        <v>3262</v>
      </c>
      <c r="E39" s="96" t="s">
        <v>3263</v>
      </c>
      <c r="F39" s="96" t="s">
        <v>312</v>
      </c>
      <c r="G39" s="96" t="s">
        <v>3264</v>
      </c>
      <c r="H39" s="96" t="s">
        <v>3265</v>
      </c>
      <c r="I39" s="96" t="s">
        <v>320</v>
      </c>
      <c r="J39" s="96" t="s">
        <v>970</v>
      </c>
      <c r="K39" s="96" t="s">
        <v>204</v>
      </c>
      <c r="L39" s="96" t="s">
        <v>223</v>
      </c>
      <c r="M39" s="96" t="s">
        <v>324</v>
      </c>
      <c r="N39" s="96" t="s">
        <v>313</v>
      </c>
      <c r="O39" s="96" t="s">
        <v>731</v>
      </c>
      <c r="P39" s="96" t="s">
        <v>338</v>
      </c>
      <c r="Q39" s="96" t="s">
        <v>1202</v>
      </c>
      <c r="R39" s="97">
        <v>3805.851588</v>
      </c>
      <c r="S39" s="97">
        <v>4.0202</v>
      </c>
      <c r="T39" s="97">
        <v>26961</v>
      </c>
      <c r="U39" s="97">
        <v>4125.109719</v>
      </c>
      <c r="V39" s="98">
        <v>2.4919999999999999E-3</v>
      </c>
      <c r="W39" s="98">
        <v>4.6427000000000003E-2</v>
      </c>
      <c r="X39" s="98">
        <v>2.1480000000000002E-3</v>
      </c>
      <c r="Y39" s="106"/>
    </row>
    <row r="40" spans="1:25" ht="15" customHeight="1">
      <c r="A40" s="106"/>
      <c r="B40" s="96">
        <v>286</v>
      </c>
      <c r="C40" s="96">
        <v>286</v>
      </c>
      <c r="D40" s="96" t="s">
        <v>3302</v>
      </c>
      <c r="E40" s="96" t="s">
        <v>3303</v>
      </c>
      <c r="F40" s="96" t="s">
        <v>312</v>
      </c>
      <c r="G40" s="96" t="s">
        <v>3304</v>
      </c>
      <c r="H40" s="96" t="s">
        <v>3305</v>
      </c>
      <c r="I40" s="96" t="s">
        <v>320</v>
      </c>
      <c r="J40" s="96" t="s">
        <v>918</v>
      </c>
      <c r="K40" s="96" t="s">
        <v>204</v>
      </c>
      <c r="L40" s="96" t="s">
        <v>252</v>
      </c>
      <c r="M40" s="96" t="s">
        <v>324</v>
      </c>
      <c r="N40" s="96" t="s">
        <v>313</v>
      </c>
      <c r="O40" s="96" t="s">
        <v>734</v>
      </c>
      <c r="P40" s="96" t="s">
        <v>338</v>
      </c>
      <c r="Q40" s="96" t="s">
        <v>1217</v>
      </c>
      <c r="R40" s="97">
        <v>4169.9003030000003</v>
      </c>
      <c r="S40" s="97">
        <v>2.3359000000000001E-2</v>
      </c>
      <c r="T40" s="97">
        <v>3311900</v>
      </c>
      <c r="U40" s="97">
        <v>3225.9462979999998</v>
      </c>
      <c r="V40" s="98">
        <v>7.9999999999999996E-6</v>
      </c>
      <c r="W40" s="98">
        <v>3.6306999999999999E-2</v>
      </c>
      <c r="X40" s="98">
        <v>1.6789999999999999E-3</v>
      </c>
      <c r="Y40" s="106"/>
    </row>
    <row r="41" spans="1:25" ht="15" customHeight="1">
      <c r="A41" s="106"/>
      <c r="B41" s="96">
        <v>286</v>
      </c>
      <c r="C41" s="96">
        <v>286</v>
      </c>
      <c r="D41" s="96" t="s">
        <v>3226</v>
      </c>
      <c r="E41" s="96" t="s">
        <v>3227</v>
      </c>
      <c r="F41" s="96" t="s">
        <v>312</v>
      </c>
      <c r="G41" s="96" t="s">
        <v>3228</v>
      </c>
      <c r="H41" s="96" t="s">
        <v>3229</v>
      </c>
      <c r="I41" s="96" t="s">
        <v>320</v>
      </c>
      <c r="J41" s="96" t="s">
        <v>970</v>
      </c>
      <c r="K41" s="96" t="s">
        <v>204</v>
      </c>
      <c r="L41" s="96" t="s">
        <v>223</v>
      </c>
      <c r="M41" s="96" t="s">
        <v>324</v>
      </c>
      <c r="N41" s="96" t="s">
        <v>313</v>
      </c>
      <c r="O41" s="96" t="s">
        <v>731</v>
      </c>
      <c r="P41" s="96" t="s">
        <v>338</v>
      </c>
      <c r="Q41" s="96" t="s">
        <v>1201</v>
      </c>
      <c r="R41" s="97">
        <v>55305.268754999997</v>
      </c>
      <c r="S41" s="97">
        <v>3.7589999999999999</v>
      </c>
      <c r="T41" s="97">
        <v>1652</v>
      </c>
      <c r="U41" s="97">
        <v>3434.3841860000002</v>
      </c>
      <c r="V41" s="98">
        <v>3.4699999999999998E-4</v>
      </c>
      <c r="W41" s="98">
        <v>3.8653E-2</v>
      </c>
      <c r="X41" s="98">
        <v>1.7880000000000001E-3</v>
      </c>
      <c r="Y41" s="106"/>
    </row>
    <row r="42" spans="1:25" ht="15" customHeight="1">
      <c r="A42" s="106"/>
      <c r="B42" s="96">
        <v>286</v>
      </c>
      <c r="C42" s="96">
        <v>286</v>
      </c>
      <c r="D42" s="96" t="s">
        <v>3346</v>
      </c>
      <c r="E42" s="96" t="s">
        <v>3347</v>
      </c>
      <c r="F42" s="96" t="s">
        <v>312</v>
      </c>
      <c r="G42" s="96" t="s">
        <v>3348</v>
      </c>
      <c r="H42" s="96" t="s">
        <v>3349</v>
      </c>
      <c r="I42" s="96" t="s">
        <v>320</v>
      </c>
      <c r="J42" s="96" t="s">
        <v>918</v>
      </c>
      <c r="K42" s="96" t="s">
        <v>204</v>
      </c>
      <c r="L42" s="96" t="s">
        <v>267</v>
      </c>
      <c r="M42" s="96" t="s">
        <v>324</v>
      </c>
      <c r="N42" s="96" t="s">
        <v>313</v>
      </c>
      <c r="O42" s="96" t="s">
        <v>734</v>
      </c>
      <c r="P42" s="96" t="s">
        <v>338</v>
      </c>
      <c r="Q42" s="96" t="s">
        <v>1201</v>
      </c>
      <c r="R42" s="97">
        <v>243.999358</v>
      </c>
      <c r="S42" s="97">
        <v>3.7589999999999999</v>
      </c>
      <c r="T42" s="97">
        <v>140311</v>
      </c>
      <c r="U42" s="97">
        <v>1286.923497</v>
      </c>
      <c r="V42" s="98">
        <v>3.1799999999999998E-4</v>
      </c>
      <c r="W42" s="98">
        <v>1.4484E-2</v>
      </c>
      <c r="X42" s="98">
        <v>6.7000000000000002E-4</v>
      </c>
      <c r="Y42" s="106"/>
    </row>
    <row r="43" spans="1:25" ht="15" customHeight="1">
      <c r="A43" s="106"/>
      <c r="B43" s="96">
        <v>286</v>
      </c>
      <c r="C43" s="96">
        <v>286</v>
      </c>
      <c r="D43" s="96" t="s">
        <v>3322</v>
      </c>
      <c r="E43" s="96" t="s">
        <v>3323</v>
      </c>
      <c r="F43" s="96" t="s">
        <v>312</v>
      </c>
      <c r="G43" s="96" t="s">
        <v>3324</v>
      </c>
      <c r="H43" s="96" t="s">
        <v>3325</v>
      </c>
      <c r="I43" s="96" t="s">
        <v>320</v>
      </c>
      <c r="J43" s="96" t="s">
        <v>918</v>
      </c>
      <c r="K43" s="96" t="s">
        <v>204</v>
      </c>
      <c r="L43" s="96" t="s">
        <v>267</v>
      </c>
      <c r="M43" s="96" t="s">
        <v>324</v>
      </c>
      <c r="N43" s="96" t="s">
        <v>313</v>
      </c>
      <c r="O43" s="96" t="s">
        <v>734</v>
      </c>
      <c r="P43" s="96" t="s">
        <v>338</v>
      </c>
      <c r="Q43" s="96" t="s">
        <v>1201</v>
      </c>
      <c r="R43" s="97">
        <v>1818.7526769999999</v>
      </c>
      <c r="S43" s="97">
        <v>3.7589999999999999</v>
      </c>
      <c r="T43" s="97">
        <v>8657</v>
      </c>
      <c r="U43" s="97">
        <v>591.85236699999996</v>
      </c>
      <c r="V43" s="98">
        <v>4.6200000000000001E-4</v>
      </c>
      <c r="W43" s="98">
        <v>6.6610000000000003E-3</v>
      </c>
      <c r="X43" s="98">
        <v>3.0800000000000001E-4</v>
      </c>
      <c r="Y43" s="106"/>
    </row>
    <row r="44" spans="1:25" ht="15" customHeight="1">
      <c r="A44" s="106"/>
      <c r="B44" s="96">
        <v>286</v>
      </c>
      <c r="C44" s="96">
        <v>286</v>
      </c>
      <c r="D44" s="96" t="s">
        <v>3274</v>
      </c>
      <c r="E44" s="96" t="s">
        <v>3275</v>
      </c>
      <c r="F44" s="96" t="s">
        <v>312</v>
      </c>
      <c r="G44" s="96" t="s">
        <v>3276</v>
      </c>
      <c r="H44" s="96" t="s">
        <v>3277</v>
      </c>
      <c r="I44" s="96" t="s">
        <v>320</v>
      </c>
      <c r="J44" s="96" t="s">
        <v>918</v>
      </c>
      <c r="K44" s="96" t="s">
        <v>204</v>
      </c>
      <c r="L44" s="96" t="s">
        <v>252</v>
      </c>
      <c r="M44" s="96" t="s">
        <v>324</v>
      </c>
      <c r="N44" s="96" t="s">
        <v>313</v>
      </c>
      <c r="O44" s="96" t="s">
        <v>734</v>
      </c>
      <c r="P44" s="96" t="s">
        <v>338</v>
      </c>
      <c r="Q44" s="96" t="s">
        <v>1201</v>
      </c>
      <c r="R44" s="97">
        <v>105004.07529199999</v>
      </c>
      <c r="S44" s="97">
        <v>3.7589999999999999</v>
      </c>
      <c r="T44" s="97">
        <v>167.13</v>
      </c>
      <c r="U44" s="97">
        <v>659.67935599999998</v>
      </c>
      <c r="V44" s="98">
        <v>8.3500000000000002E-4</v>
      </c>
      <c r="W44" s="98">
        <v>7.424E-3</v>
      </c>
      <c r="X44" s="98">
        <v>3.4299999999999999E-4</v>
      </c>
      <c r="Y44" s="106"/>
    </row>
    <row r="45" spans="1:25" ht="15" customHeight="1">
      <c r="A45" s="106"/>
      <c r="B45" s="96">
        <v>286</v>
      </c>
      <c r="C45" s="96">
        <v>286</v>
      </c>
      <c r="D45" s="96" t="s">
        <v>3218</v>
      </c>
      <c r="E45" s="96" t="s">
        <v>3219</v>
      </c>
      <c r="F45" s="96" t="s">
        <v>312</v>
      </c>
      <c r="G45" s="96" t="s">
        <v>3220</v>
      </c>
      <c r="H45" s="96" t="s">
        <v>3221</v>
      </c>
      <c r="I45" s="96" t="s">
        <v>320</v>
      </c>
      <c r="J45" s="96" t="s">
        <v>970</v>
      </c>
      <c r="K45" s="96" t="s">
        <v>204</v>
      </c>
      <c r="L45" s="96" t="s">
        <v>223</v>
      </c>
      <c r="M45" s="96" t="s">
        <v>324</v>
      </c>
      <c r="N45" s="96" t="s">
        <v>313</v>
      </c>
      <c r="O45" s="96" t="s">
        <v>731</v>
      </c>
      <c r="P45" s="96" t="s">
        <v>338</v>
      </c>
      <c r="Q45" s="96" t="s">
        <v>1201</v>
      </c>
      <c r="R45" s="97">
        <v>852.98792900000001</v>
      </c>
      <c r="S45" s="97">
        <v>3.7589999999999999</v>
      </c>
      <c r="T45" s="97">
        <v>172363</v>
      </c>
      <c r="U45" s="97">
        <v>5526.6155609999996</v>
      </c>
      <c r="V45" s="98">
        <v>5.1400000000000003E-4</v>
      </c>
      <c r="W45" s="98">
        <v>6.2200999999999999E-2</v>
      </c>
      <c r="X45" s="98">
        <v>2.8779999999999999E-3</v>
      </c>
      <c r="Y45" s="106"/>
    </row>
    <row r="46" spans="1:25" ht="15" customHeight="1">
      <c r="A46" s="106"/>
      <c r="B46" s="96">
        <v>286</v>
      </c>
      <c r="C46" s="96">
        <v>286</v>
      </c>
      <c r="D46" s="96" t="s">
        <v>3310</v>
      </c>
      <c r="E46" s="96" t="s">
        <v>3311</v>
      </c>
      <c r="F46" s="96" t="s">
        <v>312</v>
      </c>
      <c r="G46" s="96" t="s">
        <v>3312</v>
      </c>
      <c r="H46" s="96" t="s">
        <v>3313</v>
      </c>
      <c r="I46" s="96" t="s">
        <v>320</v>
      </c>
      <c r="J46" s="96" t="s">
        <v>918</v>
      </c>
      <c r="K46" s="96" t="s">
        <v>204</v>
      </c>
      <c r="L46" s="96" t="s">
        <v>223</v>
      </c>
      <c r="M46" s="96" t="s">
        <v>324</v>
      </c>
      <c r="N46" s="96" t="s">
        <v>373</v>
      </c>
      <c r="O46" s="96" t="s">
        <v>734</v>
      </c>
      <c r="P46" s="96" t="s">
        <v>338</v>
      </c>
      <c r="Q46" s="96" t="s">
        <v>1201</v>
      </c>
      <c r="R46" s="97">
        <v>744.36231499999997</v>
      </c>
      <c r="S46" s="97">
        <v>3.7589999999999999</v>
      </c>
      <c r="T46" s="97">
        <v>15353</v>
      </c>
      <c r="U46" s="97">
        <v>429.58583599999997</v>
      </c>
      <c r="V46" s="98">
        <v>2.2049999999999999E-3</v>
      </c>
      <c r="W46" s="98">
        <v>4.8339999999999998E-3</v>
      </c>
      <c r="X46" s="98">
        <v>2.23E-4</v>
      </c>
      <c r="Y46" s="106"/>
    </row>
    <row r="47" spans="1:25" ht="15" customHeight="1">
      <c r="A47" s="106"/>
      <c r="B47" s="96">
        <v>286</v>
      </c>
      <c r="C47" s="96">
        <v>286</v>
      </c>
      <c r="D47" s="96" t="s">
        <v>3214</v>
      </c>
      <c r="E47" s="96" t="s">
        <v>3215</v>
      </c>
      <c r="F47" s="96" t="s">
        <v>312</v>
      </c>
      <c r="G47" s="96" t="s">
        <v>3216</v>
      </c>
      <c r="H47" s="96" t="s">
        <v>3217</v>
      </c>
      <c r="I47" s="96" t="s">
        <v>320</v>
      </c>
      <c r="J47" s="96" t="s">
        <v>970</v>
      </c>
      <c r="K47" s="96" t="s">
        <v>204</v>
      </c>
      <c r="L47" s="96" t="s">
        <v>223</v>
      </c>
      <c r="M47" s="96" t="s">
        <v>324</v>
      </c>
      <c r="N47" s="96" t="s">
        <v>313</v>
      </c>
      <c r="O47" s="96" t="s">
        <v>731</v>
      </c>
      <c r="P47" s="96" t="s">
        <v>338</v>
      </c>
      <c r="Q47" s="96" t="s">
        <v>1201</v>
      </c>
      <c r="R47" s="97">
        <v>5496.3256929999998</v>
      </c>
      <c r="S47" s="97">
        <v>3.7589999999999999</v>
      </c>
      <c r="T47" s="97">
        <v>30056</v>
      </c>
      <c r="U47" s="97">
        <v>6209.7764690000004</v>
      </c>
      <c r="V47" s="98">
        <v>8.0099999999999995E-4</v>
      </c>
      <c r="W47" s="98">
        <v>6.9889999999999994E-2</v>
      </c>
      <c r="X47" s="98">
        <v>3.2330000000000002E-3</v>
      </c>
      <c r="Y47" s="106"/>
    </row>
    <row r="48" spans="1:25" ht="15" customHeight="1">
      <c r="A48" s="106"/>
      <c r="B48" s="96">
        <v>286</v>
      </c>
      <c r="C48" s="96">
        <v>286</v>
      </c>
      <c r="D48" s="96" t="s">
        <v>3270</v>
      </c>
      <c r="E48" s="96" t="s">
        <v>3271</v>
      </c>
      <c r="F48" s="96" t="s">
        <v>312</v>
      </c>
      <c r="G48" s="96" t="s">
        <v>3272</v>
      </c>
      <c r="H48" s="96" t="s">
        <v>3273</v>
      </c>
      <c r="I48" s="96" t="s">
        <v>320</v>
      </c>
      <c r="J48" s="96" t="s">
        <v>918</v>
      </c>
      <c r="K48" s="96" t="s">
        <v>204</v>
      </c>
      <c r="L48" s="96" t="s">
        <v>250</v>
      </c>
      <c r="M48" s="96" t="s">
        <v>324</v>
      </c>
      <c r="N48" s="96" t="s">
        <v>313</v>
      </c>
      <c r="O48" s="96" t="s">
        <v>734</v>
      </c>
      <c r="P48" s="96" t="s">
        <v>338</v>
      </c>
      <c r="Q48" s="96" t="s">
        <v>1201</v>
      </c>
      <c r="R48" s="97">
        <v>61566.220492</v>
      </c>
      <c r="S48" s="97">
        <v>3.7589999999999999</v>
      </c>
      <c r="T48" s="97">
        <v>1341.62</v>
      </c>
      <c r="U48" s="97">
        <v>3104.8765899999999</v>
      </c>
      <c r="V48" s="98">
        <v>8.6200000000000003E-4</v>
      </c>
      <c r="W48" s="98">
        <v>3.4944000000000003E-2</v>
      </c>
      <c r="X48" s="98">
        <v>1.616E-3</v>
      </c>
      <c r="Y48" s="106"/>
    </row>
    <row r="49" spans="1:25" ht="15" customHeight="1">
      <c r="A49" s="106"/>
      <c r="B49" s="96">
        <v>286</v>
      </c>
      <c r="C49" s="96">
        <v>286</v>
      </c>
      <c r="D49" s="96" t="s">
        <v>3254</v>
      </c>
      <c r="E49" s="96" t="s">
        <v>3255</v>
      </c>
      <c r="F49" s="96" t="s">
        <v>312</v>
      </c>
      <c r="G49" s="96" t="s">
        <v>3256</v>
      </c>
      <c r="H49" s="96" t="s">
        <v>3257</v>
      </c>
      <c r="I49" s="96" t="s">
        <v>320</v>
      </c>
      <c r="J49" s="96" t="s">
        <v>970</v>
      </c>
      <c r="K49" s="96" t="s">
        <v>204</v>
      </c>
      <c r="L49" s="96" t="s">
        <v>243</v>
      </c>
      <c r="M49" s="96" t="s">
        <v>324</v>
      </c>
      <c r="N49" s="96" t="s">
        <v>313</v>
      </c>
      <c r="O49" s="96" t="s">
        <v>731</v>
      </c>
      <c r="P49" s="96" t="s">
        <v>338</v>
      </c>
      <c r="Q49" s="96" t="s">
        <v>1201</v>
      </c>
      <c r="R49" s="97">
        <v>5769.5861359999999</v>
      </c>
      <c r="S49" s="97">
        <v>3.7589999999999999</v>
      </c>
      <c r="T49" s="97">
        <v>11677</v>
      </c>
      <c r="U49" s="97">
        <v>2532.4930800000002</v>
      </c>
      <c r="V49" s="98">
        <v>5.0600000000000005E-4</v>
      </c>
      <c r="W49" s="98">
        <v>2.8502E-2</v>
      </c>
      <c r="X49" s="98">
        <v>1.3179999999999999E-3</v>
      </c>
      <c r="Y49" s="106"/>
    </row>
    <row r="50" spans="1:25" ht="15" customHeight="1">
      <c r="A50" s="106"/>
      <c r="B50" s="96">
        <v>286</v>
      </c>
      <c r="C50" s="96">
        <v>286</v>
      </c>
      <c r="D50" s="96" t="s">
        <v>3338</v>
      </c>
      <c r="E50" s="96" t="s">
        <v>3339</v>
      </c>
      <c r="F50" s="96" t="s">
        <v>312</v>
      </c>
      <c r="G50" s="96" t="s">
        <v>3340</v>
      </c>
      <c r="H50" s="96" t="s">
        <v>3341</v>
      </c>
      <c r="I50" s="96" t="s">
        <v>320</v>
      </c>
      <c r="J50" s="96" t="s">
        <v>918</v>
      </c>
      <c r="K50" s="96" t="s">
        <v>204</v>
      </c>
      <c r="L50" s="96" t="s">
        <v>267</v>
      </c>
      <c r="M50" s="96" t="s">
        <v>324</v>
      </c>
      <c r="N50" s="96" t="s">
        <v>313</v>
      </c>
      <c r="O50" s="96" t="s">
        <v>734</v>
      </c>
      <c r="P50" s="96" t="s">
        <v>338</v>
      </c>
      <c r="Q50" s="96" t="s">
        <v>1201</v>
      </c>
      <c r="R50" s="97">
        <v>8641.8926609999999</v>
      </c>
      <c r="S50" s="97">
        <v>3.7589999999999999</v>
      </c>
      <c r="T50" s="97">
        <v>982</v>
      </c>
      <c r="U50" s="97">
        <v>319.00146699999999</v>
      </c>
      <c r="V50" s="98">
        <v>4.5899999999999999E-4</v>
      </c>
      <c r="W50" s="98">
        <v>3.5899999999999999E-3</v>
      </c>
      <c r="X50" s="98">
        <v>1.66E-4</v>
      </c>
      <c r="Y50" s="106"/>
    </row>
    <row r="51" spans="1:25" ht="15" customHeight="1">
      <c r="A51" s="106"/>
      <c r="B51" s="96">
        <v>286</v>
      </c>
      <c r="C51" s="96">
        <v>286</v>
      </c>
      <c r="D51" s="96" t="s">
        <v>3246</v>
      </c>
      <c r="E51" s="96" t="s">
        <v>3247</v>
      </c>
      <c r="F51" s="96" t="s">
        <v>312</v>
      </c>
      <c r="G51" s="96" t="s">
        <v>3248</v>
      </c>
      <c r="H51" s="96" t="s">
        <v>3249</v>
      </c>
      <c r="I51" s="96" t="s">
        <v>320</v>
      </c>
      <c r="J51" s="96" t="s">
        <v>970</v>
      </c>
      <c r="K51" s="96" t="s">
        <v>204</v>
      </c>
      <c r="L51" s="96" t="s">
        <v>223</v>
      </c>
      <c r="M51" s="96" t="s">
        <v>324</v>
      </c>
      <c r="N51" s="96" t="s">
        <v>313</v>
      </c>
      <c r="O51" s="96" t="s">
        <v>731</v>
      </c>
      <c r="P51" s="96" t="s">
        <v>338</v>
      </c>
      <c r="Q51" s="96" t="s">
        <v>1201</v>
      </c>
      <c r="R51" s="97">
        <v>609.94918199999995</v>
      </c>
      <c r="S51" s="97">
        <v>3.7589999999999999</v>
      </c>
      <c r="T51" s="97">
        <v>162418.9</v>
      </c>
      <c r="U51" s="97">
        <v>3723.938948</v>
      </c>
      <c r="V51" s="98">
        <v>1.4220000000000001E-3</v>
      </c>
      <c r="W51" s="98">
        <v>4.1911999999999998E-2</v>
      </c>
      <c r="X51" s="98">
        <v>1.939E-3</v>
      </c>
      <c r="Y51" s="106"/>
    </row>
    <row r="52" spans="1:25" ht="15" customHeight="1">
      <c r="A52" s="106"/>
      <c r="B52" s="96">
        <v>286</v>
      </c>
      <c r="C52" s="96">
        <v>286</v>
      </c>
      <c r="D52" s="96" t="s">
        <v>3306</v>
      </c>
      <c r="E52" s="96" t="s">
        <v>3307</v>
      </c>
      <c r="F52" s="96" t="s">
        <v>312</v>
      </c>
      <c r="G52" s="96" t="s">
        <v>3308</v>
      </c>
      <c r="H52" s="96" t="s">
        <v>3309</v>
      </c>
      <c r="I52" s="96" t="s">
        <v>320</v>
      </c>
      <c r="J52" s="96" t="s">
        <v>918</v>
      </c>
      <c r="K52" s="96" t="s">
        <v>204</v>
      </c>
      <c r="L52" s="96" t="s">
        <v>250</v>
      </c>
      <c r="M52" s="96" t="s">
        <v>324</v>
      </c>
      <c r="N52" s="96" t="s">
        <v>373</v>
      </c>
      <c r="O52" s="96" t="s">
        <v>734</v>
      </c>
      <c r="P52" s="96" t="s">
        <v>338</v>
      </c>
      <c r="Q52" s="96" t="s">
        <v>1217</v>
      </c>
      <c r="R52" s="97">
        <v>47308.471962000003</v>
      </c>
      <c r="S52" s="97">
        <v>2.3359000000000001E-2</v>
      </c>
      <c r="T52" s="97">
        <v>195553.7</v>
      </c>
      <c r="U52" s="97">
        <v>2161.0220829999998</v>
      </c>
      <c r="V52" s="98">
        <v>3.9999999999999998E-6</v>
      </c>
      <c r="W52" s="98">
        <v>2.4322E-2</v>
      </c>
      <c r="X52" s="98">
        <v>1.1249999999999999E-3</v>
      </c>
      <c r="Y52" s="106"/>
    </row>
    <row r="53" spans="1:25" ht="15" customHeight="1">
      <c r="A53" s="106"/>
      <c r="B53" s="96">
        <v>286</v>
      </c>
      <c r="C53" s="96">
        <v>286</v>
      </c>
      <c r="D53" s="96" t="s">
        <v>3258</v>
      </c>
      <c r="E53" s="96" t="s">
        <v>3259</v>
      </c>
      <c r="F53" s="96" t="s">
        <v>312</v>
      </c>
      <c r="G53" s="96" t="s">
        <v>3260</v>
      </c>
      <c r="H53" s="96" t="s">
        <v>3261</v>
      </c>
      <c r="I53" s="96" t="s">
        <v>320</v>
      </c>
      <c r="J53" s="96" t="s">
        <v>970</v>
      </c>
      <c r="K53" s="96" t="s">
        <v>204</v>
      </c>
      <c r="L53" s="96" t="s">
        <v>223</v>
      </c>
      <c r="M53" s="96" t="s">
        <v>324</v>
      </c>
      <c r="N53" s="96" t="s">
        <v>313</v>
      </c>
      <c r="O53" s="96" t="s">
        <v>731</v>
      </c>
      <c r="P53" s="96" t="s">
        <v>338</v>
      </c>
      <c r="Q53" s="96" t="s">
        <v>1201</v>
      </c>
      <c r="R53" s="97">
        <v>6593.0888699999996</v>
      </c>
      <c r="S53" s="97">
        <v>3.7589999999999999</v>
      </c>
      <c r="T53" s="97">
        <v>18707</v>
      </c>
      <c r="U53" s="97">
        <v>4636.2345779999996</v>
      </c>
      <c r="V53" s="98">
        <v>9.3400000000000004E-4</v>
      </c>
      <c r="W53" s="98">
        <v>5.2179999999999997E-2</v>
      </c>
      <c r="X53" s="98">
        <v>2.4139999999999999E-3</v>
      </c>
      <c r="Y53" s="106"/>
    </row>
    <row r="54" spans="1:25" ht="15" customHeight="1">
      <c r="A54" s="106"/>
      <c r="B54" s="96">
        <v>286</v>
      </c>
      <c r="C54" s="96">
        <v>286</v>
      </c>
      <c r="D54" s="96" t="s">
        <v>3298</v>
      </c>
      <c r="E54" s="96" t="s">
        <v>3299</v>
      </c>
      <c r="F54" s="96" t="s">
        <v>312</v>
      </c>
      <c r="G54" s="96" t="s">
        <v>3300</v>
      </c>
      <c r="H54" s="96" t="s">
        <v>3301</v>
      </c>
      <c r="I54" s="96" t="s">
        <v>320</v>
      </c>
      <c r="J54" s="96" t="s">
        <v>918</v>
      </c>
      <c r="K54" s="96" t="s">
        <v>204</v>
      </c>
      <c r="L54" s="96" t="s">
        <v>223</v>
      </c>
      <c r="M54" s="96" t="s">
        <v>324</v>
      </c>
      <c r="N54" s="96" t="s">
        <v>373</v>
      </c>
      <c r="O54" s="96" t="s">
        <v>734</v>
      </c>
      <c r="P54" s="96" t="s">
        <v>338</v>
      </c>
      <c r="Q54" s="96" t="s">
        <v>1201</v>
      </c>
      <c r="R54" s="97">
        <v>24448.297688999999</v>
      </c>
      <c r="S54" s="97">
        <v>3.7589999999999999</v>
      </c>
      <c r="T54" s="97">
        <v>1426.35</v>
      </c>
      <c r="U54" s="97">
        <v>1310.8320670000001</v>
      </c>
      <c r="V54" s="98">
        <v>1.521E-3</v>
      </c>
      <c r="W54" s="98">
        <v>1.4753E-2</v>
      </c>
      <c r="X54" s="98">
        <v>6.8199999999999999E-4</v>
      </c>
      <c r="Y54" s="106"/>
    </row>
    <row r="55" spans="1:25" ht="15" customHeight="1">
      <c r="A55" s="106"/>
      <c r="B55" s="96">
        <v>286</v>
      </c>
      <c r="C55" s="96">
        <v>286</v>
      </c>
      <c r="D55" s="96" t="s">
        <v>3314</v>
      </c>
      <c r="E55" s="96" t="s">
        <v>3315</v>
      </c>
      <c r="F55" s="96" t="s">
        <v>312</v>
      </c>
      <c r="G55" s="96" t="s">
        <v>3316</v>
      </c>
      <c r="H55" s="96" t="s">
        <v>3317</v>
      </c>
      <c r="I55" s="96" t="s">
        <v>320</v>
      </c>
      <c r="J55" s="96" t="s">
        <v>918</v>
      </c>
      <c r="K55" s="96" t="s">
        <v>204</v>
      </c>
      <c r="L55" s="96" t="s">
        <v>219</v>
      </c>
      <c r="M55" s="96" t="s">
        <v>324</v>
      </c>
      <c r="N55" s="96" t="s">
        <v>373</v>
      </c>
      <c r="O55" s="96" t="s">
        <v>734</v>
      </c>
      <c r="P55" s="96" t="s">
        <v>338</v>
      </c>
      <c r="Q55" s="96" t="s">
        <v>1202</v>
      </c>
      <c r="R55" s="97">
        <v>3279.1149639999999</v>
      </c>
      <c r="S55" s="97">
        <v>4.0202</v>
      </c>
      <c r="T55" s="97">
        <v>18413.09</v>
      </c>
      <c r="U55" s="97">
        <v>2427.3420430000001</v>
      </c>
      <c r="V55" s="98">
        <v>8.5599999999999999E-4</v>
      </c>
      <c r="W55" s="98">
        <v>2.7319E-2</v>
      </c>
      <c r="X55" s="98">
        <v>1.2639999999999999E-3</v>
      </c>
      <c r="Y55" s="106"/>
    </row>
    <row r="56" spans="1:25" ht="15" customHeight="1">
      <c r="A56" s="106"/>
      <c r="B56" s="96">
        <v>286</v>
      </c>
      <c r="C56" s="96">
        <v>286</v>
      </c>
      <c r="D56" s="96" t="s">
        <v>3230</v>
      </c>
      <c r="E56" s="96" t="s">
        <v>3231</v>
      </c>
      <c r="F56" s="96" t="s">
        <v>312</v>
      </c>
      <c r="G56" s="96" t="s">
        <v>3232</v>
      </c>
      <c r="H56" s="96" t="s">
        <v>3233</v>
      </c>
      <c r="I56" s="96" t="s">
        <v>320</v>
      </c>
      <c r="J56" s="96" t="s">
        <v>970</v>
      </c>
      <c r="K56" s="96" t="s">
        <v>204</v>
      </c>
      <c r="L56" s="96" t="s">
        <v>223</v>
      </c>
      <c r="M56" s="96" t="s">
        <v>324</v>
      </c>
      <c r="N56" s="96" t="s">
        <v>313</v>
      </c>
      <c r="O56" s="96" t="s">
        <v>731</v>
      </c>
      <c r="P56" s="96" t="s">
        <v>338</v>
      </c>
      <c r="Q56" s="96" t="s">
        <v>1201</v>
      </c>
      <c r="R56" s="97">
        <v>5400.9447209999998</v>
      </c>
      <c r="S56" s="97">
        <v>3.7589999999999999</v>
      </c>
      <c r="T56" s="97">
        <v>17966</v>
      </c>
      <c r="U56" s="97">
        <v>3647.4844849999999</v>
      </c>
      <c r="V56" s="98">
        <v>2.13E-4</v>
      </c>
      <c r="W56" s="98">
        <v>4.1050999999999997E-2</v>
      </c>
      <c r="X56" s="98">
        <v>1.8990000000000001E-3</v>
      </c>
      <c r="Y56" s="106"/>
    </row>
    <row r="57" spans="1:25" ht="15" customHeight="1">
      <c r="A57" s="106"/>
      <c r="B57" s="96">
        <v>286</v>
      </c>
      <c r="C57" s="96">
        <v>286</v>
      </c>
      <c r="D57" s="96" t="s">
        <v>3286</v>
      </c>
      <c r="E57" s="96" t="s">
        <v>3287</v>
      </c>
      <c r="F57" s="96" t="s">
        <v>312</v>
      </c>
      <c r="G57" s="96" t="s">
        <v>3288</v>
      </c>
      <c r="H57" s="96" t="s">
        <v>3289</v>
      </c>
      <c r="I57" s="96" t="s">
        <v>320</v>
      </c>
      <c r="J57" s="96" t="s">
        <v>918</v>
      </c>
      <c r="K57" s="96" t="s">
        <v>204</v>
      </c>
      <c r="L57" s="96" t="s">
        <v>232</v>
      </c>
      <c r="M57" s="96" t="s">
        <v>324</v>
      </c>
      <c r="N57" s="96" t="s">
        <v>367</v>
      </c>
      <c r="O57" s="96" t="s">
        <v>734</v>
      </c>
      <c r="P57" s="96" t="s">
        <v>338</v>
      </c>
      <c r="Q57" s="96" t="s">
        <v>1205</v>
      </c>
      <c r="R57" s="97">
        <v>221828.998677</v>
      </c>
      <c r="S57" s="97">
        <v>4.7504999999999997</v>
      </c>
      <c r="T57" s="97">
        <v>92.66</v>
      </c>
      <c r="U57" s="97">
        <v>976.449836</v>
      </c>
      <c r="V57" s="98">
        <v>1.4009999999999999E-3</v>
      </c>
      <c r="W57" s="98">
        <v>1.0989000000000001E-2</v>
      </c>
      <c r="X57" s="98">
        <v>5.0799999999999999E-4</v>
      </c>
      <c r="Y57" s="106"/>
    </row>
    <row r="58" spans="1:25" ht="15" customHeight="1">
      <c r="A58" s="106"/>
      <c r="B58" s="96">
        <v>286</v>
      </c>
      <c r="C58" s="96">
        <v>286</v>
      </c>
      <c r="D58" s="96" t="s">
        <v>3234</v>
      </c>
      <c r="E58" s="96" t="s">
        <v>3235</v>
      </c>
      <c r="F58" s="96" t="s">
        <v>312</v>
      </c>
      <c r="G58" s="96" t="s">
        <v>3236</v>
      </c>
      <c r="H58" s="96" t="s">
        <v>3237</v>
      </c>
      <c r="I58" s="96" t="s">
        <v>320</v>
      </c>
      <c r="J58" s="96" t="s">
        <v>970</v>
      </c>
      <c r="K58" s="96" t="s">
        <v>204</v>
      </c>
      <c r="L58" s="96" t="s">
        <v>223</v>
      </c>
      <c r="M58" s="96" t="s">
        <v>324</v>
      </c>
      <c r="N58" s="96" t="s">
        <v>373</v>
      </c>
      <c r="O58" s="96" t="s">
        <v>731</v>
      </c>
      <c r="P58" s="96" t="s">
        <v>338</v>
      </c>
      <c r="Q58" s="96" t="s">
        <v>1201</v>
      </c>
      <c r="R58" s="97">
        <v>34221.36823</v>
      </c>
      <c r="S58" s="97">
        <v>3.7589999999999999</v>
      </c>
      <c r="T58" s="97">
        <v>4155</v>
      </c>
      <c r="U58" s="97">
        <v>5344.9140180000004</v>
      </c>
      <c r="V58" s="98">
        <v>8.1099999999999998E-4</v>
      </c>
      <c r="W58" s="98">
        <v>6.0156000000000001E-2</v>
      </c>
      <c r="X58" s="98">
        <v>2.7829999999999999E-3</v>
      </c>
      <c r="Y58" s="106"/>
    </row>
    <row r="59" spans="1:25" ht="15" customHeight="1">
      <c r="A59" s="106"/>
      <c r="B59" s="96">
        <v>286</v>
      </c>
      <c r="C59" s="96">
        <v>286</v>
      </c>
      <c r="D59" s="96" t="s">
        <v>3290</v>
      </c>
      <c r="E59" s="96" t="s">
        <v>3291</v>
      </c>
      <c r="F59" s="96" t="s">
        <v>312</v>
      </c>
      <c r="G59" s="96" t="s">
        <v>3292</v>
      </c>
      <c r="H59" s="96" t="s">
        <v>3293</v>
      </c>
      <c r="I59" s="96" t="s">
        <v>320</v>
      </c>
      <c r="J59" s="96" t="s">
        <v>918</v>
      </c>
      <c r="K59" s="96" t="s">
        <v>204</v>
      </c>
      <c r="L59" s="96" t="s">
        <v>232</v>
      </c>
      <c r="M59" s="96" t="s">
        <v>324</v>
      </c>
      <c r="N59" s="96" t="s">
        <v>367</v>
      </c>
      <c r="O59" s="96" t="s">
        <v>734</v>
      </c>
      <c r="P59" s="96" t="s">
        <v>338</v>
      </c>
      <c r="Q59" s="96" t="s">
        <v>1205</v>
      </c>
      <c r="R59" s="97">
        <v>60189.768838000004</v>
      </c>
      <c r="S59" s="97">
        <v>4.7504999999999997</v>
      </c>
      <c r="T59" s="97">
        <v>318.89999999999998</v>
      </c>
      <c r="U59" s="97">
        <v>911.83554300000003</v>
      </c>
      <c r="V59" s="98">
        <v>1.56E-4</v>
      </c>
      <c r="W59" s="98">
        <v>1.0262E-2</v>
      </c>
      <c r="X59" s="98">
        <v>4.7399999999999997E-4</v>
      </c>
      <c r="Y59" s="106"/>
    </row>
    <row r="60" spans="1:25" ht="15" customHeight="1">
      <c r="A60" s="106"/>
      <c r="B60" s="96">
        <v>286</v>
      </c>
      <c r="C60" s="96">
        <v>286</v>
      </c>
      <c r="D60" s="96" t="s">
        <v>3266</v>
      </c>
      <c r="E60" s="96" t="s">
        <v>3267</v>
      </c>
      <c r="F60" s="96" t="s">
        <v>312</v>
      </c>
      <c r="G60" s="96" t="s">
        <v>3268</v>
      </c>
      <c r="H60" s="96" t="s">
        <v>3269</v>
      </c>
      <c r="I60" s="96" t="s">
        <v>320</v>
      </c>
      <c r="J60" s="96" t="s">
        <v>970</v>
      </c>
      <c r="K60" s="96" t="s">
        <v>204</v>
      </c>
      <c r="L60" s="96" t="s">
        <v>232</v>
      </c>
      <c r="M60" s="96" t="s">
        <v>324</v>
      </c>
      <c r="N60" s="96" t="s">
        <v>373</v>
      </c>
      <c r="O60" s="96" t="s">
        <v>731</v>
      </c>
      <c r="P60" s="96" t="s">
        <v>338</v>
      </c>
      <c r="Q60" s="96" t="s">
        <v>1202</v>
      </c>
      <c r="R60" s="97">
        <v>7343.0469739999999</v>
      </c>
      <c r="S60" s="97">
        <v>4.0202</v>
      </c>
      <c r="T60" s="97">
        <v>14455</v>
      </c>
      <c r="U60" s="97">
        <v>4267.1907959999999</v>
      </c>
      <c r="V60" s="98">
        <v>1.196E-3</v>
      </c>
      <c r="W60" s="98">
        <v>4.8025999999999999E-2</v>
      </c>
      <c r="X60" s="98">
        <v>2.222E-3</v>
      </c>
      <c r="Y60" s="106"/>
    </row>
    <row r="61" spans="1:25" ht="15" customHeight="1">
      <c r="A61" s="106"/>
      <c r="B61" s="96">
        <v>286</v>
      </c>
      <c r="C61" s="96">
        <v>286</v>
      </c>
      <c r="D61" s="96" t="s">
        <v>3318</v>
      </c>
      <c r="E61" s="96" t="s">
        <v>3319</v>
      </c>
      <c r="F61" s="96" t="s">
        <v>312</v>
      </c>
      <c r="G61" s="96" t="s">
        <v>3320</v>
      </c>
      <c r="H61" s="96" t="s">
        <v>3321</v>
      </c>
      <c r="I61" s="96" t="s">
        <v>320</v>
      </c>
      <c r="J61" s="96" t="s">
        <v>918</v>
      </c>
      <c r="K61" s="96" t="s">
        <v>204</v>
      </c>
      <c r="L61" s="96" t="s">
        <v>232</v>
      </c>
      <c r="M61" s="96" t="s">
        <v>324</v>
      </c>
      <c r="N61" s="96" t="s">
        <v>373</v>
      </c>
      <c r="O61" s="96" t="s">
        <v>734</v>
      </c>
      <c r="P61" s="96" t="s">
        <v>338</v>
      </c>
      <c r="Q61" s="96" t="s">
        <v>1202</v>
      </c>
      <c r="R61" s="97">
        <v>6668.7640540000002</v>
      </c>
      <c r="S61" s="97">
        <v>4.0202</v>
      </c>
      <c r="T61" s="97">
        <v>4912</v>
      </c>
      <c r="U61" s="97">
        <v>1316.895669</v>
      </c>
      <c r="V61" s="98">
        <v>5.0000000000000002E-5</v>
      </c>
      <c r="W61" s="98">
        <v>1.4821000000000001E-2</v>
      </c>
      <c r="X61" s="98">
        <v>6.8499999999999995E-4</v>
      </c>
      <c r="Y61" s="106"/>
    </row>
    <row r="62" spans="1:25" ht="15" customHeight="1">
      <c r="A62" s="106"/>
      <c r="B62" s="96">
        <v>286</v>
      </c>
      <c r="C62" s="96">
        <v>286</v>
      </c>
      <c r="D62" s="96" t="s">
        <v>3250</v>
      </c>
      <c r="E62" s="96" t="s">
        <v>3251</v>
      </c>
      <c r="F62" s="96" t="s">
        <v>312</v>
      </c>
      <c r="G62" s="96" t="s">
        <v>3252</v>
      </c>
      <c r="H62" s="96" t="s">
        <v>3253</v>
      </c>
      <c r="I62" s="96" t="s">
        <v>320</v>
      </c>
      <c r="J62" s="96" t="s">
        <v>970</v>
      </c>
      <c r="K62" s="96" t="s">
        <v>204</v>
      </c>
      <c r="L62" s="96" t="s">
        <v>223</v>
      </c>
      <c r="M62" s="96" t="s">
        <v>324</v>
      </c>
      <c r="N62" s="96" t="s">
        <v>373</v>
      </c>
      <c r="O62" s="96" t="s">
        <v>731</v>
      </c>
      <c r="P62" s="96" t="s">
        <v>338</v>
      </c>
      <c r="Q62" s="96" t="s">
        <v>1201</v>
      </c>
      <c r="R62" s="97">
        <v>7655.5499460000001</v>
      </c>
      <c r="S62" s="97">
        <v>3.7589999999999999</v>
      </c>
      <c r="T62" s="97">
        <v>17043</v>
      </c>
      <c r="U62" s="97">
        <v>4904.5002830000003</v>
      </c>
      <c r="V62" s="98">
        <v>3.4099999999999999E-4</v>
      </c>
      <c r="W62" s="98">
        <v>5.5198999999999998E-2</v>
      </c>
      <c r="X62" s="98">
        <v>2.5539999999999998E-3</v>
      </c>
      <c r="Y62" s="106"/>
    </row>
    <row r="63" spans="1:25" ht="15" customHeight="1">
      <c r="A63" s="106"/>
      <c r="B63" s="96">
        <v>286</v>
      </c>
      <c r="C63" s="96">
        <v>286</v>
      </c>
      <c r="D63" s="96" t="s">
        <v>3242</v>
      </c>
      <c r="E63" s="96" t="s">
        <v>3243</v>
      </c>
      <c r="F63" s="96" t="s">
        <v>312</v>
      </c>
      <c r="G63" s="96" t="s">
        <v>3244</v>
      </c>
      <c r="H63" s="96" t="s">
        <v>3245</v>
      </c>
      <c r="I63" s="96" t="s">
        <v>320</v>
      </c>
      <c r="J63" s="96" t="s">
        <v>970</v>
      </c>
      <c r="K63" s="96" t="s">
        <v>204</v>
      </c>
      <c r="L63" s="96" t="s">
        <v>231</v>
      </c>
      <c r="M63" s="96" t="s">
        <v>324</v>
      </c>
      <c r="N63" s="96" t="s">
        <v>313</v>
      </c>
      <c r="O63" s="96" t="s">
        <v>731</v>
      </c>
      <c r="P63" s="96" t="s">
        <v>338</v>
      </c>
      <c r="Q63" s="96" t="s">
        <v>1201</v>
      </c>
      <c r="R63" s="97">
        <v>842.25598600000001</v>
      </c>
      <c r="S63" s="97">
        <v>3.7589999999999999</v>
      </c>
      <c r="T63" s="97">
        <v>137226.20000000001</v>
      </c>
      <c r="U63" s="97">
        <v>4344.6367289999998</v>
      </c>
      <c r="V63" s="98">
        <v>1.6310000000000001E-3</v>
      </c>
      <c r="W63" s="98">
        <v>4.8897999999999997E-2</v>
      </c>
      <c r="X63" s="98">
        <v>2.2620000000000001E-3</v>
      </c>
      <c r="Y63" s="106"/>
    </row>
    <row r="64" spans="1:25" ht="15" customHeight="1">
      <c r="A64" s="106"/>
      <c r="B64" s="96">
        <v>286</v>
      </c>
      <c r="C64" s="96">
        <v>286</v>
      </c>
      <c r="D64" s="96" t="s">
        <v>3238</v>
      </c>
      <c r="E64" s="96" t="s">
        <v>3239</v>
      </c>
      <c r="F64" s="96" t="s">
        <v>312</v>
      </c>
      <c r="G64" s="96" t="s">
        <v>3240</v>
      </c>
      <c r="H64" s="96" t="s">
        <v>3241</v>
      </c>
      <c r="I64" s="96" t="s">
        <v>320</v>
      </c>
      <c r="J64" s="96" t="s">
        <v>970</v>
      </c>
      <c r="K64" s="96" t="s">
        <v>204</v>
      </c>
      <c r="L64" s="96" t="s">
        <v>223</v>
      </c>
      <c r="M64" s="96" t="s">
        <v>324</v>
      </c>
      <c r="N64" s="96" t="s">
        <v>373</v>
      </c>
      <c r="O64" s="96" t="s">
        <v>731</v>
      </c>
      <c r="P64" s="96" t="s">
        <v>338</v>
      </c>
      <c r="Q64" s="96" t="s">
        <v>1201</v>
      </c>
      <c r="R64" s="97">
        <v>8113.9239980000002</v>
      </c>
      <c r="S64" s="97">
        <v>3.7589999999999999</v>
      </c>
      <c r="T64" s="97">
        <v>14552.2</v>
      </c>
      <c r="U64" s="97">
        <v>4438.45597</v>
      </c>
      <c r="V64" s="98">
        <v>1.165E-3</v>
      </c>
      <c r="W64" s="98">
        <v>4.9953999999999998E-2</v>
      </c>
      <c r="X64" s="98">
        <v>2.3110000000000001E-3</v>
      </c>
      <c r="Y64" s="106"/>
    </row>
    <row r="65" spans="1:25" ht="15" customHeight="1">
      <c r="A65" s="106"/>
      <c r="B65" s="96">
        <v>286</v>
      </c>
      <c r="C65" s="96">
        <v>286</v>
      </c>
      <c r="D65" s="96" t="s">
        <v>3282</v>
      </c>
      <c r="E65" s="96" t="s">
        <v>3283</v>
      </c>
      <c r="F65" s="96" t="s">
        <v>312</v>
      </c>
      <c r="G65" s="96" t="s">
        <v>3284</v>
      </c>
      <c r="H65" s="96" t="s">
        <v>3285</v>
      </c>
      <c r="I65" s="96" t="s">
        <v>320</v>
      </c>
      <c r="J65" s="96" t="s">
        <v>918</v>
      </c>
      <c r="K65" s="96" t="s">
        <v>204</v>
      </c>
      <c r="L65" s="96" t="s">
        <v>267</v>
      </c>
      <c r="M65" s="96" t="s">
        <v>324</v>
      </c>
      <c r="N65" s="96" t="s">
        <v>313</v>
      </c>
      <c r="O65" s="96" t="s">
        <v>734</v>
      </c>
      <c r="P65" s="96" t="s">
        <v>338</v>
      </c>
      <c r="Q65" s="96" t="s">
        <v>1201</v>
      </c>
      <c r="R65" s="97">
        <v>739.01200200000005</v>
      </c>
      <c r="S65" s="97">
        <v>3.7589999999999999</v>
      </c>
      <c r="T65" s="97">
        <v>11425</v>
      </c>
      <c r="U65" s="97">
        <v>317.38034299999998</v>
      </c>
      <c r="V65" s="98">
        <v>1.6000000000000001E-4</v>
      </c>
      <c r="W65" s="98">
        <v>3.5720000000000001E-3</v>
      </c>
      <c r="X65" s="98">
        <v>1.65E-4</v>
      </c>
      <c r="Y65" s="106"/>
    </row>
    <row r="66" spans="1:25" ht="15" customHeight="1">
      <c r="A66" s="106"/>
      <c r="B66" s="96">
        <v>286</v>
      </c>
      <c r="C66" s="96">
        <v>286</v>
      </c>
      <c r="D66" s="96" t="s">
        <v>3330</v>
      </c>
      <c r="E66" s="96" t="s">
        <v>3331</v>
      </c>
      <c r="F66" s="96" t="s">
        <v>312</v>
      </c>
      <c r="G66" s="96" t="s">
        <v>3332</v>
      </c>
      <c r="H66" s="96" t="s">
        <v>3333</v>
      </c>
      <c r="I66" s="96" t="s">
        <v>320</v>
      </c>
      <c r="J66" s="96" t="s">
        <v>918</v>
      </c>
      <c r="K66" s="96" t="s">
        <v>204</v>
      </c>
      <c r="L66" s="96" t="s">
        <v>243</v>
      </c>
      <c r="M66" s="96" t="s">
        <v>324</v>
      </c>
      <c r="N66" s="96" t="s">
        <v>373</v>
      </c>
      <c r="O66" s="96" t="s">
        <v>734</v>
      </c>
      <c r="P66" s="96" t="s">
        <v>338</v>
      </c>
      <c r="Q66" s="96" t="s">
        <v>1201</v>
      </c>
      <c r="R66" s="97">
        <v>2373.9506590000001</v>
      </c>
      <c r="S66" s="97">
        <v>3.7589999999999999</v>
      </c>
      <c r="T66" s="97">
        <v>26262</v>
      </c>
      <c r="U66" s="97">
        <v>2343.5369799999999</v>
      </c>
      <c r="V66" s="98">
        <v>2.6800000000000001E-4</v>
      </c>
      <c r="W66" s="98">
        <v>2.6376E-2</v>
      </c>
      <c r="X66" s="98">
        <v>1.2199999999999999E-3</v>
      </c>
      <c r="Y66" s="106"/>
    </row>
    <row r="67" spans="1:25" ht="15" customHeight="1">
      <c r="A67" s="106"/>
      <c r="B67" s="96">
        <v>286</v>
      </c>
      <c r="C67" s="96">
        <v>286</v>
      </c>
      <c r="D67" s="96" t="s">
        <v>3294</v>
      </c>
      <c r="E67" s="96" t="s">
        <v>3295</v>
      </c>
      <c r="F67" s="96" t="s">
        <v>312</v>
      </c>
      <c r="G67" s="96" t="s">
        <v>3296</v>
      </c>
      <c r="H67" s="96" t="s">
        <v>3297</v>
      </c>
      <c r="I67" s="96" t="s">
        <v>320</v>
      </c>
      <c r="J67" s="96" t="s">
        <v>918</v>
      </c>
      <c r="K67" s="96" t="s">
        <v>204</v>
      </c>
      <c r="L67" s="96" t="s">
        <v>267</v>
      </c>
      <c r="M67" s="96" t="s">
        <v>324</v>
      </c>
      <c r="N67" s="96" t="s">
        <v>313</v>
      </c>
      <c r="O67" s="96" t="s">
        <v>734</v>
      </c>
      <c r="P67" s="96" t="s">
        <v>338</v>
      </c>
      <c r="Q67" s="96" t="s">
        <v>1201</v>
      </c>
      <c r="R67" s="97">
        <v>2528.3958080000002</v>
      </c>
      <c r="S67" s="97">
        <v>3.7589999999999999</v>
      </c>
      <c r="T67" s="97">
        <v>9574.2800000000007</v>
      </c>
      <c r="U67" s="97">
        <v>909.96253400000001</v>
      </c>
      <c r="V67" s="98">
        <v>1.03E-4</v>
      </c>
      <c r="W67" s="98">
        <v>1.0241E-2</v>
      </c>
      <c r="X67" s="98">
        <v>4.73E-4</v>
      </c>
      <c r="Y67" s="106"/>
    </row>
    <row r="68" spans="1:25" ht="15" customHeight="1">
      <c r="A68" s="106"/>
      <c r="B68" s="96">
        <v>286</v>
      </c>
      <c r="C68" s="96">
        <v>286</v>
      </c>
      <c r="D68" s="96" t="s">
        <v>3342</v>
      </c>
      <c r="E68" s="96" t="s">
        <v>3343</v>
      </c>
      <c r="F68" s="96" t="s">
        <v>312</v>
      </c>
      <c r="G68" s="96" t="s">
        <v>3344</v>
      </c>
      <c r="H68" s="96" t="s">
        <v>3345</v>
      </c>
      <c r="I68" s="96" t="s">
        <v>320</v>
      </c>
      <c r="J68" s="96" t="s">
        <v>918</v>
      </c>
      <c r="K68" s="96" t="s">
        <v>204</v>
      </c>
      <c r="L68" s="96" t="s">
        <v>223</v>
      </c>
      <c r="M68" s="96" t="s">
        <v>324</v>
      </c>
      <c r="N68" s="96" t="s">
        <v>373</v>
      </c>
      <c r="O68" s="96" t="s">
        <v>734</v>
      </c>
      <c r="P68" s="96" t="s">
        <v>338</v>
      </c>
      <c r="Q68" s="96" t="s">
        <v>1201</v>
      </c>
      <c r="R68" s="97">
        <v>977.70577300000002</v>
      </c>
      <c r="S68" s="97">
        <v>3.7589999999999999</v>
      </c>
      <c r="T68" s="97">
        <v>14768</v>
      </c>
      <c r="U68" s="97">
        <v>542.75294499999995</v>
      </c>
      <c r="V68" s="98">
        <v>2.5739999999999999E-3</v>
      </c>
      <c r="W68" s="98">
        <v>6.1079999999999997E-3</v>
      </c>
      <c r="X68" s="98">
        <v>2.8200000000000002E-4</v>
      </c>
      <c r="Y68" s="106"/>
    </row>
    <row r="69" spans="1:25" ht="15" customHeight="1">
      <c r="A69" s="106"/>
      <c r="B69" s="96">
        <v>286</v>
      </c>
      <c r="C69" s="96">
        <v>286</v>
      </c>
      <c r="D69" s="96" t="s">
        <v>3222</v>
      </c>
      <c r="E69" s="96" t="s">
        <v>3223</v>
      </c>
      <c r="F69" s="96" t="s">
        <v>312</v>
      </c>
      <c r="G69" s="96" t="s">
        <v>3224</v>
      </c>
      <c r="H69" s="96" t="s">
        <v>3225</v>
      </c>
      <c r="I69" s="96" t="s">
        <v>320</v>
      </c>
      <c r="J69" s="96" t="s">
        <v>970</v>
      </c>
      <c r="K69" s="96" t="s">
        <v>204</v>
      </c>
      <c r="L69" s="96" t="s">
        <v>223</v>
      </c>
      <c r="M69" s="96" t="s">
        <v>324</v>
      </c>
      <c r="N69" s="96" t="s">
        <v>313</v>
      </c>
      <c r="O69" s="96" t="s">
        <v>731</v>
      </c>
      <c r="P69" s="96" t="s">
        <v>338</v>
      </c>
      <c r="Q69" s="96" t="s">
        <v>1201</v>
      </c>
      <c r="R69" s="97">
        <v>9534.7862129999994</v>
      </c>
      <c r="S69" s="97">
        <v>3.7589999999999999</v>
      </c>
      <c r="T69" s="97">
        <v>13439</v>
      </c>
      <c r="U69" s="97">
        <v>4816.7071159999996</v>
      </c>
      <c r="V69" s="98">
        <v>2.13E-4</v>
      </c>
      <c r="W69" s="98">
        <v>5.4211000000000002E-2</v>
      </c>
      <c r="X69" s="98">
        <v>2.5079999999999998E-3</v>
      </c>
      <c r="Y69" s="106"/>
    </row>
    <row r="70" spans="1:25" ht="15" customHeight="1">
      <c r="A70" s="106"/>
      <c r="B70" s="96">
        <v>286</v>
      </c>
      <c r="C70" s="96">
        <v>286</v>
      </c>
      <c r="D70" s="96" t="s">
        <v>3278</v>
      </c>
      <c r="E70" s="96" t="s">
        <v>3279</v>
      </c>
      <c r="F70" s="96" t="s">
        <v>312</v>
      </c>
      <c r="G70" s="96" t="s">
        <v>3280</v>
      </c>
      <c r="H70" s="96" t="s">
        <v>3281</v>
      </c>
      <c r="I70" s="96" t="s">
        <v>320</v>
      </c>
      <c r="J70" s="96" t="s">
        <v>918</v>
      </c>
      <c r="K70" s="96" t="s">
        <v>204</v>
      </c>
      <c r="L70" s="96" t="s">
        <v>250</v>
      </c>
      <c r="M70" s="96" t="s">
        <v>324</v>
      </c>
      <c r="N70" s="96" t="s">
        <v>373</v>
      </c>
      <c r="O70" s="96" t="s">
        <v>734</v>
      </c>
      <c r="P70" s="96" t="s">
        <v>338</v>
      </c>
      <c r="Q70" s="96" t="s">
        <v>1217</v>
      </c>
      <c r="R70" s="97">
        <v>4974.6875499999996</v>
      </c>
      <c r="S70" s="97">
        <v>2.3359000000000001E-2</v>
      </c>
      <c r="T70" s="97">
        <v>2020000</v>
      </c>
      <c r="U70" s="97">
        <v>2347.3152749999999</v>
      </c>
      <c r="V70" s="98">
        <v>5.0000000000000004E-6</v>
      </c>
      <c r="W70" s="98">
        <v>2.6418000000000001E-2</v>
      </c>
      <c r="X70" s="98">
        <v>1.222E-3</v>
      </c>
      <c r="Y70" s="106"/>
    </row>
    <row r="71" spans="1:25" ht="15" customHeight="1">
      <c r="A71" s="106"/>
      <c r="B71" s="96">
        <v>286</v>
      </c>
      <c r="C71" s="96">
        <v>286</v>
      </c>
      <c r="D71" s="96" t="s">
        <v>3326</v>
      </c>
      <c r="E71" s="96" t="s">
        <v>3327</v>
      </c>
      <c r="F71" s="96" t="s">
        <v>312</v>
      </c>
      <c r="G71" s="96" t="s">
        <v>3328</v>
      </c>
      <c r="H71" s="96" t="s">
        <v>3329</v>
      </c>
      <c r="I71" s="96" t="s">
        <v>320</v>
      </c>
      <c r="J71" s="96" t="s">
        <v>918</v>
      </c>
      <c r="K71" s="96" t="s">
        <v>204</v>
      </c>
      <c r="L71" s="96" t="s">
        <v>252</v>
      </c>
      <c r="M71" s="96" t="s">
        <v>324</v>
      </c>
      <c r="N71" s="96" t="s">
        <v>313</v>
      </c>
      <c r="O71" s="96" t="s">
        <v>734</v>
      </c>
      <c r="P71" s="96" t="s">
        <v>338</v>
      </c>
      <c r="Q71" s="96" t="s">
        <v>1201</v>
      </c>
      <c r="R71" s="97">
        <v>189.75044299999999</v>
      </c>
      <c r="S71" s="97">
        <v>3.7589999999999999</v>
      </c>
      <c r="T71" s="97">
        <v>1216</v>
      </c>
      <c r="U71" s="97">
        <v>8.6733860000000007</v>
      </c>
      <c r="V71" s="98">
        <v>5.0000000000000004E-6</v>
      </c>
      <c r="W71" s="98">
        <v>9.7E-5</v>
      </c>
      <c r="X71" s="98">
        <v>3.9999999999999998E-6</v>
      </c>
      <c r="Y71" s="106"/>
    </row>
    <row r="72" spans="1:25" ht="15" customHeight="1">
      <c r="A72" s="106"/>
      <c r="B72" s="96">
        <v>286</v>
      </c>
      <c r="C72" s="96">
        <v>9803</v>
      </c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106"/>
    </row>
    <row r="73" spans="1:25" ht="15" customHeight="1">
      <c r="A73" s="106"/>
      <c r="B73" s="105" t="s">
        <v>3767</v>
      </c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6"/>
    </row>
  </sheetData>
  <mergeCells count="4">
    <mergeCell ref="B73:X73"/>
    <mergeCell ref="A1:A73"/>
    <mergeCell ref="B1:X1"/>
    <mergeCell ref="Y1:Y73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AA17"/>
  <sheetViews>
    <sheetView rightToLeft="1" workbookViewId="0">
      <selection sqref="A1:A17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23" bestFit="1" customWidth="1"/>
    <col min="5" max="5" width="9.875" bestFit="1" customWidth="1"/>
    <col min="6" max="6" width="9.125" bestFit="1" customWidth="1"/>
    <col min="7" max="7" width="28.625" bestFit="1" customWidth="1"/>
    <col min="8" max="8" width="12.25" bestFit="1" customWidth="1"/>
    <col min="9" max="9" width="11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12.25" bestFit="1" customWidth="1"/>
    <col min="15" max="15" width="24.125" bestFit="1" customWidth="1"/>
    <col min="16" max="16" width="10.125" bestFit="1" customWidth="1"/>
    <col min="17" max="17" width="9.625" bestFit="1" customWidth="1"/>
    <col min="18" max="18" width="9.875" bestFit="1" customWidth="1"/>
    <col min="19" max="19" width="10.875" bestFit="1" customWidth="1"/>
    <col min="20" max="20" width="7.75" bestFit="1" customWidth="1"/>
    <col min="21" max="21" width="10.87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  <col min="27" max="27" width="3.125" customWidth="1"/>
  </cols>
  <sheetData>
    <row r="1" spans="1:27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6" t="s">
        <v>3766</v>
      </c>
    </row>
    <row r="2" spans="1:27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55</v>
      </c>
      <c r="K2" s="21" t="s">
        <v>69</v>
      </c>
      <c r="L2" s="21" t="s">
        <v>89</v>
      </c>
      <c r="M2" s="21" t="s">
        <v>70</v>
      </c>
      <c r="N2" s="21" t="s">
        <v>92</v>
      </c>
      <c r="O2" s="21" t="s">
        <v>83</v>
      </c>
      <c r="P2" s="21" t="s">
        <v>93</v>
      </c>
      <c r="Q2" s="21" t="s">
        <v>56</v>
      </c>
      <c r="R2" s="21" t="s">
        <v>59</v>
      </c>
      <c r="S2" s="21" t="s">
        <v>94</v>
      </c>
      <c r="T2" s="21" t="s">
        <v>95</v>
      </c>
      <c r="U2" s="21" t="s">
        <v>76</v>
      </c>
      <c r="V2" s="21" t="s">
        <v>61</v>
      </c>
      <c r="W2" s="21" t="s">
        <v>77</v>
      </c>
      <c r="X2" s="21" t="s">
        <v>63</v>
      </c>
      <c r="Y2" s="21" t="s">
        <v>64</v>
      </c>
      <c r="Z2" s="21" t="s">
        <v>65</v>
      </c>
      <c r="AA2" s="106"/>
    </row>
    <row r="3" spans="1:27" ht="15" customHeight="1">
      <c r="A3" s="106"/>
      <c r="B3" s="96">
        <v>286</v>
      </c>
      <c r="C3" s="96">
        <v>1446</v>
      </c>
      <c r="D3" s="96" t="s">
        <v>2714</v>
      </c>
      <c r="E3" s="96">
        <v>511399388</v>
      </c>
      <c r="F3" s="96" t="s">
        <v>308</v>
      </c>
      <c r="G3" s="96" t="s">
        <v>3350</v>
      </c>
      <c r="H3" s="96" t="s">
        <v>3351</v>
      </c>
      <c r="I3" s="96" t="s">
        <v>320</v>
      </c>
      <c r="J3" s="96" t="s">
        <v>203</v>
      </c>
      <c r="K3" s="96" t="s">
        <v>203</v>
      </c>
      <c r="L3" s="96" t="s">
        <v>324</v>
      </c>
      <c r="M3" s="96" t="s">
        <v>339</v>
      </c>
      <c r="N3" s="96" t="s">
        <v>2716</v>
      </c>
      <c r="O3" s="96" t="s">
        <v>446</v>
      </c>
      <c r="P3" s="100">
        <v>45508</v>
      </c>
      <c r="Q3" s="96" t="s">
        <v>338</v>
      </c>
      <c r="R3" s="96" t="s">
        <v>1200</v>
      </c>
      <c r="S3" s="97">
        <v>29400</v>
      </c>
      <c r="T3" s="97">
        <v>0.01</v>
      </c>
      <c r="U3" s="97">
        <v>35.748466999999998</v>
      </c>
      <c r="V3" s="97">
        <v>1</v>
      </c>
      <c r="W3" s="97">
        <v>820.8</v>
      </c>
      <c r="X3" s="97">
        <v>0.29342299999999999</v>
      </c>
      <c r="Y3" s="98">
        <v>6.9087999999999997E-2</v>
      </c>
      <c r="Z3" s="98">
        <v>3.9999999999999998E-6</v>
      </c>
      <c r="AA3" s="106"/>
    </row>
    <row r="4" spans="1:27" ht="15" customHeight="1">
      <c r="A4" s="106"/>
      <c r="B4" s="96">
        <v>286</v>
      </c>
      <c r="C4" s="96">
        <v>1446</v>
      </c>
      <c r="D4" s="96" t="s">
        <v>2693</v>
      </c>
      <c r="E4" s="96">
        <v>515983476</v>
      </c>
      <c r="F4" s="96" t="s">
        <v>308</v>
      </c>
      <c r="G4" s="96" t="s">
        <v>3352</v>
      </c>
      <c r="H4" s="96" t="s">
        <v>3353</v>
      </c>
      <c r="I4" s="96" t="s">
        <v>320</v>
      </c>
      <c r="J4" s="96" t="s">
        <v>203</v>
      </c>
      <c r="K4" s="96" t="s">
        <v>203</v>
      </c>
      <c r="L4" s="96" t="s">
        <v>324</v>
      </c>
      <c r="M4" s="96" t="s">
        <v>339</v>
      </c>
      <c r="N4" s="96" t="s">
        <v>2695</v>
      </c>
      <c r="O4" s="96" t="s">
        <v>450</v>
      </c>
      <c r="P4" s="100">
        <v>46064</v>
      </c>
      <c r="Q4" s="96" t="s">
        <v>337</v>
      </c>
      <c r="R4" s="96" t="s">
        <v>1200</v>
      </c>
      <c r="S4" s="97">
        <v>6100</v>
      </c>
      <c r="T4" s="97">
        <v>0.01</v>
      </c>
      <c r="U4" s="97">
        <v>834.57171100000005</v>
      </c>
      <c r="V4" s="97">
        <v>1</v>
      </c>
      <c r="W4" s="97">
        <v>95</v>
      </c>
      <c r="X4" s="97">
        <v>0.79284299999999996</v>
      </c>
      <c r="Y4" s="98">
        <v>0.18668000000000001</v>
      </c>
      <c r="Z4" s="98">
        <v>1.2E-5</v>
      </c>
      <c r="AA4" s="106"/>
    </row>
    <row r="5" spans="1:27" ht="15" customHeight="1">
      <c r="A5" s="106"/>
      <c r="B5" s="96">
        <v>286</v>
      </c>
      <c r="C5" s="96">
        <v>1446</v>
      </c>
      <c r="D5" s="96" t="s">
        <v>2530</v>
      </c>
      <c r="E5" s="96"/>
      <c r="F5" s="96" t="s">
        <v>308</v>
      </c>
      <c r="G5" s="96" t="s">
        <v>3354</v>
      </c>
      <c r="H5" s="96" t="s">
        <v>3355</v>
      </c>
      <c r="I5" s="96" t="s">
        <v>320</v>
      </c>
      <c r="J5" s="96" t="s">
        <v>203</v>
      </c>
      <c r="K5" s="96" t="s">
        <v>203</v>
      </c>
      <c r="L5" s="96" t="s">
        <v>324</v>
      </c>
      <c r="M5" s="96" t="s">
        <v>339</v>
      </c>
      <c r="N5" s="96" t="s">
        <v>2532</v>
      </c>
      <c r="O5" s="96" t="s">
        <v>476</v>
      </c>
      <c r="P5" s="100">
        <v>46112</v>
      </c>
      <c r="Q5" s="96" t="s">
        <v>338</v>
      </c>
      <c r="R5" s="96" t="s">
        <v>1200</v>
      </c>
      <c r="S5" s="97">
        <v>0</v>
      </c>
      <c r="T5" s="97">
        <v>0.01</v>
      </c>
      <c r="U5" s="97">
        <v>7123.980536</v>
      </c>
      <c r="V5" s="97">
        <v>1</v>
      </c>
      <c r="W5" s="97">
        <v>43.5</v>
      </c>
      <c r="X5" s="97">
        <v>3.0989309999999999</v>
      </c>
      <c r="Y5" s="98">
        <v>0.72966500000000001</v>
      </c>
      <c r="Z5" s="98">
        <v>4.8999999999999998E-5</v>
      </c>
      <c r="AA5" s="106"/>
    </row>
    <row r="6" spans="1:27" ht="15" customHeight="1">
      <c r="A6" s="106"/>
      <c r="B6" s="96">
        <v>286</v>
      </c>
      <c r="C6" s="96">
        <v>1446</v>
      </c>
      <c r="D6" s="96" t="s">
        <v>2796</v>
      </c>
      <c r="E6" s="96">
        <v>513870683</v>
      </c>
      <c r="F6" s="96" t="s">
        <v>308</v>
      </c>
      <c r="G6" s="96" t="s">
        <v>3356</v>
      </c>
      <c r="H6" s="96" t="s">
        <v>3357</v>
      </c>
      <c r="I6" s="96" t="s">
        <v>320</v>
      </c>
      <c r="J6" s="96" t="s">
        <v>204</v>
      </c>
      <c r="K6" s="96" t="s">
        <v>203</v>
      </c>
      <c r="L6" s="96" t="s">
        <v>324</v>
      </c>
      <c r="M6" s="96" t="s">
        <v>345</v>
      </c>
      <c r="N6" s="96" t="s">
        <v>2798</v>
      </c>
      <c r="O6" s="96" t="s">
        <v>552</v>
      </c>
      <c r="P6" s="100">
        <v>46517</v>
      </c>
      <c r="Q6" s="96" t="s">
        <v>338</v>
      </c>
      <c r="R6" s="96" t="s">
        <v>1201</v>
      </c>
      <c r="S6" s="97">
        <v>11.5</v>
      </c>
      <c r="T6" s="97">
        <v>1</v>
      </c>
      <c r="U6" s="97">
        <v>102.852147</v>
      </c>
      <c r="V6" s="97">
        <v>3.7589999999999999</v>
      </c>
      <c r="W6" s="97">
        <v>16</v>
      </c>
      <c r="X6" s="97">
        <v>6.1858999999999997E-2</v>
      </c>
      <c r="Y6" s="98">
        <v>1.4565E-2</v>
      </c>
      <c r="Z6" s="98">
        <v>0</v>
      </c>
      <c r="AA6" s="106"/>
    </row>
    <row r="7" spans="1:27" ht="15" customHeight="1">
      <c r="A7" s="106"/>
      <c r="B7" s="96">
        <v>286</v>
      </c>
      <c r="C7" s="96">
        <v>286</v>
      </c>
      <c r="D7" s="96" t="s">
        <v>2530</v>
      </c>
      <c r="E7" s="96"/>
      <c r="F7" s="96" t="s">
        <v>308</v>
      </c>
      <c r="G7" s="96" t="s">
        <v>3354</v>
      </c>
      <c r="H7" s="96" t="s">
        <v>3355</v>
      </c>
      <c r="I7" s="96" t="s">
        <v>320</v>
      </c>
      <c r="J7" s="96" t="s">
        <v>203</v>
      </c>
      <c r="K7" s="96" t="s">
        <v>203</v>
      </c>
      <c r="L7" s="96" t="s">
        <v>324</v>
      </c>
      <c r="M7" s="96" t="s">
        <v>339</v>
      </c>
      <c r="N7" s="96" t="s">
        <v>2532</v>
      </c>
      <c r="O7" s="96" t="s">
        <v>476</v>
      </c>
      <c r="P7" s="100">
        <v>46112</v>
      </c>
      <c r="Q7" s="96" t="s">
        <v>338</v>
      </c>
      <c r="R7" s="96" t="s">
        <v>1200</v>
      </c>
      <c r="S7" s="97">
        <v>0</v>
      </c>
      <c r="T7" s="97">
        <v>0.01</v>
      </c>
      <c r="U7" s="97">
        <v>87520.671382999994</v>
      </c>
      <c r="V7" s="97">
        <v>1</v>
      </c>
      <c r="W7" s="97">
        <v>43.5</v>
      </c>
      <c r="X7" s="97">
        <v>38.071491999999999</v>
      </c>
      <c r="Y7" s="98">
        <v>0.72966500000000001</v>
      </c>
      <c r="Z7" s="98">
        <v>1.9000000000000001E-5</v>
      </c>
      <c r="AA7" s="106"/>
    </row>
    <row r="8" spans="1:27" ht="15" customHeight="1">
      <c r="A8" s="106"/>
      <c r="B8" s="96">
        <v>286</v>
      </c>
      <c r="C8" s="96">
        <v>286</v>
      </c>
      <c r="D8" s="96" t="s">
        <v>2714</v>
      </c>
      <c r="E8" s="96">
        <v>511399388</v>
      </c>
      <c r="F8" s="96" t="s">
        <v>308</v>
      </c>
      <c r="G8" s="96" t="s">
        <v>3350</v>
      </c>
      <c r="H8" s="96" t="s">
        <v>3351</v>
      </c>
      <c r="I8" s="96" t="s">
        <v>320</v>
      </c>
      <c r="J8" s="96" t="s">
        <v>203</v>
      </c>
      <c r="K8" s="96" t="s">
        <v>203</v>
      </c>
      <c r="L8" s="96" t="s">
        <v>324</v>
      </c>
      <c r="M8" s="96" t="s">
        <v>339</v>
      </c>
      <c r="N8" s="96" t="s">
        <v>2716</v>
      </c>
      <c r="O8" s="96" t="s">
        <v>446</v>
      </c>
      <c r="P8" s="100">
        <v>45508</v>
      </c>
      <c r="Q8" s="96" t="s">
        <v>338</v>
      </c>
      <c r="R8" s="96" t="s">
        <v>1200</v>
      </c>
      <c r="S8" s="97">
        <v>29400</v>
      </c>
      <c r="T8" s="97">
        <v>0.01</v>
      </c>
      <c r="U8" s="97">
        <v>439.18282599999998</v>
      </c>
      <c r="V8" s="97">
        <v>1</v>
      </c>
      <c r="W8" s="97">
        <v>820.8</v>
      </c>
      <c r="X8" s="97">
        <v>3.6048119999999999</v>
      </c>
      <c r="Y8" s="98">
        <v>6.9087999999999997E-2</v>
      </c>
      <c r="Z8" s="98">
        <v>9.9999999999999995E-7</v>
      </c>
      <c r="AA8" s="106"/>
    </row>
    <row r="9" spans="1:27" ht="15" customHeight="1">
      <c r="A9" s="106"/>
      <c r="B9" s="96">
        <v>286</v>
      </c>
      <c r="C9" s="96">
        <v>286</v>
      </c>
      <c r="D9" s="96" t="s">
        <v>2693</v>
      </c>
      <c r="E9" s="96">
        <v>515983476</v>
      </c>
      <c r="F9" s="96" t="s">
        <v>308</v>
      </c>
      <c r="G9" s="96" t="s">
        <v>3352</v>
      </c>
      <c r="H9" s="96" t="s">
        <v>3353</v>
      </c>
      <c r="I9" s="96" t="s">
        <v>320</v>
      </c>
      <c r="J9" s="96" t="s">
        <v>203</v>
      </c>
      <c r="K9" s="96" t="s">
        <v>203</v>
      </c>
      <c r="L9" s="96" t="s">
        <v>324</v>
      </c>
      <c r="M9" s="96" t="s">
        <v>339</v>
      </c>
      <c r="N9" s="96" t="s">
        <v>2695</v>
      </c>
      <c r="O9" s="96" t="s">
        <v>450</v>
      </c>
      <c r="P9" s="100">
        <v>46064</v>
      </c>
      <c r="Q9" s="96" t="s">
        <v>337</v>
      </c>
      <c r="R9" s="96" t="s">
        <v>1200</v>
      </c>
      <c r="S9" s="97">
        <v>6100</v>
      </c>
      <c r="T9" s="97">
        <v>0.01</v>
      </c>
      <c r="U9" s="97">
        <v>10253.014611000001</v>
      </c>
      <c r="V9" s="97">
        <v>1</v>
      </c>
      <c r="W9" s="97">
        <v>95</v>
      </c>
      <c r="X9" s="97">
        <v>9.7403630000000003</v>
      </c>
      <c r="Y9" s="98">
        <v>0.18668000000000001</v>
      </c>
      <c r="Z9" s="98">
        <v>5.0000000000000004E-6</v>
      </c>
      <c r="AA9" s="106"/>
    </row>
    <row r="10" spans="1:27" ht="15" customHeight="1">
      <c r="A10" s="106"/>
      <c r="B10" s="96">
        <v>286</v>
      </c>
      <c r="C10" s="96">
        <v>286</v>
      </c>
      <c r="D10" s="96" t="s">
        <v>2796</v>
      </c>
      <c r="E10" s="96">
        <v>513870683</v>
      </c>
      <c r="F10" s="96" t="s">
        <v>308</v>
      </c>
      <c r="G10" s="96" t="s">
        <v>3356</v>
      </c>
      <c r="H10" s="96" t="s">
        <v>3357</v>
      </c>
      <c r="I10" s="96" t="s">
        <v>320</v>
      </c>
      <c r="J10" s="96" t="s">
        <v>204</v>
      </c>
      <c r="K10" s="96" t="s">
        <v>203</v>
      </c>
      <c r="L10" s="96" t="s">
        <v>324</v>
      </c>
      <c r="M10" s="96" t="s">
        <v>345</v>
      </c>
      <c r="N10" s="96" t="s">
        <v>2798</v>
      </c>
      <c r="O10" s="96" t="s">
        <v>552</v>
      </c>
      <c r="P10" s="100">
        <v>46517</v>
      </c>
      <c r="Q10" s="96" t="s">
        <v>338</v>
      </c>
      <c r="R10" s="96" t="s">
        <v>1201</v>
      </c>
      <c r="S10" s="97">
        <v>11.5</v>
      </c>
      <c r="T10" s="97">
        <v>1</v>
      </c>
      <c r="U10" s="97">
        <v>1263.575744</v>
      </c>
      <c r="V10" s="97">
        <v>3.7589999999999999</v>
      </c>
      <c r="W10" s="97">
        <v>16</v>
      </c>
      <c r="X10" s="97">
        <v>0.75996399999999997</v>
      </c>
      <c r="Y10" s="98">
        <v>1.4565E-2</v>
      </c>
      <c r="Z10" s="98">
        <v>0</v>
      </c>
      <c r="AA10" s="106"/>
    </row>
    <row r="11" spans="1:27" ht="15" customHeight="1">
      <c r="A11" s="106"/>
      <c r="B11" s="96">
        <v>286</v>
      </c>
      <c r="C11" s="96">
        <v>9803</v>
      </c>
      <c r="D11" s="96" t="s">
        <v>2530</v>
      </c>
      <c r="E11" s="96"/>
      <c r="F11" s="96" t="s">
        <v>308</v>
      </c>
      <c r="G11" s="96" t="s">
        <v>3354</v>
      </c>
      <c r="H11" s="96" t="s">
        <v>3355</v>
      </c>
      <c r="I11" s="96" t="s">
        <v>320</v>
      </c>
      <c r="J11" s="96" t="s">
        <v>203</v>
      </c>
      <c r="K11" s="96" t="s">
        <v>203</v>
      </c>
      <c r="L11" s="96" t="s">
        <v>324</v>
      </c>
      <c r="M11" s="96" t="s">
        <v>339</v>
      </c>
      <c r="N11" s="96" t="s">
        <v>2532</v>
      </c>
      <c r="O11" s="96" t="s">
        <v>476</v>
      </c>
      <c r="P11" s="100">
        <v>46112</v>
      </c>
      <c r="Q11" s="96" t="s">
        <v>338</v>
      </c>
      <c r="R11" s="96" t="s">
        <v>1200</v>
      </c>
      <c r="S11" s="97">
        <v>0</v>
      </c>
      <c r="T11" s="97">
        <v>0.01</v>
      </c>
      <c r="U11" s="97">
        <v>938.51169900000002</v>
      </c>
      <c r="V11" s="97">
        <v>1</v>
      </c>
      <c r="W11" s="97">
        <v>43.5</v>
      </c>
      <c r="X11" s="97">
        <v>0.408252</v>
      </c>
      <c r="Y11" s="98">
        <v>0.72966500000000001</v>
      </c>
      <c r="Z11" s="98">
        <v>2.4000000000000001E-5</v>
      </c>
      <c r="AA11" s="106"/>
    </row>
    <row r="12" spans="1:27" ht="15" customHeight="1">
      <c r="A12" s="106"/>
      <c r="B12" s="96">
        <v>286</v>
      </c>
      <c r="C12" s="96">
        <v>9803</v>
      </c>
      <c r="D12" s="96" t="s">
        <v>2693</v>
      </c>
      <c r="E12" s="96">
        <v>515983476</v>
      </c>
      <c r="F12" s="96" t="s">
        <v>308</v>
      </c>
      <c r="G12" s="96" t="s">
        <v>3352</v>
      </c>
      <c r="H12" s="96" t="s">
        <v>3353</v>
      </c>
      <c r="I12" s="96" t="s">
        <v>320</v>
      </c>
      <c r="J12" s="96" t="s">
        <v>203</v>
      </c>
      <c r="K12" s="96" t="s">
        <v>203</v>
      </c>
      <c r="L12" s="96" t="s">
        <v>324</v>
      </c>
      <c r="M12" s="96" t="s">
        <v>339</v>
      </c>
      <c r="N12" s="96" t="s">
        <v>2695</v>
      </c>
      <c r="O12" s="96" t="s">
        <v>450</v>
      </c>
      <c r="P12" s="100">
        <v>46064</v>
      </c>
      <c r="Q12" s="96" t="s">
        <v>337</v>
      </c>
      <c r="R12" s="96" t="s">
        <v>1200</v>
      </c>
      <c r="S12" s="97">
        <v>6100</v>
      </c>
      <c r="T12" s="97">
        <v>0.01</v>
      </c>
      <c r="U12" s="97">
        <v>109.946302</v>
      </c>
      <c r="V12" s="97">
        <v>1</v>
      </c>
      <c r="W12" s="97">
        <v>95</v>
      </c>
      <c r="X12" s="97">
        <v>0.104448</v>
      </c>
      <c r="Y12" s="98">
        <v>0.18667800000000001</v>
      </c>
      <c r="Z12" s="98">
        <v>6.0000000000000002E-6</v>
      </c>
      <c r="AA12" s="106"/>
    </row>
    <row r="13" spans="1:27" ht="15" customHeight="1">
      <c r="A13" s="106"/>
      <c r="B13" s="96">
        <v>286</v>
      </c>
      <c r="C13" s="96">
        <v>9803</v>
      </c>
      <c r="D13" s="96" t="s">
        <v>2714</v>
      </c>
      <c r="E13" s="96">
        <v>511399388</v>
      </c>
      <c r="F13" s="96" t="s">
        <v>308</v>
      </c>
      <c r="G13" s="96" t="s">
        <v>3350</v>
      </c>
      <c r="H13" s="96" t="s">
        <v>3351</v>
      </c>
      <c r="I13" s="96" t="s">
        <v>320</v>
      </c>
      <c r="J13" s="96" t="s">
        <v>203</v>
      </c>
      <c r="K13" s="96" t="s">
        <v>203</v>
      </c>
      <c r="L13" s="96" t="s">
        <v>324</v>
      </c>
      <c r="M13" s="96" t="s">
        <v>339</v>
      </c>
      <c r="N13" s="96" t="s">
        <v>2716</v>
      </c>
      <c r="O13" s="96" t="s">
        <v>446</v>
      </c>
      <c r="P13" s="100">
        <v>45508</v>
      </c>
      <c r="Q13" s="96" t="s">
        <v>338</v>
      </c>
      <c r="R13" s="96" t="s">
        <v>1200</v>
      </c>
      <c r="S13" s="97">
        <v>29400</v>
      </c>
      <c r="T13" s="97">
        <v>0.01</v>
      </c>
      <c r="U13" s="97">
        <v>4.7094950000000004</v>
      </c>
      <c r="V13" s="97">
        <v>1</v>
      </c>
      <c r="W13" s="97">
        <v>820.8</v>
      </c>
      <c r="X13" s="97">
        <v>3.8655000000000002E-2</v>
      </c>
      <c r="Y13" s="98">
        <v>6.9086999999999996E-2</v>
      </c>
      <c r="Z13" s="98">
        <v>1.9999999999999999E-6</v>
      </c>
      <c r="AA13" s="106"/>
    </row>
    <row r="14" spans="1:27" ht="15" customHeight="1">
      <c r="A14" s="106"/>
      <c r="B14" s="96">
        <v>286</v>
      </c>
      <c r="C14" s="96">
        <v>9803</v>
      </c>
      <c r="D14" s="96" t="s">
        <v>2796</v>
      </c>
      <c r="E14" s="96">
        <v>513870683</v>
      </c>
      <c r="F14" s="96" t="s">
        <v>308</v>
      </c>
      <c r="G14" s="96" t="s">
        <v>3356</v>
      </c>
      <c r="H14" s="96" t="s">
        <v>3357</v>
      </c>
      <c r="I14" s="96" t="s">
        <v>320</v>
      </c>
      <c r="J14" s="96" t="s">
        <v>204</v>
      </c>
      <c r="K14" s="96" t="s">
        <v>203</v>
      </c>
      <c r="L14" s="96" t="s">
        <v>324</v>
      </c>
      <c r="M14" s="96" t="s">
        <v>345</v>
      </c>
      <c r="N14" s="96" t="s">
        <v>2798</v>
      </c>
      <c r="O14" s="96" t="s">
        <v>552</v>
      </c>
      <c r="P14" s="100">
        <v>46517</v>
      </c>
      <c r="Q14" s="96" t="s">
        <v>338</v>
      </c>
      <c r="R14" s="96" t="s">
        <v>1201</v>
      </c>
      <c r="S14" s="97">
        <v>11.5</v>
      </c>
      <c r="T14" s="97">
        <v>1</v>
      </c>
      <c r="U14" s="97">
        <v>13.549720000000001</v>
      </c>
      <c r="V14" s="97">
        <v>3.7589999999999999</v>
      </c>
      <c r="W14" s="97">
        <v>16</v>
      </c>
      <c r="X14" s="97">
        <v>8.149E-3</v>
      </c>
      <c r="Y14" s="98">
        <v>1.4564000000000001E-2</v>
      </c>
      <c r="Z14" s="98">
        <v>0</v>
      </c>
      <c r="AA14" s="106"/>
    </row>
    <row r="15" spans="1:27" ht="15" customHeight="1">
      <c r="A15" s="106"/>
      <c r="B15" s="96">
        <v>286</v>
      </c>
      <c r="C15" s="96">
        <v>14418</v>
      </c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106"/>
    </row>
    <row r="16" spans="1:27" ht="15" customHeight="1">
      <c r="A16" s="106"/>
      <c r="B16" s="96">
        <v>286</v>
      </c>
      <c r="C16" s="96">
        <v>1445</v>
      </c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106"/>
    </row>
    <row r="17" spans="1:27" ht="15" customHeight="1">
      <c r="A17" s="106"/>
      <c r="B17" s="105" t="s">
        <v>3767</v>
      </c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6"/>
    </row>
  </sheetData>
  <mergeCells count="4">
    <mergeCell ref="B17:Z17"/>
    <mergeCell ref="A1:A17"/>
    <mergeCell ref="B1:Z1"/>
    <mergeCell ref="AA1:AA17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AA110"/>
  <sheetViews>
    <sheetView rightToLeft="1" workbookViewId="0">
      <selection sqref="A1:A110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27.875" bestFit="1" customWidth="1"/>
    <col min="5" max="5" width="23.625" bestFit="1" customWidth="1"/>
    <col min="6" max="6" width="22.75" bestFit="1" customWidth="1"/>
    <col min="7" max="7" width="26.375" bestFit="1" customWidth="1"/>
    <col min="8" max="8" width="28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8.5" bestFit="1" customWidth="1"/>
    <col min="14" max="14" width="48.125" bestFit="1" customWidth="1"/>
    <col min="15" max="15" width="18.125" bestFit="1" customWidth="1"/>
    <col min="16" max="16" width="10.125" bestFit="1" customWidth="1"/>
    <col min="17" max="17" width="9.625" bestFit="1" customWidth="1"/>
    <col min="18" max="19" width="9.875" bestFit="1" customWidth="1"/>
    <col min="20" max="20" width="9" bestFit="1" customWidth="1"/>
    <col min="21" max="21" width="8.625" bestFit="1" customWidth="1"/>
    <col min="22" max="22" width="11.875" bestFit="1" customWidth="1"/>
    <col min="23" max="23" width="9.5" bestFit="1" customWidth="1"/>
    <col min="24" max="24" width="11" bestFit="1" customWidth="1"/>
    <col min="25" max="25" width="10.375" bestFit="1" customWidth="1"/>
    <col min="26" max="26" width="3.125" customWidth="1"/>
    <col min="27" max="27" width="9" customWidth="1"/>
  </cols>
  <sheetData>
    <row r="1" spans="1:27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6" t="s">
        <v>3766</v>
      </c>
    </row>
    <row r="2" spans="1:27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70</v>
      </c>
      <c r="N2" s="21" t="s">
        <v>83</v>
      </c>
      <c r="O2" s="21" t="s">
        <v>96</v>
      </c>
      <c r="P2" s="21" t="s">
        <v>93</v>
      </c>
      <c r="Q2" s="21" t="s">
        <v>56</v>
      </c>
      <c r="R2" s="21" t="s">
        <v>59</v>
      </c>
      <c r="S2" s="21" t="s">
        <v>94</v>
      </c>
      <c r="T2" s="21" t="s">
        <v>76</v>
      </c>
      <c r="U2" s="21" t="s">
        <v>61</v>
      </c>
      <c r="V2" s="21" t="s">
        <v>77</v>
      </c>
      <c r="W2" s="21" t="s">
        <v>63</v>
      </c>
      <c r="X2" s="21" t="s">
        <v>64</v>
      </c>
      <c r="Y2" s="21" t="s">
        <v>65</v>
      </c>
      <c r="Z2" s="106"/>
      <c r="AA2" s="10"/>
    </row>
    <row r="3" spans="1:27" ht="15" customHeight="1">
      <c r="A3" s="106"/>
      <c r="B3" s="96">
        <v>286</v>
      </c>
      <c r="C3" s="96">
        <v>1446</v>
      </c>
      <c r="D3" s="96" t="s">
        <v>2608</v>
      </c>
      <c r="E3" s="96">
        <v>520020033</v>
      </c>
      <c r="F3" s="96" t="s">
        <v>308</v>
      </c>
      <c r="G3" s="96" t="s">
        <v>3358</v>
      </c>
      <c r="H3" s="96" t="s">
        <v>3359</v>
      </c>
      <c r="I3" s="96" t="s">
        <v>320</v>
      </c>
      <c r="J3" s="96" t="s">
        <v>972</v>
      </c>
      <c r="K3" s="96" t="s">
        <v>203</v>
      </c>
      <c r="L3" s="96" t="s">
        <v>203</v>
      </c>
      <c r="M3" s="96" t="s">
        <v>339</v>
      </c>
      <c r="N3" s="96" t="s">
        <v>447</v>
      </c>
      <c r="O3" s="96" t="s">
        <v>746</v>
      </c>
      <c r="P3" s="100">
        <v>45499</v>
      </c>
      <c r="Q3" s="96" t="s">
        <v>338</v>
      </c>
      <c r="R3" s="96" t="s">
        <v>1200</v>
      </c>
      <c r="S3" s="97">
        <v>3000</v>
      </c>
      <c r="T3" s="97">
        <v>0.78363499999999997</v>
      </c>
      <c r="U3" s="97">
        <v>1</v>
      </c>
      <c r="V3" s="97">
        <v>192300</v>
      </c>
      <c r="W3" s="97">
        <v>1.5069300000000001</v>
      </c>
      <c r="X3" s="98">
        <v>2.8871999999999998E-2</v>
      </c>
      <c r="Y3" s="98">
        <v>2.4000000000000001E-5</v>
      </c>
      <c r="Z3" s="106"/>
    </row>
    <row r="4" spans="1:27" ht="15" customHeight="1">
      <c r="A4" s="106"/>
      <c r="B4" s="96">
        <v>286</v>
      </c>
      <c r="C4" s="96">
        <v>1446</v>
      </c>
      <c r="D4" s="96" t="s">
        <v>2608</v>
      </c>
      <c r="E4" s="96">
        <v>520020033</v>
      </c>
      <c r="F4" s="96" t="s">
        <v>308</v>
      </c>
      <c r="G4" s="96" t="s">
        <v>3360</v>
      </c>
      <c r="H4" s="96" t="s">
        <v>3361</v>
      </c>
      <c r="I4" s="96" t="s">
        <v>320</v>
      </c>
      <c r="J4" s="96" t="s">
        <v>972</v>
      </c>
      <c r="K4" s="96" t="s">
        <v>203</v>
      </c>
      <c r="L4" s="96" t="s">
        <v>203</v>
      </c>
      <c r="M4" s="96" t="s">
        <v>339</v>
      </c>
      <c r="N4" s="96" t="s">
        <v>447</v>
      </c>
      <c r="O4" s="96" t="s">
        <v>746</v>
      </c>
      <c r="P4" s="100">
        <v>45499</v>
      </c>
      <c r="Q4" s="96" t="s">
        <v>338</v>
      </c>
      <c r="R4" s="96" t="s">
        <v>1200</v>
      </c>
      <c r="S4" s="97">
        <v>3000</v>
      </c>
      <c r="T4" s="97">
        <v>-0.78363499999999997</v>
      </c>
      <c r="U4" s="97">
        <v>1</v>
      </c>
      <c r="V4" s="97">
        <v>17100</v>
      </c>
      <c r="W4" s="97">
        <v>-0.13400100000000001</v>
      </c>
      <c r="X4" s="98">
        <v>-2.5669999999999998E-3</v>
      </c>
      <c r="Y4" s="98">
        <v>-1.9999999999999999E-6</v>
      </c>
      <c r="Z4" s="106"/>
    </row>
    <row r="5" spans="1:27" ht="15" customHeight="1">
      <c r="A5" s="106"/>
      <c r="B5" s="96">
        <v>286</v>
      </c>
      <c r="C5" s="96">
        <v>1446</v>
      </c>
      <c r="D5" s="96" t="s">
        <v>3362</v>
      </c>
      <c r="E5" s="96" t="s">
        <v>3363</v>
      </c>
      <c r="F5" s="96" t="s">
        <v>310</v>
      </c>
      <c r="G5" s="96" t="s">
        <v>3364</v>
      </c>
      <c r="H5" s="96" t="s">
        <v>3365</v>
      </c>
      <c r="I5" s="96" t="s">
        <v>320</v>
      </c>
      <c r="J5" s="96" t="s">
        <v>972</v>
      </c>
      <c r="K5" s="96" t="s">
        <v>204</v>
      </c>
      <c r="L5" s="96" t="s">
        <v>223</v>
      </c>
      <c r="M5" s="96" t="s">
        <v>343</v>
      </c>
      <c r="N5" s="96" t="s">
        <v>550</v>
      </c>
      <c r="O5" s="96" t="s">
        <v>746</v>
      </c>
      <c r="P5" s="100">
        <v>46752</v>
      </c>
      <c r="Q5" s="96" t="s">
        <v>338</v>
      </c>
      <c r="R5" s="96" t="s">
        <v>1201</v>
      </c>
      <c r="S5" s="97">
        <v>11.5</v>
      </c>
      <c r="T5" s="97">
        <v>42.855060999999999</v>
      </c>
      <c r="U5" s="97">
        <v>3.7589999999999999</v>
      </c>
      <c r="V5" s="97">
        <v>6.5</v>
      </c>
      <c r="W5" s="97">
        <v>1.047E-2</v>
      </c>
      <c r="X5" s="98">
        <v>2.0000000000000001E-4</v>
      </c>
      <c r="Y5" s="98">
        <v>0</v>
      </c>
      <c r="Z5" s="106"/>
    </row>
    <row r="6" spans="1:27" ht="15" customHeight="1">
      <c r="A6" s="106"/>
      <c r="B6" s="96">
        <v>286</v>
      </c>
      <c r="C6" s="96">
        <v>1446</v>
      </c>
      <c r="D6" s="96" t="s">
        <v>3362</v>
      </c>
      <c r="E6" s="96" t="s">
        <v>3363</v>
      </c>
      <c r="F6" s="96" t="s">
        <v>310</v>
      </c>
      <c r="G6" s="96" t="s">
        <v>3366</v>
      </c>
      <c r="H6" s="96" t="s">
        <v>3367</v>
      </c>
      <c r="I6" s="96" t="s">
        <v>136</v>
      </c>
      <c r="J6" s="96" t="s">
        <v>972</v>
      </c>
      <c r="K6" s="96" t="s">
        <v>204</v>
      </c>
      <c r="L6" s="96" t="s">
        <v>203</v>
      </c>
      <c r="M6" s="96" t="s">
        <v>343</v>
      </c>
      <c r="N6" s="96" t="s">
        <v>543</v>
      </c>
      <c r="O6" s="96" t="s">
        <v>746</v>
      </c>
      <c r="P6" s="100">
        <v>45520</v>
      </c>
      <c r="Q6" s="96" t="s">
        <v>338</v>
      </c>
      <c r="R6" s="96" t="s">
        <v>1201</v>
      </c>
      <c r="S6" s="97">
        <v>260</v>
      </c>
      <c r="T6" s="97">
        <v>-0.14693100000000001</v>
      </c>
      <c r="U6" s="97">
        <v>3.7589999999999999</v>
      </c>
      <c r="V6" s="97">
        <v>20</v>
      </c>
      <c r="W6" s="97">
        <v>-1.1046E-2</v>
      </c>
      <c r="X6" s="98">
        <v>-2.1100000000000001E-4</v>
      </c>
      <c r="Y6" s="98">
        <v>0</v>
      </c>
      <c r="Z6" s="106"/>
    </row>
    <row r="7" spans="1:27" ht="15" customHeight="1">
      <c r="A7" s="106"/>
      <c r="B7" s="96">
        <v>286</v>
      </c>
      <c r="C7" s="96">
        <v>1446</v>
      </c>
      <c r="D7" s="96" t="s">
        <v>3368</v>
      </c>
      <c r="E7" s="96" t="s">
        <v>3369</v>
      </c>
      <c r="F7" s="96" t="s">
        <v>310</v>
      </c>
      <c r="G7" s="96" t="s">
        <v>3370</v>
      </c>
      <c r="H7" s="96" t="s">
        <v>3370</v>
      </c>
      <c r="I7" s="96" t="s">
        <v>136</v>
      </c>
      <c r="J7" s="96" t="s">
        <v>973</v>
      </c>
      <c r="K7" s="96" t="s">
        <v>204</v>
      </c>
      <c r="L7" s="96" t="s">
        <v>223</v>
      </c>
      <c r="M7" s="96" t="s">
        <v>359</v>
      </c>
      <c r="N7" s="96" t="s">
        <v>568</v>
      </c>
      <c r="O7" s="96" t="s">
        <v>746</v>
      </c>
      <c r="P7" s="100">
        <v>45565</v>
      </c>
      <c r="Q7" s="96" t="s">
        <v>338</v>
      </c>
      <c r="R7" s="96" t="s">
        <v>1201</v>
      </c>
      <c r="S7" s="97">
        <v>5200</v>
      </c>
      <c r="T7" s="97">
        <v>1.0481579999999999</v>
      </c>
      <c r="U7" s="97">
        <v>3.7589999999999999</v>
      </c>
      <c r="V7" s="97">
        <v>4520</v>
      </c>
      <c r="W7" s="97">
        <v>17.808924999999999</v>
      </c>
      <c r="X7" s="98">
        <v>0.34121499999999999</v>
      </c>
      <c r="Y7" s="98">
        <v>2.8600000000000001E-4</v>
      </c>
      <c r="Z7" s="106"/>
    </row>
    <row r="8" spans="1:27" ht="15" customHeight="1">
      <c r="A8" s="106"/>
      <c r="B8" s="96">
        <v>286</v>
      </c>
      <c r="C8" s="96">
        <v>1446</v>
      </c>
      <c r="D8" s="96" t="s">
        <v>3368</v>
      </c>
      <c r="E8" s="96" t="s">
        <v>3369</v>
      </c>
      <c r="F8" s="96" t="s">
        <v>310</v>
      </c>
      <c r="G8" s="96" t="s">
        <v>3371</v>
      </c>
      <c r="H8" s="96" t="s">
        <v>3371</v>
      </c>
      <c r="I8" s="96" t="s">
        <v>136</v>
      </c>
      <c r="J8" s="96" t="s">
        <v>973</v>
      </c>
      <c r="K8" s="96" t="s">
        <v>204</v>
      </c>
      <c r="L8" s="96" t="s">
        <v>223</v>
      </c>
      <c r="M8" s="96" t="s">
        <v>359</v>
      </c>
      <c r="N8" s="96" t="s">
        <v>568</v>
      </c>
      <c r="O8" s="96" t="s">
        <v>746</v>
      </c>
      <c r="P8" s="100">
        <v>45504</v>
      </c>
      <c r="Q8" s="96" t="s">
        <v>338</v>
      </c>
      <c r="R8" s="96" t="s">
        <v>1201</v>
      </c>
      <c r="S8" s="97">
        <v>4300</v>
      </c>
      <c r="T8" s="97">
        <v>-1.0481579999999999</v>
      </c>
      <c r="U8" s="97">
        <v>3.7589999999999999</v>
      </c>
      <c r="V8" s="97">
        <v>110</v>
      </c>
      <c r="W8" s="97">
        <v>-0.43340299999999998</v>
      </c>
      <c r="X8" s="98">
        <v>-8.3029999999999996E-3</v>
      </c>
      <c r="Y8" s="98">
        <v>-6.0000000000000002E-6</v>
      </c>
      <c r="Z8" s="106"/>
    </row>
    <row r="9" spans="1:27" ht="15" customHeight="1">
      <c r="A9" s="106"/>
      <c r="B9" s="96">
        <v>286</v>
      </c>
      <c r="C9" s="96">
        <v>1446</v>
      </c>
      <c r="D9" s="96" t="s">
        <v>3372</v>
      </c>
      <c r="E9" s="96" t="s">
        <v>3373</v>
      </c>
      <c r="F9" s="96" t="s">
        <v>310</v>
      </c>
      <c r="G9" s="96" t="s">
        <v>3374</v>
      </c>
      <c r="H9" s="96" t="s">
        <v>3375</v>
      </c>
      <c r="I9" s="96" t="s">
        <v>136</v>
      </c>
      <c r="J9" s="96" t="s">
        <v>972</v>
      </c>
      <c r="K9" s="96" t="s">
        <v>204</v>
      </c>
      <c r="L9" s="96" t="s">
        <v>203</v>
      </c>
      <c r="M9" s="96" t="s">
        <v>345</v>
      </c>
      <c r="N9" s="96" t="s">
        <v>547</v>
      </c>
      <c r="O9" s="96" t="s">
        <v>746</v>
      </c>
      <c r="P9" s="100">
        <v>45520</v>
      </c>
      <c r="Q9" s="96" t="s">
        <v>338</v>
      </c>
      <c r="R9" s="96" t="s">
        <v>1201</v>
      </c>
      <c r="S9" s="97">
        <v>85</v>
      </c>
      <c r="T9" s="97">
        <v>0.97954399999999997</v>
      </c>
      <c r="U9" s="97">
        <v>3.7589999999999999</v>
      </c>
      <c r="V9" s="97">
        <v>3172</v>
      </c>
      <c r="W9" s="97">
        <v>11.679643</v>
      </c>
      <c r="X9" s="98">
        <v>0.22377900000000001</v>
      </c>
      <c r="Y9" s="98">
        <v>1.8699999999999999E-4</v>
      </c>
      <c r="Z9" s="106"/>
    </row>
    <row r="10" spans="1:27" ht="15" customHeight="1">
      <c r="A10" s="106"/>
      <c r="B10" s="96">
        <v>286</v>
      </c>
      <c r="C10" s="96">
        <v>1446</v>
      </c>
      <c r="D10" s="96" t="s">
        <v>3376</v>
      </c>
      <c r="E10" s="96" t="s">
        <v>3377</v>
      </c>
      <c r="F10" s="96" t="s">
        <v>310</v>
      </c>
      <c r="G10" s="96" t="s">
        <v>3378</v>
      </c>
      <c r="H10" s="96" t="s">
        <v>3379</v>
      </c>
      <c r="I10" s="96" t="s">
        <v>136</v>
      </c>
      <c r="J10" s="96" t="s">
        <v>972</v>
      </c>
      <c r="K10" s="96" t="s">
        <v>204</v>
      </c>
      <c r="L10" s="96" t="s">
        <v>203</v>
      </c>
      <c r="M10" s="96" t="s">
        <v>373</v>
      </c>
      <c r="N10" s="96" t="s">
        <v>547</v>
      </c>
      <c r="O10" s="96" t="s">
        <v>746</v>
      </c>
      <c r="P10" s="100">
        <v>45583</v>
      </c>
      <c r="Q10" s="96" t="s">
        <v>338</v>
      </c>
      <c r="R10" s="96" t="s">
        <v>1201</v>
      </c>
      <c r="S10" s="97">
        <v>40</v>
      </c>
      <c r="T10" s="97">
        <v>6.1221509999999997</v>
      </c>
      <c r="U10" s="97">
        <v>3.7589999999999999</v>
      </c>
      <c r="V10" s="97">
        <v>300</v>
      </c>
      <c r="W10" s="97">
        <v>6.90395</v>
      </c>
      <c r="X10" s="98">
        <v>0.13227800000000001</v>
      </c>
      <c r="Y10" s="98">
        <v>1.11E-4</v>
      </c>
      <c r="Z10" s="106"/>
    </row>
    <row r="11" spans="1:27" ht="15" customHeight="1">
      <c r="A11" s="106"/>
      <c r="B11" s="96">
        <v>286</v>
      </c>
      <c r="C11" s="96">
        <v>1446</v>
      </c>
      <c r="D11" s="96" t="s">
        <v>3372</v>
      </c>
      <c r="E11" s="96" t="s">
        <v>3373</v>
      </c>
      <c r="F11" s="96" t="s">
        <v>310</v>
      </c>
      <c r="G11" s="96" t="s">
        <v>3380</v>
      </c>
      <c r="H11" s="96" t="s">
        <v>3381</v>
      </c>
      <c r="I11" s="96" t="s">
        <v>136</v>
      </c>
      <c r="J11" s="96" t="s">
        <v>972</v>
      </c>
      <c r="K11" s="96" t="s">
        <v>204</v>
      </c>
      <c r="L11" s="96" t="s">
        <v>203</v>
      </c>
      <c r="M11" s="96" t="s">
        <v>359</v>
      </c>
      <c r="N11" s="96" t="s">
        <v>547</v>
      </c>
      <c r="O11" s="96" t="s">
        <v>746</v>
      </c>
      <c r="P11" s="100">
        <v>45520</v>
      </c>
      <c r="Q11" s="96" t="s">
        <v>338</v>
      </c>
      <c r="R11" s="96" t="s">
        <v>1201</v>
      </c>
      <c r="S11" s="97">
        <v>270</v>
      </c>
      <c r="T11" s="97">
        <v>-0.34283999999999998</v>
      </c>
      <c r="U11" s="97">
        <v>3.7589999999999999</v>
      </c>
      <c r="V11" s="97">
        <v>395</v>
      </c>
      <c r="W11" s="97">
        <v>-0.50905100000000003</v>
      </c>
      <c r="X11" s="98">
        <v>-9.7529999999999995E-3</v>
      </c>
      <c r="Y11" s="98">
        <v>-7.9999999999999996E-6</v>
      </c>
      <c r="Z11" s="106"/>
    </row>
    <row r="12" spans="1:27" ht="15" customHeight="1">
      <c r="A12" s="106"/>
      <c r="B12" s="96">
        <v>286</v>
      </c>
      <c r="C12" s="96">
        <v>1446</v>
      </c>
      <c r="D12" s="96" t="s">
        <v>3372</v>
      </c>
      <c r="E12" s="96" t="s">
        <v>3373</v>
      </c>
      <c r="F12" s="96" t="s">
        <v>310</v>
      </c>
      <c r="G12" s="96" t="s">
        <v>3382</v>
      </c>
      <c r="H12" s="96" t="s">
        <v>3383</v>
      </c>
      <c r="I12" s="96" t="s">
        <v>136</v>
      </c>
      <c r="J12" s="96" t="s">
        <v>972</v>
      </c>
      <c r="K12" s="96" t="s">
        <v>204</v>
      </c>
      <c r="L12" s="96" t="s">
        <v>203</v>
      </c>
      <c r="M12" s="96" t="s">
        <v>345</v>
      </c>
      <c r="N12" s="96" t="s">
        <v>547</v>
      </c>
      <c r="O12" s="96" t="s">
        <v>746</v>
      </c>
      <c r="P12" s="100">
        <v>45611</v>
      </c>
      <c r="Q12" s="96" t="s">
        <v>338</v>
      </c>
      <c r="R12" s="96" t="s">
        <v>1201</v>
      </c>
      <c r="S12" s="97">
        <v>125</v>
      </c>
      <c r="T12" s="97">
        <v>-2.4488599999999998</v>
      </c>
      <c r="U12" s="97">
        <v>3.7589999999999999</v>
      </c>
      <c r="V12" s="97">
        <v>1860</v>
      </c>
      <c r="W12" s="97">
        <v>-17.121797000000001</v>
      </c>
      <c r="X12" s="98">
        <v>-0.32804899999999998</v>
      </c>
      <c r="Y12" s="98">
        <v>-2.7500000000000002E-4</v>
      </c>
      <c r="Z12" s="106"/>
    </row>
    <row r="13" spans="1:27" ht="15" customHeight="1">
      <c r="A13" s="106"/>
      <c r="B13" s="96">
        <v>286</v>
      </c>
      <c r="C13" s="96">
        <v>1446</v>
      </c>
      <c r="D13" s="96" t="s">
        <v>3362</v>
      </c>
      <c r="E13" s="96" t="s">
        <v>3363</v>
      </c>
      <c r="F13" s="96" t="s">
        <v>310</v>
      </c>
      <c r="G13" s="96" t="s">
        <v>3384</v>
      </c>
      <c r="H13" s="96" t="s">
        <v>3385</v>
      </c>
      <c r="I13" s="96" t="s">
        <v>136</v>
      </c>
      <c r="J13" s="96" t="s">
        <v>972</v>
      </c>
      <c r="K13" s="96" t="s">
        <v>204</v>
      </c>
      <c r="L13" s="96" t="s">
        <v>223</v>
      </c>
      <c r="M13" s="96" t="s">
        <v>343</v>
      </c>
      <c r="N13" s="96" t="s">
        <v>490</v>
      </c>
      <c r="O13" s="96" t="s">
        <v>746</v>
      </c>
      <c r="P13" s="100">
        <v>45611</v>
      </c>
      <c r="Q13" s="96" t="s">
        <v>338</v>
      </c>
      <c r="R13" s="96" t="s">
        <v>1201</v>
      </c>
      <c r="S13" s="97">
        <v>70</v>
      </c>
      <c r="T13" s="97">
        <v>-14.094185</v>
      </c>
      <c r="U13" s="97">
        <v>3.7589999999999999</v>
      </c>
      <c r="V13" s="97">
        <v>44</v>
      </c>
      <c r="W13" s="97">
        <v>-2.331121</v>
      </c>
      <c r="X13" s="98">
        <v>-4.4663000000000001E-2</v>
      </c>
      <c r="Y13" s="98">
        <v>-3.6999999999999998E-5</v>
      </c>
      <c r="Z13" s="106"/>
    </row>
    <row r="14" spans="1:27" ht="15" customHeight="1">
      <c r="A14" s="106"/>
      <c r="B14" s="96">
        <v>286</v>
      </c>
      <c r="C14" s="96">
        <v>1446</v>
      </c>
      <c r="D14" s="96" t="s">
        <v>3372</v>
      </c>
      <c r="E14" s="96" t="s">
        <v>3373</v>
      </c>
      <c r="F14" s="96" t="s">
        <v>310</v>
      </c>
      <c r="G14" s="96" t="s">
        <v>3386</v>
      </c>
      <c r="H14" s="96" t="s">
        <v>3387</v>
      </c>
      <c r="I14" s="96" t="s">
        <v>136</v>
      </c>
      <c r="J14" s="96" t="s">
        <v>972</v>
      </c>
      <c r="K14" s="96" t="s">
        <v>204</v>
      </c>
      <c r="L14" s="96" t="s">
        <v>203</v>
      </c>
      <c r="M14" s="96" t="s">
        <v>359</v>
      </c>
      <c r="N14" s="96" t="s">
        <v>547</v>
      </c>
      <c r="O14" s="96" t="s">
        <v>746</v>
      </c>
      <c r="P14" s="100">
        <v>45520</v>
      </c>
      <c r="Q14" s="96" t="s">
        <v>338</v>
      </c>
      <c r="R14" s="96" t="s">
        <v>1201</v>
      </c>
      <c r="S14" s="97">
        <v>280</v>
      </c>
      <c r="T14" s="97">
        <v>-0.63670300000000002</v>
      </c>
      <c r="U14" s="97">
        <v>3.7589999999999999</v>
      </c>
      <c r="V14" s="97">
        <v>190</v>
      </c>
      <c r="W14" s="97">
        <v>-0.45473999999999998</v>
      </c>
      <c r="X14" s="98">
        <v>-8.7119999999999993E-3</v>
      </c>
      <c r="Y14" s="98">
        <v>-6.9999999999999999E-6</v>
      </c>
      <c r="Z14" s="106"/>
    </row>
    <row r="15" spans="1:27" ht="15" customHeight="1">
      <c r="A15" s="106"/>
      <c r="B15" s="96">
        <v>286</v>
      </c>
      <c r="C15" s="96">
        <v>1446</v>
      </c>
      <c r="D15" s="96" t="s">
        <v>3372</v>
      </c>
      <c r="E15" s="96" t="s">
        <v>3373</v>
      </c>
      <c r="F15" s="96" t="s">
        <v>310</v>
      </c>
      <c r="G15" s="96" t="s">
        <v>3388</v>
      </c>
      <c r="H15" s="96" t="s">
        <v>3389</v>
      </c>
      <c r="I15" s="96" t="s">
        <v>136</v>
      </c>
      <c r="J15" s="96" t="s">
        <v>972</v>
      </c>
      <c r="K15" s="96" t="s">
        <v>204</v>
      </c>
      <c r="L15" s="96" t="s">
        <v>203</v>
      </c>
      <c r="M15" s="96" t="s">
        <v>359</v>
      </c>
      <c r="N15" s="96" t="s">
        <v>547</v>
      </c>
      <c r="O15" s="96" t="s">
        <v>746</v>
      </c>
      <c r="P15" s="100">
        <v>45520</v>
      </c>
      <c r="Q15" s="96" t="s">
        <v>338</v>
      </c>
      <c r="R15" s="96" t="s">
        <v>1201</v>
      </c>
      <c r="S15" s="97">
        <v>210</v>
      </c>
      <c r="T15" s="97">
        <v>0.97954399999999997</v>
      </c>
      <c r="U15" s="97">
        <v>3.7589999999999999</v>
      </c>
      <c r="V15" s="97">
        <v>595</v>
      </c>
      <c r="W15" s="97">
        <v>2.1908530000000002</v>
      </c>
      <c r="X15" s="98">
        <v>4.1975999999999999E-2</v>
      </c>
      <c r="Y15" s="98">
        <v>3.4999999999999997E-5</v>
      </c>
      <c r="Z15" s="106"/>
    </row>
    <row r="16" spans="1:27" ht="15" customHeight="1">
      <c r="A16" s="106"/>
      <c r="B16" s="96">
        <v>286</v>
      </c>
      <c r="C16" s="96">
        <v>1446</v>
      </c>
      <c r="D16" s="96" t="s">
        <v>3362</v>
      </c>
      <c r="E16" s="96" t="s">
        <v>3363</v>
      </c>
      <c r="F16" s="96" t="s">
        <v>310</v>
      </c>
      <c r="G16" s="96" t="s">
        <v>3390</v>
      </c>
      <c r="H16" s="96" t="s">
        <v>3391</v>
      </c>
      <c r="I16" s="96" t="s">
        <v>136</v>
      </c>
      <c r="J16" s="96" t="s">
        <v>972</v>
      </c>
      <c r="K16" s="96" t="s">
        <v>204</v>
      </c>
      <c r="L16" s="96" t="s">
        <v>223</v>
      </c>
      <c r="M16" s="96" t="s">
        <v>343</v>
      </c>
      <c r="N16" s="96" t="s">
        <v>490</v>
      </c>
      <c r="O16" s="96" t="s">
        <v>746</v>
      </c>
      <c r="P16" s="100">
        <v>45611</v>
      </c>
      <c r="Q16" s="96" t="s">
        <v>338</v>
      </c>
      <c r="R16" s="96" t="s">
        <v>1201</v>
      </c>
      <c r="S16" s="97">
        <v>55</v>
      </c>
      <c r="T16" s="97">
        <v>14.094185</v>
      </c>
      <c r="U16" s="97">
        <v>3.7589999999999999</v>
      </c>
      <c r="V16" s="97">
        <v>229</v>
      </c>
      <c r="W16" s="97">
        <v>12.132429</v>
      </c>
      <c r="X16" s="98">
        <v>0.23245399999999999</v>
      </c>
      <c r="Y16" s="98">
        <v>1.95E-4</v>
      </c>
      <c r="Z16" s="106"/>
    </row>
    <row r="17" spans="1:26" ht="15" customHeight="1">
      <c r="A17" s="106"/>
      <c r="B17" s="96">
        <v>286</v>
      </c>
      <c r="C17" s="96">
        <v>1446</v>
      </c>
      <c r="D17" s="96" t="s">
        <v>3362</v>
      </c>
      <c r="E17" s="96" t="s">
        <v>3363</v>
      </c>
      <c r="F17" s="96" t="s">
        <v>310</v>
      </c>
      <c r="G17" s="96" t="s">
        <v>3392</v>
      </c>
      <c r="H17" s="96" t="s">
        <v>3393</v>
      </c>
      <c r="I17" s="96" t="s">
        <v>136</v>
      </c>
      <c r="J17" s="96" t="s">
        <v>972</v>
      </c>
      <c r="K17" s="96" t="s">
        <v>204</v>
      </c>
      <c r="L17" s="96" t="s">
        <v>223</v>
      </c>
      <c r="M17" s="96" t="s">
        <v>359</v>
      </c>
      <c r="N17" s="96" t="s">
        <v>557</v>
      </c>
      <c r="O17" s="96" t="s">
        <v>746</v>
      </c>
      <c r="P17" s="100">
        <v>45646</v>
      </c>
      <c r="Q17" s="96" t="s">
        <v>338</v>
      </c>
      <c r="R17" s="96" t="s">
        <v>1201</v>
      </c>
      <c r="S17" s="97">
        <v>75</v>
      </c>
      <c r="T17" s="97">
        <v>1.9590879999999999</v>
      </c>
      <c r="U17" s="97">
        <v>3.7589999999999999</v>
      </c>
      <c r="V17" s="97">
        <v>510</v>
      </c>
      <c r="W17" s="97">
        <v>3.7557489999999998</v>
      </c>
      <c r="X17" s="98">
        <v>7.1958999999999995E-2</v>
      </c>
      <c r="Y17" s="98">
        <v>6.0000000000000002E-5</v>
      </c>
      <c r="Z17" s="106"/>
    </row>
    <row r="18" spans="1:26" ht="15" customHeight="1">
      <c r="A18" s="106"/>
      <c r="B18" s="96">
        <v>286</v>
      </c>
      <c r="C18" s="96">
        <v>1446</v>
      </c>
      <c r="D18" s="96" t="s">
        <v>3372</v>
      </c>
      <c r="E18" s="96" t="s">
        <v>3373</v>
      </c>
      <c r="F18" s="96" t="s">
        <v>310</v>
      </c>
      <c r="G18" s="96" t="s">
        <v>3394</v>
      </c>
      <c r="H18" s="96" t="s">
        <v>3395</v>
      </c>
      <c r="I18" s="96" t="s">
        <v>136</v>
      </c>
      <c r="J18" s="96" t="s">
        <v>972</v>
      </c>
      <c r="K18" s="96" t="s">
        <v>204</v>
      </c>
      <c r="L18" s="96" t="s">
        <v>203</v>
      </c>
      <c r="M18" s="96" t="s">
        <v>345</v>
      </c>
      <c r="N18" s="96" t="s">
        <v>547</v>
      </c>
      <c r="O18" s="96" t="s">
        <v>746</v>
      </c>
      <c r="P18" s="100">
        <v>45520</v>
      </c>
      <c r="Q18" s="96" t="s">
        <v>338</v>
      </c>
      <c r="R18" s="96" t="s">
        <v>1201</v>
      </c>
      <c r="S18" s="97">
        <v>115</v>
      </c>
      <c r="T18" s="97">
        <v>-0.24488599999999999</v>
      </c>
      <c r="U18" s="97">
        <v>3.7589999999999999</v>
      </c>
      <c r="V18" s="97">
        <v>1600</v>
      </c>
      <c r="W18" s="97">
        <v>-1.472842</v>
      </c>
      <c r="X18" s="98">
        <v>-2.8219000000000001E-2</v>
      </c>
      <c r="Y18" s="98">
        <v>-2.3E-5</v>
      </c>
      <c r="Z18" s="106"/>
    </row>
    <row r="19" spans="1:26" ht="15" customHeight="1">
      <c r="A19" s="106"/>
      <c r="B19" s="96">
        <v>286</v>
      </c>
      <c r="C19" s="96">
        <v>1446</v>
      </c>
      <c r="D19" s="96" t="s">
        <v>3372</v>
      </c>
      <c r="E19" s="96" t="s">
        <v>3373</v>
      </c>
      <c r="F19" s="96" t="s">
        <v>310</v>
      </c>
      <c r="G19" s="96" t="s">
        <v>3396</v>
      </c>
      <c r="H19" s="96" t="s">
        <v>3397</v>
      </c>
      <c r="I19" s="96" t="s">
        <v>136</v>
      </c>
      <c r="J19" s="96" t="s">
        <v>972</v>
      </c>
      <c r="K19" s="96" t="s">
        <v>204</v>
      </c>
      <c r="L19" s="96" t="s">
        <v>203</v>
      </c>
      <c r="M19" s="96" t="s">
        <v>345</v>
      </c>
      <c r="N19" s="96" t="s">
        <v>547</v>
      </c>
      <c r="O19" s="96" t="s">
        <v>746</v>
      </c>
      <c r="P19" s="100">
        <v>45520</v>
      </c>
      <c r="Q19" s="96" t="s">
        <v>338</v>
      </c>
      <c r="R19" s="96" t="s">
        <v>1201</v>
      </c>
      <c r="S19" s="97">
        <v>70</v>
      </c>
      <c r="T19" s="97">
        <v>-1.714202</v>
      </c>
      <c r="U19" s="97">
        <v>3.7589999999999999</v>
      </c>
      <c r="V19" s="97">
        <v>86</v>
      </c>
      <c r="W19" s="97">
        <v>-0.55415700000000001</v>
      </c>
      <c r="X19" s="98">
        <v>-1.0617E-2</v>
      </c>
      <c r="Y19" s="98">
        <v>-7.9999999999999996E-6</v>
      </c>
      <c r="Z19" s="106"/>
    </row>
    <row r="20" spans="1:26" ht="15" customHeight="1">
      <c r="A20" s="106"/>
      <c r="B20" s="96">
        <v>286</v>
      </c>
      <c r="C20" s="96">
        <v>1446</v>
      </c>
      <c r="D20" s="96" t="s">
        <v>3362</v>
      </c>
      <c r="E20" s="96" t="s">
        <v>3363</v>
      </c>
      <c r="F20" s="96" t="s">
        <v>310</v>
      </c>
      <c r="G20" s="96" t="s">
        <v>3398</v>
      </c>
      <c r="H20" s="96" t="s">
        <v>3399</v>
      </c>
      <c r="I20" s="96" t="s">
        <v>136</v>
      </c>
      <c r="J20" s="96" t="s">
        <v>972</v>
      </c>
      <c r="K20" s="96" t="s">
        <v>204</v>
      </c>
      <c r="L20" s="96" t="s">
        <v>223</v>
      </c>
      <c r="M20" s="96" t="s">
        <v>359</v>
      </c>
      <c r="N20" s="96" t="s">
        <v>557</v>
      </c>
      <c r="O20" s="96" t="s">
        <v>746</v>
      </c>
      <c r="P20" s="100">
        <v>45555</v>
      </c>
      <c r="Q20" s="96" t="s">
        <v>338</v>
      </c>
      <c r="R20" s="96" t="s">
        <v>1201</v>
      </c>
      <c r="S20" s="97">
        <v>65</v>
      </c>
      <c r="T20" s="97">
        <v>0.13027900000000001</v>
      </c>
      <c r="U20" s="97">
        <v>3.7589999999999999</v>
      </c>
      <c r="V20" s="97">
        <v>1250</v>
      </c>
      <c r="W20" s="97">
        <v>0.61214999999999997</v>
      </c>
      <c r="X20" s="98">
        <v>1.1728000000000001E-2</v>
      </c>
      <c r="Y20" s="98">
        <v>9.0000000000000002E-6</v>
      </c>
      <c r="Z20" s="106"/>
    </row>
    <row r="21" spans="1:26" ht="15" customHeight="1">
      <c r="A21" s="106"/>
      <c r="B21" s="96">
        <v>286</v>
      </c>
      <c r="C21" s="96">
        <v>1446</v>
      </c>
      <c r="D21" s="96" t="s">
        <v>3376</v>
      </c>
      <c r="E21" s="96" t="s">
        <v>3377</v>
      </c>
      <c r="F21" s="96" t="s">
        <v>310</v>
      </c>
      <c r="G21" s="96" t="s">
        <v>3400</v>
      </c>
      <c r="H21" s="96" t="s">
        <v>3401</v>
      </c>
      <c r="I21" s="96" t="s">
        <v>136</v>
      </c>
      <c r="J21" s="96" t="s">
        <v>972</v>
      </c>
      <c r="K21" s="96" t="s">
        <v>204</v>
      </c>
      <c r="L21" s="96" t="s">
        <v>203</v>
      </c>
      <c r="M21" s="96" t="s">
        <v>373</v>
      </c>
      <c r="N21" s="96" t="s">
        <v>547</v>
      </c>
      <c r="O21" s="96" t="s">
        <v>746</v>
      </c>
      <c r="P21" s="100">
        <v>45492</v>
      </c>
      <c r="Q21" s="96" t="s">
        <v>338</v>
      </c>
      <c r="R21" s="96" t="s">
        <v>1201</v>
      </c>
      <c r="S21" s="97">
        <v>25</v>
      </c>
      <c r="T21" s="97">
        <v>-8.3261260000000004</v>
      </c>
      <c r="U21" s="97">
        <v>3.7589999999999999</v>
      </c>
      <c r="V21" s="97">
        <v>10</v>
      </c>
      <c r="W21" s="97">
        <v>-0.31297900000000001</v>
      </c>
      <c r="X21" s="98">
        <v>-5.9959999999999996E-3</v>
      </c>
      <c r="Y21" s="98">
        <v>-5.0000000000000004E-6</v>
      </c>
      <c r="Z21" s="106"/>
    </row>
    <row r="22" spans="1:26" ht="15" customHeight="1">
      <c r="A22" s="106"/>
      <c r="B22" s="96">
        <v>286</v>
      </c>
      <c r="C22" s="96">
        <v>1446</v>
      </c>
      <c r="D22" s="96" t="s">
        <v>3362</v>
      </c>
      <c r="E22" s="96" t="s">
        <v>3363</v>
      </c>
      <c r="F22" s="96" t="s">
        <v>310</v>
      </c>
      <c r="G22" s="96" t="s">
        <v>3402</v>
      </c>
      <c r="H22" s="96" t="s">
        <v>3402</v>
      </c>
      <c r="I22" s="96" t="s">
        <v>136</v>
      </c>
      <c r="J22" s="96" t="s">
        <v>972</v>
      </c>
      <c r="K22" s="96" t="s">
        <v>204</v>
      </c>
      <c r="L22" s="96" t="s">
        <v>203</v>
      </c>
      <c r="M22" s="96" t="s">
        <v>343</v>
      </c>
      <c r="N22" s="96" t="s">
        <v>533</v>
      </c>
      <c r="O22" s="96" t="s">
        <v>746</v>
      </c>
      <c r="P22" s="100">
        <v>45555</v>
      </c>
      <c r="Q22" s="96" t="s">
        <v>338</v>
      </c>
      <c r="R22" s="96" t="s">
        <v>1201</v>
      </c>
      <c r="S22" s="97">
        <v>14</v>
      </c>
      <c r="T22" s="97">
        <v>8.8158980000000007</v>
      </c>
      <c r="U22" s="97">
        <v>3.7589999999999999</v>
      </c>
      <c r="V22" s="97">
        <v>274</v>
      </c>
      <c r="W22" s="97">
        <v>9.0800750000000008</v>
      </c>
      <c r="X22" s="98">
        <v>0.17397199999999999</v>
      </c>
      <c r="Y22" s="98">
        <v>1.46E-4</v>
      </c>
      <c r="Z22" s="106"/>
    </row>
    <row r="23" spans="1:26" ht="15" customHeight="1">
      <c r="A23" s="106"/>
      <c r="B23" s="96">
        <v>286</v>
      </c>
      <c r="C23" s="96">
        <v>1446</v>
      </c>
      <c r="D23" s="96" t="s">
        <v>3376</v>
      </c>
      <c r="E23" s="96" t="s">
        <v>3377</v>
      </c>
      <c r="F23" s="96" t="s">
        <v>310</v>
      </c>
      <c r="G23" s="96" t="s">
        <v>3403</v>
      </c>
      <c r="H23" s="96" t="s">
        <v>3404</v>
      </c>
      <c r="I23" s="96" t="s">
        <v>136</v>
      </c>
      <c r="J23" s="96" t="s">
        <v>972</v>
      </c>
      <c r="K23" s="96" t="s">
        <v>204</v>
      </c>
      <c r="L23" s="96" t="s">
        <v>203</v>
      </c>
      <c r="M23" s="96" t="s">
        <v>373</v>
      </c>
      <c r="N23" s="96" t="s">
        <v>547</v>
      </c>
      <c r="O23" s="96" t="s">
        <v>746</v>
      </c>
      <c r="P23" s="100">
        <v>45492</v>
      </c>
      <c r="Q23" s="96" t="s">
        <v>338</v>
      </c>
      <c r="R23" s="96" t="s">
        <v>1201</v>
      </c>
      <c r="S23" s="97">
        <v>33</v>
      </c>
      <c r="T23" s="97">
        <v>6.1221509999999997</v>
      </c>
      <c r="U23" s="97">
        <v>3.7589999999999999</v>
      </c>
      <c r="V23" s="97">
        <v>640</v>
      </c>
      <c r="W23" s="97">
        <v>14.728427</v>
      </c>
      <c r="X23" s="98">
        <v>0.28219300000000003</v>
      </c>
      <c r="Y23" s="98">
        <v>2.3599999999999999E-4</v>
      </c>
      <c r="Z23" s="106"/>
    </row>
    <row r="24" spans="1:26" ht="15" customHeight="1">
      <c r="A24" s="106"/>
      <c r="B24" s="96">
        <v>286</v>
      </c>
      <c r="C24" s="96">
        <v>1446</v>
      </c>
      <c r="D24" s="96" t="s">
        <v>3376</v>
      </c>
      <c r="E24" s="96" t="s">
        <v>3377</v>
      </c>
      <c r="F24" s="96" t="s">
        <v>310</v>
      </c>
      <c r="G24" s="96" t="s">
        <v>3405</v>
      </c>
      <c r="H24" s="96" t="s">
        <v>3406</v>
      </c>
      <c r="I24" s="96" t="s">
        <v>136</v>
      </c>
      <c r="J24" s="96" t="s">
        <v>972</v>
      </c>
      <c r="K24" s="96" t="s">
        <v>204</v>
      </c>
      <c r="L24" s="96" t="s">
        <v>203</v>
      </c>
      <c r="M24" s="96" t="s">
        <v>373</v>
      </c>
      <c r="N24" s="96" t="s">
        <v>547</v>
      </c>
      <c r="O24" s="96" t="s">
        <v>746</v>
      </c>
      <c r="P24" s="100">
        <v>45492</v>
      </c>
      <c r="Q24" s="96" t="s">
        <v>338</v>
      </c>
      <c r="R24" s="96" t="s">
        <v>1201</v>
      </c>
      <c r="S24" s="97">
        <v>40</v>
      </c>
      <c r="T24" s="97">
        <v>-6.1221509999999997</v>
      </c>
      <c r="U24" s="97">
        <v>3.7589999999999999</v>
      </c>
      <c r="V24" s="97">
        <v>93</v>
      </c>
      <c r="W24" s="97">
        <v>-2.1402239999999999</v>
      </c>
      <c r="X24" s="98">
        <v>-4.1006000000000001E-2</v>
      </c>
      <c r="Y24" s="98">
        <v>-3.4E-5</v>
      </c>
      <c r="Z24" s="106"/>
    </row>
    <row r="25" spans="1:26" ht="15" customHeight="1">
      <c r="A25" s="106"/>
      <c r="B25" s="96">
        <v>286</v>
      </c>
      <c r="C25" s="96">
        <v>1446</v>
      </c>
      <c r="D25" s="96" t="s">
        <v>3368</v>
      </c>
      <c r="E25" s="96" t="s">
        <v>3369</v>
      </c>
      <c r="F25" s="96" t="s">
        <v>310</v>
      </c>
      <c r="G25" s="96" t="s">
        <v>3407</v>
      </c>
      <c r="H25" s="96" t="s">
        <v>3407</v>
      </c>
      <c r="I25" s="96" t="s">
        <v>136</v>
      </c>
      <c r="J25" s="96" t="s">
        <v>973</v>
      </c>
      <c r="K25" s="96" t="s">
        <v>204</v>
      </c>
      <c r="L25" s="96" t="s">
        <v>223</v>
      </c>
      <c r="M25" s="96" t="s">
        <v>359</v>
      </c>
      <c r="N25" s="96" t="s">
        <v>568</v>
      </c>
      <c r="O25" s="96" t="s">
        <v>746</v>
      </c>
      <c r="P25" s="100">
        <v>45504</v>
      </c>
      <c r="Q25" s="96" t="s">
        <v>338</v>
      </c>
      <c r="R25" s="96" t="s">
        <v>1201</v>
      </c>
      <c r="S25" s="97">
        <v>4800</v>
      </c>
      <c r="T25" s="97">
        <v>1.0481579999999999</v>
      </c>
      <c r="U25" s="97">
        <v>3.7589999999999999</v>
      </c>
      <c r="V25" s="97">
        <v>265</v>
      </c>
      <c r="W25" s="97">
        <v>1.0441069999999999</v>
      </c>
      <c r="X25" s="98">
        <v>2.0004000000000001E-2</v>
      </c>
      <c r="Y25" s="98">
        <v>1.5999999999999999E-5</v>
      </c>
      <c r="Z25" s="106"/>
    </row>
    <row r="26" spans="1:26" ht="15" customHeight="1">
      <c r="A26" s="106"/>
      <c r="B26" s="96">
        <v>286</v>
      </c>
      <c r="C26" s="96">
        <v>1446</v>
      </c>
      <c r="D26" s="96" t="s">
        <v>3376</v>
      </c>
      <c r="E26" s="96" t="s">
        <v>3377</v>
      </c>
      <c r="F26" s="96" t="s">
        <v>310</v>
      </c>
      <c r="G26" s="96" t="s">
        <v>3408</v>
      </c>
      <c r="H26" s="96" t="s">
        <v>3379</v>
      </c>
      <c r="I26" s="96" t="s">
        <v>136</v>
      </c>
      <c r="J26" s="96" t="s">
        <v>972</v>
      </c>
      <c r="K26" s="96" t="s">
        <v>204</v>
      </c>
      <c r="L26" s="96" t="s">
        <v>203</v>
      </c>
      <c r="M26" s="96" t="s">
        <v>373</v>
      </c>
      <c r="N26" s="96" t="s">
        <v>547</v>
      </c>
      <c r="O26" s="96" t="s">
        <v>746</v>
      </c>
      <c r="P26" s="100">
        <v>45583</v>
      </c>
      <c r="Q26" s="96" t="s">
        <v>338</v>
      </c>
      <c r="R26" s="96" t="s">
        <v>1201</v>
      </c>
      <c r="S26" s="97">
        <v>45</v>
      </c>
      <c r="T26" s="97">
        <v>-6.1221509999999997</v>
      </c>
      <c r="U26" s="97">
        <v>3.7589999999999999</v>
      </c>
      <c r="V26" s="97">
        <v>100</v>
      </c>
      <c r="W26" s="97">
        <v>-2.3013159999999999</v>
      </c>
      <c r="X26" s="98">
        <v>-4.4091999999999999E-2</v>
      </c>
      <c r="Y26" s="98">
        <v>-3.6999999999999998E-5</v>
      </c>
      <c r="Z26" s="106"/>
    </row>
    <row r="27" spans="1:26" ht="15" customHeight="1">
      <c r="A27" s="106"/>
      <c r="B27" s="96">
        <v>286</v>
      </c>
      <c r="C27" s="96">
        <v>1446</v>
      </c>
      <c r="D27" s="96" t="s">
        <v>3368</v>
      </c>
      <c r="E27" s="96" t="s">
        <v>3369</v>
      </c>
      <c r="F27" s="96" t="s">
        <v>310</v>
      </c>
      <c r="G27" s="96" t="s">
        <v>3409</v>
      </c>
      <c r="H27" s="96" t="s">
        <v>3409</v>
      </c>
      <c r="I27" s="96" t="s">
        <v>136</v>
      </c>
      <c r="J27" s="96" t="s">
        <v>973</v>
      </c>
      <c r="K27" s="96" t="s">
        <v>204</v>
      </c>
      <c r="L27" s="96" t="s">
        <v>223</v>
      </c>
      <c r="M27" s="96" t="s">
        <v>359</v>
      </c>
      <c r="N27" s="96" t="s">
        <v>568</v>
      </c>
      <c r="O27" s="96" t="s">
        <v>746</v>
      </c>
      <c r="P27" s="100">
        <v>45565</v>
      </c>
      <c r="Q27" s="96" t="s">
        <v>338</v>
      </c>
      <c r="R27" s="96" t="s">
        <v>1201</v>
      </c>
      <c r="S27" s="97">
        <v>4700</v>
      </c>
      <c r="T27" s="97">
        <v>-1.0481579999999999</v>
      </c>
      <c r="U27" s="97">
        <v>3.7589999999999999</v>
      </c>
      <c r="V27" s="97">
        <v>1425</v>
      </c>
      <c r="W27" s="97">
        <v>-5.6145389999999997</v>
      </c>
      <c r="X27" s="98">
        <v>-0.107573</v>
      </c>
      <c r="Y27" s="98">
        <v>-9.0000000000000006E-5</v>
      </c>
      <c r="Z27" s="106"/>
    </row>
    <row r="28" spans="1:26" ht="15" customHeight="1">
      <c r="A28" s="106"/>
      <c r="B28" s="96">
        <v>286</v>
      </c>
      <c r="C28" s="96">
        <v>1446</v>
      </c>
      <c r="D28" s="96" t="s">
        <v>3362</v>
      </c>
      <c r="E28" s="96" t="s">
        <v>3363</v>
      </c>
      <c r="F28" s="96" t="s">
        <v>310</v>
      </c>
      <c r="G28" s="96" t="s">
        <v>3410</v>
      </c>
      <c r="H28" s="96" t="s">
        <v>3411</v>
      </c>
      <c r="I28" s="96" t="s">
        <v>136</v>
      </c>
      <c r="J28" s="96" t="s">
        <v>972</v>
      </c>
      <c r="K28" s="96" t="s">
        <v>204</v>
      </c>
      <c r="L28" s="96" t="s">
        <v>203</v>
      </c>
      <c r="M28" s="96" t="s">
        <v>343</v>
      </c>
      <c r="N28" s="96" t="s">
        <v>543</v>
      </c>
      <c r="O28" s="96" t="s">
        <v>746</v>
      </c>
      <c r="P28" s="100">
        <v>45611</v>
      </c>
      <c r="Q28" s="96" t="s">
        <v>338</v>
      </c>
      <c r="R28" s="96" t="s">
        <v>1201</v>
      </c>
      <c r="S28" s="97">
        <v>130</v>
      </c>
      <c r="T28" s="97">
        <v>1.4693160000000001</v>
      </c>
      <c r="U28" s="97">
        <v>3.7589999999999999</v>
      </c>
      <c r="V28" s="97">
        <v>401</v>
      </c>
      <c r="W28" s="97">
        <v>2.2147869999999998</v>
      </c>
      <c r="X28" s="98">
        <v>4.2433999999999999E-2</v>
      </c>
      <c r="Y28" s="98">
        <v>3.4999999999999997E-5</v>
      </c>
      <c r="Z28" s="106"/>
    </row>
    <row r="29" spans="1:26" ht="15" customHeight="1">
      <c r="A29" s="106"/>
      <c r="B29" s="96">
        <v>286</v>
      </c>
      <c r="C29" s="96">
        <v>1446</v>
      </c>
      <c r="D29" s="96" t="s">
        <v>3362</v>
      </c>
      <c r="E29" s="96" t="s">
        <v>3363</v>
      </c>
      <c r="F29" s="96" t="s">
        <v>310</v>
      </c>
      <c r="G29" s="96" t="s">
        <v>3412</v>
      </c>
      <c r="H29" s="96" t="s">
        <v>3411</v>
      </c>
      <c r="I29" s="96" t="s">
        <v>136</v>
      </c>
      <c r="J29" s="96" t="s">
        <v>972</v>
      </c>
      <c r="K29" s="96" t="s">
        <v>204</v>
      </c>
      <c r="L29" s="96" t="s">
        <v>203</v>
      </c>
      <c r="M29" s="96" t="s">
        <v>343</v>
      </c>
      <c r="N29" s="96" t="s">
        <v>543</v>
      </c>
      <c r="O29" s="96" t="s">
        <v>746</v>
      </c>
      <c r="P29" s="100">
        <v>45611</v>
      </c>
      <c r="Q29" s="96" t="s">
        <v>338</v>
      </c>
      <c r="R29" s="96" t="s">
        <v>1201</v>
      </c>
      <c r="S29" s="97">
        <v>210</v>
      </c>
      <c r="T29" s="97">
        <v>-1.4693160000000001</v>
      </c>
      <c r="U29" s="97">
        <v>3.7589999999999999</v>
      </c>
      <c r="V29" s="97">
        <v>608</v>
      </c>
      <c r="W29" s="97">
        <v>-3.3580809999999999</v>
      </c>
      <c r="X29" s="98">
        <v>-6.4339999999999994E-2</v>
      </c>
      <c r="Y29" s="98">
        <v>-5.3000000000000001E-5</v>
      </c>
      <c r="Z29" s="106"/>
    </row>
    <row r="30" spans="1:26" ht="15" customHeight="1">
      <c r="A30" s="106"/>
      <c r="B30" s="96">
        <v>286</v>
      </c>
      <c r="C30" s="96">
        <v>1446</v>
      </c>
      <c r="D30" s="96" t="s">
        <v>3372</v>
      </c>
      <c r="E30" s="96" t="s">
        <v>3373</v>
      </c>
      <c r="F30" s="96" t="s">
        <v>310</v>
      </c>
      <c r="G30" s="96" t="s">
        <v>3413</v>
      </c>
      <c r="H30" s="96" t="s">
        <v>3395</v>
      </c>
      <c r="I30" s="96" t="s">
        <v>136</v>
      </c>
      <c r="J30" s="96" t="s">
        <v>972</v>
      </c>
      <c r="K30" s="96" t="s">
        <v>204</v>
      </c>
      <c r="L30" s="96" t="s">
        <v>203</v>
      </c>
      <c r="M30" s="96" t="s">
        <v>345</v>
      </c>
      <c r="N30" s="96" t="s">
        <v>547</v>
      </c>
      <c r="O30" s="96" t="s">
        <v>746</v>
      </c>
      <c r="P30" s="100">
        <v>45520</v>
      </c>
      <c r="Q30" s="96" t="s">
        <v>338</v>
      </c>
      <c r="R30" s="96" t="s">
        <v>1201</v>
      </c>
      <c r="S30" s="97">
        <v>135</v>
      </c>
      <c r="T30" s="97">
        <v>-0.73465800000000003</v>
      </c>
      <c r="U30" s="97">
        <v>3.7589999999999999</v>
      </c>
      <c r="V30" s="97">
        <v>690</v>
      </c>
      <c r="W30" s="97">
        <v>-1.9054899999999999</v>
      </c>
      <c r="X30" s="98">
        <v>-3.6507999999999999E-2</v>
      </c>
      <c r="Y30" s="98">
        <v>-3.0000000000000001E-5</v>
      </c>
      <c r="Z30" s="106"/>
    </row>
    <row r="31" spans="1:26" ht="15" customHeight="1">
      <c r="A31" s="106"/>
      <c r="B31" s="96">
        <v>286</v>
      </c>
      <c r="C31" s="96">
        <v>1446</v>
      </c>
      <c r="D31" s="96" t="s">
        <v>3362</v>
      </c>
      <c r="E31" s="96" t="s">
        <v>3363</v>
      </c>
      <c r="F31" s="96" t="s">
        <v>310</v>
      </c>
      <c r="G31" s="96" t="s">
        <v>3414</v>
      </c>
      <c r="H31" s="96" t="s">
        <v>3415</v>
      </c>
      <c r="I31" s="96" t="s">
        <v>136</v>
      </c>
      <c r="J31" s="96" t="s">
        <v>972</v>
      </c>
      <c r="K31" s="96" t="s">
        <v>204</v>
      </c>
      <c r="L31" s="96" t="s">
        <v>223</v>
      </c>
      <c r="M31" s="96" t="s">
        <v>359</v>
      </c>
      <c r="N31" s="96" t="s">
        <v>557</v>
      </c>
      <c r="O31" s="96" t="s">
        <v>746</v>
      </c>
      <c r="P31" s="100">
        <v>45646</v>
      </c>
      <c r="Q31" s="96" t="s">
        <v>338</v>
      </c>
      <c r="R31" s="96" t="s">
        <v>1201</v>
      </c>
      <c r="S31" s="97">
        <v>85</v>
      </c>
      <c r="T31" s="97">
        <v>-1.9590879999999999</v>
      </c>
      <c r="U31" s="97">
        <v>3.7589999999999999</v>
      </c>
      <c r="V31" s="97">
        <v>266</v>
      </c>
      <c r="W31" s="97">
        <v>-1.95888</v>
      </c>
      <c r="X31" s="98">
        <v>-3.7531000000000002E-2</v>
      </c>
      <c r="Y31" s="98">
        <v>-3.1000000000000001E-5</v>
      </c>
      <c r="Z31" s="106"/>
    </row>
    <row r="32" spans="1:26" ht="15" customHeight="1">
      <c r="A32" s="106"/>
      <c r="B32" s="96">
        <v>286</v>
      </c>
      <c r="C32" s="96">
        <v>1446</v>
      </c>
      <c r="D32" s="96" t="s">
        <v>3372</v>
      </c>
      <c r="E32" s="96" t="s">
        <v>3373</v>
      </c>
      <c r="F32" s="96" t="s">
        <v>310</v>
      </c>
      <c r="G32" s="96" t="s">
        <v>3416</v>
      </c>
      <c r="H32" s="96" t="s">
        <v>3417</v>
      </c>
      <c r="I32" s="96" t="s">
        <v>136</v>
      </c>
      <c r="J32" s="96" t="s">
        <v>972</v>
      </c>
      <c r="K32" s="96" t="s">
        <v>204</v>
      </c>
      <c r="L32" s="96" t="s">
        <v>203</v>
      </c>
      <c r="M32" s="96" t="s">
        <v>345</v>
      </c>
      <c r="N32" s="96" t="s">
        <v>547</v>
      </c>
      <c r="O32" s="96" t="s">
        <v>746</v>
      </c>
      <c r="P32" s="100">
        <v>45611</v>
      </c>
      <c r="Q32" s="96" t="s">
        <v>338</v>
      </c>
      <c r="R32" s="96" t="s">
        <v>1201</v>
      </c>
      <c r="S32" s="97">
        <v>110</v>
      </c>
      <c r="T32" s="97">
        <v>2.4488599999999998</v>
      </c>
      <c r="U32" s="97">
        <v>3.7589999999999999</v>
      </c>
      <c r="V32" s="97">
        <v>1822</v>
      </c>
      <c r="W32" s="97">
        <v>16.771996000000001</v>
      </c>
      <c r="X32" s="98">
        <v>0.32134699999999999</v>
      </c>
      <c r="Y32" s="98">
        <v>2.6899999999999998E-4</v>
      </c>
      <c r="Z32" s="106"/>
    </row>
    <row r="33" spans="1:26" ht="15" customHeight="1">
      <c r="A33" s="106"/>
      <c r="B33" s="96">
        <v>286</v>
      </c>
      <c r="C33" s="96">
        <v>1446</v>
      </c>
      <c r="D33" s="96" t="s">
        <v>3372</v>
      </c>
      <c r="E33" s="96" t="s">
        <v>3373</v>
      </c>
      <c r="F33" s="96" t="s">
        <v>310</v>
      </c>
      <c r="G33" s="96" t="s">
        <v>3418</v>
      </c>
      <c r="H33" s="96" t="s">
        <v>3419</v>
      </c>
      <c r="I33" s="96" t="s">
        <v>136</v>
      </c>
      <c r="J33" s="96" t="s">
        <v>972</v>
      </c>
      <c r="K33" s="96" t="s">
        <v>204</v>
      </c>
      <c r="L33" s="96" t="s">
        <v>203</v>
      </c>
      <c r="M33" s="96" t="s">
        <v>345</v>
      </c>
      <c r="N33" s="96" t="s">
        <v>547</v>
      </c>
      <c r="O33" s="96" t="s">
        <v>746</v>
      </c>
      <c r="P33" s="100">
        <v>45520</v>
      </c>
      <c r="Q33" s="96" t="s">
        <v>338</v>
      </c>
      <c r="R33" s="96" t="s">
        <v>1201</v>
      </c>
      <c r="S33" s="97">
        <v>60</v>
      </c>
      <c r="T33" s="97">
        <v>-1.714202</v>
      </c>
      <c r="U33" s="97">
        <v>3.7589999999999999</v>
      </c>
      <c r="V33" s="97">
        <v>230</v>
      </c>
      <c r="W33" s="97">
        <v>-1.482048</v>
      </c>
      <c r="X33" s="98">
        <v>-2.8395E-2</v>
      </c>
      <c r="Y33" s="98">
        <v>-2.3E-5</v>
      </c>
      <c r="Z33" s="106"/>
    </row>
    <row r="34" spans="1:26" ht="15" customHeight="1">
      <c r="A34" s="106"/>
      <c r="B34" s="96">
        <v>286</v>
      </c>
      <c r="C34" s="96">
        <v>1446</v>
      </c>
      <c r="D34" s="96" t="s">
        <v>3372</v>
      </c>
      <c r="E34" s="96" t="s">
        <v>3373</v>
      </c>
      <c r="F34" s="96" t="s">
        <v>310</v>
      </c>
      <c r="G34" s="96" t="s">
        <v>3420</v>
      </c>
      <c r="H34" s="96" t="s">
        <v>3421</v>
      </c>
      <c r="I34" s="96" t="s">
        <v>136</v>
      </c>
      <c r="J34" s="96" t="s">
        <v>972</v>
      </c>
      <c r="K34" s="96" t="s">
        <v>204</v>
      </c>
      <c r="L34" s="96" t="s">
        <v>203</v>
      </c>
      <c r="M34" s="96" t="s">
        <v>345</v>
      </c>
      <c r="N34" s="96" t="s">
        <v>547</v>
      </c>
      <c r="O34" s="96" t="s">
        <v>746</v>
      </c>
      <c r="P34" s="100">
        <v>45611</v>
      </c>
      <c r="Q34" s="96" t="s">
        <v>338</v>
      </c>
      <c r="R34" s="96" t="s">
        <v>1201</v>
      </c>
      <c r="S34" s="97">
        <v>80</v>
      </c>
      <c r="T34" s="97">
        <v>-1.2244299999999999</v>
      </c>
      <c r="U34" s="97">
        <v>3.7589999999999999</v>
      </c>
      <c r="V34" s="97">
        <v>185</v>
      </c>
      <c r="W34" s="97">
        <v>-0.85148699999999999</v>
      </c>
      <c r="X34" s="98">
        <v>-1.6313999999999999E-2</v>
      </c>
      <c r="Y34" s="98">
        <v>-1.2999999999999999E-5</v>
      </c>
      <c r="Z34" s="106"/>
    </row>
    <row r="35" spans="1:26" ht="15" customHeight="1">
      <c r="A35" s="106"/>
      <c r="B35" s="96">
        <v>286</v>
      </c>
      <c r="C35" s="96">
        <v>1446</v>
      </c>
      <c r="D35" s="96" t="s">
        <v>3362</v>
      </c>
      <c r="E35" s="96" t="s">
        <v>3363</v>
      </c>
      <c r="F35" s="96" t="s">
        <v>310</v>
      </c>
      <c r="G35" s="96" t="s">
        <v>3422</v>
      </c>
      <c r="H35" s="96" t="s">
        <v>3422</v>
      </c>
      <c r="I35" s="96" t="s">
        <v>136</v>
      </c>
      <c r="J35" s="96" t="s">
        <v>972</v>
      </c>
      <c r="K35" s="96" t="s">
        <v>204</v>
      </c>
      <c r="L35" s="96" t="s">
        <v>203</v>
      </c>
      <c r="M35" s="96" t="s">
        <v>343</v>
      </c>
      <c r="N35" s="96" t="s">
        <v>533</v>
      </c>
      <c r="O35" s="96" t="s">
        <v>746</v>
      </c>
      <c r="P35" s="100">
        <v>45555</v>
      </c>
      <c r="Q35" s="96" t="s">
        <v>338</v>
      </c>
      <c r="R35" s="96" t="s">
        <v>1201</v>
      </c>
      <c r="S35" s="97">
        <v>16</v>
      </c>
      <c r="T35" s="97">
        <v>-8.8158980000000007</v>
      </c>
      <c r="U35" s="97">
        <v>3.7589999999999999</v>
      </c>
      <c r="V35" s="97">
        <v>141</v>
      </c>
      <c r="W35" s="97">
        <v>-4.672593</v>
      </c>
      <c r="X35" s="98">
        <v>-8.9524999999999993E-2</v>
      </c>
      <c r="Y35" s="98">
        <v>-7.4999999999999993E-5</v>
      </c>
      <c r="Z35" s="106"/>
    </row>
    <row r="36" spans="1:26" ht="15" customHeight="1">
      <c r="A36" s="106"/>
      <c r="B36" s="96">
        <v>286</v>
      </c>
      <c r="C36" s="96">
        <v>1446</v>
      </c>
      <c r="D36" s="96" t="s">
        <v>3362</v>
      </c>
      <c r="E36" s="96" t="s">
        <v>3363</v>
      </c>
      <c r="F36" s="96" t="s">
        <v>310</v>
      </c>
      <c r="G36" s="96" t="s">
        <v>3423</v>
      </c>
      <c r="H36" s="96" t="s">
        <v>3424</v>
      </c>
      <c r="I36" s="96" t="s">
        <v>136</v>
      </c>
      <c r="J36" s="96" t="s">
        <v>972</v>
      </c>
      <c r="K36" s="96" t="s">
        <v>204</v>
      </c>
      <c r="L36" s="96" t="s">
        <v>203</v>
      </c>
      <c r="M36" s="96" t="s">
        <v>343</v>
      </c>
      <c r="N36" s="96" t="s">
        <v>543</v>
      </c>
      <c r="O36" s="96" t="s">
        <v>746</v>
      </c>
      <c r="P36" s="100">
        <v>45520</v>
      </c>
      <c r="Q36" s="96" t="s">
        <v>338</v>
      </c>
      <c r="R36" s="96" t="s">
        <v>1201</v>
      </c>
      <c r="S36" s="97">
        <v>230</v>
      </c>
      <c r="T36" s="97">
        <v>0.63670300000000002</v>
      </c>
      <c r="U36" s="97">
        <v>3.7589999999999999</v>
      </c>
      <c r="V36" s="97">
        <v>30</v>
      </c>
      <c r="W36" s="97">
        <v>7.1801000000000004E-2</v>
      </c>
      <c r="X36" s="98">
        <v>1.3749999999999999E-3</v>
      </c>
      <c r="Y36" s="98">
        <v>9.9999999999999995E-7</v>
      </c>
      <c r="Z36" s="106"/>
    </row>
    <row r="37" spans="1:26" ht="15" customHeight="1">
      <c r="A37" s="106"/>
      <c r="B37" s="96">
        <v>286</v>
      </c>
      <c r="C37" s="96">
        <v>1446</v>
      </c>
      <c r="D37" s="96" t="s">
        <v>3362</v>
      </c>
      <c r="E37" s="96" t="s">
        <v>3363</v>
      </c>
      <c r="F37" s="96" t="s">
        <v>310</v>
      </c>
      <c r="G37" s="96" t="s">
        <v>3425</v>
      </c>
      <c r="H37" s="96" t="s">
        <v>3426</v>
      </c>
      <c r="I37" s="96" t="s">
        <v>136</v>
      </c>
      <c r="J37" s="96" t="s">
        <v>972</v>
      </c>
      <c r="K37" s="96" t="s">
        <v>204</v>
      </c>
      <c r="L37" s="96" t="s">
        <v>223</v>
      </c>
      <c r="M37" s="96" t="s">
        <v>359</v>
      </c>
      <c r="N37" s="96" t="s">
        <v>557</v>
      </c>
      <c r="O37" s="96" t="s">
        <v>746</v>
      </c>
      <c r="P37" s="100">
        <v>45555</v>
      </c>
      <c r="Q37" s="96" t="s">
        <v>338</v>
      </c>
      <c r="R37" s="96" t="s">
        <v>1201</v>
      </c>
      <c r="S37" s="97">
        <v>75</v>
      </c>
      <c r="T37" s="97">
        <v>-0.13027900000000001</v>
      </c>
      <c r="U37" s="97">
        <v>3.7589999999999999</v>
      </c>
      <c r="V37" s="97">
        <v>320</v>
      </c>
      <c r="W37" s="97">
        <v>-0.15670999999999999</v>
      </c>
      <c r="X37" s="98">
        <v>-3.0019999999999999E-3</v>
      </c>
      <c r="Y37" s="98">
        <v>-1.9999999999999999E-6</v>
      </c>
      <c r="Z37" s="106"/>
    </row>
    <row r="38" spans="1:26" ht="15" customHeight="1">
      <c r="A38" s="106"/>
      <c r="B38" s="96">
        <v>286</v>
      </c>
      <c r="C38" s="96">
        <v>1446</v>
      </c>
      <c r="D38" s="96" t="s">
        <v>3376</v>
      </c>
      <c r="E38" s="96" t="s">
        <v>3377</v>
      </c>
      <c r="F38" s="96" t="s">
        <v>310</v>
      </c>
      <c r="G38" s="96" t="s">
        <v>3427</v>
      </c>
      <c r="H38" s="96" t="s">
        <v>3428</v>
      </c>
      <c r="I38" s="96" t="s">
        <v>136</v>
      </c>
      <c r="J38" s="96" t="s">
        <v>972</v>
      </c>
      <c r="K38" s="96" t="s">
        <v>204</v>
      </c>
      <c r="L38" s="96" t="s">
        <v>203</v>
      </c>
      <c r="M38" s="96" t="s">
        <v>359</v>
      </c>
      <c r="N38" s="96" t="s">
        <v>547</v>
      </c>
      <c r="O38" s="96" t="s">
        <v>746</v>
      </c>
      <c r="P38" s="100">
        <v>45583</v>
      </c>
      <c r="Q38" s="96" t="s">
        <v>338</v>
      </c>
      <c r="R38" s="96" t="s">
        <v>1201</v>
      </c>
      <c r="S38" s="97">
        <v>32</v>
      </c>
      <c r="T38" s="97">
        <v>-3.0610750000000002</v>
      </c>
      <c r="U38" s="97">
        <v>3.7589999999999999</v>
      </c>
      <c r="V38" s="97">
        <v>40</v>
      </c>
      <c r="W38" s="97">
        <v>-0.46026299999999998</v>
      </c>
      <c r="X38" s="98">
        <v>-8.8179999999999994E-3</v>
      </c>
      <c r="Y38" s="98">
        <v>-6.9999999999999999E-6</v>
      </c>
      <c r="Z38" s="106"/>
    </row>
    <row r="39" spans="1:26" ht="15" customHeight="1">
      <c r="A39" s="106"/>
      <c r="B39" s="96">
        <v>286</v>
      </c>
      <c r="C39" s="96">
        <v>1446</v>
      </c>
      <c r="D39" s="96" t="s">
        <v>3362</v>
      </c>
      <c r="E39" s="96" t="s">
        <v>3363</v>
      </c>
      <c r="F39" s="96" t="s">
        <v>310</v>
      </c>
      <c r="G39" s="96" t="s">
        <v>3429</v>
      </c>
      <c r="H39" s="96" t="s">
        <v>3430</v>
      </c>
      <c r="I39" s="96" t="s">
        <v>136</v>
      </c>
      <c r="J39" s="96" t="s">
        <v>972</v>
      </c>
      <c r="K39" s="96" t="s">
        <v>204</v>
      </c>
      <c r="L39" s="96" t="s">
        <v>203</v>
      </c>
      <c r="M39" s="96" t="s">
        <v>343</v>
      </c>
      <c r="N39" s="96" t="s">
        <v>543</v>
      </c>
      <c r="O39" s="96" t="s">
        <v>746</v>
      </c>
      <c r="P39" s="100">
        <v>45520</v>
      </c>
      <c r="Q39" s="96" t="s">
        <v>338</v>
      </c>
      <c r="R39" s="96" t="s">
        <v>1201</v>
      </c>
      <c r="S39" s="97">
        <v>290</v>
      </c>
      <c r="T39" s="97">
        <v>-0.48977199999999999</v>
      </c>
      <c r="U39" s="97">
        <v>3.7589999999999999</v>
      </c>
      <c r="V39" s="97">
        <v>45</v>
      </c>
      <c r="W39" s="97">
        <v>-8.2847000000000004E-2</v>
      </c>
      <c r="X39" s="98">
        <v>-1.5870000000000001E-3</v>
      </c>
      <c r="Y39" s="98">
        <v>-9.9999999999999995E-7</v>
      </c>
      <c r="Z39" s="106"/>
    </row>
    <row r="40" spans="1:26" ht="15" customHeight="1">
      <c r="A40" s="106"/>
      <c r="B40" s="96">
        <v>286</v>
      </c>
      <c r="C40" s="96">
        <v>286</v>
      </c>
      <c r="D40" s="96" t="s">
        <v>2608</v>
      </c>
      <c r="E40" s="96">
        <v>520020033</v>
      </c>
      <c r="F40" s="96" t="s">
        <v>308</v>
      </c>
      <c r="G40" s="96" t="s">
        <v>3360</v>
      </c>
      <c r="H40" s="96" t="s">
        <v>3361</v>
      </c>
      <c r="I40" s="96" t="s">
        <v>320</v>
      </c>
      <c r="J40" s="96" t="s">
        <v>972</v>
      </c>
      <c r="K40" s="96" t="s">
        <v>203</v>
      </c>
      <c r="L40" s="96" t="s">
        <v>203</v>
      </c>
      <c r="M40" s="96" t="s">
        <v>339</v>
      </c>
      <c r="N40" s="96" t="s">
        <v>447</v>
      </c>
      <c r="O40" s="96" t="s">
        <v>746</v>
      </c>
      <c r="P40" s="100">
        <v>45499</v>
      </c>
      <c r="Q40" s="96" t="s">
        <v>338</v>
      </c>
      <c r="R40" s="96" t="s">
        <v>1200</v>
      </c>
      <c r="S40" s="97">
        <v>3000</v>
      </c>
      <c r="T40" s="97">
        <v>-9.627243</v>
      </c>
      <c r="U40" s="97">
        <v>1</v>
      </c>
      <c r="V40" s="97">
        <v>17100</v>
      </c>
      <c r="W40" s="97">
        <v>-1.646258</v>
      </c>
      <c r="X40" s="98">
        <v>-2.2759999999999998E-3</v>
      </c>
      <c r="Y40" s="98">
        <v>0</v>
      </c>
      <c r="Z40" s="106"/>
    </row>
    <row r="41" spans="1:26" ht="15" customHeight="1">
      <c r="A41" s="106"/>
      <c r="B41" s="96">
        <v>286</v>
      </c>
      <c r="C41" s="96">
        <v>286</v>
      </c>
      <c r="D41" s="96" t="s">
        <v>2608</v>
      </c>
      <c r="E41" s="96">
        <v>520020033</v>
      </c>
      <c r="F41" s="96" t="s">
        <v>308</v>
      </c>
      <c r="G41" s="96" t="s">
        <v>3358</v>
      </c>
      <c r="H41" s="96" t="s">
        <v>3359</v>
      </c>
      <c r="I41" s="96" t="s">
        <v>320</v>
      </c>
      <c r="J41" s="96" t="s">
        <v>972</v>
      </c>
      <c r="K41" s="96" t="s">
        <v>203</v>
      </c>
      <c r="L41" s="96" t="s">
        <v>203</v>
      </c>
      <c r="M41" s="96" t="s">
        <v>339</v>
      </c>
      <c r="N41" s="96" t="s">
        <v>447</v>
      </c>
      <c r="O41" s="96" t="s">
        <v>746</v>
      </c>
      <c r="P41" s="100">
        <v>45499</v>
      </c>
      <c r="Q41" s="96" t="s">
        <v>338</v>
      </c>
      <c r="R41" s="96" t="s">
        <v>1200</v>
      </c>
      <c r="S41" s="97">
        <v>3000</v>
      </c>
      <c r="T41" s="97">
        <v>9.627243</v>
      </c>
      <c r="U41" s="97">
        <v>1</v>
      </c>
      <c r="V41" s="97">
        <v>192300</v>
      </c>
      <c r="W41" s="97">
        <v>18.513189000000001</v>
      </c>
      <c r="X41" s="98">
        <v>2.5599E-2</v>
      </c>
      <c r="Y41" s="98">
        <v>9.0000000000000002E-6</v>
      </c>
      <c r="Z41" s="106"/>
    </row>
    <row r="42" spans="1:26" ht="15" customHeight="1">
      <c r="A42" s="106"/>
      <c r="B42" s="96">
        <v>286</v>
      </c>
      <c r="C42" s="96">
        <v>286</v>
      </c>
      <c r="D42" s="96" t="s">
        <v>3362</v>
      </c>
      <c r="E42" s="96" t="s">
        <v>3363</v>
      </c>
      <c r="F42" s="96" t="s">
        <v>310</v>
      </c>
      <c r="G42" s="96" t="s">
        <v>3364</v>
      </c>
      <c r="H42" s="96" t="s">
        <v>3365</v>
      </c>
      <c r="I42" s="96" t="s">
        <v>320</v>
      </c>
      <c r="J42" s="96" t="s">
        <v>972</v>
      </c>
      <c r="K42" s="96" t="s">
        <v>204</v>
      </c>
      <c r="L42" s="96" t="s">
        <v>223</v>
      </c>
      <c r="M42" s="96" t="s">
        <v>343</v>
      </c>
      <c r="N42" s="96" t="s">
        <v>550</v>
      </c>
      <c r="O42" s="96" t="s">
        <v>746</v>
      </c>
      <c r="P42" s="100">
        <v>46752</v>
      </c>
      <c r="Q42" s="96" t="s">
        <v>338</v>
      </c>
      <c r="R42" s="96" t="s">
        <v>1201</v>
      </c>
      <c r="S42" s="97">
        <v>11.5</v>
      </c>
      <c r="T42" s="97">
        <v>526.48989300000005</v>
      </c>
      <c r="U42" s="97">
        <v>3.7589999999999999</v>
      </c>
      <c r="V42" s="97">
        <v>6.5</v>
      </c>
      <c r="W42" s="97">
        <v>0.128639</v>
      </c>
      <c r="X42" s="98">
        <v>1.7699999999999999E-4</v>
      </c>
      <c r="Y42" s="98">
        <v>0</v>
      </c>
      <c r="Z42" s="106"/>
    </row>
    <row r="43" spans="1:26" ht="15" customHeight="1">
      <c r="A43" s="106"/>
      <c r="B43" s="96">
        <v>286</v>
      </c>
      <c r="C43" s="96">
        <v>286</v>
      </c>
      <c r="D43" s="96" t="s">
        <v>3362</v>
      </c>
      <c r="E43" s="96" t="s">
        <v>3363</v>
      </c>
      <c r="F43" s="96" t="s">
        <v>310</v>
      </c>
      <c r="G43" s="96" t="s">
        <v>3366</v>
      </c>
      <c r="H43" s="96" t="s">
        <v>3367</v>
      </c>
      <c r="I43" s="96" t="s">
        <v>136</v>
      </c>
      <c r="J43" s="96" t="s">
        <v>972</v>
      </c>
      <c r="K43" s="96" t="s">
        <v>204</v>
      </c>
      <c r="L43" s="96" t="s">
        <v>203</v>
      </c>
      <c r="M43" s="96" t="s">
        <v>343</v>
      </c>
      <c r="N43" s="96" t="s">
        <v>543</v>
      </c>
      <c r="O43" s="96" t="s">
        <v>746</v>
      </c>
      <c r="P43" s="100">
        <v>45520</v>
      </c>
      <c r="Q43" s="96" t="s">
        <v>338</v>
      </c>
      <c r="R43" s="96" t="s">
        <v>1201</v>
      </c>
      <c r="S43" s="97">
        <v>260</v>
      </c>
      <c r="T43" s="97">
        <v>-1.8051079999999999</v>
      </c>
      <c r="U43" s="97">
        <v>3.7589999999999999</v>
      </c>
      <c r="V43" s="97">
        <v>20</v>
      </c>
      <c r="W43" s="97">
        <v>-0.135708</v>
      </c>
      <c r="X43" s="98">
        <v>-1.8699999999999999E-4</v>
      </c>
      <c r="Y43" s="98">
        <v>0</v>
      </c>
      <c r="Z43" s="106"/>
    </row>
    <row r="44" spans="1:26" ht="15" customHeight="1">
      <c r="A44" s="106"/>
      <c r="B44" s="96">
        <v>286</v>
      </c>
      <c r="C44" s="96">
        <v>286</v>
      </c>
      <c r="D44" s="96" t="s">
        <v>3372</v>
      </c>
      <c r="E44" s="96" t="s">
        <v>3373</v>
      </c>
      <c r="F44" s="96" t="s">
        <v>310</v>
      </c>
      <c r="G44" s="96" t="s">
        <v>3380</v>
      </c>
      <c r="H44" s="96" t="s">
        <v>3381</v>
      </c>
      <c r="I44" s="96" t="s">
        <v>136</v>
      </c>
      <c r="J44" s="96" t="s">
        <v>972</v>
      </c>
      <c r="K44" s="96" t="s">
        <v>204</v>
      </c>
      <c r="L44" s="96" t="s">
        <v>203</v>
      </c>
      <c r="M44" s="96" t="s">
        <v>359</v>
      </c>
      <c r="N44" s="96" t="s">
        <v>547</v>
      </c>
      <c r="O44" s="96" t="s">
        <v>746</v>
      </c>
      <c r="P44" s="100">
        <v>45520</v>
      </c>
      <c r="Q44" s="96" t="s">
        <v>338</v>
      </c>
      <c r="R44" s="96" t="s">
        <v>1201</v>
      </c>
      <c r="S44" s="97">
        <v>270</v>
      </c>
      <c r="T44" s="97">
        <v>-4.211919</v>
      </c>
      <c r="U44" s="97">
        <v>3.7589999999999999</v>
      </c>
      <c r="V44" s="97">
        <v>395</v>
      </c>
      <c r="W44" s="97">
        <v>-6.2538780000000003</v>
      </c>
      <c r="X44" s="98">
        <v>-8.6470000000000002E-3</v>
      </c>
      <c r="Y44" s="98">
        <v>-3.0000000000000001E-6</v>
      </c>
      <c r="Z44" s="106"/>
    </row>
    <row r="45" spans="1:26" ht="15" customHeight="1">
      <c r="A45" s="106"/>
      <c r="B45" s="96">
        <v>286</v>
      </c>
      <c r="C45" s="96">
        <v>286</v>
      </c>
      <c r="D45" s="96" t="s">
        <v>3376</v>
      </c>
      <c r="E45" s="96" t="s">
        <v>3377</v>
      </c>
      <c r="F45" s="96" t="s">
        <v>310</v>
      </c>
      <c r="G45" s="96" t="s">
        <v>3403</v>
      </c>
      <c r="H45" s="96" t="s">
        <v>3404</v>
      </c>
      <c r="I45" s="96" t="s">
        <v>136</v>
      </c>
      <c r="J45" s="96" t="s">
        <v>972</v>
      </c>
      <c r="K45" s="96" t="s">
        <v>204</v>
      </c>
      <c r="L45" s="96" t="s">
        <v>203</v>
      </c>
      <c r="M45" s="96" t="s">
        <v>373</v>
      </c>
      <c r="N45" s="96" t="s">
        <v>547</v>
      </c>
      <c r="O45" s="96" t="s">
        <v>746</v>
      </c>
      <c r="P45" s="100">
        <v>45492</v>
      </c>
      <c r="Q45" s="96" t="s">
        <v>338</v>
      </c>
      <c r="R45" s="96" t="s">
        <v>1201</v>
      </c>
      <c r="S45" s="97">
        <v>33</v>
      </c>
      <c r="T45" s="97">
        <v>75.212840999999997</v>
      </c>
      <c r="U45" s="97">
        <v>3.7589999999999999</v>
      </c>
      <c r="V45" s="97">
        <v>640</v>
      </c>
      <c r="W45" s="97">
        <v>180.94404599999999</v>
      </c>
      <c r="X45" s="98">
        <v>0.25020500000000001</v>
      </c>
      <c r="Y45" s="98">
        <v>9.3999999999999994E-5</v>
      </c>
      <c r="Z45" s="106"/>
    </row>
    <row r="46" spans="1:26" ht="15" customHeight="1">
      <c r="A46" s="106"/>
      <c r="B46" s="96">
        <v>286</v>
      </c>
      <c r="C46" s="96">
        <v>286</v>
      </c>
      <c r="D46" s="96" t="s">
        <v>3372</v>
      </c>
      <c r="E46" s="96" t="s">
        <v>3373</v>
      </c>
      <c r="F46" s="96" t="s">
        <v>310</v>
      </c>
      <c r="G46" s="96" t="s">
        <v>3396</v>
      </c>
      <c r="H46" s="96" t="s">
        <v>3397</v>
      </c>
      <c r="I46" s="96" t="s">
        <v>136</v>
      </c>
      <c r="J46" s="96" t="s">
        <v>972</v>
      </c>
      <c r="K46" s="96" t="s">
        <v>204</v>
      </c>
      <c r="L46" s="96" t="s">
        <v>203</v>
      </c>
      <c r="M46" s="96" t="s">
        <v>345</v>
      </c>
      <c r="N46" s="96" t="s">
        <v>547</v>
      </c>
      <c r="O46" s="96" t="s">
        <v>746</v>
      </c>
      <c r="P46" s="100">
        <v>45520</v>
      </c>
      <c r="Q46" s="96" t="s">
        <v>338</v>
      </c>
      <c r="R46" s="96" t="s">
        <v>1201</v>
      </c>
      <c r="S46" s="97">
        <v>70</v>
      </c>
      <c r="T46" s="97">
        <v>-21.059595000000002</v>
      </c>
      <c r="U46" s="97">
        <v>3.7589999999999999</v>
      </c>
      <c r="V46" s="97">
        <v>86</v>
      </c>
      <c r="W46" s="97">
        <v>-6.8080189999999998</v>
      </c>
      <c r="X46" s="98">
        <v>-9.4129999999999995E-3</v>
      </c>
      <c r="Y46" s="98">
        <v>-3.0000000000000001E-6</v>
      </c>
      <c r="Z46" s="106"/>
    </row>
    <row r="47" spans="1:26" ht="15" customHeight="1">
      <c r="A47" s="106"/>
      <c r="B47" s="96">
        <v>286</v>
      </c>
      <c r="C47" s="96">
        <v>286</v>
      </c>
      <c r="D47" s="96" t="s">
        <v>3362</v>
      </c>
      <c r="E47" s="96" t="s">
        <v>3363</v>
      </c>
      <c r="F47" s="96" t="s">
        <v>310</v>
      </c>
      <c r="G47" s="96" t="s">
        <v>3414</v>
      </c>
      <c r="H47" s="96" t="s">
        <v>3415</v>
      </c>
      <c r="I47" s="96" t="s">
        <v>136</v>
      </c>
      <c r="J47" s="96" t="s">
        <v>972</v>
      </c>
      <c r="K47" s="96" t="s">
        <v>204</v>
      </c>
      <c r="L47" s="96" t="s">
        <v>223</v>
      </c>
      <c r="M47" s="96" t="s">
        <v>359</v>
      </c>
      <c r="N47" s="96" t="s">
        <v>557</v>
      </c>
      <c r="O47" s="96" t="s">
        <v>746</v>
      </c>
      <c r="P47" s="100">
        <v>45646</v>
      </c>
      <c r="Q47" s="96" t="s">
        <v>338</v>
      </c>
      <c r="R47" s="96" t="s">
        <v>1201</v>
      </c>
      <c r="S47" s="97">
        <v>85</v>
      </c>
      <c r="T47" s="97">
        <v>-24.068109</v>
      </c>
      <c r="U47" s="97">
        <v>3.7589999999999999</v>
      </c>
      <c r="V47" s="97">
        <v>266</v>
      </c>
      <c r="W47" s="97">
        <v>-24.065557999999999</v>
      </c>
      <c r="X47" s="98">
        <v>-3.3277000000000001E-2</v>
      </c>
      <c r="Y47" s="98">
        <v>-1.2E-5</v>
      </c>
      <c r="Z47" s="106"/>
    </row>
    <row r="48" spans="1:26" ht="15" customHeight="1">
      <c r="A48" s="106"/>
      <c r="B48" s="96">
        <v>286</v>
      </c>
      <c r="C48" s="96">
        <v>286</v>
      </c>
      <c r="D48" s="96" t="s">
        <v>3372</v>
      </c>
      <c r="E48" s="96" t="s">
        <v>3373</v>
      </c>
      <c r="F48" s="96" t="s">
        <v>310</v>
      </c>
      <c r="G48" s="96" t="s">
        <v>3386</v>
      </c>
      <c r="H48" s="96" t="s">
        <v>3387</v>
      </c>
      <c r="I48" s="96" t="s">
        <v>136</v>
      </c>
      <c r="J48" s="96" t="s">
        <v>972</v>
      </c>
      <c r="K48" s="96" t="s">
        <v>204</v>
      </c>
      <c r="L48" s="96" t="s">
        <v>203</v>
      </c>
      <c r="M48" s="96" t="s">
        <v>359</v>
      </c>
      <c r="N48" s="96" t="s">
        <v>547</v>
      </c>
      <c r="O48" s="96" t="s">
        <v>746</v>
      </c>
      <c r="P48" s="100">
        <v>45520</v>
      </c>
      <c r="Q48" s="96" t="s">
        <v>338</v>
      </c>
      <c r="R48" s="96" t="s">
        <v>1201</v>
      </c>
      <c r="S48" s="97">
        <v>280</v>
      </c>
      <c r="T48" s="97">
        <v>-7.8221350000000003</v>
      </c>
      <c r="U48" s="97">
        <v>3.7589999999999999</v>
      </c>
      <c r="V48" s="97">
        <v>190</v>
      </c>
      <c r="W48" s="97">
        <v>-5.5866470000000001</v>
      </c>
      <c r="X48" s="98">
        <v>-7.7250000000000001E-3</v>
      </c>
      <c r="Y48" s="98">
        <v>-1.9999999999999999E-6</v>
      </c>
      <c r="Z48" s="106"/>
    </row>
    <row r="49" spans="1:26" ht="15" customHeight="1">
      <c r="A49" s="106"/>
      <c r="B49" s="96">
        <v>286</v>
      </c>
      <c r="C49" s="96">
        <v>286</v>
      </c>
      <c r="D49" s="96" t="s">
        <v>3376</v>
      </c>
      <c r="E49" s="96" t="s">
        <v>3377</v>
      </c>
      <c r="F49" s="96" t="s">
        <v>310</v>
      </c>
      <c r="G49" s="96" t="s">
        <v>3427</v>
      </c>
      <c r="H49" s="96" t="s">
        <v>3428</v>
      </c>
      <c r="I49" s="96" t="s">
        <v>136</v>
      </c>
      <c r="J49" s="96" t="s">
        <v>972</v>
      </c>
      <c r="K49" s="96" t="s">
        <v>204</v>
      </c>
      <c r="L49" s="96" t="s">
        <v>203</v>
      </c>
      <c r="M49" s="96" t="s">
        <v>359</v>
      </c>
      <c r="N49" s="96" t="s">
        <v>547</v>
      </c>
      <c r="O49" s="96" t="s">
        <v>746</v>
      </c>
      <c r="P49" s="100">
        <v>45583</v>
      </c>
      <c r="Q49" s="96" t="s">
        <v>338</v>
      </c>
      <c r="R49" s="96" t="s">
        <v>1201</v>
      </c>
      <c r="S49" s="97">
        <v>32</v>
      </c>
      <c r="T49" s="97">
        <v>-37.60642</v>
      </c>
      <c r="U49" s="97">
        <v>3.7589999999999999</v>
      </c>
      <c r="V49" s="97">
        <v>40</v>
      </c>
      <c r="W49" s="97">
        <v>-5.6545009999999998</v>
      </c>
      <c r="X49" s="98">
        <v>-7.8180000000000003E-3</v>
      </c>
      <c r="Y49" s="98">
        <v>-1.9999999999999999E-6</v>
      </c>
      <c r="Z49" s="106"/>
    </row>
    <row r="50" spans="1:26" ht="15" customHeight="1">
      <c r="A50" s="106"/>
      <c r="B50" s="96">
        <v>286</v>
      </c>
      <c r="C50" s="96">
        <v>286</v>
      </c>
      <c r="D50" s="96" t="s">
        <v>3372</v>
      </c>
      <c r="E50" s="96" t="s">
        <v>3373</v>
      </c>
      <c r="F50" s="96" t="s">
        <v>310</v>
      </c>
      <c r="G50" s="96" t="s">
        <v>3416</v>
      </c>
      <c r="H50" s="96" t="s">
        <v>3417</v>
      </c>
      <c r="I50" s="96" t="s">
        <v>136</v>
      </c>
      <c r="J50" s="96" t="s">
        <v>972</v>
      </c>
      <c r="K50" s="96" t="s">
        <v>204</v>
      </c>
      <c r="L50" s="96" t="s">
        <v>203</v>
      </c>
      <c r="M50" s="96" t="s">
        <v>345</v>
      </c>
      <c r="N50" s="96" t="s">
        <v>547</v>
      </c>
      <c r="O50" s="96" t="s">
        <v>746</v>
      </c>
      <c r="P50" s="100">
        <v>45611</v>
      </c>
      <c r="Q50" s="96" t="s">
        <v>338</v>
      </c>
      <c r="R50" s="96" t="s">
        <v>1201</v>
      </c>
      <c r="S50" s="97">
        <v>110</v>
      </c>
      <c r="T50" s="97">
        <v>30.085135999999999</v>
      </c>
      <c r="U50" s="97">
        <v>3.7589999999999999</v>
      </c>
      <c r="V50" s="97">
        <v>1822</v>
      </c>
      <c r="W50" s="97">
        <v>206.05003300000001</v>
      </c>
      <c r="X50" s="98">
        <v>0.28492000000000001</v>
      </c>
      <c r="Y50" s="98">
        <v>1.07E-4</v>
      </c>
      <c r="Z50" s="106"/>
    </row>
    <row r="51" spans="1:26" ht="15" customHeight="1">
      <c r="A51" s="106"/>
      <c r="B51" s="96">
        <v>286</v>
      </c>
      <c r="C51" s="96">
        <v>286</v>
      </c>
      <c r="D51" s="96" t="s">
        <v>3368</v>
      </c>
      <c r="E51" s="96" t="s">
        <v>3369</v>
      </c>
      <c r="F51" s="96" t="s">
        <v>310</v>
      </c>
      <c r="G51" s="96" t="s">
        <v>3371</v>
      </c>
      <c r="H51" s="96" t="s">
        <v>3371</v>
      </c>
      <c r="I51" s="96" t="s">
        <v>136</v>
      </c>
      <c r="J51" s="96" t="s">
        <v>973</v>
      </c>
      <c r="K51" s="96" t="s">
        <v>204</v>
      </c>
      <c r="L51" s="96" t="s">
        <v>223</v>
      </c>
      <c r="M51" s="96" t="s">
        <v>359</v>
      </c>
      <c r="N51" s="96" t="s">
        <v>568</v>
      </c>
      <c r="O51" s="96" t="s">
        <v>746</v>
      </c>
      <c r="P51" s="100">
        <v>45504</v>
      </c>
      <c r="Q51" s="96" t="s">
        <v>338</v>
      </c>
      <c r="R51" s="96" t="s">
        <v>1201</v>
      </c>
      <c r="S51" s="97">
        <v>4300</v>
      </c>
      <c r="T51" s="97">
        <v>-16.677928999999999</v>
      </c>
      <c r="U51" s="97">
        <v>3.7589999999999999</v>
      </c>
      <c r="V51" s="97">
        <v>110</v>
      </c>
      <c r="W51" s="97">
        <v>-6.8961560000000004</v>
      </c>
      <c r="X51" s="98">
        <v>-9.5350000000000001E-3</v>
      </c>
      <c r="Y51" s="98">
        <v>-3.0000000000000001E-6</v>
      </c>
      <c r="Z51" s="106"/>
    </row>
    <row r="52" spans="1:26" ht="15" customHeight="1">
      <c r="A52" s="106"/>
      <c r="B52" s="96">
        <v>286</v>
      </c>
      <c r="C52" s="96">
        <v>286</v>
      </c>
      <c r="D52" s="96" t="s">
        <v>3376</v>
      </c>
      <c r="E52" s="96" t="s">
        <v>3377</v>
      </c>
      <c r="F52" s="96" t="s">
        <v>310</v>
      </c>
      <c r="G52" s="96" t="s">
        <v>3408</v>
      </c>
      <c r="H52" s="96" t="s">
        <v>3379</v>
      </c>
      <c r="I52" s="96" t="s">
        <v>136</v>
      </c>
      <c r="J52" s="96" t="s">
        <v>972</v>
      </c>
      <c r="K52" s="96" t="s">
        <v>204</v>
      </c>
      <c r="L52" s="96" t="s">
        <v>203</v>
      </c>
      <c r="M52" s="96" t="s">
        <v>373</v>
      </c>
      <c r="N52" s="96" t="s">
        <v>547</v>
      </c>
      <c r="O52" s="96" t="s">
        <v>746</v>
      </c>
      <c r="P52" s="100">
        <v>45583</v>
      </c>
      <c r="Q52" s="96" t="s">
        <v>338</v>
      </c>
      <c r="R52" s="96" t="s">
        <v>1201</v>
      </c>
      <c r="S52" s="97">
        <v>45</v>
      </c>
      <c r="T52" s="97">
        <v>-75.212840999999997</v>
      </c>
      <c r="U52" s="97">
        <v>3.7589999999999999</v>
      </c>
      <c r="V52" s="97">
        <v>100</v>
      </c>
      <c r="W52" s="97">
        <v>-28.272507000000001</v>
      </c>
      <c r="X52" s="98">
        <v>-3.9093999999999997E-2</v>
      </c>
      <c r="Y52" s="98">
        <v>-1.4E-5</v>
      </c>
      <c r="Z52" s="106"/>
    </row>
    <row r="53" spans="1:26" ht="15" customHeight="1">
      <c r="A53" s="106"/>
      <c r="B53" s="96">
        <v>286</v>
      </c>
      <c r="C53" s="96">
        <v>286</v>
      </c>
      <c r="D53" s="96" t="s">
        <v>3372</v>
      </c>
      <c r="E53" s="96" t="s">
        <v>3373</v>
      </c>
      <c r="F53" s="96" t="s">
        <v>310</v>
      </c>
      <c r="G53" s="96" t="s">
        <v>3413</v>
      </c>
      <c r="H53" s="96" t="s">
        <v>3395</v>
      </c>
      <c r="I53" s="96" t="s">
        <v>136</v>
      </c>
      <c r="J53" s="96" t="s">
        <v>972</v>
      </c>
      <c r="K53" s="96" t="s">
        <v>204</v>
      </c>
      <c r="L53" s="96" t="s">
        <v>203</v>
      </c>
      <c r="M53" s="96" t="s">
        <v>345</v>
      </c>
      <c r="N53" s="96" t="s">
        <v>547</v>
      </c>
      <c r="O53" s="96" t="s">
        <v>746</v>
      </c>
      <c r="P53" s="100">
        <v>45520</v>
      </c>
      <c r="Q53" s="96" t="s">
        <v>338</v>
      </c>
      <c r="R53" s="96" t="s">
        <v>1201</v>
      </c>
      <c r="S53" s="97">
        <v>135</v>
      </c>
      <c r="T53" s="97">
        <v>-9.0255410000000005</v>
      </c>
      <c r="U53" s="97">
        <v>3.7589999999999999</v>
      </c>
      <c r="V53" s="97">
        <v>690</v>
      </c>
      <c r="W53" s="97">
        <v>-23.409635999999999</v>
      </c>
      <c r="X53" s="98">
        <v>-3.2370000000000003E-2</v>
      </c>
      <c r="Y53" s="98">
        <v>-1.2E-5</v>
      </c>
      <c r="Z53" s="106"/>
    </row>
    <row r="54" spans="1:26" ht="15" customHeight="1">
      <c r="A54" s="106"/>
      <c r="B54" s="96">
        <v>286</v>
      </c>
      <c r="C54" s="96">
        <v>286</v>
      </c>
      <c r="D54" s="96" t="s">
        <v>3362</v>
      </c>
      <c r="E54" s="96" t="s">
        <v>3363</v>
      </c>
      <c r="F54" s="96" t="s">
        <v>310</v>
      </c>
      <c r="G54" s="96" t="s">
        <v>3425</v>
      </c>
      <c r="H54" s="96" t="s">
        <v>3426</v>
      </c>
      <c r="I54" s="96" t="s">
        <v>136</v>
      </c>
      <c r="J54" s="96" t="s">
        <v>972</v>
      </c>
      <c r="K54" s="96" t="s">
        <v>204</v>
      </c>
      <c r="L54" s="96" t="s">
        <v>223</v>
      </c>
      <c r="M54" s="96" t="s">
        <v>359</v>
      </c>
      <c r="N54" s="96" t="s">
        <v>557</v>
      </c>
      <c r="O54" s="96" t="s">
        <v>746</v>
      </c>
      <c r="P54" s="100">
        <v>45555</v>
      </c>
      <c r="Q54" s="96" t="s">
        <v>338</v>
      </c>
      <c r="R54" s="96" t="s">
        <v>1201</v>
      </c>
      <c r="S54" s="97">
        <v>75</v>
      </c>
      <c r="T54" s="97">
        <v>-1.6005290000000001</v>
      </c>
      <c r="U54" s="97">
        <v>3.7589999999999999</v>
      </c>
      <c r="V54" s="97">
        <v>320</v>
      </c>
      <c r="W54" s="97">
        <v>-1.925244</v>
      </c>
      <c r="X54" s="98">
        <v>-2.6619999999999999E-3</v>
      </c>
      <c r="Y54" s="98">
        <v>-9.9999999999999995E-7</v>
      </c>
      <c r="Z54" s="106"/>
    </row>
    <row r="55" spans="1:26" ht="15" customHeight="1">
      <c r="A55" s="106"/>
      <c r="B55" s="96">
        <v>286</v>
      </c>
      <c r="C55" s="96">
        <v>286</v>
      </c>
      <c r="D55" s="96" t="s">
        <v>3376</v>
      </c>
      <c r="E55" s="96" t="s">
        <v>3377</v>
      </c>
      <c r="F55" s="96" t="s">
        <v>310</v>
      </c>
      <c r="G55" s="96" t="s">
        <v>3405</v>
      </c>
      <c r="H55" s="96" t="s">
        <v>3406</v>
      </c>
      <c r="I55" s="96" t="s">
        <v>136</v>
      </c>
      <c r="J55" s="96" t="s">
        <v>972</v>
      </c>
      <c r="K55" s="96" t="s">
        <v>204</v>
      </c>
      <c r="L55" s="96" t="s">
        <v>203</v>
      </c>
      <c r="M55" s="96" t="s">
        <v>373</v>
      </c>
      <c r="N55" s="96" t="s">
        <v>547</v>
      </c>
      <c r="O55" s="96" t="s">
        <v>746</v>
      </c>
      <c r="P55" s="100">
        <v>45492</v>
      </c>
      <c r="Q55" s="96" t="s">
        <v>338</v>
      </c>
      <c r="R55" s="96" t="s">
        <v>1201</v>
      </c>
      <c r="S55" s="97">
        <v>40</v>
      </c>
      <c r="T55" s="97">
        <v>-75.212840999999997</v>
      </c>
      <c r="U55" s="97">
        <v>3.7589999999999999</v>
      </c>
      <c r="V55" s="97">
        <v>93</v>
      </c>
      <c r="W55" s="97">
        <v>-26.293431000000002</v>
      </c>
      <c r="X55" s="98">
        <v>-3.6357E-2</v>
      </c>
      <c r="Y55" s="98">
        <v>-1.2999999999999999E-5</v>
      </c>
      <c r="Z55" s="106"/>
    </row>
    <row r="56" spans="1:26" ht="15" customHeight="1">
      <c r="A56" s="106"/>
      <c r="B56" s="96">
        <v>286</v>
      </c>
      <c r="C56" s="96">
        <v>286</v>
      </c>
      <c r="D56" s="96" t="s">
        <v>3372</v>
      </c>
      <c r="E56" s="96" t="s">
        <v>3373</v>
      </c>
      <c r="F56" s="96" t="s">
        <v>310</v>
      </c>
      <c r="G56" s="96" t="s">
        <v>3374</v>
      </c>
      <c r="H56" s="96" t="s">
        <v>3375</v>
      </c>
      <c r="I56" s="96" t="s">
        <v>136</v>
      </c>
      <c r="J56" s="96" t="s">
        <v>972</v>
      </c>
      <c r="K56" s="96" t="s">
        <v>204</v>
      </c>
      <c r="L56" s="96" t="s">
        <v>203</v>
      </c>
      <c r="M56" s="96" t="s">
        <v>345</v>
      </c>
      <c r="N56" s="96" t="s">
        <v>547</v>
      </c>
      <c r="O56" s="96" t="s">
        <v>746</v>
      </c>
      <c r="P56" s="100">
        <v>45520</v>
      </c>
      <c r="Q56" s="96" t="s">
        <v>338</v>
      </c>
      <c r="R56" s="96" t="s">
        <v>1201</v>
      </c>
      <c r="S56" s="97">
        <v>85</v>
      </c>
      <c r="T56" s="97">
        <v>12.034053999999999</v>
      </c>
      <c r="U56" s="97">
        <v>3.7589999999999999</v>
      </c>
      <c r="V56" s="97">
        <v>3172</v>
      </c>
      <c r="W56" s="97">
        <v>143.48862800000001</v>
      </c>
      <c r="X56" s="98">
        <v>0.19841200000000001</v>
      </c>
      <c r="Y56" s="98">
        <v>7.3999999999999996E-5</v>
      </c>
      <c r="Z56" s="106"/>
    </row>
    <row r="57" spans="1:26" ht="15" customHeight="1">
      <c r="A57" s="106"/>
      <c r="B57" s="96">
        <v>286</v>
      </c>
      <c r="C57" s="96">
        <v>286</v>
      </c>
      <c r="D57" s="96" t="s">
        <v>3372</v>
      </c>
      <c r="E57" s="96" t="s">
        <v>3373</v>
      </c>
      <c r="F57" s="96" t="s">
        <v>310</v>
      </c>
      <c r="G57" s="96" t="s">
        <v>3394</v>
      </c>
      <c r="H57" s="96" t="s">
        <v>3395</v>
      </c>
      <c r="I57" s="96" t="s">
        <v>136</v>
      </c>
      <c r="J57" s="96" t="s">
        <v>972</v>
      </c>
      <c r="K57" s="96" t="s">
        <v>204</v>
      </c>
      <c r="L57" s="96" t="s">
        <v>203</v>
      </c>
      <c r="M57" s="96" t="s">
        <v>345</v>
      </c>
      <c r="N57" s="96" t="s">
        <v>547</v>
      </c>
      <c r="O57" s="96" t="s">
        <v>746</v>
      </c>
      <c r="P57" s="100">
        <v>45520</v>
      </c>
      <c r="Q57" s="96" t="s">
        <v>338</v>
      </c>
      <c r="R57" s="96" t="s">
        <v>1201</v>
      </c>
      <c r="S57" s="97">
        <v>115</v>
      </c>
      <c r="T57" s="97">
        <v>-3.0085130000000002</v>
      </c>
      <c r="U57" s="97">
        <v>3.7589999999999999</v>
      </c>
      <c r="V57" s="97">
        <v>1600</v>
      </c>
      <c r="W57" s="97">
        <v>-18.094404000000001</v>
      </c>
      <c r="X57" s="98">
        <v>-2.5020000000000001E-2</v>
      </c>
      <c r="Y57" s="98">
        <v>-9.0000000000000002E-6</v>
      </c>
      <c r="Z57" s="106"/>
    </row>
    <row r="58" spans="1:26" ht="15" customHeight="1">
      <c r="A58" s="106"/>
      <c r="B58" s="96">
        <v>286</v>
      </c>
      <c r="C58" s="96">
        <v>286</v>
      </c>
      <c r="D58" s="96" t="s">
        <v>3376</v>
      </c>
      <c r="E58" s="96" t="s">
        <v>3377</v>
      </c>
      <c r="F58" s="96" t="s">
        <v>310</v>
      </c>
      <c r="G58" s="96" t="s">
        <v>3378</v>
      </c>
      <c r="H58" s="96" t="s">
        <v>3379</v>
      </c>
      <c r="I58" s="96" t="s">
        <v>136</v>
      </c>
      <c r="J58" s="96" t="s">
        <v>972</v>
      </c>
      <c r="K58" s="96" t="s">
        <v>204</v>
      </c>
      <c r="L58" s="96" t="s">
        <v>203</v>
      </c>
      <c r="M58" s="96" t="s">
        <v>373</v>
      </c>
      <c r="N58" s="96" t="s">
        <v>547</v>
      </c>
      <c r="O58" s="96" t="s">
        <v>746</v>
      </c>
      <c r="P58" s="100">
        <v>45583</v>
      </c>
      <c r="Q58" s="96" t="s">
        <v>338</v>
      </c>
      <c r="R58" s="96" t="s">
        <v>1201</v>
      </c>
      <c r="S58" s="97">
        <v>40</v>
      </c>
      <c r="T58" s="97">
        <v>75.212840999999997</v>
      </c>
      <c r="U58" s="97">
        <v>3.7589999999999999</v>
      </c>
      <c r="V58" s="97">
        <v>300</v>
      </c>
      <c r="W58" s="97">
        <v>84.817520999999999</v>
      </c>
      <c r="X58" s="98">
        <v>0.117283</v>
      </c>
      <c r="Y58" s="98">
        <v>4.3999999999999999E-5</v>
      </c>
      <c r="Z58" s="106"/>
    </row>
    <row r="59" spans="1:26" ht="15" customHeight="1">
      <c r="A59" s="106"/>
      <c r="B59" s="96">
        <v>286</v>
      </c>
      <c r="C59" s="96">
        <v>286</v>
      </c>
      <c r="D59" s="96" t="s">
        <v>3362</v>
      </c>
      <c r="E59" s="96" t="s">
        <v>3363</v>
      </c>
      <c r="F59" s="96" t="s">
        <v>310</v>
      </c>
      <c r="G59" s="96" t="s">
        <v>3384</v>
      </c>
      <c r="H59" s="96" t="s">
        <v>3385</v>
      </c>
      <c r="I59" s="96" t="s">
        <v>136</v>
      </c>
      <c r="J59" s="96" t="s">
        <v>972</v>
      </c>
      <c r="K59" s="96" t="s">
        <v>204</v>
      </c>
      <c r="L59" s="96" t="s">
        <v>223</v>
      </c>
      <c r="M59" s="96" t="s">
        <v>343</v>
      </c>
      <c r="N59" s="96" t="s">
        <v>490</v>
      </c>
      <c r="O59" s="96" t="s">
        <v>746</v>
      </c>
      <c r="P59" s="100">
        <v>45611</v>
      </c>
      <c r="Q59" s="96" t="s">
        <v>338</v>
      </c>
      <c r="R59" s="96" t="s">
        <v>1201</v>
      </c>
      <c r="S59" s="97">
        <v>70</v>
      </c>
      <c r="T59" s="97">
        <v>-224.261719</v>
      </c>
      <c r="U59" s="97">
        <v>3.7589999999999999</v>
      </c>
      <c r="V59" s="97">
        <v>44</v>
      </c>
      <c r="W59" s="97">
        <v>-37.091991</v>
      </c>
      <c r="X59" s="98">
        <v>-5.1289000000000001E-2</v>
      </c>
      <c r="Y59" s="98">
        <v>-1.9000000000000001E-5</v>
      </c>
      <c r="Z59" s="106"/>
    </row>
    <row r="60" spans="1:26" ht="15" customHeight="1">
      <c r="A60" s="106"/>
      <c r="B60" s="96">
        <v>286</v>
      </c>
      <c r="C60" s="96">
        <v>286</v>
      </c>
      <c r="D60" s="96" t="s">
        <v>3362</v>
      </c>
      <c r="E60" s="96" t="s">
        <v>3363</v>
      </c>
      <c r="F60" s="96" t="s">
        <v>310</v>
      </c>
      <c r="G60" s="96" t="s">
        <v>3429</v>
      </c>
      <c r="H60" s="96" t="s">
        <v>3430</v>
      </c>
      <c r="I60" s="96" t="s">
        <v>136</v>
      </c>
      <c r="J60" s="96" t="s">
        <v>972</v>
      </c>
      <c r="K60" s="96" t="s">
        <v>204</v>
      </c>
      <c r="L60" s="96" t="s">
        <v>203</v>
      </c>
      <c r="M60" s="96" t="s">
        <v>343</v>
      </c>
      <c r="N60" s="96" t="s">
        <v>543</v>
      </c>
      <c r="O60" s="96" t="s">
        <v>746</v>
      </c>
      <c r="P60" s="100">
        <v>45520</v>
      </c>
      <c r="Q60" s="96" t="s">
        <v>338</v>
      </c>
      <c r="R60" s="96" t="s">
        <v>1201</v>
      </c>
      <c r="S60" s="97">
        <v>290</v>
      </c>
      <c r="T60" s="97">
        <v>-6.0170269999999997</v>
      </c>
      <c r="U60" s="97">
        <v>3.7589999999999999</v>
      </c>
      <c r="V60" s="97">
        <v>45</v>
      </c>
      <c r="W60" s="97">
        <v>-1.0178100000000001</v>
      </c>
      <c r="X60" s="98">
        <v>-1.407E-3</v>
      </c>
      <c r="Y60" s="98">
        <v>0</v>
      </c>
      <c r="Z60" s="106"/>
    </row>
    <row r="61" spans="1:26" ht="15" customHeight="1">
      <c r="A61" s="106"/>
      <c r="B61" s="96">
        <v>286</v>
      </c>
      <c r="C61" s="96">
        <v>286</v>
      </c>
      <c r="D61" s="96" t="s">
        <v>3362</v>
      </c>
      <c r="E61" s="96" t="s">
        <v>3363</v>
      </c>
      <c r="F61" s="96" t="s">
        <v>310</v>
      </c>
      <c r="G61" s="96" t="s">
        <v>3390</v>
      </c>
      <c r="H61" s="96" t="s">
        <v>3391</v>
      </c>
      <c r="I61" s="96" t="s">
        <v>136</v>
      </c>
      <c r="J61" s="96" t="s">
        <v>972</v>
      </c>
      <c r="K61" s="96" t="s">
        <v>204</v>
      </c>
      <c r="L61" s="96" t="s">
        <v>223</v>
      </c>
      <c r="M61" s="96" t="s">
        <v>343</v>
      </c>
      <c r="N61" s="96" t="s">
        <v>490</v>
      </c>
      <c r="O61" s="96" t="s">
        <v>746</v>
      </c>
      <c r="P61" s="100">
        <v>45611</v>
      </c>
      <c r="Q61" s="96" t="s">
        <v>338</v>
      </c>
      <c r="R61" s="96" t="s">
        <v>1201</v>
      </c>
      <c r="S61" s="97">
        <v>55</v>
      </c>
      <c r="T61" s="97">
        <v>224.261719</v>
      </c>
      <c r="U61" s="97">
        <v>3.7589999999999999</v>
      </c>
      <c r="V61" s="97">
        <v>229</v>
      </c>
      <c r="W61" s="97">
        <v>193.046954</v>
      </c>
      <c r="X61" s="98">
        <v>0.26694000000000001</v>
      </c>
      <c r="Y61" s="98">
        <v>1E-4</v>
      </c>
      <c r="Z61" s="106"/>
    </row>
    <row r="62" spans="1:26" ht="15" customHeight="1">
      <c r="A62" s="106"/>
      <c r="B62" s="96">
        <v>286</v>
      </c>
      <c r="C62" s="96">
        <v>286</v>
      </c>
      <c r="D62" s="96" t="s">
        <v>3372</v>
      </c>
      <c r="E62" s="96" t="s">
        <v>3373</v>
      </c>
      <c r="F62" s="96" t="s">
        <v>310</v>
      </c>
      <c r="G62" s="96" t="s">
        <v>3418</v>
      </c>
      <c r="H62" s="96" t="s">
        <v>3419</v>
      </c>
      <c r="I62" s="96" t="s">
        <v>136</v>
      </c>
      <c r="J62" s="96" t="s">
        <v>972</v>
      </c>
      <c r="K62" s="96" t="s">
        <v>204</v>
      </c>
      <c r="L62" s="96" t="s">
        <v>203</v>
      </c>
      <c r="M62" s="96" t="s">
        <v>345</v>
      </c>
      <c r="N62" s="96" t="s">
        <v>547</v>
      </c>
      <c r="O62" s="96" t="s">
        <v>746</v>
      </c>
      <c r="P62" s="100">
        <v>45520</v>
      </c>
      <c r="Q62" s="96" t="s">
        <v>338</v>
      </c>
      <c r="R62" s="96" t="s">
        <v>1201</v>
      </c>
      <c r="S62" s="97">
        <v>60</v>
      </c>
      <c r="T62" s="97">
        <v>-21.059595000000002</v>
      </c>
      <c r="U62" s="97">
        <v>3.7589999999999999</v>
      </c>
      <c r="V62" s="97">
        <v>230</v>
      </c>
      <c r="W62" s="97">
        <v>-18.207494000000001</v>
      </c>
      <c r="X62" s="98">
        <v>-2.5176E-2</v>
      </c>
      <c r="Y62" s="98">
        <v>-9.0000000000000002E-6</v>
      </c>
      <c r="Z62" s="106"/>
    </row>
    <row r="63" spans="1:26" ht="15" customHeight="1">
      <c r="A63" s="106"/>
      <c r="B63" s="96">
        <v>286</v>
      </c>
      <c r="C63" s="96">
        <v>286</v>
      </c>
      <c r="D63" s="96" t="s">
        <v>3376</v>
      </c>
      <c r="E63" s="96" t="s">
        <v>3377</v>
      </c>
      <c r="F63" s="96" t="s">
        <v>310</v>
      </c>
      <c r="G63" s="96" t="s">
        <v>3400</v>
      </c>
      <c r="H63" s="96" t="s">
        <v>3401</v>
      </c>
      <c r="I63" s="96" t="s">
        <v>136</v>
      </c>
      <c r="J63" s="96" t="s">
        <v>972</v>
      </c>
      <c r="K63" s="96" t="s">
        <v>204</v>
      </c>
      <c r="L63" s="96" t="s">
        <v>203</v>
      </c>
      <c r="M63" s="96" t="s">
        <v>373</v>
      </c>
      <c r="N63" s="96" t="s">
        <v>547</v>
      </c>
      <c r="O63" s="96" t="s">
        <v>746</v>
      </c>
      <c r="P63" s="100">
        <v>45492</v>
      </c>
      <c r="Q63" s="96" t="s">
        <v>338</v>
      </c>
      <c r="R63" s="96" t="s">
        <v>1201</v>
      </c>
      <c r="S63" s="97">
        <v>25</v>
      </c>
      <c r="T63" s="97">
        <v>-102.28946500000001</v>
      </c>
      <c r="U63" s="97">
        <v>3.7589999999999999</v>
      </c>
      <c r="V63" s="97">
        <v>10</v>
      </c>
      <c r="W63" s="97">
        <v>-3.8450600000000001</v>
      </c>
      <c r="X63" s="98">
        <v>-5.3160000000000004E-3</v>
      </c>
      <c r="Y63" s="98">
        <v>-1.9999999999999999E-6</v>
      </c>
      <c r="Z63" s="106"/>
    </row>
    <row r="64" spans="1:26" ht="15" customHeight="1">
      <c r="A64" s="106"/>
      <c r="B64" s="96">
        <v>286</v>
      </c>
      <c r="C64" s="96">
        <v>286</v>
      </c>
      <c r="D64" s="96" t="s">
        <v>3362</v>
      </c>
      <c r="E64" s="96" t="s">
        <v>3363</v>
      </c>
      <c r="F64" s="96" t="s">
        <v>310</v>
      </c>
      <c r="G64" s="96" t="s">
        <v>3398</v>
      </c>
      <c r="H64" s="96" t="s">
        <v>3399</v>
      </c>
      <c r="I64" s="96" t="s">
        <v>136</v>
      </c>
      <c r="J64" s="96" t="s">
        <v>972</v>
      </c>
      <c r="K64" s="96" t="s">
        <v>204</v>
      </c>
      <c r="L64" s="96" t="s">
        <v>223</v>
      </c>
      <c r="M64" s="96" t="s">
        <v>359</v>
      </c>
      <c r="N64" s="96" t="s">
        <v>557</v>
      </c>
      <c r="O64" s="96" t="s">
        <v>746</v>
      </c>
      <c r="P64" s="100">
        <v>45555</v>
      </c>
      <c r="Q64" s="96" t="s">
        <v>338</v>
      </c>
      <c r="R64" s="96" t="s">
        <v>1201</v>
      </c>
      <c r="S64" s="97">
        <v>65</v>
      </c>
      <c r="T64" s="97">
        <v>1.6005290000000001</v>
      </c>
      <c r="U64" s="97">
        <v>3.7589999999999999</v>
      </c>
      <c r="V64" s="97">
        <v>1250</v>
      </c>
      <c r="W64" s="97">
        <v>7.520486</v>
      </c>
      <c r="X64" s="98">
        <v>1.0399E-2</v>
      </c>
      <c r="Y64" s="98">
        <v>3.0000000000000001E-6</v>
      </c>
      <c r="Z64" s="106"/>
    </row>
    <row r="65" spans="1:26" ht="15" customHeight="1">
      <c r="A65" s="106"/>
      <c r="B65" s="96">
        <v>286</v>
      </c>
      <c r="C65" s="96">
        <v>286</v>
      </c>
      <c r="D65" s="96" t="s">
        <v>3372</v>
      </c>
      <c r="E65" s="96" t="s">
        <v>3373</v>
      </c>
      <c r="F65" s="96" t="s">
        <v>310</v>
      </c>
      <c r="G65" s="96" t="s">
        <v>3382</v>
      </c>
      <c r="H65" s="96" t="s">
        <v>3383</v>
      </c>
      <c r="I65" s="96" t="s">
        <v>136</v>
      </c>
      <c r="J65" s="96" t="s">
        <v>972</v>
      </c>
      <c r="K65" s="96" t="s">
        <v>204</v>
      </c>
      <c r="L65" s="96" t="s">
        <v>203</v>
      </c>
      <c r="M65" s="96" t="s">
        <v>345</v>
      </c>
      <c r="N65" s="96" t="s">
        <v>547</v>
      </c>
      <c r="O65" s="96" t="s">
        <v>746</v>
      </c>
      <c r="P65" s="100">
        <v>45611</v>
      </c>
      <c r="Q65" s="96" t="s">
        <v>338</v>
      </c>
      <c r="R65" s="96" t="s">
        <v>1201</v>
      </c>
      <c r="S65" s="97">
        <v>125</v>
      </c>
      <c r="T65" s="97">
        <v>-30.085135999999999</v>
      </c>
      <c r="U65" s="97">
        <v>3.7589999999999999</v>
      </c>
      <c r="V65" s="97">
        <v>1860</v>
      </c>
      <c r="W65" s="97">
        <v>-210.347454</v>
      </c>
      <c r="X65" s="98">
        <v>-0.29086299999999998</v>
      </c>
      <c r="Y65" s="98">
        <v>-1.0900000000000001E-4</v>
      </c>
      <c r="Z65" s="106"/>
    </row>
    <row r="66" spans="1:26" ht="15" customHeight="1">
      <c r="A66" s="106"/>
      <c r="B66" s="96">
        <v>286</v>
      </c>
      <c r="C66" s="96">
        <v>286</v>
      </c>
      <c r="D66" s="96" t="s">
        <v>3362</v>
      </c>
      <c r="E66" s="96" t="s">
        <v>3363</v>
      </c>
      <c r="F66" s="96" t="s">
        <v>310</v>
      </c>
      <c r="G66" s="96" t="s">
        <v>3422</v>
      </c>
      <c r="H66" s="96" t="s">
        <v>3422</v>
      </c>
      <c r="I66" s="96" t="s">
        <v>136</v>
      </c>
      <c r="J66" s="96" t="s">
        <v>972</v>
      </c>
      <c r="K66" s="96" t="s">
        <v>204</v>
      </c>
      <c r="L66" s="96" t="s">
        <v>203</v>
      </c>
      <c r="M66" s="96" t="s">
        <v>343</v>
      </c>
      <c r="N66" s="96" t="s">
        <v>533</v>
      </c>
      <c r="O66" s="96" t="s">
        <v>746</v>
      </c>
      <c r="P66" s="100">
        <v>45555</v>
      </c>
      <c r="Q66" s="96" t="s">
        <v>338</v>
      </c>
      <c r="R66" s="96" t="s">
        <v>1201</v>
      </c>
      <c r="S66" s="97">
        <v>16</v>
      </c>
      <c r="T66" s="97">
        <v>-108.30649200000001</v>
      </c>
      <c r="U66" s="97">
        <v>3.7589999999999999</v>
      </c>
      <c r="V66" s="97">
        <v>141</v>
      </c>
      <c r="W66" s="97">
        <v>-57.404497999999997</v>
      </c>
      <c r="X66" s="98">
        <v>-7.9377000000000003E-2</v>
      </c>
      <c r="Y66" s="98">
        <v>-2.9E-5</v>
      </c>
      <c r="Z66" s="106"/>
    </row>
    <row r="67" spans="1:26" ht="15" customHeight="1">
      <c r="A67" s="106"/>
      <c r="B67" s="96">
        <v>286</v>
      </c>
      <c r="C67" s="96">
        <v>286</v>
      </c>
      <c r="D67" s="96" t="s">
        <v>3372</v>
      </c>
      <c r="E67" s="96" t="s">
        <v>3373</v>
      </c>
      <c r="F67" s="96" t="s">
        <v>310</v>
      </c>
      <c r="G67" s="96" t="s">
        <v>3420</v>
      </c>
      <c r="H67" s="96" t="s">
        <v>3421</v>
      </c>
      <c r="I67" s="96" t="s">
        <v>136</v>
      </c>
      <c r="J67" s="96" t="s">
        <v>972</v>
      </c>
      <c r="K67" s="96" t="s">
        <v>204</v>
      </c>
      <c r="L67" s="96" t="s">
        <v>203</v>
      </c>
      <c r="M67" s="96" t="s">
        <v>345</v>
      </c>
      <c r="N67" s="96" t="s">
        <v>547</v>
      </c>
      <c r="O67" s="96" t="s">
        <v>746</v>
      </c>
      <c r="P67" s="100">
        <v>45611</v>
      </c>
      <c r="Q67" s="96" t="s">
        <v>338</v>
      </c>
      <c r="R67" s="96" t="s">
        <v>1201</v>
      </c>
      <c r="S67" s="97">
        <v>80</v>
      </c>
      <c r="T67" s="97">
        <v>-15.042567999999999</v>
      </c>
      <c r="U67" s="97">
        <v>3.7589999999999999</v>
      </c>
      <c r="V67" s="97">
        <v>185</v>
      </c>
      <c r="W67" s="97">
        <v>-10.460827</v>
      </c>
      <c r="X67" s="98">
        <v>-1.4463999999999999E-2</v>
      </c>
      <c r="Y67" s="98">
        <v>-5.0000000000000004E-6</v>
      </c>
      <c r="Z67" s="106"/>
    </row>
    <row r="68" spans="1:26" ht="15" customHeight="1">
      <c r="A68" s="106"/>
      <c r="B68" s="96">
        <v>286</v>
      </c>
      <c r="C68" s="96">
        <v>286</v>
      </c>
      <c r="D68" s="96" t="s">
        <v>3362</v>
      </c>
      <c r="E68" s="96" t="s">
        <v>3363</v>
      </c>
      <c r="F68" s="96" t="s">
        <v>310</v>
      </c>
      <c r="G68" s="96" t="s">
        <v>3412</v>
      </c>
      <c r="H68" s="96" t="s">
        <v>3411</v>
      </c>
      <c r="I68" s="96" t="s">
        <v>136</v>
      </c>
      <c r="J68" s="96" t="s">
        <v>972</v>
      </c>
      <c r="K68" s="96" t="s">
        <v>204</v>
      </c>
      <c r="L68" s="96" t="s">
        <v>203</v>
      </c>
      <c r="M68" s="96" t="s">
        <v>343</v>
      </c>
      <c r="N68" s="96" t="s">
        <v>543</v>
      </c>
      <c r="O68" s="96" t="s">
        <v>746</v>
      </c>
      <c r="P68" s="100">
        <v>45611</v>
      </c>
      <c r="Q68" s="96" t="s">
        <v>338</v>
      </c>
      <c r="R68" s="96" t="s">
        <v>1201</v>
      </c>
      <c r="S68" s="97">
        <v>210</v>
      </c>
      <c r="T68" s="97">
        <v>-18.051082000000001</v>
      </c>
      <c r="U68" s="97">
        <v>3.7589999999999999</v>
      </c>
      <c r="V68" s="97">
        <v>608</v>
      </c>
      <c r="W68" s="97">
        <v>-41.255242000000003</v>
      </c>
      <c r="X68" s="98">
        <v>-5.7045999999999999E-2</v>
      </c>
      <c r="Y68" s="98">
        <v>-2.0999999999999999E-5</v>
      </c>
      <c r="Z68" s="106"/>
    </row>
    <row r="69" spans="1:26" ht="15" customHeight="1">
      <c r="A69" s="106"/>
      <c r="B69" s="96">
        <v>286</v>
      </c>
      <c r="C69" s="96">
        <v>286</v>
      </c>
      <c r="D69" s="96" t="s">
        <v>3368</v>
      </c>
      <c r="E69" s="96" t="s">
        <v>3369</v>
      </c>
      <c r="F69" s="96" t="s">
        <v>310</v>
      </c>
      <c r="G69" s="96" t="s">
        <v>3407</v>
      </c>
      <c r="H69" s="96" t="s">
        <v>3407</v>
      </c>
      <c r="I69" s="96" t="s">
        <v>136</v>
      </c>
      <c r="J69" s="96" t="s">
        <v>973</v>
      </c>
      <c r="K69" s="96" t="s">
        <v>204</v>
      </c>
      <c r="L69" s="96" t="s">
        <v>223</v>
      </c>
      <c r="M69" s="96" t="s">
        <v>359</v>
      </c>
      <c r="N69" s="96" t="s">
        <v>568</v>
      </c>
      <c r="O69" s="96" t="s">
        <v>746</v>
      </c>
      <c r="P69" s="100">
        <v>45504</v>
      </c>
      <c r="Q69" s="96" t="s">
        <v>338</v>
      </c>
      <c r="R69" s="96" t="s">
        <v>1201</v>
      </c>
      <c r="S69" s="97">
        <v>4800</v>
      </c>
      <c r="T69" s="97">
        <v>16.677928999999999</v>
      </c>
      <c r="U69" s="97">
        <v>3.7589999999999999</v>
      </c>
      <c r="V69" s="97">
        <v>265</v>
      </c>
      <c r="W69" s="97">
        <v>16.613468999999998</v>
      </c>
      <c r="X69" s="98">
        <v>2.2971999999999999E-2</v>
      </c>
      <c r="Y69" s="98">
        <v>7.9999999999999996E-6</v>
      </c>
      <c r="Z69" s="106"/>
    </row>
    <row r="70" spans="1:26" ht="15" customHeight="1">
      <c r="A70" s="106"/>
      <c r="B70" s="96">
        <v>286</v>
      </c>
      <c r="C70" s="96">
        <v>286</v>
      </c>
      <c r="D70" s="96" t="s">
        <v>3362</v>
      </c>
      <c r="E70" s="96" t="s">
        <v>3363</v>
      </c>
      <c r="F70" s="96" t="s">
        <v>310</v>
      </c>
      <c r="G70" s="96" t="s">
        <v>3423</v>
      </c>
      <c r="H70" s="96" t="s">
        <v>3424</v>
      </c>
      <c r="I70" s="96" t="s">
        <v>136</v>
      </c>
      <c r="J70" s="96" t="s">
        <v>972</v>
      </c>
      <c r="K70" s="96" t="s">
        <v>204</v>
      </c>
      <c r="L70" s="96" t="s">
        <v>203</v>
      </c>
      <c r="M70" s="96" t="s">
        <v>343</v>
      </c>
      <c r="N70" s="96" t="s">
        <v>543</v>
      </c>
      <c r="O70" s="96" t="s">
        <v>746</v>
      </c>
      <c r="P70" s="100">
        <v>45520</v>
      </c>
      <c r="Q70" s="96" t="s">
        <v>338</v>
      </c>
      <c r="R70" s="96" t="s">
        <v>1201</v>
      </c>
      <c r="S70" s="97">
        <v>230</v>
      </c>
      <c r="T70" s="97">
        <v>7.8221350000000003</v>
      </c>
      <c r="U70" s="97">
        <v>3.7589999999999999</v>
      </c>
      <c r="V70" s="97">
        <v>30</v>
      </c>
      <c r="W70" s="97">
        <v>0.88210200000000005</v>
      </c>
      <c r="X70" s="98">
        <v>1.219E-3</v>
      </c>
      <c r="Y70" s="98">
        <v>0</v>
      </c>
      <c r="Z70" s="106"/>
    </row>
    <row r="71" spans="1:26" ht="15" customHeight="1">
      <c r="A71" s="106"/>
      <c r="B71" s="96">
        <v>286</v>
      </c>
      <c r="C71" s="96">
        <v>286</v>
      </c>
      <c r="D71" s="96" t="s">
        <v>3362</v>
      </c>
      <c r="E71" s="96" t="s">
        <v>3363</v>
      </c>
      <c r="F71" s="96" t="s">
        <v>310</v>
      </c>
      <c r="G71" s="96" t="s">
        <v>3402</v>
      </c>
      <c r="H71" s="96" t="s">
        <v>3402</v>
      </c>
      <c r="I71" s="96" t="s">
        <v>136</v>
      </c>
      <c r="J71" s="96" t="s">
        <v>972</v>
      </c>
      <c r="K71" s="96" t="s">
        <v>204</v>
      </c>
      <c r="L71" s="96" t="s">
        <v>203</v>
      </c>
      <c r="M71" s="96" t="s">
        <v>343</v>
      </c>
      <c r="N71" s="96" t="s">
        <v>533</v>
      </c>
      <c r="O71" s="96" t="s">
        <v>746</v>
      </c>
      <c r="P71" s="100">
        <v>45555</v>
      </c>
      <c r="Q71" s="96" t="s">
        <v>338</v>
      </c>
      <c r="R71" s="96" t="s">
        <v>1201</v>
      </c>
      <c r="S71" s="97">
        <v>14</v>
      </c>
      <c r="T71" s="97">
        <v>108.30649200000001</v>
      </c>
      <c r="U71" s="97">
        <v>3.7589999999999999</v>
      </c>
      <c r="V71" s="97">
        <v>274</v>
      </c>
      <c r="W71" s="97">
        <v>111.552004</v>
      </c>
      <c r="X71" s="98">
        <v>0.154251</v>
      </c>
      <c r="Y71" s="98">
        <v>5.8E-5</v>
      </c>
      <c r="Z71" s="106"/>
    </row>
    <row r="72" spans="1:26" ht="15" customHeight="1">
      <c r="A72" s="106"/>
      <c r="B72" s="96">
        <v>286</v>
      </c>
      <c r="C72" s="96">
        <v>286</v>
      </c>
      <c r="D72" s="96" t="s">
        <v>3368</v>
      </c>
      <c r="E72" s="96" t="s">
        <v>3369</v>
      </c>
      <c r="F72" s="96" t="s">
        <v>310</v>
      </c>
      <c r="G72" s="96" t="s">
        <v>3370</v>
      </c>
      <c r="H72" s="96" t="s">
        <v>3370</v>
      </c>
      <c r="I72" s="96" t="s">
        <v>136</v>
      </c>
      <c r="J72" s="96" t="s">
        <v>973</v>
      </c>
      <c r="K72" s="96" t="s">
        <v>204</v>
      </c>
      <c r="L72" s="96" t="s">
        <v>223</v>
      </c>
      <c r="M72" s="96" t="s">
        <v>359</v>
      </c>
      <c r="N72" s="96" t="s">
        <v>568</v>
      </c>
      <c r="O72" s="96" t="s">
        <v>746</v>
      </c>
      <c r="P72" s="100">
        <v>45565</v>
      </c>
      <c r="Q72" s="96" t="s">
        <v>338</v>
      </c>
      <c r="R72" s="96" t="s">
        <v>1201</v>
      </c>
      <c r="S72" s="97">
        <v>5200</v>
      </c>
      <c r="T72" s="97">
        <v>16.677928999999999</v>
      </c>
      <c r="U72" s="97">
        <v>3.7589999999999999</v>
      </c>
      <c r="V72" s="97">
        <v>4520</v>
      </c>
      <c r="W72" s="97">
        <v>283.36935799999998</v>
      </c>
      <c r="X72" s="98">
        <v>0.39183600000000002</v>
      </c>
      <c r="Y72" s="98">
        <v>1.47E-4</v>
      </c>
      <c r="Z72" s="106"/>
    </row>
    <row r="73" spans="1:26" ht="15" customHeight="1">
      <c r="A73" s="106"/>
      <c r="B73" s="96">
        <v>286</v>
      </c>
      <c r="C73" s="96">
        <v>286</v>
      </c>
      <c r="D73" s="96" t="s">
        <v>3362</v>
      </c>
      <c r="E73" s="96" t="s">
        <v>3363</v>
      </c>
      <c r="F73" s="96" t="s">
        <v>310</v>
      </c>
      <c r="G73" s="96" t="s">
        <v>3392</v>
      </c>
      <c r="H73" s="96" t="s">
        <v>3393</v>
      </c>
      <c r="I73" s="96" t="s">
        <v>136</v>
      </c>
      <c r="J73" s="96" t="s">
        <v>972</v>
      </c>
      <c r="K73" s="96" t="s">
        <v>204</v>
      </c>
      <c r="L73" s="96" t="s">
        <v>223</v>
      </c>
      <c r="M73" s="96" t="s">
        <v>359</v>
      </c>
      <c r="N73" s="96" t="s">
        <v>557</v>
      </c>
      <c r="O73" s="96" t="s">
        <v>746</v>
      </c>
      <c r="P73" s="100">
        <v>45646</v>
      </c>
      <c r="Q73" s="96" t="s">
        <v>338</v>
      </c>
      <c r="R73" s="96" t="s">
        <v>1201</v>
      </c>
      <c r="S73" s="97">
        <v>75</v>
      </c>
      <c r="T73" s="97">
        <v>24.068109</v>
      </c>
      <c r="U73" s="97">
        <v>3.7589999999999999</v>
      </c>
      <c r="V73" s="97">
        <v>510</v>
      </c>
      <c r="W73" s="97">
        <v>46.140731000000002</v>
      </c>
      <c r="X73" s="98">
        <v>6.3801999999999998E-2</v>
      </c>
      <c r="Y73" s="98">
        <v>2.4000000000000001E-5</v>
      </c>
      <c r="Z73" s="106"/>
    </row>
    <row r="74" spans="1:26" ht="15" customHeight="1">
      <c r="A74" s="106"/>
      <c r="B74" s="96">
        <v>286</v>
      </c>
      <c r="C74" s="96">
        <v>286</v>
      </c>
      <c r="D74" s="96" t="s">
        <v>3362</v>
      </c>
      <c r="E74" s="96" t="s">
        <v>3363</v>
      </c>
      <c r="F74" s="96" t="s">
        <v>310</v>
      </c>
      <c r="G74" s="96" t="s">
        <v>3410</v>
      </c>
      <c r="H74" s="96" t="s">
        <v>3411</v>
      </c>
      <c r="I74" s="96" t="s">
        <v>136</v>
      </c>
      <c r="J74" s="96" t="s">
        <v>972</v>
      </c>
      <c r="K74" s="96" t="s">
        <v>204</v>
      </c>
      <c r="L74" s="96" t="s">
        <v>203</v>
      </c>
      <c r="M74" s="96" t="s">
        <v>343</v>
      </c>
      <c r="N74" s="96" t="s">
        <v>543</v>
      </c>
      <c r="O74" s="96" t="s">
        <v>746</v>
      </c>
      <c r="P74" s="100">
        <v>45611</v>
      </c>
      <c r="Q74" s="96" t="s">
        <v>338</v>
      </c>
      <c r="R74" s="96" t="s">
        <v>1201</v>
      </c>
      <c r="S74" s="97">
        <v>130</v>
      </c>
      <c r="T74" s="97">
        <v>18.051082000000001</v>
      </c>
      <c r="U74" s="97">
        <v>3.7589999999999999</v>
      </c>
      <c r="V74" s="97">
        <v>401</v>
      </c>
      <c r="W74" s="97">
        <v>27.209461000000001</v>
      </c>
      <c r="X74" s="98">
        <v>3.7623999999999998E-2</v>
      </c>
      <c r="Y74" s="98">
        <v>1.4E-5</v>
      </c>
      <c r="Z74" s="106"/>
    </row>
    <row r="75" spans="1:26" ht="15" customHeight="1">
      <c r="A75" s="106"/>
      <c r="B75" s="96">
        <v>286</v>
      </c>
      <c r="C75" s="96">
        <v>286</v>
      </c>
      <c r="D75" s="96" t="s">
        <v>3368</v>
      </c>
      <c r="E75" s="96" t="s">
        <v>3369</v>
      </c>
      <c r="F75" s="96" t="s">
        <v>310</v>
      </c>
      <c r="G75" s="96" t="s">
        <v>3409</v>
      </c>
      <c r="H75" s="96" t="s">
        <v>3409</v>
      </c>
      <c r="I75" s="96" t="s">
        <v>136</v>
      </c>
      <c r="J75" s="96" t="s">
        <v>973</v>
      </c>
      <c r="K75" s="96" t="s">
        <v>204</v>
      </c>
      <c r="L75" s="96" t="s">
        <v>223</v>
      </c>
      <c r="M75" s="96" t="s">
        <v>359</v>
      </c>
      <c r="N75" s="96" t="s">
        <v>568</v>
      </c>
      <c r="O75" s="96" t="s">
        <v>746</v>
      </c>
      <c r="P75" s="100">
        <v>45565</v>
      </c>
      <c r="Q75" s="96" t="s">
        <v>338</v>
      </c>
      <c r="R75" s="96" t="s">
        <v>1201</v>
      </c>
      <c r="S75" s="97">
        <v>4700</v>
      </c>
      <c r="T75" s="97">
        <v>-16.677928999999999</v>
      </c>
      <c r="U75" s="97">
        <v>3.7589999999999999</v>
      </c>
      <c r="V75" s="97">
        <v>1425</v>
      </c>
      <c r="W75" s="97">
        <v>-89.336578000000003</v>
      </c>
      <c r="X75" s="98">
        <v>-0.123532</v>
      </c>
      <c r="Y75" s="98">
        <v>-4.6E-5</v>
      </c>
      <c r="Z75" s="106"/>
    </row>
    <row r="76" spans="1:26" ht="15" customHeight="1">
      <c r="A76" s="106"/>
      <c r="B76" s="96">
        <v>286</v>
      </c>
      <c r="C76" s="96">
        <v>286</v>
      </c>
      <c r="D76" s="96" t="s">
        <v>3372</v>
      </c>
      <c r="E76" s="96" t="s">
        <v>3373</v>
      </c>
      <c r="F76" s="96" t="s">
        <v>310</v>
      </c>
      <c r="G76" s="96" t="s">
        <v>3388</v>
      </c>
      <c r="H76" s="96" t="s">
        <v>3389</v>
      </c>
      <c r="I76" s="96" t="s">
        <v>136</v>
      </c>
      <c r="J76" s="96" t="s">
        <v>972</v>
      </c>
      <c r="K76" s="96" t="s">
        <v>204</v>
      </c>
      <c r="L76" s="96" t="s">
        <v>203</v>
      </c>
      <c r="M76" s="96" t="s">
        <v>359</v>
      </c>
      <c r="N76" s="96" t="s">
        <v>547</v>
      </c>
      <c r="O76" s="96" t="s">
        <v>746</v>
      </c>
      <c r="P76" s="100">
        <v>45520</v>
      </c>
      <c r="Q76" s="96" t="s">
        <v>338</v>
      </c>
      <c r="R76" s="96" t="s">
        <v>1201</v>
      </c>
      <c r="S76" s="97">
        <v>210</v>
      </c>
      <c r="T76" s="97">
        <v>12.034053999999999</v>
      </c>
      <c r="U76" s="97">
        <v>3.7589999999999999</v>
      </c>
      <c r="V76" s="97">
        <v>595</v>
      </c>
      <c r="W76" s="97">
        <v>26.915426</v>
      </c>
      <c r="X76" s="98">
        <v>3.7217E-2</v>
      </c>
      <c r="Y76" s="98">
        <v>1.4E-5</v>
      </c>
      <c r="Z76" s="106"/>
    </row>
    <row r="77" spans="1:26" ht="15" customHeight="1">
      <c r="A77" s="106"/>
      <c r="B77" s="96">
        <v>286</v>
      </c>
      <c r="C77" s="96">
        <v>9803</v>
      </c>
      <c r="D77" s="96" t="s">
        <v>2608</v>
      </c>
      <c r="E77" s="96">
        <v>520020033</v>
      </c>
      <c r="F77" s="96" t="s">
        <v>308</v>
      </c>
      <c r="G77" s="96" t="s">
        <v>3360</v>
      </c>
      <c r="H77" s="96" t="s">
        <v>3361</v>
      </c>
      <c r="I77" s="96" t="s">
        <v>320</v>
      </c>
      <c r="J77" s="96" t="s">
        <v>972</v>
      </c>
      <c r="K77" s="96" t="s">
        <v>203</v>
      </c>
      <c r="L77" s="96" t="s">
        <v>203</v>
      </c>
      <c r="M77" s="96" t="s">
        <v>339</v>
      </c>
      <c r="N77" s="96" t="s">
        <v>447</v>
      </c>
      <c r="O77" s="96" t="s">
        <v>746</v>
      </c>
      <c r="P77" s="100">
        <v>45499</v>
      </c>
      <c r="Q77" s="96" t="s">
        <v>338</v>
      </c>
      <c r="R77" s="96" t="s">
        <v>1200</v>
      </c>
      <c r="S77" s="97">
        <v>3000</v>
      </c>
      <c r="T77" s="97">
        <v>-0.10323499999999999</v>
      </c>
      <c r="U77" s="97">
        <v>1</v>
      </c>
      <c r="V77" s="97">
        <v>17100</v>
      </c>
      <c r="W77" s="97">
        <v>-1.7652999999999999E-2</v>
      </c>
      <c r="X77" s="98">
        <v>-4.529E-3</v>
      </c>
      <c r="Y77" s="98">
        <v>-9.9999999999999995E-7</v>
      </c>
      <c r="Z77" s="106"/>
    </row>
    <row r="78" spans="1:26" ht="15" customHeight="1">
      <c r="A78" s="106"/>
      <c r="B78" s="96">
        <v>286</v>
      </c>
      <c r="C78" s="96">
        <v>9803</v>
      </c>
      <c r="D78" s="96" t="s">
        <v>2608</v>
      </c>
      <c r="E78" s="96">
        <v>520020033</v>
      </c>
      <c r="F78" s="96" t="s">
        <v>308</v>
      </c>
      <c r="G78" s="96" t="s">
        <v>3358</v>
      </c>
      <c r="H78" s="96" t="s">
        <v>3359</v>
      </c>
      <c r="I78" s="96" t="s">
        <v>320</v>
      </c>
      <c r="J78" s="96" t="s">
        <v>972</v>
      </c>
      <c r="K78" s="96" t="s">
        <v>203</v>
      </c>
      <c r="L78" s="96" t="s">
        <v>203</v>
      </c>
      <c r="M78" s="96" t="s">
        <v>339</v>
      </c>
      <c r="N78" s="96" t="s">
        <v>447</v>
      </c>
      <c r="O78" s="96" t="s">
        <v>746</v>
      </c>
      <c r="P78" s="100">
        <v>45499</v>
      </c>
      <c r="Q78" s="96" t="s">
        <v>338</v>
      </c>
      <c r="R78" s="96" t="s">
        <v>1200</v>
      </c>
      <c r="S78" s="97">
        <v>3000</v>
      </c>
      <c r="T78" s="97">
        <v>0.10323499999999999</v>
      </c>
      <c r="U78" s="97">
        <v>1</v>
      </c>
      <c r="V78" s="97">
        <v>192300</v>
      </c>
      <c r="W78" s="97">
        <v>0.198522</v>
      </c>
      <c r="X78" s="98">
        <v>5.0932999999999999E-2</v>
      </c>
      <c r="Y78" s="98">
        <v>1.1E-5</v>
      </c>
      <c r="Z78" s="106"/>
    </row>
    <row r="79" spans="1:26" ht="15" customHeight="1">
      <c r="A79" s="106"/>
      <c r="B79" s="96">
        <v>286</v>
      </c>
      <c r="C79" s="96">
        <v>9803</v>
      </c>
      <c r="D79" s="96" t="s">
        <v>3362</v>
      </c>
      <c r="E79" s="96" t="s">
        <v>3363</v>
      </c>
      <c r="F79" s="96" t="s">
        <v>310</v>
      </c>
      <c r="G79" s="96" t="s">
        <v>3364</v>
      </c>
      <c r="H79" s="96" t="s">
        <v>3365</v>
      </c>
      <c r="I79" s="96" t="s">
        <v>320</v>
      </c>
      <c r="J79" s="96" t="s">
        <v>972</v>
      </c>
      <c r="K79" s="96" t="s">
        <v>204</v>
      </c>
      <c r="L79" s="96" t="s">
        <v>223</v>
      </c>
      <c r="M79" s="96" t="s">
        <v>343</v>
      </c>
      <c r="N79" s="96" t="s">
        <v>550</v>
      </c>
      <c r="O79" s="96" t="s">
        <v>746</v>
      </c>
      <c r="P79" s="100">
        <v>46752</v>
      </c>
      <c r="Q79" s="96" t="s">
        <v>338</v>
      </c>
      <c r="R79" s="96" t="s">
        <v>1201</v>
      </c>
      <c r="S79" s="97">
        <v>11.5</v>
      </c>
      <c r="T79" s="97">
        <v>5.6457160000000002</v>
      </c>
      <c r="U79" s="97">
        <v>3.7589999999999999</v>
      </c>
      <c r="V79" s="97">
        <v>6.5</v>
      </c>
      <c r="W79" s="97">
        <v>1.379E-3</v>
      </c>
      <c r="X79" s="98">
        <v>3.5300000000000002E-4</v>
      </c>
      <c r="Y79" s="98">
        <v>0</v>
      </c>
      <c r="Z79" s="106"/>
    </row>
    <row r="80" spans="1:26" ht="15" customHeight="1">
      <c r="A80" s="106"/>
      <c r="B80" s="96">
        <v>286</v>
      </c>
      <c r="C80" s="96">
        <v>9803</v>
      </c>
      <c r="D80" s="96" t="s">
        <v>3376</v>
      </c>
      <c r="E80" s="96" t="s">
        <v>3377</v>
      </c>
      <c r="F80" s="96" t="s">
        <v>310</v>
      </c>
      <c r="G80" s="96" t="s">
        <v>3403</v>
      </c>
      <c r="H80" s="96" t="s">
        <v>3404</v>
      </c>
      <c r="I80" s="96" t="s">
        <v>136</v>
      </c>
      <c r="J80" s="96" t="s">
        <v>972</v>
      </c>
      <c r="K80" s="96" t="s">
        <v>204</v>
      </c>
      <c r="L80" s="96" t="s">
        <v>203</v>
      </c>
      <c r="M80" s="96" t="s">
        <v>373</v>
      </c>
      <c r="N80" s="96" t="s">
        <v>547</v>
      </c>
      <c r="O80" s="96" t="s">
        <v>746</v>
      </c>
      <c r="P80" s="100">
        <v>45492</v>
      </c>
      <c r="Q80" s="96" t="s">
        <v>338</v>
      </c>
      <c r="R80" s="96" t="s">
        <v>1201</v>
      </c>
      <c r="S80" s="97">
        <v>33</v>
      </c>
      <c r="T80" s="97">
        <v>0.80652999999999997</v>
      </c>
      <c r="U80" s="97">
        <v>3.7589999999999999</v>
      </c>
      <c r="V80" s="97">
        <v>640</v>
      </c>
      <c r="W80" s="97">
        <v>1.9403189999999999</v>
      </c>
      <c r="X80" s="98">
        <v>0.49781199999999998</v>
      </c>
      <c r="Y80" s="98">
        <v>1.16E-4</v>
      </c>
      <c r="Z80" s="106"/>
    </row>
    <row r="81" spans="1:26" ht="15" customHeight="1">
      <c r="A81" s="106"/>
      <c r="B81" s="96">
        <v>286</v>
      </c>
      <c r="C81" s="96">
        <v>9803</v>
      </c>
      <c r="D81" s="96" t="s">
        <v>3376</v>
      </c>
      <c r="E81" s="96" t="s">
        <v>3377</v>
      </c>
      <c r="F81" s="96" t="s">
        <v>310</v>
      </c>
      <c r="G81" s="96" t="s">
        <v>3378</v>
      </c>
      <c r="H81" s="96" t="s">
        <v>3379</v>
      </c>
      <c r="I81" s="96" t="s">
        <v>136</v>
      </c>
      <c r="J81" s="96" t="s">
        <v>972</v>
      </c>
      <c r="K81" s="96" t="s">
        <v>204</v>
      </c>
      <c r="L81" s="96" t="s">
        <v>203</v>
      </c>
      <c r="M81" s="96" t="s">
        <v>373</v>
      </c>
      <c r="N81" s="96" t="s">
        <v>547</v>
      </c>
      <c r="O81" s="96" t="s">
        <v>746</v>
      </c>
      <c r="P81" s="100">
        <v>45583</v>
      </c>
      <c r="Q81" s="96" t="s">
        <v>338</v>
      </c>
      <c r="R81" s="96" t="s">
        <v>1201</v>
      </c>
      <c r="S81" s="97">
        <v>40</v>
      </c>
      <c r="T81" s="97">
        <v>0.80652999999999997</v>
      </c>
      <c r="U81" s="97">
        <v>3.7589999999999999</v>
      </c>
      <c r="V81" s="97">
        <v>300</v>
      </c>
      <c r="W81" s="97">
        <v>0.909524</v>
      </c>
      <c r="X81" s="98">
        <v>0.233349</v>
      </c>
      <c r="Y81" s="98">
        <v>5.3999999999999998E-5</v>
      </c>
      <c r="Z81" s="106"/>
    </row>
    <row r="82" spans="1:26" ht="15" customHeight="1">
      <c r="A82" s="106"/>
      <c r="B82" s="96">
        <v>286</v>
      </c>
      <c r="C82" s="96">
        <v>9803</v>
      </c>
      <c r="D82" s="96" t="s">
        <v>3362</v>
      </c>
      <c r="E82" s="96" t="s">
        <v>3363</v>
      </c>
      <c r="F82" s="96" t="s">
        <v>310</v>
      </c>
      <c r="G82" s="96" t="s">
        <v>3410</v>
      </c>
      <c r="H82" s="96" t="s">
        <v>3411</v>
      </c>
      <c r="I82" s="96" t="s">
        <v>136</v>
      </c>
      <c r="J82" s="96" t="s">
        <v>972</v>
      </c>
      <c r="K82" s="96" t="s">
        <v>204</v>
      </c>
      <c r="L82" s="96" t="s">
        <v>203</v>
      </c>
      <c r="M82" s="96" t="s">
        <v>343</v>
      </c>
      <c r="N82" s="96" t="s">
        <v>543</v>
      </c>
      <c r="O82" s="96" t="s">
        <v>746</v>
      </c>
      <c r="P82" s="100">
        <v>45611</v>
      </c>
      <c r="Q82" s="96" t="s">
        <v>338</v>
      </c>
      <c r="R82" s="96" t="s">
        <v>1201</v>
      </c>
      <c r="S82" s="97">
        <v>130</v>
      </c>
      <c r="T82" s="97">
        <v>0.19356699999999999</v>
      </c>
      <c r="U82" s="97">
        <v>3.7589999999999999</v>
      </c>
      <c r="V82" s="97">
        <v>401</v>
      </c>
      <c r="W82" s="97">
        <v>0.29177500000000001</v>
      </c>
      <c r="X82" s="98">
        <v>7.4857999999999994E-2</v>
      </c>
      <c r="Y82" s="98">
        <v>1.7E-5</v>
      </c>
      <c r="Z82" s="106"/>
    </row>
    <row r="83" spans="1:26" ht="15" customHeight="1">
      <c r="A83" s="106"/>
      <c r="B83" s="96">
        <v>286</v>
      </c>
      <c r="C83" s="96">
        <v>9803</v>
      </c>
      <c r="D83" s="96" t="s">
        <v>3362</v>
      </c>
      <c r="E83" s="96" t="s">
        <v>3363</v>
      </c>
      <c r="F83" s="96" t="s">
        <v>310</v>
      </c>
      <c r="G83" s="96" t="s">
        <v>3412</v>
      </c>
      <c r="H83" s="96" t="s">
        <v>3411</v>
      </c>
      <c r="I83" s="96" t="s">
        <v>136</v>
      </c>
      <c r="J83" s="96" t="s">
        <v>972</v>
      </c>
      <c r="K83" s="96" t="s">
        <v>204</v>
      </c>
      <c r="L83" s="96" t="s">
        <v>203</v>
      </c>
      <c r="M83" s="96" t="s">
        <v>343</v>
      </c>
      <c r="N83" s="96" t="s">
        <v>543</v>
      </c>
      <c r="O83" s="96" t="s">
        <v>746</v>
      </c>
      <c r="P83" s="100">
        <v>45611</v>
      </c>
      <c r="Q83" s="96" t="s">
        <v>338</v>
      </c>
      <c r="R83" s="96" t="s">
        <v>1201</v>
      </c>
      <c r="S83" s="97">
        <v>210</v>
      </c>
      <c r="T83" s="97">
        <v>-0.19356699999999999</v>
      </c>
      <c r="U83" s="97">
        <v>3.7589999999999999</v>
      </c>
      <c r="V83" s="97">
        <v>608</v>
      </c>
      <c r="W83" s="97">
        <v>-0.44239200000000001</v>
      </c>
      <c r="X83" s="98">
        <v>-0.113501</v>
      </c>
      <c r="Y83" s="98">
        <v>-2.5999999999999998E-5</v>
      </c>
      <c r="Z83" s="106"/>
    </row>
    <row r="84" spans="1:26" ht="15" customHeight="1">
      <c r="A84" s="106"/>
      <c r="B84" s="96">
        <v>286</v>
      </c>
      <c r="C84" s="96">
        <v>9803</v>
      </c>
      <c r="D84" s="96" t="s">
        <v>3362</v>
      </c>
      <c r="E84" s="96" t="s">
        <v>3363</v>
      </c>
      <c r="F84" s="96" t="s">
        <v>310</v>
      </c>
      <c r="G84" s="96" t="s">
        <v>3422</v>
      </c>
      <c r="H84" s="96" t="s">
        <v>3422</v>
      </c>
      <c r="I84" s="96" t="s">
        <v>136</v>
      </c>
      <c r="J84" s="96" t="s">
        <v>972</v>
      </c>
      <c r="K84" s="96" t="s">
        <v>204</v>
      </c>
      <c r="L84" s="96" t="s">
        <v>203</v>
      </c>
      <c r="M84" s="96" t="s">
        <v>343</v>
      </c>
      <c r="N84" s="96" t="s">
        <v>533</v>
      </c>
      <c r="O84" s="96" t="s">
        <v>746</v>
      </c>
      <c r="P84" s="100">
        <v>45555</v>
      </c>
      <c r="Q84" s="96" t="s">
        <v>338</v>
      </c>
      <c r="R84" s="96" t="s">
        <v>1201</v>
      </c>
      <c r="S84" s="97">
        <v>16</v>
      </c>
      <c r="T84" s="97">
        <v>-1.1614040000000001</v>
      </c>
      <c r="U84" s="97">
        <v>3.7589999999999999</v>
      </c>
      <c r="V84" s="97">
        <v>141</v>
      </c>
      <c r="W84" s="97">
        <v>-0.61556599999999995</v>
      </c>
      <c r="X84" s="98">
        <v>-0.15793099999999999</v>
      </c>
      <c r="Y84" s="98">
        <v>-3.6000000000000001E-5</v>
      </c>
      <c r="Z84" s="106"/>
    </row>
    <row r="85" spans="1:26" ht="15" customHeight="1">
      <c r="A85" s="106"/>
      <c r="B85" s="96">
        <v>286</v>
      </c>
      <c r="C85" s="96">
        <v>9803</v>
      </c>
      <c r="D85" s="96" t="s">
        <v>3362</v>
      </c>
      <c r="E85" s="96" t="s">
        <v>3363</v>
      </c>
      <c r="F85" s="96" t="s">
        <v>310</v>
      </c>
      <c r="G85" s="96" t="s">
        <v>3414</v>
      </c>
      <c r="H85" s="96" t="s">
        <v>3415</v>
      </c>
      <c r="I85" s="96" t="s">
        <v>136</v>
      </c>
      <c r="J85" s="96" t="s">
        <v>972</v>
      </c>
      <c r="K85" s="96" t="s">
        <v>204</v>
      </c>
      <c r="L85" s="96" t="s">
        <v>223</v>
      </c>
      <c r="M85" s="96" t="s">
        <v>359</v>
      </c>
      <c r="N85" s="96" t="s">
        <v>557</v>
      </c>
      <c r="O85" s="96" t="s">
        <v>746</v>
      </c>
      <c r="P85" s="100">
        <v>45646</v>
      </c>
      <c r="Q85" s="96" t="s">
        <v>338</v>
      </c>
      <c r="R85" s="96" t="s">
        <v>1201</v>
      </c>
      <c r="S85" s="97">
        <v>85</v>
      </c>
      <c r="T85" s="97">
        <v>-0.25808900000000001</v>
      </c>
      <c r="U85" s="97">
        <v>3.7589999999999999</v>
      </c>
      <c r="V85" s="97">
        <v>266</v>
      </c>
      <c r="W85" s="97">
        <v>-0.25806200000000001</v>
      </c>
      <c r="X85" s="98">
        <v>-6.6208000000000003E-2</v>
      </c>
      <c r="Y85" s="98">
        <v>-1.5E-5</v>
      </c>
      <c r="Z85" s="106"/>
    </row>
    <row r="86" spans="1:26" ht="15" customHeight="1">
      <c r="A86" s="106"/>
      <c r="B86" s="96">
        <v>286</v>
      </c>
      <c r="C86" s="96">
        <v>9803</v>
      </c>
      <c r="D86" s="96" t="s">
        <v>3372</v>
      </c>
      <c r="E86" s="96" t="s">
        <v>3373</v>
      </c>
      <c r="F86" s="96" t="s">
        <v>310</v>
      </c>
      <c r="G86" s="96" t="s">
        <v>3396</v>
      </c>
      <c r="H86" s="96" t="s">
        <v>3397</v>
      </c>
      <c r="I86" s="96" t="s">
        <v>136</v>
      </c>
      <c r="J86" s="96" t="s">
        <v>972</v>
      </c>
      <c r="K86" s="96" t="s">
        <v>204</v>
      </c>
      <c r="L86" s="96" t="s">
        <v>203</v>
      </c>
      <c r="M86" s="96" t="s">
        <v>345</v>
      </c>
      <c r="N86" s="96" t="s">
        <v>547</v>
      </c>
      <c r="O86" s="96" t="s">
        <v>746</v>
      </c>
      <c r="P86" s="100">
        <v>45520</v>
      </c>
      <c r="Q86" s="96" t="s">
        <v>338</v>
      </c>
      <c r="R86" s="96" t="s">
        <v>1201</v>
      </c>
      <c r="S86" s="97">
        <v>70</v>
      </c>
      <c r="T86" s="97">
        <v>-0.225828</v>
      </c>
      <c r="U86" s="97">
        <v>3.7589999999999999</v>
      </c>
      <c r="V86" s="97">
        <v>86</v>
      </c>
      <c r="W86" s="97">
        <v>-7.3003999999999999E-2</v>
      </c>
      <c r="X86" s="98">
        <v>-1.873E-2</v>
      </c>
      <c r="Y86" s="98">
        <v>-3.9999999999999998E-6</v>
      </c>
      <c r="Z86" s="106"/>
    </row>
    <row r="87" spans="1:26" ht="15" customHeight="1">
      <c r="A87" s="106"/>
      <c r="B87" s="96">
        <v>286</v>
      </c>
      <c r="C87" s="96">
        <v>9803</v>
      </c>
      <c r="D87" s="96" t="s">
        <v>3372</v>
      </c>
      <c r="E87" s="96" t="s">
        <v>3373</v>
      </c>
      <c r="F87" s="96" t="s">
        <v>310</v>
      </c>
      <c r="G87" s="96" t="s">
        <v>3416</v>
      </c>
      <c r="H87" s="96" t="s">
        <v>3417</v>
      </c>
      <c r="I87" s="96" t="s">
        <v>136</v>
      </c>
      <c r="J87" s="96" t="s">
        <v>972</v>
      </c>
      <c r="K87" s="96" t="s">
        <v>204</v>
      </c>
      <c r="L87" s="96" t="s">
        <v>203</v>
      </c>
      <c r="M87" s="96" t="s">
        <v>345</v>
      </c>
      <c r="N87" s="96" t="s">
        <v>547</v>
      </c>
      <c r="O87" s="96" t="s">
        <v>746</v>
      </c>
      <c r="P87" s="100">
        <v>45611</v>
      </c>
      <c r="Q87" s="96" t="s">
        <v>338</v>
      </c>
      <c r="R87" s="96" t="s">
        <v>1201</v>
      </c>
      <c r="S87" s="97">
        <v>110</v>
      </c>
      <c r="T87" s="97">
        <v>0.32261200000000001</v>
      </c>
      <c r="U87" s="97">
        <v>3.7589999999999999</v>
      </c>
      <c r="V87" s="97">
        <v>1822</v>
      </c>
      <c r="W87" s="97">
        <v>2.2095389999999999</v>
      </c>
      <c r="X87" s="98">
        <v>0.56688400000000005</v>
      </c>
      <c r="Y87" s="98">
        <v>1.3200000000000001E-4</v>
      </c>
      <c r="Z87" s="106"/>
    </row>
    <row r="88" spans="1:26" ht="15" customHeight="1">
      <c r="A88" s="106"/>
      <c r="B88" s="96">
        <v>286</v>
      </c>
      <c r="C88" s="96">
        <v>9803</v>
      </c>
      <c r="D88" s="96" t="s">
        <v>3372</v>
      </c>
      <c r="E88" s="96" t="s">
        <v>3373</v>
      </c>
      <c r="F88" s="96" t="s">
        <v>310</v>
      </c>
      <c r="G88" s="96" t="s">
        <v>3374</v>
      </c>
      <c r="H88" s="96" t="s">
        <v>3375</v>
      </c>
      <c r="I88" s="96" t="s">
        <v>136</v>
      </c>
      <c r="J88" s="96" t="s">
        <v>972</v>
      </c>
      <c r="K88" s="96" t="s">
        <v>204</v>
      </c>
      <c r="L88" s="96" t="s">
        <v>203</v>
      </c>
      <c r="M88" s="96" t="s">
        <v>345</v>
      </c>
      <c r="N88" s="96" t="s">
        <v>547</v>
      </c>
      <c r="O88" s="96" t="s">
        <v>746</v>
      </c>
      <c r="P88" s="100">
        <v>45520</v>
      </c>
      <c r="Q88" s="96" t="s">
        <v>338</v>
      </c>
      <c r="R88" s="96" t="s">
        <v>1201</v>
      </c>
      <c r="S88" s="97">
        <v>85</v>
      </c>
      <c r="T88" s="97">
        <v>0.12904399999999999</v>
      </c>
      <c r="U88" s="97">
        <v>3.7589999999999999</v>
      </c>
      <c r="V88" s="97">
        <v>3172</v>
      </c>
      <c r="W88" s="97">
        <v>1.538673</v>
      </c>
      <c r="X88" s="98">
        <v>0.39476499999999998</v>
      </c>
      <c r="Y88" s="98">
        <v>9.2E-5</v>
      </c>
      <c r="Z88" s="106"/>
    </row>
    <row r="89" spans="1:26" ht="15" customHeight="1">
      <c r="A89" s="106"/>
      <c r="B89" s="96">
        <v>286</v>
      </c>
      <c r="C89" s="96">
        <v>9803</v>
      </c>
      <c r="D89" s="96" t="s">
        <v>3376</v>
      </c>
      <c r="E89" s="96" t="s">
        <v>3377</v>
      </c>
      <c r="F89" s="96" t="s">
        <v>310</v>
      </c>
      <c r="G89" s="96" t="s">
        <v>3405</v>
      </c>
      <c r="H89" s="96" t="s">
        <v>3406</v>
      </c>
      <c r="I89" s="96" t="s">
        <v>136</v>
      </c>
      <c r="J89" s="96" t="s">
        <v>972</v>
      </c>
      <c r="K89" s="96" t="s">
        <v>204</v>
      </c>
      <c r="L89" s="96" t="s">
        <v>203</v>
      </c>
      <c r="M89" s="96" t="s">
        <v>373</v>
      </c>
      <c r="N89" s="96" t="s">
        <v>547</v>
      </c>
      <c r="O89" s="96" t="s">
        <v>746</v>
      </c>
      <c r="P89" s="100">
        <v>45492</v>
      </c>
      <c r="Q89" s="96" t="s">
        <v>338</v>
      </c>
      <c r="R89" s="96" t="s">
        <v>1201</v>
      </c>
      <c r="S89" s="97">
        <v>40</v>
      </c>
      <c r="T89" s="97">
        <v>-0.80652999999999997</v>
      </c>
      <c r="U89" s="97">
        <v>3.7589999999999999</v>
      </c>
      <c r="V89" s="97">
        <v>93</v>
      </c>
      <c r="W89" s="97">
        <v>-0.28195199999999998</v>
      </c>
      <c r="X89" s="98">
        <v>-7.2338E-2</v>
      </c>
      <c r="Y89" s="98">
        <v>-1.5999999999999999E-5</v>
      </c>
      <c r="Z89" s="106"/>
    </row>
    <row r="90" spans="1:26" ht="15" customHeight="1">
      <c r="A90" s="106"/>
      <c r="B90" s="96">
        <v>286</v>
      </c>
      <c r="C90" s="96">
        <v>9803</v>
      </c>
      <c r="D90" s="96" t="s">
        <v>3372</v>
      </c>
      <c r="E90" s="96" t="s">
        <v>3373</v>
      </c>
      <c r="F90" s="96" t="s">
        <v>310</v>
      </c>
      <c r="G90" s="96" t="s">
        <v>3380</v>
      </c>
      <c r="H90" s="96" t="s">
        <v>3381</v>
      </c>
      <c r="I90" s="96" t="s">
        <v>136</v>
      </c>
      <c r="J90" s="96" t="s">
        <v>972</v>
      </c>
      <c r="K90" s="96" t="s">
        <v>204</v>
      </c>
      <c r="L90" s="96" t="s">
        <v>203</v>
      </c>
      <c r="M90" s="96" t="s">
        <v>359</v>
      </c>
      <c r="N90" s="96" t="s">
        <v>547</v>
      </c>
      <c r="O90" s="96" t="s">
        <v>746</v>
      </c>
      <c r="P90" s="100">
        <v>45520</v>
      </c>
      <c r="Q90" s="96" t="s">
        <v>338</v>
      </c>
      <c r="R90" s="96" t="s">
        <v>1201</v>
      </c>
      <c r="S90" s="97">
        <v>270</v>
      </c>
      <c r="T90" s="97">
        <v>-4.5164999999999997E-2</v>
      </c>
      <c r="U90" s="97">
        <v>3.7589999999999999</v>
      </c>
      <c r="V90" s="97">
        <v>395</v>
      </c>
      <c r="W90" s="97">
        <v>-6.7061999999999997E-2</v>
      </c>
      <c r="X90" s="98">
        <v>-1.7205000000000002E-2</v>
      </c>
      <c r="Y90" s="98">
        <v>-3.9999999999999998E-6</v>
      </c>
      <c r="Z90" s="106"/>
    </row>
    <row r="91" spans="1:26" ht="15" customHeight="1">
      <c r="A91" s="106"/>
      <c r="B91" s="96">
        <v>286</v>
      </c>
      <c r="C91" s="96">
        <v>9803</v>
      </c>
      <c r="D91" s="96" t="s">
        <v>3376</v>
      </c>
      <c r="E91" s="96" t="s">
        <v>3377</v>
      </c>
      <c r="F91" s="96" t="s">
        <v>310</v>
      </c>
      <c r="G91" s="96" t="s">
        <v>3427</v>
      </c>
      <c r="H91" s="96" t="s">
        <v>3428</v>
      </c>
      <c r="I91" s="96" t="s">
        <v>136</v>
      </c>
      <c r="J91" s="96" t="s">
        <v>972</v>
      </c>
      <c r="K91" s="96" t="s">
        <v>204</v>
      </c>
      <c r="L91" s="96" t="s">
        <v>203</v>
      </c>
      <c r="M91" s="96" t="s">
        <v>359</v>
      </c>
      <c r="N91" s="96" t="s">
        <v>547</v>
      </c>
      <c r="O91" s="96" t="s">
        <v>746</v>
      </c>
      <c r="P91" s="100">
        <v>45583</v>
      </c>
      <c r="Q91" s="96" t="s">
        <v>338</v>
      </c>
      <c r="R91" s="96" t="s">
        <v>1201</v>
      </c>
      <c r="S91" s="97">
        <v>32</v>
      </c>
      <c r="T91" s="97">
        <v>-0.40326499999999998</v>
      </c>
      <c r="U91" s="97">
        <v>3.7589999999999999</v>
      </c>
      <c r="V91" s="97">
        <v>40</v>
      </c>
      <c r="W91" s="97">
        <v>-6.0634E-2</v>
      </c>
      <c r="X91" s="98">
        <v>-1.5556E-2</v>
      </c>
      <c r="Y91" s="98">
        <v>-3.0000000000000001E-6</v>
      </c>
      <c r="Z91" s="106"/>
    </row>
    <row r="92" spans="1:26" ht="15" customHeight="1">
      <c r="A92" s="106"/>
      <c r="B92" s="96">
        <v>286</v>
      </c>
      <c r="C92" s="96">
        <v>9803</v>
      </c>
      <c r="D92" s="96" t="s">
        <v>3362</v>
      </c>
      <c r="E92" s="96" t="s">
        <v>3363</v>
      </c>
      <c r="F92" s="96" t="s">
        <v>310</v>
      </c>
      <c r="G92" s="96" t="s">
        <v>3402</v>
      </c>
      <c r="H92" s="96" t="s">
        <v>3402</v>
      </c>
      <c r="I92" s="96" t="s">
        <v>136</v>
      </c>
      <c r="J92" s="96" t="s">
        <v>972</v>
      </c>
      <c r="K92" s="96" t="s">
        <v>204</v>
      </c>
      <c r="L92" s="96" t="s">
        <v>203</v>
      </c>
      <c r="M92" s="96" t="s">
        <v>343</v>
      </c>
      <c r="N92" s="96" t="s">
        <v>533</v>
      </c>
      <c r="O92" s="96" t="s">
        <v>746</v>
      </c>
      <c r="P92" s="100">
        <v>45555</v>
      </c>
      <c r="Q92" s="96" t="s">
        <v>338</v>
      </c>
      <c r="R92" s="96" t="s">
        <v>1201</v>
      </c>
      <c r="S92" s="97">
        <v>14</v>
      </c>
      <c r="T92" s="97">
        <v>1.1614040000000001</v>
      </c>
      <c r="U92" s="97">
        <v>3.7589999999999999</v>
      </c>
      <c r="V92" s="97">
        <v>274</v>
      </c>
      <c r="W92" s="97">
        <v>1.196207</v>
      </c>
      <c r="X92" s="98">
        <v>0.30690099999999998</v>
      </c>
      <c r="Y92" s="98">
        <v>7.1000000000000005E-5</v>
      </c>
      <c r="Z92" s="106"/>
    </row>
    <row r="93" spans="1:26" ht="15" customHeight="1">
      <c r="A93" s="106"/>
      <c r="B93" s="96">
        <v>286</v>
      </c>
      <c r="C93" s="96">
        <v>9803</v>
      </c>
      <c r="D93" s="96" t="s">
        <v>3372</v>
      </c>
      <c r="E93" s="96" t="s">
        <v>3373</v>
      </c>
      <c r="F93" s="96" t="s">
        <v>310</v>
      </c>
      <c r="G93" s="96" t="s">
        <v>3386</v>
      </c>
      <c r="H93" s="96" t="s">
        <v>3387</v>
      </c>
      <c r="I93" s="96" t="s">
        <v>136</v>
      </c>
      <c r="J93" s="96" t="s">
        <v>972</v>
      </c>
      <c r="K93" s="96" t="s">
        <v>204</v>
      </c>
      <c r="L93" s="96" t="s">
        <v>203</v>
      </c>
      <c r="M93" s="96" t="s">
        <v>359</v>
      </c>
      <c r="N93" s="96" t="s">
        <v>547</v>
      </c>
      <c r="O93" s="96" t="s">
        <v>746</v>
      </c>
      <c r="P93" s="100">
        <v>45520</v>
      </c>
      <c r="Q93" s="96" t="s">
        <v>338</v>
      </c>
      <c r="R93" s="96" t="s">
        <v>1201</v>
      </c>
      <c r="S93" s="97">
        <v>280</v>
      </c>
      <c r="T93" s="97">
        <v>-8.3878999999999995E-2</v>
      </c>
      <c r="U93" s="97">
        <v>3.7589999999999999</v>
      </c>
      <c r="V93" s="97">
        <v>190</v>
      </c>
      <c r="W93" s="97">
        <v>-5.9907000000000002E-2</v>
      </c>
      <c r="X93" s="98">
        <v>-1.5369000000000001E-2</v>
      </c>
      <c r="Y93" s="98">
        <v>-3.0000000000000001E-6</v>
      </c>
      <c r="Z93" s="106"/>
    </row>
    <row r="94" spans="1:26" ht="15" customHeight="1">
      <c r="A94" s="106"/>
      <c r="B94" s="96">
        <v>286</v>
      </c>
      <c r="C94" s="96">
        <v>9803</v>
      </c>
      <c r="D94" s="96" t="s">
        <v>3362</v>
      </c>
      <c r="E94" s="96" t="s">
        <v>3363</v>
      </c>
      <c r="F94" s="96" t="s">
        <v>310</v>
      </c>
      <c r="G94" s="96" t="s">
        <v>3392</v>
      </c>
      <c r="H94" s="96" t="s">
        <v>3393</v>
      </c>
      <c r="I94" s="96" t="s">
        <v>136</v>
      </c>
      <c r="J94" s="96" t="s">
        <v>972</v>
      </c>
      <c r="K94" s="96" t="s">
        <v>204</v>
      </c>
      <c r="L94" s="96" t="s">
        <v>223</v>
      </c>
      <c r="M94" s="96" t="s">
        <v>359</v>
      </c>
      <c r="N94" s="96" t="s">
        <v>557</v>
      </c>
      <c r="O94" s="96" t="s">
        <v>746</v>
      </c>
      <c r="P94" s="100">
        <v>45646</v>
      </c>
      <c r="Q94" s="96" t="s">
        <v>338</v>
      </c>
      <c r="R94" s="96" t="s">
        <v>1201</v>
      </c>
      <c r="S94" s="97">
        <v>75</v>
      </c>
      <c r="T94" s="97">
        <v>0.25808900000000001</v>
      </c>
      <c r="U94" s="97">
        <v>3.7589999999999999</v>
      </c>
      <c r="V94" s="97">
        <v>510</v>
      </c>
      <c r="W94" s="97">
        <v>0.49478100000000003</v>
      </c>
      <c r="X94" s="98">
        <v>0.126942</v>
      </c>
      <c r="Y94" s="98">
        <v>2.9E-5</v>
      </c>
      <c r="Z94" s="106"/>
    </row>
    <row r="95" spans="1:26" ht="15" customHeight="1">
      <c r="A95" s="106"/>
      <c r="B95" s="96">
        <v>286</v>
      </c>
      <c r="C95" s="96">
        <v>9803</v>
      </c>
      <c r="D95" s="96" t="s">
        <v>3362</v>
      </c>
      <c r="E95" s="96" t="s">
        <v>3363</v>
      </c>
      <c r="F95" s="96" t="s">
        <v>310</v>
      </c>
      <c r="G95" s="96" t="s">
        <v>3429</v>
      </c>
      <c r="H95" s="96" t="s">
        <v>3430</v>
      </c>
      <c r="I95" s="96" t="s">
        <v>136</v>
      </c>
      <c r="J95" s="96" t="s">
        <v>972</v>
      </c>
      <c r="K95" s="96" t="s">
        <v>204</v>
      </c>
      <c r="L95" s="96" t="s">
        <v>203</v>
      </c>
      <c r="M95" s="96" t="s">
        <v>343</v>
      </c>
      <c r="N95" s="96" t="s">
        <v>543</v>
      </c>
      <c r="O95" s="96" t="s">
        <v>746</v>
      </c>
      <c r="P95" s="100">
        <v>45520</v>
      </c>
      <c r="Q95" s="96" t="s">
        <v>338</v>
      </c>
      <c r="R95" s="96" t="s">
        <v>1201</v>
      </c>
      <c r="S95" s="97">
        <v>290</v>
      </c>
      <c r="T95" s="97">
        <v>-6.4521999999999996E-2</v>
      </c>
      <c r="U95" s="97">
        <v>3.7589999999999999</v>
      </c>
      <c r="V95" s="97">
        <v>45</v>
      </c>
      <c r="W95" s="97">
        <v>-1.0914E-2</v>
      </c>
      <c r="X95" s="98">
        <v>-2.8E-3</v>
      </c>
      <c r="Y95" s="98">
        <v>0</v>
      </c>
      <c r="Z95" s="106"/>
    </row>
    <row r="96" spans="1:26" ht="15" customHeight="1">
      <c r="A96" s="106"/>
      <c r="B96" s="96">
        <v>286</v>
      </c>
      <c r="C96" s="96">
        <v>9803</v>
      </c>
      <c r="D96" s="96" t="s">
        <v>3362</v>
      </c>
      <c r="E96" s="96" t="s">
        <v>3363</v>
      </c>
      <c r="F96" s="96" t="s">
        <v>310</v>
      </c>
      <c r="G96" s="96" t="s">
        <v>3398</v>
      </c>
      <c r="H96" s="96" t="s">
        <v>3399</v>
      </c>
      <c r="I96" s="96" t="s">
        <v>136</v>
      </c>
      <c r="J96" s="96" t="s">
        <v>972</v>
      </c>
      <c r="K96" s="96" t="s">
        <v>204</v>
      </c>
      <c r="L96" s="96" t="s">
        <v>223</v>
      </c>
      <c r="M96" s="96" t="s">
        <v>359</v>
      </c>
      <c r="N96" s="96" t="s">
        <v>557</v>
      </c>
      <c r="O96" s="96" t="s">
        <v>746</v>
      </c>
      <c r="P96" s="100">
        <v>45555</v>
      </c>
      <c r="Q96" s="96" t="s">
        <v>338</v>
      </c>
      <c r="R96" s="96" t="s">
        <v>1201</v>
      </c>
      <c r="S96" s="97">
        <v>65</v>
      </c>
      <c r="T96" s="97">
        <v>1.7162E-2</v>
      </c>
      <c r="U96" s="97">
        <v>3.7589999999999999</v>
      </c>
      <c r="V96" s="97">
        <v>1250</v>
      </c>
      <c r="W96" s="97">
        <v>8.0643999999999993E-2</v>
      </c>
      <c r="X96" s="98">
        <v>2.069E-2</v>
      </c>
      <c r="Y96" s="98">
        <v>3.9999999999999998E-6</v>
      </c>
      <c r="Z96" s="106"/>
    </row>
    <row r="97" spans="1:26" ht="15" customHeight="1">
      <c r="A97" s="106"/>
      <c r="B97" s="96">
        <v>286</v>
      </c>
      <c r="C97" s="96">
        <v>9803</v>
      </c>
      <c r="D97" s="96" t="s">
        <v>3372</v>
      </c>
      <c r="E97" s="96" t="s">
        <v>3373</v>
      </c>
      <c r="F97" s="96" t="s">
        <v>310</v>
      </c>
      <c r="G97" s="96" t="s">
        <v>3382</v>
      </c>
      <c r="H97" s="96" t="s">
        <v>3383</v>
      </c>
      <c r="I97" s="96" t="s">
        <v>136</v>
      </c>
      <c r="J97" s="96" t="s">
        <v>972</v>
      </c>
      <c r="K97" s="96" t="s">
        <v>204</v>
      </c>
      <c r="L97" s="96" t="s">
        <v>203</v>
      </c>
      <c r="M97" s="96" t="s">
        <v>345</v>
      </c>
      <c r="N97" s="96" t="s">
        <v>547</v>
      </c>
      <c r="O97" s="96" t="s">
        <v>746</v>
      </c>
      <c r="P97" s="100">
        <v>45611</v>
      </c>
      <c r="Q97" s="96" t="s">
        <v>338</v>
      </c>
      <c r="R97" s="96" t="s">
        <v>1201</v>
      </c>
      <c r="S97" s="97">
        <v>125</v>
      </c>
      <c r="T97" s="97">
        <v>-0.32261200000000001</v>
      </c>
      <c r="U97" s="97">
        <v>3.7589999999999999</v>
      </c>
      <c r="V97" s="97">
        <v>1860</v>
      </c>
      <c r="W97" s="97">
        <v>-2.2556210000000001</v>
      </c>
      <c r="X97" s="98">
        <v>-0.57870699999999997</v>
      </c>
      <c r="Y97" s="98">
        <v>-1.35E-4</v>
      </c>
      <c r="Z97" s="106"/>
    </row>
    <row r="98" spans="1:26" ht="15" customHeight="1">
      <c r="A98" s="106"/>
      <c r="B98" s="96">
        <v>286</v>
      </c>
      <c r="C98" s="96">
        <v>9803</v>
      </c>
      <c r="D98" s="96" t="s">
        <v>3376</v>
      </c>
      <c r="E98" s="96" t="s">
        <v>3377</v>
      </c>
      <c r="F98" s="96" t="s">
        <v>310</v>
      </c>
      <c r="G98" s="96" t="s">
        <v>3400</v>
      </c>
      <c r="H98" s="96" t="s">
        <v>3401</v>
      </c>
      <c r="I98" s="96" t="s">
        <v>136</v>
      </c>
      <c r="J98" s="96" t="s">
        <v>972</v>
      </c>
      <c r="K98" s="96" t="s">
        <v>204</v>
      </c>
      <c r="L98" s="96" t="s">
        <v>203</v>
      </c>
      <c r="M98" s="96" t="s">
        <v>373</v>
      </c>
      <c r="N98" s="96" t="s">
        <v>547</v>
      </c>
      <c r="O98" s="96" t="s">
        <v>746</v>
      </c>
      <c r="P98" s="100">
        <v>45492</v>
      </c>
      <c r="Q98" s="96" t="s">
        <v>338</v>
      </c>
      <c r="R98" s="96" t="s">
        <v>1201</v>
      </c>
      <c r="S98" s="97">
        <v>25</v>
      </c>
      <c r="T98" s="97">
        <v>-1.0968819999999999</v>
      </c>
      <c r="U98" s="97">
        <v>3.7589999999999999</v>
      </c>
      <c r="V98" s="97">
        <v>10</v>
      </c>
      <c r="W98" s="97">
        <v>-4.1230999999999997E-2</v>
      </c>
      <c r="X98" s="98">
        <v>-1.0578000000000001E-2</v>
      </c>
      <c r="Y98" s="98">
        <v>-1.9999999999999999E-6</v>
      </c>
      <c r="Z98" s="106"/>
    </row>
    <row r="99" spans="1:26" ht="15" customHeight="1">
      <c r="A99" s="106"/>
      <c r="B99" s="96">
        <v>286</v>
      </c>
      <c r="C99" s="96">
        <v>9803</v>
      </c>
      <c r="D99" s="96" t="s">
        <v>3372</v>
      </c>
      <c r="E99" s="96" t="s">
        <v>3373</v>
      </c>
      <c r="F99" s="96" t="s">
        <v>310</v>
      </c>
      <c r="G99" s="96" t="s">
        <v>3388</v>
      </c>
      <c r="H99" s="96" t="s">
        <v>3389</v>
      </c>
      <c r="I99" s="96" t="s">
        <v>136</v>
      </c>
      <c r="J99" s="96" t="s">
        <v>972</v>
      </c>
      <c r="K99" s="96" t="s">
        <v>204</v>
      </c>
      <c r="L99" s="96" t="s">
        <v>203</v>
      </c>
      <c r="M99" s="96" t="s">
        <v>359</v>
      </c>
      <c r="N99" s="96" t="s">
        <v>547</v>
      </c>
      <c r="O99" s="96" t="s">
        <v>746</v>
      </c>
      <c r="P99" s="100">
        <v>45520</v>
      </c>
      <c r="Q99" s="96" t="s">
        <v>338</v>
      </c>
      <c r="R99" s="96" t="s">
        <v>1201</v>
      </c>
      <c r="S99" s="97">
        <v>210</v>
      </c>
      <c r="T99" s="97">
        <v>0.12904399999999999</v>
      </c>
      <c r="U99" s="97">
        <v>3.7589999999999999</v>
      </c>
      <c r="V99" s="97">
        <v>595</v>
      </c>
      <c r="W99" s="97">
        <v>0.28862199999999999</v>
      </c>
      <c r="X99" s="98">
        <v>7.4049000000000004E-2</v>
      </c>
      <c r="Y99" s="98">
        <v>1.7E-5</v>
      </c>
      <c r="Z99" s="106"/>
    </row>
    <row r="100" spans="1:26" ht="15" customHeight="1">
      <c r="A100" s="106"/>
      <c r="B100" s="96">
        <v>286</v>
      </c>
      <c r="C100" s="96">
        <v>9803</v>
      </c>
      <c r="D100" s="96" t="s">
        <v>3372</v>
      </c>
      <c r="E100" s="96" t="s">
        <v>3373</v>
      </c>
      <c r="F100" s="96" t="s">
        <v>310</v>
      </c>
      <c r="G100" s="96" t="s">
        <v>3418</v>
      </c>
      <c r="H100" s="96" t="s">
        <v>3419</v>
      </c>
      <c r="I100" s="96" t="s">
        <v>136</v>
      </c>
      <c r="J100" s="96" t="s">
        <v>972</v>
      </c>
      <c r="K100" s="96" t="s">
        <v>204</v>
      </c>
      <c r="L100" s="96" t="s">
        <v>203</v>
      </c>
      <c r="M100" s="96" t="s">
        <v>345</v>
      </c>
      <c r="N100" s="96" t="s">
        <v>547</v>
      </c>
      <c r="O100" s="96" t="s">
        <v>746</v>
      </c>
      <c r="P100" s="100">
        <v>45520</v>
      </c>
      <c r="Q100" s="96" t="s">
        <v>338</v>
      </c>
      <c r="R100" s="96" t="s">
        <v>1201</v>
      </c>
      <c r="S100" s="97">
        <v>60</v>
      </c>
      <c r="T100" s="97">
        <v>-0.225828</v>
      </c>
      <c r="U100" s="97">
        <v>3.7589999999999999</v>
      </c>
      <c r="V100" s="97">
        <v>230</v>
      </c>
      <c r="W100" s="97">
        <v>-0.195244</v>
      </c>
      <c r="X100" s="98">
        <v>-5.0091999999999998E-2</v>
      </c>
      <c r="Y100" s="98">
        <v>-1.1E-5</v>
      </c>
      <c r="Z100" s="106"/>
    </row>
    <row r="101" spans="1:26" ht="15" customHeight="1">
      <c r="A101" s="106"/>
      <c r="B101" s="96">
        <v>286</v>
      </c>
      <c r="C101" s="96">
        <v>9803</v>
      </c>
      <c r="D101" s="96" t="s">
        <v>3362</v>
      </c>
      <c r="E101" s="96" t="s">
        <v>3363</v>
      </c>
      <c r="F101" s="96" t="s">
        <v>310</v>
      </c>
      <c r="G101" s="96" t="s">
        <v>3366</v>
      </c>
      <c r="H101" s="96" t="s">
        <v>3367</v>
      </c>
      <c r="I101" s="96" t="s">
        <v>136</v>
      </c>
      <c r="J101" s="96" t="s">
        <v>972</v>
      </c>
      <c r="K101" s="96" t="s">
        <v>204</v>
      </c>
      <c r="L101" s="96" t="s">
        <v>203</v>
      </c>
      <c r="M101" s="96" t="s">
        <v>343</v>
      </c>
      <c r="N101" s="96" t="s">
        <v>543</v>
      </c>
      <c r="O101" s="96" t="s">
        <v>746</v>
      </c>
      <c r="P101" s="100">
        <v>45520</v>
      </c>
      <c r="Q101" s="96" t="s">
        <v>338</v>
      </c>
      <c r="R101" s="96" t="s">
        <v>1201</v>
      </c>
      <c r="S101" s="97">
        <v>260</v>
      </c>
      <c r="T101" s="97">
        <v>-1.9356000000000002E-2</v>
      </c>
      <c r="U101" s="97">
        <v>3.7589999999999999</v>
      </c>
      <c r="V101" s="97">
        <v>20</v>
      </c>
      <c r="W101" s="97">
        <v>-1.4549999999999999E-3</v>
      </c>
      <c r="X101" s="98">
        <v>-3.7300000000000001E-4</v>
      </c>
      <c r="Y101" s="98">
        <v>0</v>
      </c>
      <c r="Z101" s="106"/>
    </row>
    <row r="102" spans="1:26" ht="15" customHeight="1">
      <c r="A102" s="106"/>
      <c r="B102" s="96">
        <v>286</v>
      </c>
      <c r="C102" s="96">
        <v>9803</v>
      </c>
      <c r="D102" s="96" t="s">
        <v>3376</v>
      </c>
      <c r="E102" s="96" t="s">
        <v>3377</v>
      </c>
      <c r="F102" s="96" t="s">
        <v>310</v>
      </c>
      <c r="G102" s="96" t="s">
        <v>3408</v>
      </c>
      <c r="H102" s="96" t="s">
        <v>3379</v>
      </c>
      <c r="I102" s="96" t="s">
        <v>136</v>
      </c>
      <c r="J102" s="96" t="s">
        <v>972</v>
      </c>
      <c r="K102" s="96" t="s">
        <v>204</v>
      </c>
      <c r="L102" s="96" t="s">
        <v>203</v>
      </c>
      <c r="M102" s="96" t="s">
        <v>373</v>
      </c>
      <c r="N102" s="96" t="s">
        <v>547</v>
      </c>
      <c r="O102" s="96" t="s">
        <v>746</v>
      </c>
      <c r="P102" s="100">
        <v>45583</v>
      </c>
      <c r="Q102" s="96" t="s">
        <v>338</v>
      </c>
      <c r="R102" s="96" t="s">
        <v>1201</v>
      </c>
      <c r="S102" s="97">
        <v>45</v>
      </c>
      <c r="T102" s="97">
        <v>-0.80652999999999997</v>
      </c>
      <c r="U102" s="97">
        <v>3.7589999999999999</v>
      </c>
      <c r="V102" s="97">
        <v>100</v>
      </c>
      <c r="W102" s="97">
        <v>-0.303174</v>
      </c>
      <c r="X102" s="98">
        <v>-7.7783000000000005E-2</v>
      </c>
      <c r="Y102" s="98">
        <v>-1.8E-5</v>
      </c>
      <c r="Z102" s="106"/>
    </row>
    <row r="103" spans="1:26" ht="15" customHeight="1">
      <c r="A103" s="106"/>
      <c r="B103" s="96">
        <v>286</v>
      </c>
      <c r="C103" s="96">
        <v>9803</v>
      </c>
      <c r="D103" s="96" t="s">
        <v>3362</v>
      </c>
      <c r="E103" s="96" t="s">
        <v>3363</v>
      </c>
      <c r="F103" s="96" t="s">
        <v>310</v>
      </c>
      <c r="G103" s="96" t="s">
        <v>3425</v>
      </c>
      <c r="H103" s="96" t="s">
        <v>3426</v>
      </c>
      <c r="I103" s="96" t="s">
        <v>136</v>
      </c>
      <c r="J103" s="96" t="s">
        <v>972</v>
      </c>
      <c r="K103" s="96" t="s">
        <v>204</v>
      </c>
      <c r="L103" s="96" t="s">
        <v>223</v>
      </c>
      <c r="M103" s="96" t="s">
        <v>359</v>
      </c>
      <c r="N103" s="96" t="s">
        <v>557</v>
      </c>
      <c r="O103" s="96" t="s">
        <v>746</v>
      </c>
      <c r="P103" s="100">
        <v>45555</v>
      </c>
      <c r="Q103" s="96" t="s">
        <v>338</v>
      </c>
      <c r="R103" s="96" t="s">
        <v>1201</v>
      </c>
      <c r="S103" s="97">
        <v>75</v>
      </c>
      <c r="T103" s="97">
        <v>-1.7162E-2</v>
      </c>
      <c r="U103" s="97">
        <v>3.7589999999999999</v>
      </c>
      <c r="V103" s="97">
        <v>320</v>
      </c>
      <c r="W103" s="97">
        <v>-2.0645E-2</v>
      </c>
      <c r="X103" s="98">
        <v>-5.2960000000000004E-3</v>
      </c>
      <c r="Y103" s="98">
        <v>-9.9999999999999995E-7</v>
      </c>
      <c r="Z103" s="106"/>
    </row>
    <row r="104" spans="1:26" ht="15" customHeight="1">
      <c r="A104" s="106"/>
      <c r="B104" s="96">
        <v>286</v>
      </c>
      <c r="C104" s="96">
        <v>9803</v>
      </c>
      <c r="D104" s="96" t="s">
        <v>3362</v>
      </c>
      <c r="E104" s="96" t="s">
        <v>3363</v>
      </c>
      <c r="F104" s="96" t="s">
        <v>310</v>
      </c>
      <c r="G104" s="96" t="s">
        <v>3423</v>
      </c>
      <c r="H104" s="96" t="s">
        <v>3424</v>
      </c>
      <c r="I104" s="96" t="s">
        <v>136</v>
      </c>
      <c r="J104" s="96" t="s">
        <v>972</v>
      </c>
      <c r="K104" s="96" t="s">
        <v>204</v>
      </c>
      <c r="L104" s="96" t="s">
        <v>203</v>
      </c>
      <c r="M104" s="96" t="s">
        <v>343</v>
      </c>
      <c r="N104" s="96" t="s">
        <v>543</v>
      </c>
      <c r="O104" s="96" t="s">
        <v>746</v>
      </c>
      <c r="P104" s="100">
        <v>45520</v>
      </c>
      <c r="Q104" s="96" t="s">
        <v>338</v>
      </c>
      <c r="R104" s="96" t="s">
        <v>1201</v>
      </c>
      <c r="S104" s="97">
        <v>230</v>
      </c>
      <c r="T104" s="97">
        <v>8.3878999999999995E-2</v>
      </c>
      <c r="U104" s="97">
        <v>3.7589999999999999</v>
      </c>
      <c r="V104" s="97">
        <v>30</v>
      </c>
      <c r="W104" s="97">
        <v>9.4590000000000004E-3</v>
      </c>
      <c r="X104" s="98">
        <v>2.4260000000000002E-3</v>
      </c>
      <c r="Y104" s="98">
        <v>0</v>
      </c>
      <c r="Z104" s="106"/>
    </row>
    <row r="105" spans="1:26" ht="15" customHeight="1">
      <c r="A105" s="106"/>
      <c r="B105" s="96">
        <v>286</v>
      </c>
      <c r="C105" s="96">
        <v>9803</v>
      </c>
      <c r="D105" s="96" t="s">
        <v>3372</v>
      </c>
      <c r="E105" s="96" t="s">
        <v>3373</v>
      </c>
      <c r="F105" s="96" t="s">
        <v>310</v>
      </c>
      <c r="G105" s="96" t="s">
        <v>3413</v>
      </c>
      <c r="H105" s="96" t="s">
        <v>3395</v>
      </c>
      <c r="I105" s="96" t="s">
        <v>136</v>
      </c>
      <c r="J105" s="96" t="s">
        <v>972</v>
      </c>
      <c r="K105" s="96" t="s">
        <v>204</v>
      </c>
      <c r="L105" s="96" t="s">
        <v>203</v>
      </c>
      <c r="M105" s="96" t="s">
        <v>345</v>
      </c>
      <c r="N105" s="96" t="s">
        <v>547</v>
      </c>
      <c r="O105" s="96" t="s">
        <v>746</v>
      </c>
      <c r="P105" s="100">
        <v>45520</v>
      </c>
      <c r="Q105" s="96" t="s">
        <v>338</v>
      </c>
      <c r="R105" s="96" t="s">
        <v>1201</v>
      </c>
      <c r="S105" s="97">
        <v>135</v>
      </c>
      <c r="T105" s="97">
        <v>-9.6782999999999994E-2</v>
      </c>
      <c r="U105" s="97">
        <v>3.7589999999999999</v>
      </c>
      <c r="V105" s="97">
        <v>690</v>
      </c>
      <c r="W105" s="97">
        <v>-0.25102799999999997</v>
      </c>
      <c r="X105" s="98">
        <v>-6.4404000000000003E-2</v>
      </c>
      <c r="Y105" s="98">
        <v>-1.5E-5</v>
      </c>
      <c r="Z105" s="106"/>
    </row>
    <row r="106" spans="1:26" ht="15" customHeight="1">
      <c r="A106" s="106"/>
      <c r="B106" s="96">
        <v>286</v>
      </c>
      <c r="C106" s="96">
        <v>9803</v>
      </c>
      <c r="D106" s="96" t="s">
        <v>3372</v>
      </c>
      <c r="E106" s="96" t="s">
        <v>3373</v>
      </c>
      <c r="F106" s="96" t="s">
        <v>310</v>
      </c>
      <c r="G106" s="96" t="s">
        <v>3420</v>
      </c>
      <c r="H106" s="96" t="s">
        <v>3421</v>
      </c>
      <c r="I106" s="96" t="s">
        <v>136</v>
      </c>
      <c r="J106" s="96" t="s">
        <v>972</v>
      </c>
      <c r="K106" s="96" t="s">
        <v>204</v>
      </c>
      <c r="L106" s="96" t="s">
        <v>203</v>
      </c>
      <c r="M106" s="96" t="s">
        <v>345</v>
      </c>
      <c r="N106" s="96" t="s">
        <v>547</v>
      </c>
      <c r="O106" s="96" t="s">
        <v>746</v>
      </c>
      <c r="P106" s="100">
        <v>45611</v>
      </c>
      <c r="Q106" s="96" t="s">
        <v>338</v>
      </c>
      <c r="R106" s="96" t="s">
        <v>1201</v>
      </c>
      <c r="S106" s="97">
        <v>80</v>
      </c>
      <c r="T106" s="97">
        <v>-0.161306</v>
      </c>
      <c r="U106" s="97">
        <v>3.7589999999999999</v>
      </c>
      <c r="V106" s="97">
        <v>185</v>
      </c>
      <c r="W106" s="97">
        <v>-0.112174</v>
      </c>
      <c r="X106" s="98">
        <v>-2.8778999999999999E-2</v>
      </c>
      <c r="Y106" s="98">
        <v>-6.0000000000000002E-6</v>
      </c>
      <c r="Z106" s="106"/>
    </row>
    <row r="107" spans="1:26" ht="15" customHeight="1">
      <c r="A107" s="106"/>
      <c r="B107" s="96">
        <v>286</v>
      </c>
      <c r="C107" s="96">
        <v>9803</v>
      </c>
      <c r="D107" s="96" t="s">
        <v>3372</v>
      </c>
      <c r="E107" s="96" t="s">
        <v>3373</v>
      </c>
      <c r="F107" s="96" t="s">
        <v>310</v>
      </c>
      <c r="G107" s="96" t="s">
        <v>3394</v>
      </c>
      <c r="H107" s="96" t="s">
        <v>3395</v>
      </c>
      <c r="I107" s="96" t="s">
        <v>136</v>
      </c>
      <c r="J107" s="96" t="s">
        <v>972</v>
      </c>
      <c r="K107" s="96" t="s">
        <v>204</v>
      </c>
      <c r="L107" s="96" t="s">
        <v>203</v>
      </c>
      <c r="M107" s="96" t="s">
        <v>345</v>
      </c>
      <c r="N107" s="96" t="s">
        <v>547</v>
      </c>
      <c r="O107" s="96" t="s">
        <v>746</v>
      </c>
      <c r="P107" s="100">
        <v>45520</v>
      </c>
      <c r="Q107" s="96" t="s">
        <v>338</v>
      </c>
      <c r="R107" s="96" t="s">
        <v>1201</v>
      </c>
      <c r="S107" s="97">
        <v>115</v>
      </c>
      <c r="T107" s="97">
        <v>-3.2260999999999998E-2</v>
      </c>
      <c r="U107" s="97">
        <v>3.7589999999999999</v>
      </c>
      <c r="V107" s="97">
        <v>1600</v>
      </c>
      <c r="W107" s="97">
        <v>-0.19403100000000001</v>
      </c>
      <c r="X107" s="98">
        <v>-4.9780999999999999E-2</v>
      </c>
      <c r="Y107" s="98">
        <v>-1.1E-5</v>
      </c>
      <c r="Z107" s="106"/>
    </row>
    <row r="108" spans="1:26" ht="15" customHeight="1">
      <c r="A108" s="106"/>
      <c r="B108" s="96">
        <v>286</v>
      </c>
      <c r="C108" s="96">
        <v>14418</v>
      </c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106"/>
    </row>
    <row r="109" spans="1:26" ht="15" customHeight="1">
      <c r="A109" s="106"/>
      <c r="B109" s="96">
        <v>286</v>
      </c>
      <c r="C109" s="96">
        <v>1445</v>
      </c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106"/>
    </row>
    <row r="110" spans="1:26" ht="15" customHeight="1">
      <c r="A110" s="106"/>
      <c r="B110" s="105" t="s">
        <v>3767</v>
      </c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6"/>
    </row>
  </sheetData>
  <mergeCells count="4">
    <mergeCell ref="B110:Y110"/>
    <mergeCell ref="A1:A110"/>
    <mergeCell ref="B1:Y1"/>
    <mergeCell ref="Z1:Z110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AA22"/>
  <sheetViews>
    <sheetView rightToLeft="1" workbookViewId="0">
      <selection sqref="A1:A22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6" bestFit="1" customWidth="1"/>
    <col min="5" max="5" width="24.875" bestFit="1" customWidth="1"/>
    <col min="6" max="6" width="22.75" bestFit="1" customWidth="1"/>
    <col min="7" max="7" width="30.875" bestFit="1" customWidth="1"/>
    <col min="8" max="8" width="13" bestFit="1" customWidth="1"/>
    <col min="9" max="9" width="11" bestFit="1" customWidth="1"/>
    <col min="10" max="10" width="8.75" bestFit="1" customWidth="1"/>
    <col min="11" max="11" width="10.75" bestFit="1" customWidth="1"/>
    <col min="12" max="12" width="8.375" bestFit="1" customWidth="1"/>
    <col min="13" max="13" width="18.125" bestFit="1" customWidth="1"/>
    <col min="14" max="14" width="9.625" bestFit="1" customWidth="1"/>
    <col min="15" max="15" width="9.875" bestFit="1" customWidth="1"/>
    <col min="16" max="16" width="7.5" bestFit="1" customWidth="1"/>
    <col min="17" max="17" width="8.625" bestFit="1" customWidth="1"/>
    <col min="18" max="18" width="13.5" bestFit="1" customWidth="1"/>
    <col min="19" max="19" width="9.5" bestFit="1" customWidth="1"/>
    <col min="20" max="20" width="11" bestFit="1" customWidth="1"/>
    <col min="21" max="21" width="10.375" bestFit="1" customWidth="1"/>
    <col min="22" max="22" width="3.125" customWidth="1"/>
    <col min="23" max="27" width="9" customWidth="1"/>
  </cols>
  <sheetData>
    <row r="1" spans="1:27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6" t="s">
        <v>3766</v>
      </c>
    </row>
    <row r="2" spans="1:27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55</v>
      </c>
      <c r="K2" s="21" t="s">
        <v>69</v>
      </c>
      <c r="L2" s="21" t="s">
        <v>70</v>
      </c>
      <c r="M2" s="21" t="s">
        <v>96</v>
      </c>
      <c r="N2" s="21" t="s">
        <v>56</v>
      </c>
      <c r="O2" s="21" t="s">
        <v>59</v>
      </c>
      <c r="P2" s="21" t="s">
        <v>76</v>
      </c>
      <c r="Q2" s="21" t="s">
        <v>61</v>
      </c>
      <c r="R2" s="21" t="s">
        <v>77</v>
      </c>
      <c r="S2" s="21" t="s">
        <v>63</v>
      </c>
      <c r="T2" s="21" t="s">
        <v>64</v>
      </c>
      <c r="U2" s="21" t="s">
        <v>65</v>
      </c>
      <c r="V2" s="106"/>
      <c r="W2" s="10"/>
      <c r="X2" s="10"/>
      <c r="Y2" s="10"/>
      <c r="Z2" s="10"/>
      <c r="AA2" s="10"/>
    </row>
    <row r="3" spans="1:27" ht="15" customHeight="1">
      <c r="A3" s="106"/>
      <c r="B3" s="96">
        <v>286</v>
      </c>
      <c r="C3" s="96">
        <v>1446</v>
      </c>
      <c r="D3" s="96" t="s">
        <v>3431</v>
      </c>
      <c r="E3" s="96" t="s">
        <v>3432</v>
      </c>
      <c r="F3" s="96" t="s">
        <v>310</v>
      </c>
      <c r="G3" s="96" t="s">
        <v>3433</v>
      </c>
      <c r="H3" s="96" t="s">
        <v>3434</v>
      </c>
      <c r="I3" s="96" t="s">
        <v>136</v>
      </c>
      <c r="J3" s="96" t="s">
        <v>204</v>
      </c>
      <c r="K3" s="96" t="s">
        <v>286</v>
      </c>
      <c r="L3" s="96" t="s">
        <v>365</v>
      </c>
      <c r="M3" s="96" t="s">
        <v>746</v>
      </c>
      <c r="N3" s="96" t="s">
        <v>338</v>
      </c>
      <c r="O3" s="96" t="s">
        <v>1216</v>
      </c>
      <c r="P3" s="97">
        <v>0.94465600000000005</v>
      </c>
      <c r="Q3" s="97">
        <v>4.1790000000000003</v>
      </c>
      <c r="R3" s="97">
        <v>1202300</v>
      </c>
      <c r="S3" s="97">
        <v>-5.4546258352291943</v>
      </c>
      <c r="T3" s="98">
        <v>-1.0041987862658077</v>
      </c>
      <c r="U3" s="98">
        <v>-8.759872565192353E-5</v>
      </c>
      <c r="V3" s="106"/>
    </row>
    <row r="4" spans="1:27" ht="15" customHeight="1">
      <c r="A4" s="106"/>
      <c r="B4" s="96">
        <v>286</v>
      </c>
      <c r="C4" s="96">
        <v>1446</v>
      </c>
      <c r="D4" s="96" t="s">
        <v>3435</v>
      </c>
      <c r="E4" s="96" t="s">
        <v>3436</v>
      </c>
      <c r="F4" s="96" t="s">
        <v>310</v>
      </c>
      <c r="G4" s="96" t="s">
        <v>3437</v>
      </c>
      <c r="H4" s="96" t="s">
        <v>3441</v>
      </c>
      <c r="I4" s="96" t="s">
        <v>136</v>
      </c>
      <c r="J4" s="96" t="s">
        <v>204</v>
      </c>
      <c r="K4" s="96" t="s">
        <v>232</v>
      </c>
      <c r="L4" s="96" t="s">
        <v>371</v>
      </c>
      <c r="M4" s="96" t="s">
        <v>746</v>
      </c>
      <c r="N4" s="96" t="s">
        <v>338</v>
      </c>
      <c r="O4" s="96" t="s">
        <v>1205</v>
      </c>
      <c r="P4" s="97">
        <v>0.69089100000000003</v>
      </c>
      <c r="Q4" s="97">
        <v>4.7504999999999997</v>
      </c>
      <c r="R4" s="97">
        <v>821200</v>
      </c>
      <c r="S4" s="97">
        <v>-0.49156004217269356</v>
      </c>
      <c r="T4" s="98">
        <v>-9.0496399320091389E-2</v>
      </c>
      <c r="U4" s="98">
        <v>-7.8942231009919375E-6</v>
      </c>
      <c r="V4" s="106"/>
    </row>
    <row r="5" spans="1:27" ht="15" customHeight="1">
      <c r="A5" s="106"/>
      <c r="B5" s="96">
        <v>286</v>
      </c>
      <c r="C5" s="96">
        <v>1446</v>
      </c>
      <c r="D5" s="96" t="s">
        <v>3446</v>
      </c>
      <c r="E5" s="96" t="s">
        <v>3447</v>
      </c>
      <c r="F5" s="96" t="s">
        <v>310</v>
      </c>
      <c r="G5" s="96" t="s">
        <v>3448</v>
      </c>
      <c r="H5" s="96" t="s">
        <v>3449</v>
      </c>
      <c r="I5" s="96" t="s">
        <v>136</v>
      </c>
      <c r="J5" s="96" t="s">
        <v>204</v>
      </c>
      <c r="K5" s="96" t="s">
        <v>223</v>
      </c>
      <c r="L5" s="96" t="s">
        <v>361</v>
      </c>
      <c r="M5" s="96" t="s">
        <v>746</v>
      </c>
      <c r="N5" s="96" t="s">
        <v>338</v>
      </c>
      <c r="O5" s="96" t="s">
        <v>1201</v>
      </c>
      <c r="P5" s="97">
        <v>1.2756529999999999</v>
      </c>
      <c r="Q5" s="97">
        <v>3.7589999999999999</v>
      </c>
      <c r="R5" s="97">
        <v>552150</v>
      </c>
      <c r="S5" s="97">
        <v>2.7237205632261521</v>
      </c>
      <c r="T5" s="98">
        <v>0.50143803926085384</v>
      </c>
      <c r="U5" s="98">
        <v>4.3741671303935549E-5</v>
      </c>
      <c r="V5" s="106"/>
    </row>
    <row r="6" spans="1:27" ht="15" customHeight="1">
      <c r="A6" s="106"/>
      <c r="B6" s="96">
        <v>286</v>
      </c>
      <c r="C6" s="96">
        <v>1446</v>
      </c>
      <c r="D6" s="96" t="s">
        <v>3438</v>
      </c>
      <c r="E6" s="96" t="s">
        <v>3439</v>
      </c>
      <c r="F6" s="96" t="s">
        <v>310</v>
      </c>
      <c r="G6" s="96" t="s">
        <v>3440</v>
      </c>
      <c r="H6" s="96" t="s">
        <v>3454</v>
      </c>
      <c r="I6" s="96" t="s">
        <v>136</v>
      </c>
      <c r="J6" s="96" t="s">
        <v>204</v>
      </c>
      <c r="K6" s="96" t="s">
        <v>281</v>
      </c>
      <c r="L6" s="96" t="s">
        <v>313</v>
      </c>
      <c r="M6" s="96" t="s">
        <v>746</v>
      </c>
      <c r="N6" s="96" t="s">
        <v>338</v>
      </c>
      <c r="O6" s="96" t="s">
        <v>1215</v>
      </c>
      <c r="P6" s="97">
        <v>0.22276599999999999</v>
      </c>
      <c r="Q6" s="97">
        <v>2.7412999999999998</v>
      </c>
      <c r="R6" s="97">
        <v>131050</v>
      </c>
      <c r="S6" s="97">
        <v>-0.84194395854117943</v>
      </c>
      <c r="T6" s="98">
        <v>-0.15500221771588416</v>
      </c>
      <c r="U6" s="98">
        <v>-1.3521224015440515E-5</v>
      </c>
      <c r="V6" s="106"/>
    </row>
    <row r="7" spans="1:27" ht="15" customHeight="1">
      <c r="A7" s="106"/>
      <c r="B7" s="96">
        <v>286</v>
      </c>
      <c r="C7" s="96">
        <v>1446</v>
      </c>
      <c r="D7" s="96" t="s">
        <v>3450</v>
      </c>
      <c r="E7" s="96" t="s">
        <v>3451</v>
      </c>
      <c r="F7" s="96" t="s">
        <v>310</v>
      </c>
      <c r="G7" s="96" t="s">
        <v>3452</v>
      </c>
      <c r="H7" s="96" t="s">
        <v>3455</v>
      </c>
      <c r="I7" s="96" t="s">
        <v>136</v>
      </c>
      <c r="J7" s="96" t="s">
        <v>204</v>
      </c>
      <c r="K7" s="96" t="s">
        <v>207</v>
      </c>
      <c r="L7" s="96" t="s">
        <v>353</v>
      </c>
      <c r="M7" s="96" t="s">
        <v>746</v>
      </c>
      <c r="N7" s="96" t="s">
        <v>338</v>
      </c>
      <c r="O7" s="96" t="s">
        <v>1218</v>
      </c>
      <c r="P7" s="97">
        <v>0.44238</v>
      </c>
      <c r="Q7" s="97">
        <v>2.4931000000000001</v>
      </c>
      <c r="R7" s="97">
        <v>777200</v>
      </c>
      <c r="S7" s="97">
        <v>2.0403636412904405</v>
      </c>
      <c r="T7" s="98">
        <v>0.37563175807431926</v>
      </c>
      <c r="U7" s="98">
        <v>3.2767280514310646E-5</v>
      </c>
      <c r="V7" s="106"/>
    </row>
    <row r="8" spans="1:27" ht="15" customHeight="1">
      <c r="A8" s="106"/>
      <c r="B8" s="96">
        <v>286</v>
      </c>
      <c r="C8" s="96">
        <v>1446</v>
      </c>
      <c r="D8" s="96" t="s">
        <v>3431</v>
      </c>
      <c r="E8" s="96" t="s">
        <v>3432</v>
      </c>
      <c r="F8" s="96" t="s">
        <v>310</v>
      </c>
      <c r="G8" s="96" t="s">
        <v>3453</v>
      </c>
      <c r="H8" s="96" t="s">
        <v>3456</v>
      </c>
      <c r="I8" s="96" t="s">
        <v>136</v>
      </c>
      <c r="J8" s="96" t="s">
        <v>204</v>
      </c>
      <c r="K8" s="96" t="s">
        <v>237</v>
      </c>
      <c r="L8" s="96" t="s">
        <v>365</v>
      </c>
      <c r="M8" s="96" t="s">
        <v>746</v>
      </c>
      <c r="N8" s="96" t="s">
        <v>338</v>
      </c>
      <c r="O8" s="96" t="s">
        <v>1202</v>
      </c>
      <c r="P8" s="97">
        <v>2.5507810000000002</v>
      </c>
      <c r="Q8" s="97">
        <v>4.0202</v>
      </c>
      <c r="R8" s="97">
        <v>492600</v>
      </c>
      <c r="S8" s="97">
        <v>-10.031393446469906</v>
      </c>
      <c r="T8" s="98">
        <v>-1.8467835242592008</v>
      </c>
      <c r="U8" s="98">
        <v>-1.6109946107548142E-4</v>
      </c>
      <c r="V8" s="106"/>
    </row>
    <row r="9" spans="1:27" ht="15" customHeight="1">
      <c r="A9" s="106"/>
      <c r="B9" s="96">
        <v>286</v>
      </c>
      <c r="C9" s="96">
        <v>1446</v>
      </c>
      <c r="D9" s="96" t="s">
        <v>3431</v>
      </c>
      <c r="E9" s="96" t="s">
        <v>3432</v>
      </c>
      <c r="F9" s="96" t="s">
        <v>310</v>
      </c>
      <c r="G9" s="96" t="s">
        <v>3442</v>
      </c>
      <c r="H9" s="96" t="s">
        <v>3457</v>
      </c>
      <c r="I9" s="96" t="s">
        <v>136</v>
      </c>
      <c r="J9" s="96" t="s">
        <v>204</v>
      </c>
      <c r="K9" s="96" t="s">
        <v>223</v>
      </c>
      <c r="L9" s="96" t="s">
        <v>365</v>
      </c>
      <c r="M9" s="96" t="s">
        <v>746</v>
      </c>
      <c r="N9" s="96" t="s">
        <v>338</v>
      </c>
      <c r="O9" s="96" t="s">
        <v>1201</v>
      </c>
      <c r="P9" s="97">
        <v>2.5176810000000001</v>
      </c>
      <c r="Q9" s="97">
        <v>3.7589999999999999</v>
      </c>
      <c r="R9" s="97">
        <v>109170</v>
      </c>
      <c r="S9" s="97">
        <v>4.0363816985236554</v>
      </c>
      <c r="T9" s="98">
        <v>0.74309947648181085</v>
      </c>
      <c r="U9" s="98">
        <v>6.4822391803994722E-5</v>
      </c>
      <c r="V9" s="106"/>
    </row>
    <row r="10" spans="1:27" ht="15" customHeight="1">
      <c r="A10" s="106"/>
      <c r="B10" s="96">
        <v>286</v>
      </c>
      <c r="C10" s="96">
        <v>1446</v>
      </c>
      <c r="D10" s="96" t="s">
        <v>3443</v>
      </c>
      <c r="E10" s="96" t="s">
        <v>3444</v>
      </c>
      <c r="F10" s="96" t="s">
        <v>310</v>
      </c>
      <c r="G10" s="96" t="s">
        <v>3445</v>
      </c>
      <c r="H10" s="96" t="s">
        <v>3458</v>
      </c>
      <c r="I10" s="96" t="s">
        <v>136</v>
      </c>
      <c r="J10" s="96" t="s">
        <v>204</v>
      </c>
      <c r="K10" s="96" t="s">
        <v>250</v>
      </c>
      <c r="L10" s="96" t="s">
        <v>313</v>
      </c>
      <c r="M10" s="96" t="s">
        <v>746</v>
      </c>
      <c r="N10" s="96" t="s">
        <v>338</v>
      </c>
      <c r="O10" s="96" t="s">
        <v>1217</v>
      </c>
      <c r="P10" s="97">
        <v>1.4968429999999999</v>
      </c>
      <c r="Q10" s="97">
        <v>2.3359000000000001E-2</v>
      </c>
      <c r="R10" s="97">
        <v>281050</v>
      </c>
      <c r="S10" s="97">
        <v>13.450876168471837</v>
      </c>
      <c r="T10" s="98">
        <v>2.4763116537439895</v>
      </c>
      <c r="U10" s="98">
        <v>2.1601474543862117E-4</v>
      </c>
      <c r="V10" s="106"/>
    </row>
    <row r="11" spans="1:27" ht="15" customHeight="1">
      <c r="A11" s="106"/>
      <c r="B11" s="96">
        <v>286</v>
      </c>
      <c r="C11" s="96">
        <v>286</v>
      </c>
      <c r="D11" s="96" t="s">
        <v>3443</v>
      </c>
      <c r="E11" s="96" t="s">
        <v>3444</v>
      </c>
      <c r="F11" s="96" t="s">
        <v>310</v>
      </c>
      <c r="G11" s="96" t="s">
        <v>3445</v>
      </c>
      <c r="H11" s="96" t="s">
        <v>3458</v>
      </c>
      <c r="I11" s="96" t="s">
        <v>136</v>
      </c>
      <c r="J11" s="96" t="s">
        <v>204</v>
      </c>
      <c r="K11" s="96" t="s">
        <v>250</v>
      </c>
      <c r="L11" s="96" t="s">
        <v>313</v>
      </c>
      <c r="M11" s="96" t="s">
        <v>746</v>
      </c>
      <c r="N11" s="96" t="s">
        <v>338</v>
      </c>
      <c r="O11" s="96" t="s">
        <v>1217</v>
      </c>
      <c r="P11" s="97">
        <v>23.817253000000001</v>
      </c>
      <c r="Q11" s="97">
        <v>2.3359000000000001E-2</v>
      </c>
      <c r="R11" s="97">
        <v>281050</v>
      </c>
      <c r="S11" s="97">
        <v>214.02561026759395</v>
      </c>
      <c r="T11" s="98">
        <v>2.4763116537437275</v>
      </c>
      <c r="U11" s="98">
        <v>1.1139884700357578E-4</v>
      </c>
      <c r="V11" s="106"/>
    </row>
    <row r="12" spans="1:27" ht="15" customHeight="1">
      <c r="A12" s="106"/>
      <c r="B12" s="96">
        <v>286</v>
      </c>
      <c r="C12" s="96">
        <v>286</v>
      </c>
      <c r="D12" s="96" t="s">
        <v>3446</v>
      </c>
      <c r="E12" s="96" t="s">
        <v>3447</v>
      </c>
      <c r="F12" s="96" t="s">
        <v>310</v>
      </c>
      <c r="G12" s="96" t="s">
        <v>3448</v>
      </c>
      <c r="H12" s="96" t="s">
        <v>3449</v>
      </c>
      <c r="I12" s="96" t="s">
        <v>136</v>
      </c>
      <c r="J12" s="96" t="s">
        <v>204</v>
      </c>
      <c r="K12" s="96" t="s">
        <v>223</v>
      </c>
      <c r="L12" s="96" t="s">
        <v>361</v>
      </c>
      <c r="M12" s="96" t="s">
        <v>746</v>
      </c>
      <c r="N12" s="96" t="s">
        <v>338</v>
      </c>
      <c r="O12" s="96" t="s">
        <v>1201</v>
      </c>
      <c r="P12" s="97">
        <v>20.297750000000001</v>
      </c>
      <c r="Q12" s="97">
        <v>3.7589999999999999</v>
      </c>
      <c r="R12" s="97">
        <v>552150</v>
      </c>
      <c r="S12" s="97">
        <v>43.338883537515358</v>
      </c>
      <c r="T12" s="98">
        <v>0.50143803926086072</v>
      </c>
      <c r="U12" s="98">
        <v>2.255758855430987E-5</v>
      </c>
      <c r="V12" s="106"/>
    </row>
    <row r="13" spans="1:27" ht="15" customHeight="1">
      <c r="A13" s="106"/>
      <c r="B13" s="96">
        <v>286</v>
      </c>
      <c r="C13" s="96">
        <v>286</v>
      </c>
      <c r="D13" s="96" t="s">
        <v>3450</v>
      </c>
      <c r="E13" s="96" t="s">
        <v>3451</v>
      </c>
      <c r="F13" s="96" t="s">
        <v>310</v>
      </c>
      <c r="G13" s="96" t="s">
        <v>3452</v>
      </c>
      <c r="H13" s="96" t="s">
        <v>3455</v>
      </c>
      <c r="I13" s="96" t="s">
        <v>136</v>
      </c>
      <c r="J13" s="96" t="s">
        <v>204</v>
      </c>
      <c r="K13" s="96" t="s">
        <v>207</v>
      </c>
      <c r="L13" s="96" t="s">
        <v>353</v>
      </c>
      <c r="M13" s="96" t="s">
        <v>746</v>
      </c>
      <c r="N13" s="96" t="s">
        <v>338</v>
      </c>
      <c r="O13" s="96" t="s">
        <v>1218</v>
      </c>
      <c r="P13" s="97">
        <v>7.0390050000000004</v>
      </c>
      <c r="Q13" s="97">
        <v>2.4931000000000001</v>
      </c>
      <c r="R13" s="97">
        <v>777200</v>
      </c>
      <c r="S13" s="97">
        <v>32.465548565421159</v>
      </c>
      <c r="T13" s="98">
        <v>0.3756317580742724</v>
      </c>
      <c r="U13" s="98">
        <v>1.6898093050661943E-5</v>
      </c>
      <c r="V13" s="106"/>
    </row>
    <row r="14" spans="1:27" ht="15" customHeight="1">
      <c r="A14" s="106"/>
      <c r="B14" s="96">
        <v>286</v>
      </c>
      <c r="C14" s="96">
        <v>286</v>
      </c>
      <c r="D14" s="96" t="s">
        <v>3435</v>
      </c>
      <c r="E14" s="96" t="s">
        <v>3436</v>
      </c>
      <c r="F14" s="96" t="s">
        <v>310</v>
      </c>
      <c r="G14" s="96" t="s">
        <v>3437</v>
      </c>
      <c r="H14" s="96" t="s">
        <v>3441</v>
      </c>
      <c r="I14" s="96" t="s">
        <v>136</v>
      </c>
      <c r="J14" s="96" t="s">
        <v>204</v>
      </c>
      <c r="K14" s="96" t="s">
        <v>232</v>
      </c>
      <c r="L14" s="96" t="s">
        <v>371</v>
      </c>
      <c r="M14" s="96" t="s">
        <v>746</v>
      </c>
      <c r="N14" s="96" t="s">
        <v>338</v>
      </c>
      <c r="O14" s="96" t="s">
        <v>1205</v>
      </c>
      <c r="P14" s="97">
        <v>10.993221</v>
      </c>
      <c r="Q14" s="97">
        <v>4.7504999999999997</v>
      </c>
      <c r="R14" s="97">
        <v>821200</v>
      </c>
      <c r="S14" s="97">
        <v>-7.8215304855584691</v>
      </c>
      <c r="T14" s="98">
        <v>-9.0496399320081286E-2</v>
      </c>
      <c r="U14" s="98">
        <v>-4.0710524166016518E-6</v>
      </c>
      <c r="V14" s="106"/>
    </row>
    <row r="15" spans="1:27" ht="15" customHeight="1">
      <c r="A15" s="106"/>
      <c r="B15" s="96">
        <v>286</v>
      </c>
      <c r="C15" s="96">
        <v>286</v>
      </c>
      <c r="D15" s="96" t="s">
        <v>3431</v>
      </c>
      <c r="E15" s="96" t="s">
        <v>3432</v>
      </c>
      <c r="F15" s="96" t="s">
        <v>310</v>
      </c>
      <c r="G15" s="96" t="s">
        <v>3442</v>
      </c>
      <c r="H15" s="96" t="s">
        <v>3457</v>
      </c>
      <c r="I15" s="96" t="s">
        <v>136</v>
      </c>
      <c r="J15" s="96" t="s">
        <v>204</v>
      </c>
      <c r="K15" s="96" t="s">
        <v>223</v>
      </c>
      <c r="L15" s="96" t="s">
        <v>365</v>
      </c>
      <c r="M15" s="96" t="s">
        <v>746</v>
      </c>
      <c r="N15" s="96" t="s">
        <v>338</v>
      </c>
      <c r="O15" s="96" t="s">
        <v>1201</v>
      </c>
      <c r="P15" s="97">
        <v>40.060468999999998</v>
      </c>
      <c r="Q15" s="97">
        <v>3.7589999999999999</v>
      </c>
      <c r="R15" s="97">
        <v>109170</v>
      </c>
      <c r="S15" s="97">
        <v>64.225485795817804</v>
      </c>
      <c r="T15" s="98">
        <v>0.74309947648174879</v>
      </c>
      <c r="U15" s="98">
        <v>3.3428920291143007E-5</v>
      </c>
      <c r="V15" s="106"/>
    </row>
    <row r="16" spans="1:27" ht="15" customHeight="1">
      <c r="A16" s="106"/>
      <c r="B16" s="96">
        <v>286</v>
      </c>
      <c r="C16" s="96">
        <v>286</v>
      </c>
      <c r="D16" s="96" t="s">
        <v>3431</v>
      </c>
      <c r="E16" s="96" t="s">
        <v>3432</v>
      </c>
      <c r="F16" s="96" t="s">
        <v>310</v>
      </c>
      <c r="G16" s="96" t="s">
        <v>3453</v>
      </c>
      <c r="H16" s="96" t="s">
        <v>3456</v>
      </c>
      <c r="I16" s="96" t="s">
        <v>136</v>
      </c>
      <c r="J16" s="96" t="s">
        <v>204</v>
      </c>
      <c r="K16" s="96" t="s">
        <v>237</v>
      </c>
      <c r="L16" s="96" t="s">
        <v>365</v>
      </c>
      <c r="M16" s="96" t="s">
        <v>746</v>
      </c>
      <c r="N16" s="96" t="s">
        <v>338</v>
      </c>
      <c r="O16" s="96" t="s">
        <v>1202</v>
      </c>
      <c r="P16" s="97">
        <v>40.587141000000003</v>
      </c>
      <c r="Q16" s="97">
        <v>4.0202</v>
      </c>
      <c r="R16" s="97">
        <v>492600</v>
      </c>
      <c r="S16" s="97">
        <v>-159.61600399291638</v>
      </c>
      <c r="T16" s="98">
        <v>-1.846783524258971</v>
      </c>
      <c r="U16" s="98">
        <v>-8.307902398174493E-5</v>
      </c>
      <c r="V16" s="106"/>
    </row>
    <row r="17" spans="1:22" ht="15" customHeight="1">
      <c r="A17" s="106"/>
      <c r="B17" s="96">
        <v>286</v>
      </c>
      <c r="C17" s="96">
        <v>286</v>
      </c>
      <c r="D17" s="96" t="s">
        <v>3431</v>
      </c>
      <c r="E17" s="96" t="s">
        <v>3432</v>
      </c>
      <c r="F17" s="96" t="s">
        <v>310</v>
      </c>
      <c r="G17" s="96" t="s">
        <v>3433</v>
      </c>
      <c r="H17" s="96" t="s">
        <v>3434</v>
      </c>
      <c r="I17" s="96" t="s">
        <v>136</v>
      </c>
      <c r="J17" s="96" t="s">
        <v>204</v>
      </c>
      <c r="K17" s="96" t="s">
        <v>286</v>
      </c>
      <c r="L17" s="96" t="s">
        <v>365</v>
      </c>
      <c r="M17" s="96" t="s">
        <v>746</v>
      </c>
      <c r="N17" s="96" t="s">
        <v>338</v>
      </c>
      <c r="O17" s="96" t="s">
        <v>1216</v>
      </c>
      <c r="P17" s="97">
        <v>15.031034999999999</v>
      </c>
      <c r="Q17" s="97">
        <v>4.1790000000000003</v>
      </c>
      <c r="R17" s="97">
        <v>1202300</v>
      </c>
      <c r="S17" s="97">
        <v>-86.792087633865776</v>
      </c>
      <c r="T17" s="98">
        <v>-1.0041987862656772</v>
      </c>
      <c r="U17" s="98">
        <v>-4.5174680167282243E-5</v>
      </c>
      <c r="V17" s="106"/>
    </row>
    <row r="18" spans="1:22" ht="15" customHeight="1">
      <c r="A18" s="106"/>
      <c r="B18" s="96">
        <v>286</v>
      </c>
      <c r="C18" s="96">
        <v>286</v>
      </c>
      <c r="D18" s="96" t="s">
        <v>3438</v>
      </c>
      <c r="E18" s="96" t="s">
        <v>3439</v>
      </c>
      <c r="F18" s="96" t="s">
        <v>310</v>
      </c>
      <c r="G18" s="96" t="s">
        <v>3440</v>
      </c>
      <c r="H18" s="96" t="s">
        <v>3454</v>
      </c>
      <c r="I18" s="96" t="s">
        <v>136</v>
      </c>
      <c r="J18" s="96" t="s">
        <v>204</v>
      </c>
      <c r="K18" s="96" t="s">
        <v>281</v>
      </c>
      <c r="L18" s="96" t="s">
        <v>313</v>
      </c>
      <c r="M18" s="96" t="s">
        <v>746</v>
      </c>
      <c r="N18" s="96" t="s">
        <v>338</v>
      </c>
      <c r="O18" s="96" t="s">
        <v>1215</v>
      </c>
      <c r="P18" s="97">
        <v>3.5445820000000001</v>
      </c>
      <c r="Q18" s="97">
        <v>2.7412999999999998</v>
      </c>
      <c r="R18" s="97">
        <v>131050</v>
      </c>
      <c r="S18" s="97">
        <v>-13.396716115806612</v>
      </c>
      <c r="T18" s="98">
        <v>-0.15500221771586428</v>
      </c>
      <c r="U18" s="98">
        <v>-6.9728979025882618E-6</v>
      </c>
      <c r="V18" s="106"/>
    </row>
    <row r="19" spans="1:22" ht="15" customHeight="1">
      <c r="A19" s="106"/>
      <c r="B19" s="96">
        <v>286</v>
      </c>
      <c r="C19" s="96">
        <v>14418</v>
      </c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7"/>
      <c r="T19" s="98"/>
      <c r="U19" s="98"/>
      <c r="V19" s="106"/>
    </row>
    <row r="20" spans="1:22" ht="15" customHeight="1">
      <c r="A20" s="106"/>
      <c r="B20" s="96">
        <v>286</v>
      </c>
      <c r="C20" s="96">
        <v>1445</v>
      </c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7"/>
      <c r="T20" s="98"/>
      <c r="U20" s="98"/>
      <c r="V20" s="106"/>
    </row>
    <row r="21" spans="1:22" ht="15" customHeight="1">
      <c r="A21" s="106"/>
      <c r="B21" s="96">
        <v>286</v>
      </c>
      <c r="C21" s="96">
        <v>9803</v>
      </c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7"/>
      <c r="T21" s="98"/>
      <c r="U21" s="98"/>
      <c r="V21" s="106"/>
    </row>
    <row r="22" spans="1:22" ht="15" customHeight="1">
      <c r="A22" s="106"/>
      <c r="B22" s="105" t="s">
        <v>3767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6"/>
    </row>
  </sheetData>
  <mergeCells count="4">
    <mergeCell ref="B22:U22"/>
    <mergeCell ref="A1:A22"/>
    <mergeCell ref="B1:U1"/>
    <mergeCell ref="V1:V22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D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375" bestFit="1" customWidth="1"/>
    <col min="6" max="6" width="9.125" bestFit="1" customWidth="1"/>
    <col min="7" max="7" width="9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6.875" bestFit="1" customWidth="1"/>
    <col min="14" max="14" width="8.375" bestFit="1" customWidth="1"/>
    <col min="15" max="15" width="7.125" bestFit="1" customWidth="1"/>
    <col min="16" max="16" width="9.625" bestFit="1" customWidth="1"/>
    <col min="17" max="17" width="5.125" bestFit="1" customWidth="1"/>
    <col min="18" max="18" width="9.25" bestFit="1" customWidth="1"/>
    <col min="19" max="19" width="10.375" bestFit="1" customWidth="1"/>
    <col min="20" max="20" width="4.375" bestFit="1" customWidth="1"/>
    <col min="21" max="21" width="7.125" bestFit="1" customWidth="1"/>
    <col min="22" max="22" width="10.125" bestFit="1" customWidth="1"/>
    <col min="23" max="23" width="9.875" bestFit="1" customWidth="1"/>
    <col min="24" max="24" width="8" bestFit="1" customWidth="1"/>
    <col min="25" max="25" width="9.125" bestFit="1" customWidth="1"/>
    <col min="26" max="26" width="11.5" bestFit="1" customWidth="1"/>
    <col min="27" max="27" width="9.5" bestFit="1" customWidth="1"/>
    <col min="28" max="28" width="11" bestFit="1" customWidth="1"/>
    <col min="29" max="29" width="10.375" bestFit="1" customWidth="1"/>
    <col min="30" max="30" width="3.125" customWidth="1"/>
  </cols>
  <sheetData>
    <row r="1" spans="1:30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6" t="s">
        <v>3766</v>
      </c>
    </row>
    <row r="2" spans="1:30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70</v>
      </c>
      <c r="O2" s="21" t="s">
        <v>96</v>
      </c>
      <c r="P2" s="21" t="s">
        <v>56</v>
      </c>
      <c r="Q2" s="99" t="s">
        <v>72</v>
      </c>
      <c r="R2" s="95" t="s">
        <v>62</v>
      </c>
      <c r="S2" s="95" t="s">
        <v>74</v>
      </c>
      <c r="T2" s="21" t="s">
        <v>71</v>
      </c>
      <c r="U2" s="21" t="s">
        <v>58</v>
      </c>
      <c r="V2" s="21" t="s">
        <v>84</v>
      </c>
      <c r="W2" s="21" t="s">
        <v>59</v>
      </c>
      <c r="X2" s="99" t="s">
        <v>76</v>
      </c>
      <c r="Y2" s="99" t="s">
        <v>61</v>
      </c>
      <c r="Z2" s="99" t="s">
        <v>77</v>
      </c>
      <c r="AA2" s="99" t="s">
        <v>63</v>
      </c>
      <c r="AB2" s="95" t="s">
        <v>64</v>
      </c>
      <c r="AC2" s="95" t="s">
        <v>65</v>
      </c>
      <c r="AD2" s="106"/>
    </row>
    <row r="3" spans="1:30" ht="15" customHeight="1">
      <c r="A3" s="106"/>
      <c r="B3" s="96">
        <v>286</v>
      </c>
      <c r="C3" s="96">
        <v>14418</v>
      </c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7"/>
      <c r="R3" s="98"/>
      <c r="S3" s="98"/>
      <c r="T3" s="96"/>
      <c r="U3" s="96"/>
      <c r="V3" s="96"/>
      <c r="W3" s="96"/>
      <c r="X3" s="97"/>
      <c r="Y3" s="97"/>
      <c r="Z3" s="97"/>
      <c r="AA3" s="97"/>
      <c r="AB3" s="98"/>
      <c r="AC3" s="98"/>
      <c r="AD3" s="106"/>
    </row>
    <row r="4" spans="1:30" ht="15" customHeight="1">
      <c r="A4" s="106"/>
      <c r="B4" s="96">
        <v>286</v>
      </c>
      <c r="C4" s="96">
        <v>1445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106"/>
    </row>
    <row r="5" spans="1:30" ht="15" customHeight="1">
      <c r="A5" s="106"/>
      <c r="B5" s="96">
        <v>286</v>
      </c>
      <c r="C5" s="96">
        <v>1446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106"/>
    </row>
    <row r="6" spans="1:30" ht="15" customHeight="1">
      <c r="A6" s="106"/>
      <c r="B6" s="96">
        <v>286</v>
      </c>
      <c r="C6" s="96">
        <v>286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106"/>
    </row>
    <row r="7" spans="1:30" ht="15" customHeight="1">
      <c r="A7" s="106"/>
      <c r="B7" s="96">
        <v>286</v>
      </c>
      <c r="C7" s="96">
        <v>9803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106"/>
    </row>
    <row r="8" spans="1:30" ht="15" customHeight="1">
      <c r="A8" s="106"/>
      <c r="B8" s="105" t="s">
        <v>3767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6"/>
    </row>
  </sheetData>
  <mergeCells count="4">
    <mergeCell ref="B8:AC8"/>
    <mergeCell ref="A1:A8"/>
    <mergeCell ref="B1:AC1"/>
    <mergeCell ref="AD1:AD8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25" bestFit="1" customWidth="1"/>
    <col min="6" max="6" width="10.875" bestFit="1" customWidth="1"/>
    <col min="7" max="7" width="11" bestFit="1" customWidth="1"/>
    <col min="8" max="8" width="9.625" bestFit="1" customWidth="1"/>
    <col min="9" max="9" width="8.75" bestFit="1" customWidth="1"/>
    <col min="10" max="10" width="10.75" bestFit="1" customWidth="1"/>
    <col min="11" max="11" width="10.125" bestFit="1" customWidth="1"/>
    <col min="12" max="12" width="4.375" bestFit="1" customWidth="1"/>
    <col min="13" max="13" width="7.125" bestFit="1" customWidth="1"/>
    <col min="14" max="14" width="9.875" bestFit="1" customWidth="1"/>
    <col min="15" max="15" width="5.125" bestFit="1" customWidth="1"/>
    <col min="16" max="16" width="8" bestFit="1" customWidth="1"/>
    <col min="17" max="17" width="9.25" bestFit="1" customWidth="1"/>
    <col min="18" max="18" width="10.37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.375" bestFit="1" customWidth="1"/>
    <col min="24" max="24" width="10.625" bestFit="1" customWidth="1"/>
    <col min="25" max="25" width="11" bestFit="1" customWidth="1"/>
    <col min="26" max="26" width="10.375" bestFit="1" customWidth="1"/>
    <col min="27" max="27" width="3.125" customWidth="1"/>
    <col min="28" max="28" width="8.625" customWidth="1"/>
  </cols>
  <sheetData>
    <row r="1" spans="1:27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6" t="s">
        <v>3766</v>
      </c>
    </row>
    <row r="2" spans="1:27" ht="66.75" customHeight="1">
      <c r="A2" s="106"/>
      <c r="B2" s="21" t="s">
        <v>49</v>
      </c>
      <c r="C2" s="21" t="s">
        <v>50</v>
      </c>
      <c r="D2" s="21" t="s">
        <v>66</v>
      </c>
      <c r="E2" s="21" t="s">
        <v>67</v>
      </c>
      <c r="F2" s="21" t="s">
        <v>68</v>
      </c>
      <c r="G2" s="21" t="s">
        <v>82</v>
      </c>
      <c r="H2" s="21" t="s">
        <v>54</v>
      </c>
      <c r="I2" s="21" t="s">
        <v>55</v>
      </c>
      <c r="J2" s="21" t="s">
        <v>69</v>
      </c>
      <c r="K2" s="101" t="s">
        <v>97</v>
      </c>
      <c r="L2" s="21" t="s">
        <v>71</v>
      </c>
      <c r="M2" s="21" t="s">
        <v>58</v>
      </c>
      <c r="N2" s="21" t="s">
        <v>59</v>
      </c>
      <c r="O2" s="99" t="s">
        <v>72</v>
      </c>
      <c r="P2" s="101" t="s">
        <v>73</v>
      </c>
      <c r="Q2" s="95" t="s">
        <v>62</v>
      </c>
      <c r="R2" s="95" t="s">
        <v>74</v>
      </c>
      <c r="S2" s="99" t="s">
        <v>76</v>
      </c>
      <c r="T2" s="99" t="s">
        <v>61</v>
      </c>
      <c r="U2" s="99" t="s">
        <v>77</v>
      </c>
      <c r="V2" s="99" t="s">
        <v>63</v>
      </c>
      <c r="W2" s="99" t="s">
        <v>78</v>
      </c>
      <c r="X2" s="21" t="s">
        <v>17</v>
      </c>
      <c r="Y2" s="95" t="s">
        <v>64</v>
      </c>
      <c r="Z2" s="95" t="s">
        <v>65</v>
      </c>
      <c r="AA2" s="106"/>
    </row>
    <row r="3" spans="1:27" ht="15" customHeight="1">
      <c r="A3" s="106"/>
      <c r="B3" s="96">
        <v>286</v>
      </c>
      <c r="C3" s="96">
        <v>14418</v>
      </c>
      <c r="D3" s="96"/>
      <c r="E3" s="96"/>
      <c r="F3" s="96"/>
      <c r="G3" s="96"/>
      <c r="H3" s="96"/>
      <c r="I3" s="96"/>
      <c r="J3" s="96"/>
      <c r="K3" s="100"/>
      <c r="L3" s="96"/>
      <c r="M3" s="96"/>
      <c r="N3" s="96"/>
      <c r="O3" s="97"/>
      <c r="P3" s="100"/>
      <c r="Q3" s="98"/>
      <c r="R3" s="98"/>
      <c r="S3" s="97"/>
      <c r="T3" s="97"/>
      <c r="U3" s="97"/>
      <c r="V3" s="97"/>
      <c r="W3" s="97"/>
      <c r="X3" s="96"/>
      <c r="Y3" s="98"/>
      <c r="Z3" s="98"/>
      <c r="AA3" s="106"/>
    </row>
    <row r="4" spans="1:27" ht="15" customHeight="1">
      <c r="A4" s="106"/>
      <c r="B4" s="96">
        <v>286</v>
      </c>
      <c r="C4" s="96">
        <v>1445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106"/>
    </row>
    <row r="5" spans="1:27" ht="15" customHeight="1">
      <c r="A5" s="106"/>
      <c r="B5" s="96">
        <v>286</v>
      </c>
      <c r="C5" s="96">
        <v>1446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106"/>
    </row>
    <row r="6" spans="1:27" ht="15" customHeight="1">
      <c r="A6" s="106"/>
      <c r="B6" s="96">
        <v>286</v>
      </c>
      <c r="C6" s="96">
        <v>286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106"/>
    </row>
    <row r="7" spans="1:27" ht="15" customHeight="1">
      <c r="A7" s="106"/>
      <c r="B7" s="96">
        <v>286</v>
      </c>
      <c r="C7" s="96">
        <v>9803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106"/>
    </row>
    <row r="8" spans="1:27" ht="15" customHeight="1">
      <c r="A8" s="106"/>
      <c r="B8" s="105" t="s">
        <v>3767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6"/>
    </row>
  </sheetData>
  <mergeCells count="4">
    <mergeCell ref="B8:Z8"/>
    <mergeCell ref="A1:A8"/>
    <mergeCell ref="B1:Z1"/>
    <mergeCell ref="AA1:AA8"/>
  </mergeCell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AA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9.625" bestFit="1" customWidth="1"/>
    <col min="5" max="5" width="9.25" bestFit="1" customWidth="1"/>
    <col min="6" max="6" width="10.875" bestFit="1" customWidth="1"/>
    <col min="7" max="7" width="10.125" bestFit="1" customWidth="1"/>
    <col min="8" max="8" width="5.125" bestFit="1" customWidth="1"/>
    <col min="9" max="9" width="8.375" bestFit="1" customWidth="1"/>
    <col min="10" max="10" width="8" bestFit="1" customWidth="1"/>
    <col min="11" max="11" width="9.25" bestFit="1" customWidth="1"/>
    <col min="12" max="12" width="10.375" bestFit="1" customWidth="1"/>
    <col min="13" max="13" width="8" bestFit="1" customWidth="1"/>
    <col min="14" max="14" width="11.5" bestFit="1" customWidth="1"/>
    <col min="15" max="15" width="9.5" bestFit="1" customWidth="1"/>
    <col min="16" max="16" width="11.375" bestFit="1" customWidth="1"/>
    <col min="17" max="17" width="10.625" bestFit="1" customWidth="1"/>
    <col min="18" max="18" width="11" bestFit="1" customWidth="1"/>
    <col min="19" max="19" width="10.375" bestFit="1" customWidth="1"/>
    <col min="20" max="20" width="3.125" customWidth="1"/>
    <col min="21" max="27" width="9" customWidth="1"/>
  </cols>
  <sheetData>
    <row r="1" spans="1:27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6" t="s">
        <v>3766</v>
      </c>
    </row>
    <row r="2" spans="1:27" ht="66.75" customHeight="1">
      <c r="A2" s="106"/>
      <c r="B2" s="21" t="s">
        <v>49</v>
      </c>
      <c r="C2" s="21" t="s">
        <v>50</v>
      </c>
      <c r="D2" s="21" t="s">
        <v>54</v>
      </c>
      <c r="E2" s="21" t="s">
        <v>67</v>
      </c>
      <c r="F2" s="21" t="s">
        <v>68</v>
      </c>
      <c r="G2" s="101" t="s">
        <v>97</v>
      </c>
      <c r="H2" s="99" t="s">
        <v>72</v>
      </c>
      <c r="I2" s="21" t="s">
        <v>98</v>
      </c>
      <c r="J2" s="101" t="s">
        <v>73</v>
      </c>
      <c r="K2" s="95" t="s">
        <v>62</v>
      </c>
      <c r="L2" s="95" t="s">
        <v>74</v>
      </c>
      <c r="M2" s="99" t="s">
        <v>76</v>
      </c>
      <c r="N2" s="99" t="s">
        <v>77</v>
      </c>
      <c r="O2" s="99" t="s">
        <v>63</v>
      </c>
      <c r="P2" s="99" t="s">
        <v>78</v>
      </c>
      <c r="Q2" s="21" t="s">
        <v>17</v>
      </c>
      <c r="R2" s="95" t="s">
        <v>64</v>
      </c>
      <c r="S2" s="95" t="s">
        <v>65</v>
      </c>
      <c r="T2" s="106"/>
      <c r="U2" s="10"/>
      <c r="V2" s="10"/>
      <c r="W2" s="10"/>
      <c r="X2" s="10"/>
      <c r="Y2" s="10"/>
      <c r="Z2" s="10"/>
      <c r="AA2" s="10"/>
    </row>
    <row r="3" spans="1:27" ht="15" customHeight="1">
      <c r="A3" s="106"/>
      <c r="B3" s="96">
        <v>286</v>
      </c>
      <c r="C3" s="96">
        <v>14418</v>
      </c>
      <c r="D3" s="96"/>
      <c r="E3" s="96"/>
      <c r="F3" s="96"/>
      <c r="G3" s="100"/>
      <c r="H3" s="97"/>
      <c r="I3" s="96"/>
      <c r="J3" s="100"/>
      <c r="K3" s="98"/>
      <c r="L3" s="98"/>
      <c r="M3" s="97"/>
      <c r="N3" s="97"/>
      <c r="O3" s="97"/>
      <c r="P3" s="97"/>
      <c r="Q3" s="96"/>
      <c r="R3" s="98"/>
      <c r="S3" s="98"/>
      <c r="T3" s="106"/>
    </row>
    <row r="4" spans="1:27" ht="15" customHeight="1">
      <c r="A4" s="106"/>
      <c r="B4" s="96">
        <v>286</v>
      </c>
      <c r="C4" s="96">
        <v>1445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106"/>
    </row>
    <row r="5" spans="1:27" ht="15" customHeight="1">
      <c r="A5" s="106"/>
      <c r="B5" s="96">
        <v>286</v>
      </c>
      <c r="C5" s="96">
        <v>1446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106"/>
    </row>
    <row r="6" spans="1:27" ht="15" customHeight="1">
      <c r="A6" s="106"/>
      <c r="B6" s="96">
        <v>286</v>
      </c>
      <c r="C6" s="96">
        <v>286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106"/>
    </row>
    <row r="7" spans="1:27" ht="15" customHeight="1">
      <c r="A7" s="106"/>
      <c r="B7" s="96">
        <v>286</v>
      </c>
      <c r="C7" s="96">
        <v>9803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106"/>
    </row>
    <row r="8" spans="1:27" ht="15" customHeight="1">
      <c r="A8" s="106"/>
      <c r="B8" s="105" t="s">
        <v>3767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6"/>
    </row>
  </sheetData>
  <mergeCells count="4">
    <mergeCell ref="B8:S8"/>
    <mergeCell ref="A1:A8"/>
    <mergeCell ref="B1:S1"/>
    <mergeCell ref="T1:T8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AA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7.625" bestFit="1" customWidth="1"/>
    <col min="3" max="3" width="9.25" bestFit="1" customWidth="1"/>
    <col min="4" max="4" width="9.625" bestFit="1" customWidth="1"/>
    <col min="5" max="6" width="10.25" bestFit="1" customWidth="1"/>
    <col min="7" max="7" width="10.875" bestFit="1" customWidth="1"/>
    <col min="8" max="8" width="10.375" bestFit="1" customWidth="1"/>
    <col min="9" max="9" width="3.125" customWidth="1"/>
    <col min="10" max="27" width="9" customWidth="1"/>
  </cols>
  <sheetData>
    <row r="1" spans="1:27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6" t="s">
        <v>3766</v>
      </c>
    </row>
    <row r="2" spans="1:27" ht="66.75" customHeight="1">
      <c r="A2" s="106"/>
      <c r="B2" s="21" t="s">
        <v>99</v>
      </c>
      <c r="C2" s="21" t="s">
        <v>50</v>
      </c>
      <c r="D2" s="21" t="s">
        <v>54</v>
      </c>
      <c r="E2" s="101" t="s">
        <v>100</v>
      </c>
      <c r="F2" s="101" t="s">
        <v>101</v>
      </c>
      <c r="G2" s="99" t="s">
        <v>102</v>
      </c>
      <c r="H2" s="95" t="s">
        <v>65</v>
      </c>
      <c r="I2" s="106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5" customHeight="1">
      <c r="A3" s="106"/>
      <c r="B3" s="96">
        <v>286</v>
      </c>
      <c r="C3" s="96">
        <v>14418</v>
      </c>
      <c r="D3" s="96"/>
      <c r="E3" s="100"/>
      <c r="F3" s="100"/>
      <c r="G3" s="97"/>
      <c r="H3" s="98"/>
      <c r="I3" s="106"/>
    </row>
    <row r="4" spans="1:27" ht="15" customHeight="1">
      <c r="A4" s="106"/>
      <c r="B4" s="96">
        <v>286</v>
      </c>
      <c r="C4" s="96">
        <v>1445</v>
      </c>
      <c r="D4" s="96"/>
      <c r="E4" s="96"/>
      <c r="F4" s="96"/>
      <c r="G4" s="96"/>
      <c r="H4" s="96"/>
      <c r="I4" s="106"/>
    </row>
    <row r="5" spans="1:27" ht="15" customHeight="1">
      <c r="A5" s="106"/>
      <c r="B5" s="96">
        <v>286</v>
      </c>
      <c r="C5" s="96">
        <v>1446</v>
      </c>
      <c r="D5" s="96"/>
      <c r="E5" s="96"/>
      <c r="F5" s="96"/>
      <c r="G5" s="96"/>
      <c r="H5" s="96"/>
      <c r="I5" s="106"/>
    </row>
    <row r="6" spans="1:27" ht="15" customHeight="1">
      <c r="A6" s="106"/>
      <c r="B6" s="96">
        <v>286</v>
      </c>
      <c r="C6" s="96">
        <v>286</v>
      </c>
      <c r="D6" s="96"/>
      <c r="E6" s="96"/>
      <c r="F6" s="96"/>
      <c r="G6" s="96"/>
      <c r="H6" s="96"/>
      <c r="I6" s="106"/>
    </row>
    <row r="7" spans="1:27" ht="15" customHeight="1">
      <c r="A7" s="106"/>
      <c r="B7" s="96">
        <v>286</v>
      </c>
      <c r="C7" s="96">
        <v>9803</v>
      </c>
      <c r="D7" s="96"/>
      <c r="E7" s="96"/>
      <c r="F7" s="96"/>
      <c r="G7" s="96"/>
      <c r="H7" s="96"/>
      <c r="I7" s="106"/>
    </row>
    <row r="8" spans="1:27" ht="15" customHeight="1">
      <c r="A8" s="106"/>
      <c r="B8" s="105" t="s">
        <v>3767</v>
      </c>
      <c r="C8" s="105"/>
      <c r="D8" s="105"/>
      <c r="E8" s="105"/>
      <c r="F8" s="105"/>
      <c r="G8" s="105"/>
      <c r="H8" s="105"/>
      <c r="I8" s="106"/>
    </row>
  </sheetData>
  <mergeCells count="4">
    <mergeCell ref="B8:H8"/>
    <mergeCell ref="A1:A8"/>
    <mergeCell ref="B1:H1"/>
    <mergeCell ref="I1:I8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P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375" bestFit="1" customWidth="1"/>
    <col min="6" max="6" width="9.125" bestFit="1" customWidth="1"/>
    <col min="7" max="7" width="9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.375" bestFit="1" customWidth="1"/>
    <col min="22" max="22" width="7.875" bestFit="1" customWidth="1"/>
    <col min="23" max="23" width="8" bestFit="1" customWidth="1"/>
    <col min="24" max="24" width="9.25" bestFit="1" customWidth="1"/>
    <col min="25" max="25" width="10.375" bestFit="1" customWidth="1"/>
    <col min="26" max="26" width="10" bestFit="1" customWidth="1"/>
    <col min="27" max="27" width="11.25" bestFit="1" customWidth="1"/>
    <col min="28" max="28" width="7.25" bestFit="1" customWidth="1"/>
    <col min="29" max="29" width="10.875" bestFit="1" customWidth="1"/>
    <col min="30" max="30" width="7.25" bestFit="1" customWidth="1"/>
    <col min="31" max="31" width="10.625" bestFit="1" customWidth="1"/>
    <col min="32" max="32" width="10.125" bestFit="1" customWidth="1"/>
    <col min="33" max="33" width="8" bestFit="1" customWidth="1"/>
    <col min="34" max="34" width="9.125" bestFit="1" customWidth="1"/>
    <col min="35" max="35" width="11.5" bestFit="1" customWidth="1"/>
    <col min="36" max="36" width="9.5" bestFit="1" customWidth="1"/>
    <col min="37" max="38" width="11.375" bestFit="1" customWidth="1"/>
    <col min="39" max="39" width="10.625" bestFit="1" customWidth="1"/>
    <col min="40" max="40" width="11" bestFit="1" customWidth="1"/>
    <col min="41" max="41" width="10.375" bestFit="1" customWidth="1"/>
    <col min="42" max="42" width="3.125" customWidth="1"/>
  </cols>
  <sheetData>
    <row r="1" spans="1:42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6" t="s">
        <v>3766</v>
      </c>
    </row>
    <row r="2" spans="1:42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83</v>
      </c>
      <c r="N2" s="21" t="s">
        <v>56</v>
      </c>
      <c r="O2" s="101" t="s">
        <v>97</v>
      </c>
      <c r="P2" s="21" t="s">
        <v>71</v>
      </c>
      <c r="Q2" s="21" t="s">
        <v>58</v>
      </c>
      <c r="R2" s="21" t="s">
        <v>84</v>
      </c>
      <c r="S2" s="21" t="s">
        <v>59</v>
      </c>
      <c r="T2" s="99" t="s">
        <v>72</v>
      </c>
      <c r="U2" s="21" t="s">
        <v>98</v>
      </c>
      <c r="V2" s="21" t="s">
        <v>85</v>
      </c>
      <c r="W2" s="101" t="s">
        <v>73</v>
      </c>
      <c r="X2" s="95" t="s">
        <v>62</v>
      </c>
      <c r="Y2" s="95" t="s">
        <v>74</v>
      </c>
      <c r="Z2" s="21" t="s">
        <v>86</v>
      </c>
      <c r="AA2" s="21" t="s">
        <v>87</v>
      </c>
      <c r="AB2" s="21" t="s">
        <v>103</v>
      </c>
      <c r="AC2" s="21" t="s">
        <v>104</v>
      </c>
      <c r="AD2" s="21" t="s">
        <v>105</v>
      </c>
      <c r="AE2" s="101" t="s">
        <v>106</v>
      </c>
      <c r="AF2" s="101" t="s">
        <v>107</v>
      </c>
      <c r="AG2" s="99" t="s">
        <v>76</v>
      </c>
      <c r="AH2" s="99" t="s">
        <v>61</v>
      </c>
      <c r="AI2" s="99" t="s">
        <v>77</v>
      </c>
      <c r="AJ2" s="99" t="s">
        <v>63</v>
      </c>
      <c r="AK2" s="99" t="s">
        <v>78</v>
      </c>
      <c r="AL2" s="99" t="s">
        <v>88</v>
      </c>
      <c r="AM2" s="21" t="s">
        <v>17</v>
      </c>
      <c r="AN2" s="95" t="s">
        <v>64</v>
      </c>
      <c r="AO2" s="95" t="s">
        <v>65</v>
      </c>
      <c r="AP2" s="106"/>
    </row>
    <row r="3" spans="1:42" ht="15" customHeight="1">
      <c r="A3" s="106"/>
      <c r="B3" s="96">
        <v>286</v>
      </c>
      <c r="C3" s="96">
        <v>14418</v>
      </c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100"/>
      <c r="P3" s="96"/>
      <c r="Q3" s="96"/>
      <c r="R3" s="96"/>
      <c r="S3" s="96"/>
      <c r="T3" s="97"/>
      <c r="U3" s="96"/>
      <c r="V3" s="96"/>
      <c r="W3" s="100"/>
      <c r="X3" s="98"/>
      <c r="Y3" s="98"/>
      <c r="Z3" s="96"/>
      <c r="AA3" s="96"/>
      <c r="AB3" s="96"/>
      <c r="AC3" s="96"/>
      <c r="AD3" s="96"/>
      <c r="AE3" s="100"/>
      <c r="AF3" s="100"/>
      <c r="AG3" s="97"/>
      <c r="AH3" s="97"/>
      <c r="AI3" s="97"/>
      <c r="AJ3" s="97"/>
      <c r="AK3" s="97"/>
      <c r="AL3" s="97"/>
      <c r="AM3" s="96"/>
      <c r="AN3" s="98"/>
      <c r="AO3" s="98"/>
      <c r="AP3" s="106"/>
    </row>
    <row r="4" spans="1:42" ht="15" customHeight="1">
      <c r="A4" s="106"/>
      <c r="B4" s="96">
        <v>286</v>
      </c>
      <c r="C4" s="96">
        <v>1445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106"/>
    </row>
    <row r="5" spans="1:42" ht="15" customHeight="1">
      <c r="A5" s="106"/>
      <c r="B5" s="96">
        <v>286</v>
      </c>
      <c r="C5" s="96">
        <v>1446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106"/>
    </row>
    <row r="6" spans="1:42" ht="15" customHeight="1">
      <c r="A6" s="106"/>
      <c r="B6" s="96">
        <v>286</v>
      </c>
      <c r="C6" s="96">
        <v>286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106"/>
    </row>
    <row r="7" spans="1:42" ht="15" customHeight="1">
      <c r="A7" s="106"/>
      <c r="B7" s="96">
        <v>286</v>
      </c>
      <c r="C7" s="96">
        <v>9803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106"/>
    </row>
    <row r="8" spans="1:42" ht="15" customHeight="1">
      <c r="A8" s="106"/>
      <c r="B8" s="105" t="s">
        <v>3767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6"/>
    </row>
  </sheetData>
  <mergeCells count="4">
    <mergeCell ref="B8:AO8"/>
    <mergeCell ref="A1:A8"/>
    <mergeCell ref="B1:AO1"/>
    <mergeCell ref="AP1:AP8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N50"/>
  <sheetViews>
    <sheetView rightToLeft="1" topLeftCell="Y1" workbookViewId="0">
      <selection sqref="A1:A50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28.375" bestFit="1" customWidth="1"/>
    <col min="5" max="5" width="9.875" bestFit="1" customWidth="1"/>
    <col min="6" max="6" width="9.75" bestFit="1" customWidth="1"/>
    <col min="7" max="7" width="27.125" bestFit="1" customWidth="1"/>
    <col min="8" max="8" width="12.25" bestFit="1" customWidth="1"/>
    <col min="9" max="9" width="11" bestFit="1" customWidth="1"/>
    <col min="10" max="10" width="22.75" bestFit="1" customWidth="1"/>
    <col min="11" max="11" width="8.75" bestFit="1" customWidth="1"/>
    <col min="12" max="12" width="10.75" bestFit="1" customWidth="1"/>
    <col min="13" max="13" width="6.875" bestFit="1" customWidth="1"/>
    <col min="14" max="14" width="14.125" bestFit="1" customWidth="1"/>
    <col min="15" max="15" width="9.625" bestFit="1" customWidth="1"/>
    <col min="16" max="16" width="10.125" bestFit="1" customWidth="1"/>
    <col min="17" max="17" width="5.25" bestFit="1" customWidth="1"/>
    <col min="18" max="18" width="12.25" bestFit="1" customWidth="1"/>
    <col min="19" max="19" width="10.125" bestFit="1" customWidth="1"/>
    <col min="20" max="20" width="9.875" bestFit="1" customWidth="1"/>
    <col min="21" max="21" width="6.375" bestFit="1" customWidth="1"/>
    <col min="22" max="22" width="9.875" bestFit="1" customWidth="1"/>
    <col min="23" max="23" width="10.375" bestFit="1" customWidth="1"/>
    <col min="24" max="24" width="9.25" bestFit="1" customWidth="1"/>
    <col min="25" max="25" width="10.75" bestFit="1" customWidth="1"/>
    <col min="26" max="26" width="11.25" bestFit="1" customWidth="1"/>
    <col min="27" max="27" width="9.625" bestFit="1" customWidth="1"/>
    <col min="28" max="28" width="10.875" bestFit="1" customWidth="1"/>
    <col min="29" max="29" width="10.625" bestFit="1" customWidth="1"/>
    <col min="30" max="30" width="10.125" bestFit="1" customWidth="1"/>
    <col min="31" max="31" width="13.5" bestFit="1" customWidth="1"/>
    <col min="32" max="32" width="8.625" bestFit="1" customWidth="1"/>
    <col min="33" max="33" width="11" bestFit="1" customWidth="1"/>
    <col min="34" max="34" width="9.875" bestFit="1" customWidth="1"/>
    <col min="35" max="36" width="11.375" bestFit="1" customWidth="1"/>
    <col min="37" max="37" width="10.625" bestFit="1" customWidth="1"/>
    <col min="38" max="38" width="11" bestFit="1" customWidth="1"/>
    <col min="39" max="39" width="10.375" bestFit="1" customWidth="1"/>
    <col min="40" max="40" width="3.125" customWidth="1"/>
  </cols>
  <sheetData>
    <row r="1" spans="1:40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6" t="s">
        <v>3766</v>
      </c>
    </row>
    <row r="2" spans="1:40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83</v>
      </c>
      <c r="O2" s="21" t="s">
        <v>56</v>
      </c>
      <c r="P2" s="21" t="s">
        <v>97</v>
      </c>
      <c r="Q2" s="21" t="s">
        <v>71</v>
      </c>
      <c r="R2" s="21" t="s">
        <v>58</v>
      </c>
      <c r="S2" s="21" t="s">
        <v>84</v>
      </c>
      <c r="T2" s="21" t="s">
        <v>59</v>
      </c>
      <c r="U2" s="21" t="s">
        <v>72</v>
      </c>
      <c r="V2" s="21" t="s">
        <v>73</v>
      </c>
      <c r="W2" s="21" t="s">
        <v>74</v>
      </c>
      <c r="X2" s="21" t="s">
        <v>62</v>
      </c>
      <c r="Y2" s="21" t="s">
        <v>86</v>
      </c>
      <c r="Z2" s="21" t="s">
        <v>87</v>
      </c>
      <c r="AA2" s="21" t="s">
        <v>103</v>
      </c>
      <c r="AB2" s="21" t="s">
        <v>104</v>
      </c>
      <c r="AC2" s="21" t="s">
        <v>106</v>
      </c>
      <c r="AD2" s="21" t="s">
        <v>107</v>
      </c>
      <c r="AE2" s="21" t="s">
        <v>76</v>
      </c>
      <c r="AF2" s="21" t="s">
        <v>61</v>
      </c>
      <c r="AG2" s="21" t="s">
        <v>77</v>
      </c>
      <c r="AH2" s="21" t="s">
        <v>63</v>
      </c>
      <c r="AI2" s="99" t="s">
        <v>78</v>
      </c>
      <c r="AJ2" s="99" t="s">
        <v>88</v>
      </c>
      <c r="AK2" s="21" t="s">
        <v>17</v>
      </c>
      <c r="AL2" s="21" t="s">
        <v>64</v>
      </c>
      <c r="AM2" s="21" t="s">
        <v>65</v>
      </c>
      <c r="AN2" s="106"/>
    </row>
    <row r="3" spans="1:40" ht="15" customHeight="1">
      <c r="A3" s="106"/>
      <c r="B3" s="96">
        <v>286</v>
      </c>
      <c r="C3" s="96">
        <v>1445</v>
      </c>
      <c r="D3" s="96" t="s">
        <v>1197</v>
      </c>
      <c r="E3" s="96">
        <v>520018078</v>
      </c>
      <c r="F3" s="96" t="s">
        <v>308</v>
      </c>
      <c r="G3" s="96" t="s">
        <v>3459</v>
      </c>
      <c r="H3" s="96" t="s">
        <v>3460</v>
      </c>
      <c r="I3" s="96" t="s">
        <v>320</v>
      </c>
      <c r="J3" s="96" t="s">
        <v>952</v>
      </c>
      <c r="K3" s="96" t="s">
        <v>203</v>
      </c>
      <c r="L3" s="96" t="s">
        <v>203</v>
      </c>
      <c r="M3" s="96" t="s">
        <v>325</v>
      </c>
      <c r="N3" s="96" t="s">
        <v>447</v>
      </c>
      <c r="O3" s="96" t="s">
        <v>338</v>
      </c>
      <c r="P3" s="100">
        <v>45145</v>
      </c>
      <c r="Q3" s="96" t="s">
        <v>1199</v>
      </c>
      <c r="R3" s="96" t="s">
        <v>412</v>
      </c>
      <c r="S3" s="96" t="s">
        <v>408</v>
      </c>
      <c r="T3" s="96" t="s">
        <v>1200</v>
      </c>
      <c r="U3" s="97">
        <v>2.29</v>
      </c>
      <c r="V3" s="100">
        <v>46380</v>
      </c>
      <c r="W3" s="98">
        <v>6.6500000000000004E-2</v>
      </c>
      <c r="X3" s="98">
        <v>6.8000000000000005E-2</v>
      </c>
      <c r="Y3" s="96" t="s">
        <v>411</v>
      </c>
      <c r="Z3" s="96"/>
      <c r="AA3" s="96" t="s">
        <v>887</v>
      </c>
      <c r="AB3" s="96" t="s">
        <v>890</v>
      </c>
      <c r="AC3" s="100">
        <v>45473</v>
      </c>
      <c r="AD3" s="100">
        <v>45473</v>
      </c>
      <c r="AE3" s="97">
        <v>443.68572999999998</v>
      </c>
      <c r="AF3" s="97">
        <v>1</v>
      </c>
      <c r="AG3" s="97">
        <v>100.89</v>
      </c>
      <c r="AH3" s="97">
        <v>0.44763399999999998</v>
      </c>
      <c r="AI3" s="97"/>
      <c r="AJ3" s="97"/>
      <c r="AK3" s="96"/>
      <c r="AL3" s="98">
        <v>2.0070000000000001E-3</v>
      </c>
      <c r="AM3" s="98">
        <v>7.9999999999999996E-6</v>
      </c>
      <c r="AN3" s="106"/>
    </row>
    <row r="4" spans="1:40" ht="15" customHeight="1">
      <c r="A4" s="106"/>
      <c r="B4" s="96">
        <v>286</v>
      </c>
      <c r="C4" s="96">
        <v>1445</v>
      </c>
      <c r="D4" s="96" t="s">
        <v>3461</v>
      </c>
      <c r="E4" s="96">
        <v>520021874</v>
      </c>
      <c r="F4" s="96" t="s">
        <v>308</v>
      </c>
      <c r="G4" s="96" t="s">
        <v>3462</v>
      </c>
      <c r="H4" s="96" t="s">
        <v>3463</v>
      </c>
      <c r="I4" s="96" t="s">
        <v>320</v>
      </c>
      <c r="J4" s="96" t="s">
        <v>952</v>
      </c>
      <c r="K4" s="96" t="s">
        <v>203</v>
      </c>
      <c r="L4" s="96" t="s">
        <v>203</v>
      </c>
      <c r="M4" s="96" t="s">
        <v>325</v>
      </c>
      <c r="N4" s="96" t="s">
        <v>450</v>
      </c>
      <c r="O4" s="96" t="s">
        <v>338</v>
      </c>
      <c r="P4" s="100">
        <v>43828</v>
      </c>
      <c r="Q4" s="96" t="s">
        <v>1520</v>
      </c>
      <c r="R4" s="96" t="s">
        <v>414</v>
      </c>
      <c r="S4" s="96" t="s">
        <v>406</v>
      </c>
      <c r="T4" s="96" t="s">
        <v>1200</v>
      </c>
      <c r="U4" s="97">
        <v>2.37</v>
      </c>
      <c r="V4" s="100">
        <v>46568</v>
      </c>
      <c r="W4" s="98">
        <v>6.2700000000000006E-2</v>
      </c>
      <c r="X4" s="98">
        <v>4.4699999999999997E-2</v>
      </c>
      <c r="Y4" s="96" t="s">
        <v>411</v>
      </c>
      <c r="Z4" s="96"/>
      <c r="AA4" s="96" t="s">
        <v>887</v>
      </c>
      <c r="AB4" s="96" t="s">
        <v>890</v>
      </c>
      <c r="AC4" s="100">
        <v>45473</v>
      </c>
      <c r="AD4" s="100">
        <v>45473</v>
      </c>
      <c r="AE4" s="97">
        <v>4193.4351280000001</v>
      </c>
      <c r="AF4" s="97">
        <v>1</v>
      </c>
      <c r="AG4" s="97">
        <v>96.14</v>
      </c>
      <c r="AH4" s="97">
        <v>4.031568</v>
      </c>
      <c r="AI4" s="96"/>
      <c r="AJ4" s="96"/>
      <c r="AK4" s="96"/>
      <c r="AL4" s="98">
        <v>1.8078E-2</v>
      </c>
      <c r="AM4" s="98">
        <v>7.6000000000000004E-5</v>
      </c>
      <c r="AN4" s="106"/>
    </row>
    <row r="5" spans="1:40" ht="15" customHeight="1">
      <c r="A5" s="106"/>
      <c r="B5" s="96">
        <v>286</v>
      </c>
      <c r="C5" s="96">
        <v>1445</v>
      </c>
      <c r="D5" s="96" t="s">
        <v>1462</v>
      </c>
      <c r="E5" s="96">
        <v>520000472</v>
      </c>
      <c r="F5" s="96" t="s">
        <v>308</v>
      </c>
      <c r="G5" s="96" t="s">
        <v>3464</v>
      </c>
      <c r="H5" s="96" t="s">
        <v>3465</v>
      </c>
      <c r="I5" s="96" t="s">
        <v>320</v>
      </c>
      <c r="J5" s="96" t="s">
        <v>753</v>
      </c>
      <c r="K5" s="96" t="s">
        <v>203</v>
      </c>
      <c r="L5" s="96" t="s">
        <v>203</v>
      </c>
      <c r="M5" s="96" t="s">
        <v>325</v>
      </c>
      <c r="N5" s="96" t="s">
        <v>454</v>
      </c>
      <c r="O5" s="96" t="s">
        <v>338</v>
      </c>
      <c r="P5" s="100">
        <v>41766</v>
      </c>
      <c r="Q5" s="96" t="s">
        <v>1301</v>
      </c>
      <c r="R5" s="96" t="s">
        <v>414</v>
      </c>
      <c r="S5" s="96" t="s">
        <v>406</v>
      </c>
      <c r="T5" s="96" t="s">
        <v>1200</v>
      </c>
      <c r="U5" s="97">
        <v>2.66</v>
      </c>
      <c r="V5" s="100">
        <v>47245</v>
      </c>
      <c r="W5" s="98">
        <v>2.7799999999999998E-2</v>
      </c>
      <c r="X5" s="98">
        <v>0.06</v>
      </c>
      <c r="Y5" s="96" t="s">
        <v>411</v>
      </c>
      <c r="Z5" s="96"/>
      <c r="AA5" s="96" t="s">
        <v>887</v>
      </c>
      <c r="AB5" s="96" t="s">
        <v>890</v>
      </c>
      <c r="AC5" s="100">
        <v>45473</v>
      </c>
      <c r="AD5" s="100">
        <v>45473</v>
      </c>
      <c r="AE5" s="97">
        <v>7539.2982659999998</v>
      </c>
      <c r="AF5" s="97">
        <v>1</v>
      </c>
      <c r="AG5" s="97">
        <v>124.82</v>
      </c>
      <c r="AH5" s="97">
        <v>9.4105519999999991</v>
      </c>
      <c r="AI5" s="96"/>
      <c r="AJ5" s="96"/>
      <c r="AK5" s="96"/>
      <c r="AL5" s="98">
        <v>4.2199E-2</v>
      </c>
      <c r="AM5" s="98">
        <v>1.7899999999999999E-4</v>
      </c>
      <c r="AN5" s="106"/>
    </row>
    <row r="6" spans="1:40" ht="15" customHeight="1">
      <c r="A6" s="106"/>
      <c r="B6" s="96">
        <v>286</v>
      </c>
      <c r="C6" s="96">
        <v>1445</v>
      </c>
      <c r="D6" s="96" t="s">
        <v>3466</v>
      </c>
      <c r="E6" s="96">
        <v>516041118</v>
      </c>
      <c r="F6" s="96" t="s">
        <v>308</v>
      </c>
      <c r="G6" s="96" t="s">
        <v>3467</v>
      </c>
      <c r="H6" s="96" t="s">
        <v>3468</v>
      </c>
      <c r="I6" s="96" t="s">
        <v>320</v>
      </c>
      <c r="J6" s="96" t="s">
        <v>753</v>
      </c>
      <c r="K6" s="96" t="s">
        <v>203</v>
      </c>
      <c r="L6" s="96" t="s">
        <v>203</v>
      </c>
      <c r="M6" s="96" t="s">
        <v>325</v>
      </c>
      <c r="N6" s="96" t="s">
        <v>476</v>
      </c>
      <c r="O6" s="96" t="s">
        <v>338</v>
      </c>
      <c r="P6" s="100">
        <v>45153</v>
      </c>
      <c r="Q6" s="96" t="s">
        <v>1332</v>
      </c>
      <c r="R6" s="96" t="s">
        <v>412</v>
      </c>
      <c r="S6" s="96" t="s">
        <v>406</v>
      </c>
      <c r="T6" s="96" t="s">
        <v>1200</v>
      </c>
      <c r="U6" s="97">
        <v>3.01</v>
      </c>
      <c r="V6" s="100">
        <v>47483</v>
      </c>
      <c r="W6" s="98">
        <v>3.44E-2</v>
      </c>
      <c r="X6" s="98">
        <v>3.6400000000000002E-2</v>
      </c>
      <c r="Y6" s="96" t="s">
        <v>411</v>
      </c>
      <c r="Z6" s="96"/>
      <c r="AA6" s="96" t="s">
        <v>887</v>
      </c>
      <c r="AB6" s="96" t="s">
        <v>890</v>
      </c>
      <c r="AC6" s="100">
        <v>45473</v>
      </c>
      <c r="AD6" s="100">
        <v>45473</v>
      </c>
      <c r="AE6" s="97">
        <v>4582.7821009999998</v>
      </c>
      <c r="AF6" s="97">
        <v>1</v>
      </c>
      <c r="AG6" s="97">
        <v>103.18</v>
      </c>
      <c r="AH6" s="97">
        <v>4.7285139999999997</v>
      </c>
      <c r="AI6" s="96"/>
      <c r="AJ6" s="96"/>
      <c r="AK6" s="96"/>
      <c r="AL6" s="98">
        <v>2.1204000000000001E-2</v>
      </c>
      <c r="AM6" s="98">
        <v>9.0000000000000006E-5</v>
      </c>
      <c r="AN6" s="106"/>
    </row>
    <row r="7" spans="1:40" ht="15" customHeight="1">
      <c r="A7" s="106"/>
      <c r="B7" s="96">
        <v>286</v>
      </c>
      <c r="C7" s="96">
        <v>1445</v>
      </c>
      <c r="D7" s="96" t="s">
        <v>3469</v>
      </c>
      <c r="E7" s="96"/>
      <c r="F7" s="96" t="s">
        <v>308</v>
      </c>
      <c r="G7" s="96" t="s">
        <v>3470</v>
      </c>
      <c r="H7" s="96" t="s">
        <v>3471</v>
      </c>
      <c r="I7" s="96" t="s">
        <v>320</v>
      </c>
      <c r="J7" s="96" t="s">
        <v>753</v>
      </c>
      <c r="K7" s="96" t="s">
        <v>203</v>
      </c>
      <c r="L7" s="96" t="s">
        <v>203</v>
      </c>
      <c r="M7" s="96" t="s">
        <v>325</v>
      </c>
      <c r="N7" s="96" t="s">
        <v>442</v>
      </c>
      <c r="O7" s="96" t="s">
        <v>338</v>
      </c>
      <c r="P7" s="100">
        <v>45138</v>
      </c>
      <c r="Q7" s="96" t="s">
        <v>409</v>
      </c>
      <c r="R7" s="96" t="s">
        <v>409</v>
      </c>
      <c r="S7" s="96" t="s">
        <v>409</v>
      </c>
      <c r="T7" s="96" t="s">
        <v>1200</v>
      </c>
      <c r="U7" s="97">
        <v>2.37</v>
      </c>
      <c r="V7" s="100">
        <v>47738</v>
      </c>
      <c r="W7" s="98">
        <v>3.9100000000000003E-2</v>
      </c>
      <c r="X7" s="98">
        <v>4.2500000000000003E-2</v>
      </c>
      <c r="Y7" s="96" t="s">
        <v>411</v>
      </c>
      <c r="Z7" s="96"/>
      <c r="AA7" s="96" t="s">
        <v>887</v>
      </c>
      <c r="AB7" s="96" t="s">
        <v>890</v>
      </c>
      <c r="AC7" s="100">
        <v>45473</v>
      </c>
      <c r="AD7" s="100">
        <v>45473</v>
      </c>
      <c r="AE7" s="97">
        <v>255.457099</v>
      </c>
      <c r="AF7" s="97">
        <v>1</v>
      </c>
      <c r="AG7" s="97">
        <v>103.94</v>
      </c>
      <c r="AH7" s="97">
        <v>0.26552199999999998</v>
      </c>
      <c r="AI7" s="96"/>
      <c r="AJ7" s="96"/>
      <c r="AK7" s="96"/>
      <c r="AL7" s="98">
        <v>1.1900000000000001E-3</v>
      </c>
      <c r="AM7" s="98">
        <v>5.0000000000000004E-6</v>
      </c>
      <c r="AN7" s="106"/>
    </row>
    <row r="8" spans="1:40" ht="15" customHeight="1">
      <c r="A8" s="106"/>
      <c r="B8" s="96">
        <v>286</v>
      </c>
      <c r="C8" s="96">
        <v>1445</v>
      </c>
      <c r="D8" s="96" t="s">
        <v>3472</v>
      </c>
      <c r="E8" s="96"/>
      <c r="F8" s="96" t="s">
        <v>308</v>
      </c>
      <c r="G8" s="96" t="s">
        <v>3473</v>
      </c>
      <c r="H8" s="96" t="s">
        <v>3474</v>
      </c>
      <c r="I8" s="96" t="s">
        <v>320</v>
      </c>
      <c r="J8" s="96" t="s">
        <v>952</v>
      </c>
      <c r="K8" s="96" t="s">
        <v>203</v>
      </c>
      <c r="L8" s="96" t="s">
        <v>203</v>
      </c>
      <c r="M8" s="96" t="s">
        <v>325</v>
      </c>
      <c r="N8" s="96" t="s">
        <v>450</v>
      </c>
      <c r="O8" s="96" t="s">
        <v>338</v>
      </c>
      <c r="P8" s="100">
        <v>44514</v>
      </c>
      <c r="Q8" s="96" t="s">
        <v>1320</v>
      </c>
      <c r="R8" s="96" t="s">
        <v>412</v>
      </c>
      <c r="S8" s="96" t="s">
        <v>406</v>
      </c>
      <c r="T8" s="96" t="s">
        <v>1200</v>
      </c>
      <c r="U8" s="97">
        <v>2.31</v>
      </c>
      <c r="V8" s="100">
        <v>47118</v>
      </c>
      <c r="W8" s="98">
        <v>6.3100000000000003E-2</v>
      </c>
      <c r="X8" s="98">
        <v>2.86E-2</v>
      </c>
      <c r="Y8" s="96" t="s">
        <v>411</v>
      </c>
      <c r="Z8" s="96"/>
      <c r="AA8" s="96" t="s">
        <v>887</v>
      </c>
      <c r="AB8" s="96" t="s">
        <v>890</v>
      </c>
      <c r="AC8" s="100">
        <v>45473</v>
      </c>
      <c r="AD8" s="100">
        <v>45473</v>
      </c>
      <c r="AE8" s="97">
        <v>33.579467000000001</v>
      </c>
      <c r="AF8" s="97">
        <v>1</v>
      </c>
      <c r="AG8" s="97">
        <v>93.81</v>
      </c>
      <c r="AH8" s="97">
        <v>3.15E-2</v>
      </c>
      <c r="AI8" s="96"/>
      <c r="AJ8" s="96"/>
      <c r="AK8" s="96"/>
      <c r="AL8" s="98">
        <v>1.4100000000000001E-4</v>
      </c>
      <c r="AM8" s="98">
        <v>0</v>
      </c>
      <c r="AN8" s="106"/>
    </row>
    <row r="9" spans="1:40" ht="15" customHeight="1">
      <c r="A9" s="106"/>
      <c r="B9" s="96">
        <v>286</v>
      </c>
      <c r="C9" s="96">
        <v>1445</v>
      </c>
      <c r="D9" s="96" t="s">
        <v>3475</v>
      </c>
      <c r="E9" s="96">
        <v>520027293</v>
      </c>
      <c r="F9" s="96" t="s">
        <v>308</v>
      </c>
      <c r="G9" s="96" t="s">
        <v>3476</v>
      </c>
      <c r="H9" s="96" t="s">
        <v>3477</v>
      </c>
      <c r="I9" s="96" t="s">
        <v>320</v>
      </c>
      <c r="J9" s="96" t="s">
        <v>753</v>
      </c>
      <c r="K9" s="96" t="s">
        <v>203</v>
      </c>
      <c r="L9" s="96" t="s">
        <v>203</v>
      </c>
      <c r="M9" s="96" t="s">
        <v>325</v>
      </c>
      <c r="N9" s="96" t="s">
        <v>454</v>
      </c>
      <c r="O9" s="96" t="s">
        <v>338</v>
      </c>
      <c r="P9" s="100">
        <v>44060</v>
      </c>
      <c r="Q9" s="96" t="s">
        <v>1211</v>
      </c>
      <c r="R9" s="96" t="s">
        <v>414</v>
      </c>
      <c r="S9" s="96" t="s">
        <v>406</v>
      </c>
      <c r="T9" s="96" t="s">
        <v>1200</v>
      </c>
      <c r="U9" s="97">
        <v>7.61</v>
      </c>
      <c r="V9" s="100">
        <v>51501</v>
      </c>
      <c r="W9" s="98">
        <v>3.2099999999999997E-2</v>
      </c>
      <c r="X9" s="98">
        <v>5.3E-3</v>
      </c>
      <c r="Y9" s="96" t="s">
        <v>411</v>
      </c>
      <c r="Z9" s="96"/>
      <c r="AA9" s="96" t="s">
        <v>887</v>
      </c>
      <c r="AB9" s="96" t="s">
        <v>890</v>
      </c>
      <c r="AC9" s="100">
        <v>45473</v>
      </c>
      <c r="AD9" s="100">
        <v>45473</v>
      </c>
      <c r="AE9" s="97">
        <v>5523.5426969999999</v>
      </c>
      <c r="AF9" s="97">
        <v>1</v>
      </c>
      <c r="AG9" s="97">
        <v>94.68</v>
      </c>
      <c r="AH9" s="97">
        <v>5.2296899999999997</v>
      </c>
      <c r="AI9" s="96"/>
      <c r="AJ9" s="96"/>
      <c r="AK9" s="96"/>
      <c r="AL9" s="98">
        <v>2.3451E-2</v>
      </c>
      <c r="AM9" s="98">
        <v>9.8999999999999994E-5</v>
      </c>
      <c r="AN9" s="106"/>
    </row>
    <row r="10" spans="1:40" ht="15" customHeight="1">
      <c r="A10" s="106"/>
      <c r="B10" s="96">
        <v>286</v>
      </c>
      <c r="C10" s="96">
        <v>1445</v>
      </c>
      <c r="D10" s="96" t="s">
        <v>2515</v>
      </c>
      <c r="E10" s="96">
        <v>2250</v>
      </c>
      <c r="F10" s="96" t="s">
        <v>80</v>
      </c>
      <c r="G10" s="96" t="s">
        <v>3478</v>
      </c>
      <c r="H10" s="96" t="s">
        <v>3479</v>
      </c>
      <c r="I10" s="96" t="s">
        <v>320</v>
      </c>
      <c r="J10" s="96" t="s">
        <v>952</v>
      </c>
      <c r="K10" s="96" t="s">
        <v>203</v>
      </c>
      <c r="L10" s="96" t="s">
        <v>223</v>
      </c>
      <c r="M10" s="96" t="s">
        <v>325</v>
      </c>
      <c r="N10" s="96" t="s">
        <v>470</v>
      </c>
      <c r="O10" s="96" t="s">
        <v>338</v>
      </c>
      <c r="P10" s="100">
        <v>44014</v>
      </c>
      <c r="Q10" s="96" t="s">
        <v>1332</v>
      </c>
      <c r="R10" s="96" t="s">
        <v>412</v>
      </c>
      <c r="S10" s="96" t="s">
        <v>406</v>
      </c>
      <c r="T10" s="96" t="s">
        <v>1200</v>
      </c>
      <c r="U10" s="97">
        <v>3.56</v>
      </c>
      <c r="V10" s="100">
        <v>48014</v>
      </c>
      <c r="W10" s="98">
        <v>6.4799999999999996E-2</v>
      </c>
      <c r="X10" s="98">
        <v>3.3500000000000002E-2</v>
      </c>
      <c r="Y10" s="96" t="s">
        <v>411</v>
      </c>
      <c r="Z10" s="96"/>
      <c r="AA10" s="96" t="s">
        <v>887</v>
      </c>
      <c r="AB10" s="96" t="s">
        <v>890</v>
      </c>
      <c r="AC10" s="100">
        <v>45473</v>
      </c>
      <c r="AD10" s="100">
        <v>45473</v>
      </c>
      <c r="AE10" s="97">
        <v>154.06889100000001</v>
      </c>
      <c r="AF10" s="97">
        <v>1</v>
      </c>
      <c r="AG10" s="97">
        <v>89.96</v>
      </c>
      <c r="AH10" s="97">
        <v>0.1386</v>
      </c>
      <c r="AI10" s="96"/>
      <c r="AJ10" s="96"/>
      <c r="AK10" s="96"/>
      <c r="AL10" s="98">
        <v>6.2100000000000002E-4</v>
      </c>
      <c r="AM10" s="98">
        <v>1.9999999999999999E-6</v>
      </c>
      <c r="AN10" s="106"/>
    </row>
    <row r="11" spans="1:40" ht="15" customHeight="1">
      <c r="A11" s="106"/>
      <c r="B11" s="96">
        <v>286</v>
      </c>
      <c r="C11" s="96">
        <v>1445</v>
      </c>
      <c r="D11" s="96" t="s">
        <v>3480</v>
      </c>
      <c r="E11" s="96">
        <v>514189596</v>
      </c>
      <c r="F11" s="96" t="s">
        <v>308</v>
      </c>
      <c r="G11" s="96" t="s">
        <v>3481</v>
      </c>
      <c r="H11" s="96" t="s">
        <v>3482</v>
      </c>
      <c r="I11" s="96" t="s">
        <v>320</v>
      </c>
      <c r="J11" s="96" t="s">
        <v>952</v>
      </c>
      <c r="K11" s="96" t="s">
        <v>203</v>
      </c>
      <c r="L11" s="96" t="s">
        <v>203</v>
      </c>
      <c r="M11" s="96" t="s">
        <v>325</v>
      </c>
      <c r="N11" s="96" t="s">
        <v>463</v>
      </c>
      <c r="O11" s="96" t="s">
        <v>338</v>
      </c>
      <c r="P11" s="100">
        <v>43310</v>
      </c>
      <c r="Q11" s="96" t="s">
        <v>1320</v>
      </c>
      <c r="R11" s="96" t="s">
        <v>412</v>
      </c>
      <c r="S11" s="96" t="s">
        <v>406</v>
      </c>
      <c r="T11" s="96" t="s">
        <v>1200</v>
      </c>
      <c r="U11" s="97">
        <v>0.5</v>
      </c>
      <c r="V11" s="100">
        <v>45657</v>
      </c>
      <c r="W11" s="98">
        <v>5.4899999999999997E-2</v>
      </c>
      <c r="X11" s="98">
        <v>3.5499999999999997E-2</v>
      </c>
      <c r="Y11" s="96" t="s">
        <v>411</v>
      </c>
      <c r="Z11" s="96"/>
      <c r="AA11" s="96" t="s">
        <v>887</v>
      </c>
      <c r="AB11" s="96" t="s">
        <v>890</v>
      </c>
      <c r="AC11" s="100">
        <v>45473</v>
      </c>
      <c r="AD11" s="100">
        <v>45473</v>
      </c>
      <c r="AE11" s="97">
        <v>16.690289</v>
      </c>
      <c r="AF11" s="97">
        <v>1</v>
      </c>
      <c r="AG11" s="97">
        <v>99.07</v>
      </c>
      <c r="AH11" s="97">
        <v>1.6535000000000001E-2</v>
      </c>
      <c r="AI11" s="96"/>
      <c r="AJ11" s="96"/>
      <c r="AK11" s="96"/>
      <c r="AL11" s="98">
        <v>7.3999999999999996E-5</v>
      </c>
      <c r="AM11" s="98">
        <v>0</v>
      </c>
      <c r="AN11" s="106"/>
    </row>
    <row r="12" spans="1:40" ht="15" customHeight="1">
      <c r="A12" s="106"/>
      <c r="B12" s="96">
        <v>286</v>
      </c>
      <c r="C12" s="96">
        <v>1445</v>
      </c>
      <c r="D12" s="96" t="s">
        <v>3483</v>
      </c>
      <c r="E12" s="96">
        <v>515703528</v>
      </c>
      <c r="F12" s="96" t="s">
        <v>308</v>
      </c>
      <c r="G12" s="96" t="s">
        <v>3484</v>
      </c>
      <c r="H12" s="96" t="s">
        <v>3485</v>
      </c>
      <c r="I12" s="96" t="s">
        <v>320</v>
      </c>
      <c r="J12" s="96" t="s">
        <v>952</v>
      </c>
      <c r="K12" s="96" t="s">
        <v>203</v>
      </c>
      <c r="L12" s="96" t="s">
        <v>203</v>
      </c>
      <c r="M12" s="96" t="s">
        <v>325</v>
      </c>
      <c r="N12" s="96" t="s">
        <v>444</v>
      </c>
      <c r="O12" s="96" t="s">
        <v>338</v>
      </c>
      <c r="P12" s="100">
        <v>42995</v>
      </c>
      <c r="Q12" s="96" t="s">
        <v>1309</v>
      </c>
      <c r="R12" s="96" t="s">
        <v>414</v>
      </c>
      <c r="S12" s="96" t="s">
        <v>406</v>
      </c>
      <c r="T12" s="96" t="s">
        <v>1200</v>
      </c>
      <c r="U12" s="97">
        <v>0.89</v>
      </c>
      <c r="V12" s="100">
        <v>45918</v>
      </c>
      <c r="W12" s="98">
        <v>6.2799999999999995E-2</v>
      </c>
      <c r="X12" s="98">
        <v>4.1000000000000002E-2</v>
      </c>
      <c r="Y12" s="96" t="s">
        <v>411</v>
      </c>
      <c r="Z12" s="96"/>
      <c r="AA12" s="96" t="s">
        <v>887</v>
      </c>
      <c r="AB12" s="96" t="s">
        <v>890</v>
      </c>
      <c r="AC12" s="100">
        <v>45473</v>
      </c>
      <c r="AD12" s="100">
        <v>45473</v>
      </c>
      <c r="AE12" s="97">
        <v>8068.199106</v>
      </c>
      <c r="AF12" s="97">
        <v>1</v>
      </c>
      <c r="AG12" s="97">
        <v>99.61</v>
      </c>
      <c r="AH12" s="97">
        <v>8.0367329999999999</v>
      </c>
      <c r="AI12" s="96"/>
      <c r="AJ12" s="96"/>
      <c r="AK12" s="96"/>
      <c r="AL12" s="98">
        <v>3.6039000000000002E-2</v>
      </c>
      <c r="AM12" s="98">
        <v>1.5300000000000001E-4</v>
      </c>
      <c r="AN12" s="106"/>
    </row>
    <row r="13" spans="1:40" ht="15" customHeight="1">
      <c r="A13" s="106"/>
      <c r="B13" s="96">
        <v>286</v>
      </c>
      <c r="C13" s="96">
        <v>1445</v>
      </c>
      <c r="D13" s="96" t="s">
        <v>3486</v>
      </c>
      <c r="E13" s="96">
        <v>520040775</v>
      </c>
      <c r="F13" s="96" t="s">
        <v>308</v>
      </c>
      <c r="G13" s="96" t="s">
        <v>3487</v>
      </c>
      <c r="H13" s="96" t="s">
        <v>3488</v>
      </c>
      <c r="I13" s="96" t="s">
        <v>320</v>
      </c>
      <c r="J13" s="96" t="s">
        <v>952</v>
      </c>
      <c r="K13" s="96" t="s">
        <v>203</v>
      </c>
      <c r="L13" s="96" t="s">
        <v>203</v>
      </c>
      <c r="M13" s="96" t="s">
        <v>325</v>
      </c>
      <c r="N13" s="96" t="s">
        <v>461</v>
      </c>
      <c r="O13" s="96" t="s">
        <v>338</v>
      </c>
      <c r="P13" s="100">
        <v>43844</v>
      </c>
      <c r="Q13" s="96" t="s">
        <v>1309</v>
      </c>
      <c r="R13" s="96" t="s">
        <v>414</v>
      </c>
      <c r="S13" s="96" t="s">
        <v>406</v>
      </c>
      <c r="T13" s="96" t="s">
        <v>1200</v>
      </c>
      <c r="U13" s="97">
        <v>1.66</v>
      </c>
      <c r="V13" s="100">
        <v>46203</v>
      </c>
      <c r="W13" s="98">
        <v>6.2600000000000003E-2</v>
      </c>
      <c r="X13" s="98">
        <v>4.2999999999999997E-2</v>
      </c>
      <c r="Y13" s="96" t="s">
        <v>411</v>
      </c>
      <c r="Z13" s="96"/>
      <c r="AA13" s="96" t="s">
        <v>887</v>
      </c>
      <c r="AB13" s="96" t="s">
        <v>890</v>
      </c>
      <c r="AC13" s="100">
        <v>45473</v>
      </c>
      <c r="AD13" s="100">
        <v>45473</v>
      </c>
      <c r="AE13" s="97">
        <v>1989.5193409999999</v>
      </c>
      <c r="AF13" s="97">
        <v>1</v>
      </c>
      <c r="AG13" s="97">
        <v>97.01</v>
      </c>
      <c r="AH13" s="97">
        <v>1.930032</v>
      </c>
      <c r="AI13" s="96"/>
      <c r="AJ13" s="96"/>
      <c r="AK13" s="96"/>
      <c r="AL13" s="98">
        <v>8.6540000000000002E-3</v>
      </c>
      <c r="AM13" s="98">
        <v>3.6000000000000001E-5</v>
      </c>
      <c r="AN13" s="106"/>
    </row>
    <row r="14" spans="1:40" ht="15" customHeight="1">
      <c r="A14" s="106"/>
      <c r="B14" s="96">
        <v>286</v>
      </c>
      <c r="C14" s="96">
        <v>1445</v>
      </c>
      <c r="D14" s="96" t="s">
        <v>3489</v>
      </c>
      <c r="E14" s="96">
        <v>520042185</v>
      </c>
      <c r="F14" s="96" t="s">
        <v>308</v>
      </c>
      <c r="G14" s="96" t="s">
        <v>3490</v>
      </c>
      <c r="H14" s="96" t="s">
        <v>3491</v>
      </c>
      <c r="I14" s="96" t="s">
        <v>320</v>
      </c>
      <c r="J14" s="96" t="s">
        <v>952</v>
      </c>
      <c r="K14" s="96" t="s">
        <v>203</v>
      </c>
      <c r="L14" s="96" t="s">
        <v>203</v>
      </c>
      <c r="M14" s="96" t="s">
        <v>325</v>
      </c>
      <c r="N14" s="96" t="s">
        <v>445</v>
      </c>
      <c r="O14" s="96" t="s">
        <v>338</v>
      </c>
      <c r="P14" s="100">
        <v>42795</v>
      </c>
      <c r="Q14" s="96" t="s">
        <v>1211</v>
      </c>
      <c r="R14" s="96" t="s">
        <v>414</v>
      </c>
      <c r="S14" s="96" t="s">
        <v>406</v>
      </c>
      <c r="T14" s="96" t="s">
        <v>1200</v>
      </c>
      <c r="U14" s="97">
        <v>4.41</v>
      </c>
      <c r="V14" s="100">
        <v>49202</v>
      </c>
      <c r="W14" s="98">
        <v>5.6899999999999999E-2</v>
      </c>
      <c r="X14" s="98">
        <v>3.7400000000000003E-2</v>
      </c>
      <c r="Y14" s="96" t="s">
        <v>411</v>
      </c>
      <c r="Z14" s="96"/>
      <c r="AA14" s="96" t="s">
        <v>887</v>
      </c>
      <c r="AB14" s="96" t="s">
        <v>890</v>
      </c>
      <c r="AC14" s="100">
        <v>45473</v>
      </c>
      <c r="AD14" s="100">
        <v>45473</v>
      </c>
      <c r="AE14" s="97">
        <v>168.28687199999999</v>
      </c>
      <c r="AF14" s="97">
        <v>1</v>
      </c>
      <c r="AG14" s="97">
        <v>93.08</v>
      </c>
      <c r="AH14" s="97">
        <v>0.156641</v>
      </c>
      <c r="AI14" s="96"/>
      <c r="AJ14" s="96"/>
      <c r="AK14" s="96"/>
      <c r="AL14" s="98">
        <v>7.0200000000000004E-4</v>
      </c>
      <c r="AM14" s="98">
        <v>1.9999999999999999E-6</v>
      </c>
      <c r="AN14" s="106"/>
    </row>
    <row r="15" spans="1:40" ht="15" customHeight="1">
      <c r="A15" s="106"/>
      <c r="B15" s="96">
        <v>286</v>
      </c>
      <c r="C15" s="96">
        <v>1445</v>
      </c>
      <c r="D15" s="96" t="s">
        <v>3492</v>
      </c>
      <c r="E15" s="96">
        <v>513102384</v>
      </c>
      <c r="F15" s="96" t="s">
        <v>308</v>
      </c>
      <c r="G15" s="96" t="s">
        <v>3493</v>
      </c>
      <c r="H15" s="96" t="s">
        <v>3494</v>
      </c>
      <c r="I15" s="96" t="s">
        <v>320</v>
      </c>
      <c r="J15" s="96" t="s">
        <v>753</v>
      </c>
      <c r="K15" s="96" t="s">
        <v>203</v>
      </c>
      <c r="L15" s="96" t="s">
        <v>203</v>
      </c>
      <c r="M15" s="96" t="s">
        <v>325</v>
      </c>
      <c r="N15" s="96" t="s">
        <v>476</v>
      </c>
      <c r="O15" s="96" t="s">
        <v>338</v>
      </c>
      <c r="P15" s="100">
        <v>37763</v>
      </c>
      <c r="Q15" s="96" t="s">
        <v>1313</v>
      </c>
      <c r="R15" s="96" t="s">
        <v>412</v>
      </c>
      <c r="S15" s="96" t="s">
        <v>406</v>
      </c>
      <c r="T15" s="96" t="s">
        <v>1200</v>
      </c>
      <c r="U15" s="97">
        <v>0.67</v>
      </c>
      <c r="V15" s="100">
        <v>45952</v>
      </c>
      <c r="W15" s="98">
        <v>2.2700000000000001E-2</v>
      </c>
      <c r="X15" s="98">
        <v>7.7499999999999999E-2</v>
      </c>
      <c r="Y15" s="96" t="s">
        <v>411</v>
      </c>
      <c r="Z15" s="96"/>
      <c r="AA15" s="96" t="s">
        <v>887</v>
      </c>
      <c r="AB15" s="96" t="s">
        <v>890</v>
      </c>
      <c r="AC15" s="100">
        <v>45473</v>
      </c>
      <c r="AD15" s="100">
        <v>45473</v>
      </c>
      <c r="AE15" s="97">
        <v>25.563974000000002</v>
      </c>
      <c r="AF15" s="97">
        <v>1</v>
      </c>
      <c r="AG15" s="97">
        <v>146.54</v>
      </c>
      <c r="AH15" s="97">
        <v>3.7461000000000001E-2</v>
      </c>
      <c r="AI15" s="96"/>
      <c r="AJ15" s="96"/>
      <c r="AK15" s="96"/>
      <c r="AL15" s="98">
        <v>1.6699999999999999E-4</v>
      </c>
      <c r="AM15" s="98">
        <v>0</v>
      </c>
      <c r="AN15" s="106"/>
    </row>
    <row r="16" spans="1:40" ht="15" customHeight="1">
      <c r="A16" s="106"/>
      <c r="B16" s="96">
        <v>286</v>
      </c>
      <c r="C16" s="96">
        <v>1445</v>
      </c>
      <c r="D16" s="96" t="s">
        <v>3495</v>
      </c>
      <c r="E16" s="96">
        <v>510984230</v>
      </c>
      <c r="F16" s="96" t="s">
        <v>308</v>
      </c>
      <c r="G16" s="96" t="s">
        <v>3496</v>
      </c>
      <c r="H16" s="96" t="s">
        <v>3497</v>
      </c>
      <c r="I16" s="96" t="s">
        <v>320</v>
      </c>
      <c r="J16" s="96" t="s">
        <v>754</v>
      </c>
      <c r="K16" s="96" t="s">
        <v>203</v>
      </c>
      <c r="L16" s="96" t="s">
        <v>203</v>
      </c>
      <c r="M16" s="96" t="s">
        <v>325</v>
      </c>
      <c r="N16" s="96" t="s">
        <v>463</v>
      </c>
      <c r="O16" s="96" t="s">
        <v>338</v>
      </c>
      <c r="P16" s="100">
        <v>38107</v>
      </c>
      <c r="Q16" s="96" t="s">
        <v>1301</v>
      </c>
      <c r="R16" s="96" t="s">
        <v>414</v>
      </c>
      <c r="S16" s="96" t="s">
        <v>406</v>
      </c>
      <c r="T16" s="96" t="s">
        <v>1201</v>
      </c>
      <c r="U16" s="97">
        <v>1.45</v>
      </c>
      <c r="V16" s="100">
        <v>46568</v>
      </c>
      <c r="W16" s="98">
        <v>6.4600000000000005E-2</v>
      </c>
      <c r="X16" s="98">
        <v>7.9699999999999993E-2</v>
      </c>
      <c r="Y16" s="96" t="s">
        <v>411</v>
      </c>
      <c r="Z16" s="96"/>
      <c r="AA16" s="96" t="s">
        <v>887</v>
      </c>
      <c r="AB16" s="96" t="s">
        <v>890</v>
      </c>
      <c r="AC16" s="100">
        <v>45473</v>
      </c>
      <c r="AD16" s="100">
        <v>45473</v>
      </c>
      <c r="AE16" s="97">
        <v>332.37257799999998</v>
      </c>
      <c r="AF16" s="97">
        <v>3.7589999999999999</v>
      </c>
      <c r="AG16" s="97">
        <v>106.26</v>
      </c>
      <c r="AH16" s="97">
        <v>1.3275999999999999</v>
      </c>
      <c r="AI16" s="96"/>
      <c r="AJ16" s="96"/>
      <c r="AK16" s="96"/>
      <c r="AL16" s="98">
        <v>5.953E-3</v>
      </c>
      <c r="AM16" s="98">
        <v>2.5000000000000001E-5</v>
      </c>
      <c r="AN16" s="106"/>
    </row>
    <row r="17" spans="1:40" ht="15" customHeight="1">
      <c r="A17" s="106"/>
      <c r="B17" s="96">
        <v>286</v>
      </c>
      <c r="C17" s="96">
        <v>1445</v>
      </c>
      <c r="D17" s="96" t="s">
        <v>3489</v>
      </c>
      <c r="E17" s="96">
        <v>520042185</v>
      </c>
      <c r="F17" s="96" t="s">
        <v>308</v>
      </c>
      <c r="G17" s="96" t="s">
        <v>3498</v>
      </c>
      <c r="H17" s="96" t="s">
        <v>3499</v>
      </c>
      <c r="I17" s="96" t="s">
        <v>320</v>
      </c>
      <c r="J17" s="96" t="s">
        <v>952</v>
      </c>
      <c r="K17" s="96" t="s">
        <v>203</v>
      </c>
      <c r="L17" s="96" t="s">
        <v>203</v>
      </c>
      <c r="M17" s="96" t="s">
        <v>325</v>
      </c>
      <c r="N17" s="96" t="s">
        <v>445</v>
      </c>
      <c r="O17" s="96" t="s">
        <v>338</v>
      </c>
      <c r="P17" s="100">
        <v>42796</v>
      </c>
      <c r="Q17" s="96" t="s">
        <v>1211</v>
      </c>
      <c r="R17" s="96" t="s">
        <v>414</v>
      </c>
      <c r="S17" s="96" t="s">
        <v>406</v>
      </c>
      <c r="T17" s="96" t="s">
        <v>1200</v>
      </c>
      <c r="U17" s="97">
        <v>1.18</v>
      </c>
      <c r="V17" s="100">
        <v>46096</v>
      </c>
      <c r="W17" s="98">
        <v>5.0299999999999997E-2</v>
      </c>
      <c r="X17" s="98">
        <v>2.5000000000000001E-2</v>
      </c>
      <c r="Y17" s="96" t="s">
        <v>411</v>
      </c>
      <c r="Z17" s="96"/>
      <c r="AA17" s="96" t="s">
        <v>887</v>
      </c>
      <c r="AB17" s="96" t="s">
        <v>890</v>
      </c>
      <c r="AC17" s="100">
        <v>45473</v>
      </c>
      <c r="AD17" s="100">
        <v>45473</v>
      </c>
      <c r="AE17" s="97">
        <v>2139.175397</v>
      </c>
      <c r="AF17" s="97">
        <v>1</v>
      </c>
      <c r="AG17" s="97">
        <v>97.89</v>
      </c>
      <c r="AH17" s="97">
        <v>2.0940379999999998</v>
      </c>
      <c r="AI17" s="96"/>
      <c r="AJ17" s="96"/>
      <c r="AK17" s="96"/>
      <c r="AL17" s="98">
        <v>9.3900000000000008E-3</v>
      </c>
      <c r="AM17" s="98">
        <v>3.8999999999999999E-5</v>
      </c>
      <c r="AN17" s="106"/>
    </row>
    <row r="18" spans="1:40" ht="15" customHeight="1">
      <c r="A18" s="106"/>
      <c r="B18" s="96">
        <v>286</v>
      </c>
      <c r="C18" s="96">
        <v>1445</v>
      </c>
      <c r="D18" s="96" t="s">
        <v>1505</v>
      </c>
      <c r="E18" s="96">
        <v>520010869</v>
      </c>
      <c r="F18" s="96" t="s">
        <v>308</v>
      </c>
      <c r="G18" s="96" t="s">
        <v>3500</v>
      </c>
      <c r="H18" s="96" t="s">
        <v>3501</v>
      </c>
      <c r="I18" s="96" t="s">
        <v>320</v>
      </c>
      <c r="J18" s="96" t="s">
        <v>753</v>
      </c>
      <c r="K18" s="96" t="s">
        <v>203</v>
      </c>
      <c r="L18" s="96" t="s">
        <v>203</v>
      </c>
      <c r="M18" s="96" t="s">
        <v>325</v>
      </c>
      <c r="N18" s="96" t="s">
        <v>476</v>
      </c>
      <c r="O18" s="96" t="s">
        <v>338</v>
      </c>
      <c r="P18" s="100">
        <v>40328</v>
      </c>
      <c r="Q18" s="96" t="s">
        <v>1199</v>
      </c>
      <c r="R18" s="96" t="s">
        <v>412</v>
      </c>
      <c r="S18" s="96" t="s">
        <v>406</v>
      </c>
      <c r="T18" s="96" t="s">
        <v>1200</v>
      </c>
      <c r="U18" s="97">
        <v>5.56</v>
      </c>
      <c r="V18" s="100">
        <v>50034</v>
      </c>
      <c r="W18" s="98">
        <v>3.1699999999999999E-2</v>
      </c>
      <c r="X18" s="98">
        <v>4.9000000000000002E-2</v>
      </c>
      <c r="Y18" s="96" t="s">
        <v>411</v>
      </c>
      <c r="Z18" s="96"/>
      <c r="AA18" s="96" t="s">
        <v>887</v>
      </c>
      <c r="AB18" s="96" t="s">
        <v>890</v>
      </c>
      <c r="AC18" s="100">
        <v>45473</v>
      </c>
      <c r="AD18" s="100">
        <v>45473</v>
      </c>
      <c r="AE18" s="97">
        <v>12470.163788</v>
      </c>
      <c r="AF18" s="97">
        <v>1</v>
      </c>
      <c r="AG18" s="97">
        <v>153.87</v>
      </c>
      <c r="AH18" s="97">
        <v>19.187840999999999</v>
      </c>
      <c r="AI18" s="96"/>
      <c r="AJ18" s="96"/>
      <c r="AK18" s="96"/>
      <c r="AL18" s="98">
        <v>8.6043999999999995E-2</v>
      </c>
      <c r="AM18" s="98">
        <v>3.6499999999999998E-4</v>
      </c>
      <c r="AN18" s="106"/>
    </row>
    <row r="19" spans="1:40" ht="15" customHeight="1">
      <c r="A19" s="106"/>
      <c r="B19" s="96">
        <v>286</v>
      </c>
      <c r="C19" s="96">
        <v>1445</v>
      </c>
      <c r="D19" s="96" t="s">
        <v>3492</v>
      </c>
      <c r="E19" s="96">
        <v>513102384</v>
      </c>
      <c r="F19" s="96" t="s">
        <v>308</v>
      </c>
      <c r="G19" s="96" t="s">
        <v>3502</v>
      </c>
      <c r="H19" s="96" t="s">
        <v>3503</v>
      </c>
      <c r="I19" s="96" t="s">
        <v>320</v>
      </c>
      <c r="J19" s="96" t="s">
        <v>753</v>
      </c>
      <c r="K19" s="96" t="s">
        <v>203</v>
      </c>
      <c r="L19" s="96" t="s">
        <v>203</v>
      </c>
      <c r="M19" s="96" t="s">
        <v>325</v>
      </c>
      <c r="N19" s="96" t="s">
        <v>477</v>
      </c>
      <c r="O19" s="96" t="s">
        <v>338</v>
      </c>
      <c r="P19" s="100">
        <v>38830</v>
      </c>
      <c r="Q19" s="96" t="s">
        <v>1313</v>
      </c>
      <c r="R19" s="96" t="s">
        <v>412</v>
      </c>
      <c r="S19" s="96" t="s">
        <v>406</v>
      </c>
      <c r="T19" s="96" t="s">
        <v>1200</v>
      </c>
      <c r="U19" s="97">
        <v>0.67</v>
      </c>
      <c r="V19" s="100">
        <v>45952</v>
      </c>
      <c r="W19" s="98">
        <v>2.2800000000000001E-2</v>
      </c>
      <c r="X19" s="98">
        <v>7.7499999999999999E-2</v>
      </c>
      <c r="Y19" s="96" t="s">
        <v>411</v>
      </c>
      <c r="Z19" s="96"/>
      <c r="AA19" s="96" t="s">
        <v>887</v>
      </c>
      <c r="AB19" s="96" t="s">
        <v>890</v>
      </c>
      <c r="AC19" s="100">
        <v>45473</v>
      </c>
      <c r="AD19" s="100">
        <v>45473</v>
      </c>
      <c r="AE19" s="97">
        <v>471.81194699999998</v>
      </c>
      <c r="AF19" s="97">
        <v>1</v>
      </c>
      <c r="AG19" s="97">
        <v>147.52000000000001</v>
      </c>
      <c r="AH19" s="97">
        <v>0.69601599999999997</v>
      </c>
      <c r="AI19" s="96"/>
      <c r="AJ19" s="96"/>
      <c r="AK19" s="96"/>
      <c r="AL19" s="98">
        <v>3.1210000000000001E-3</v>
      </c>
      <c r="AM19" s="98">
        <v>1.2999999999999999E-5</v>
      </c>
      <c r="AN19" s="106"/>
    </row>
    <row r="20" spans="1:40" ht="15" customHeight="1">
      <c r="A20" s="106"/>
      <c r="B20" s="96">
        <v>286</v>
      </c>
      <c r="C20" s="96">
        <v>1445</v>
      </c>
      <c r="D20" s="96" t="s">
        <v>1505</v>
      </c>
      <c r="E20" s="96">
        <v>520010869</v>
      </c>
      <c r="F20" s="96" t="s">
        <v>308</v>
      </c>
      <c r="G20" s="96" t="s">
        <v>3504</v>
      </c>
      <c r="H20" s="96" t="s">
        <v>3505</v>
      </c>
      <c r="I20" s="96" t="s">
        <v>320</v>
      </c>
      <c r="J20" s="96" t="s">
        <v>753</v>
      </c>
      <c r="K20" s="96" t="s">
        <v>203</v>
      </c>
      <c r="L20" s="96" t="s">
        <v>203</v>
      </c>
      <c r="M20" s="96" t="s">
        <v>325</v>
      </c>
      <c r="N20" s="96" t="s">
        <v>476</v>
      </c>
      <c r="O20" s="96" t="s">
        <v>338</v>
      </c>
      <c r="P20" s="100">
        <v>40738</v>
      </c>
      <c r="Q20" s="96" t="s">
        <v>1199</v>
      </c>
      <c r="R20" s="96" t="s">
        <v>412</v>
      </c>
      <c r="S20" s="96" t="s">
        <v>406</v>
      </c>
      <c r="T20" s="96" t="s">
        <v>1200</v>
      </c>
      <c r="U20" s="97">
        <v>9.0299999999999994</v>
      </c>
      <c r="V20" s="100">
        <v>54253</v>
      </c>
      <c r="W20" s="98">
        <v>3.4099999999999998E-2</v>
      </c>
      <c r="X20" s="98">
        <v>4.1000000000000002E-2</v>
      </c>
      <c r="Y20" s="96" t="s">
        <v>411</v>
      </c>
      <c r="Z20" s="96"/>
      <c r="AA20" s="96" t="s">
        <v>887</v>
      </c>
      <c r="AB20" s="96" t="s">
        <v>890</v>
      </c>
      <c r="AC20" s="100">
        <v>45473</v>
      </c>
      <c r="AD20" s="100">
        <v>45473</v>
      </c>
      <c r="AE20" s="97">
        <v>108562.314706</v>
      </c>
      <c r="AF20" s="97">
        <v>1</v>
      </c>
      <c r="AG20" s="97">
        <v>129.74</v>
      </c>
      <c r="AH20" s="97">
        <v>140.84874300000001</v>
      </c>
      <c r="AI20" s="96"/>
      <c r="AJ20" s="96"/>
      <c r="AK20" s="96"/>
      <c r="AL20" s="98">
        <v>0.63160899999999998</v>
      </c>
      <c r="AM20" s="98">
        <v>2.6809999999999998E-3</v>
      </c>
      <c r="AN20" s="106"/>
    </row>
    <row r="21" spans="1:40" ht="15" customHeight="1">
      <c r="A21" s="106"/>
      <c r="B21" s="96">
        <v>286</v>
      </c>
      <c r="C21" s="96">
        <v>1445</v>
      </c>
      <c r="D21" s="96" t="s">
        <v>2051</v>
      </c>
      <c r="E21" s="96">
        <v>513436394</v>
      </c>
      <c r="F21" s="96" t="s">
        <v>308</v>
      </c>
      <c r="G21" s="96" t="s">
        <v>3506</v>
      </c>
      <c r="H21" s="96" t="s">
        <v>3507</v>
      </c>
      <c r="I21" s="96" t="s">
        <v>320</v>
      </c>
      <c r="J21" s="96" t="s">
        <v>753</v>
      </c>
      <c r="K21" s="96" t="s">
        <v>203</v>
      </c>
      <c r="L21" s="96" t="s">
        <v>203</v>
      </c>
      <c r="M21" s="96" t="s">
        <v>325</v>
      </c>
      <c r="N21" s="96" t="s">
        <v>476</v>
      </c>
      <c r="O21" s="96" t="s">
        <v>338</v>
      </c>
      <c r="P21" s="100">
        <v>40909</v>
      </c>
      <c r="Q21" s="96" t="s">
        <v>1301</v>
      </c>
      <c r="R21" s="96" t="s">
        <v>414</v>
      </c>
      <c r="S21" s="96" t="s">
        <v>406</v>
      </c>
      <c r="T21" s="96" t="s">
        <v>1200</v>
      </c>
      <c r="U21" s="97">
        <v>3.99</v>
      </c>
      <c r="V21" s="100">
        <v>48213</v>
      </c>
      <c r="W21" s="98">
        <v>2.8500000000000001E-2</v>
      </c>
      <c r="X21" s="98">
        <v>4.8000000000000001E-2</v>
      </c>
      <c r="Y21" s="96" t="s">
        <v>411</v>
      </c>
      <c r="Z21" s="96"/>
      <c r="AA21" s="96" t="s">
        <v>887</v>
      </c>
      <c r="AB21" s="96" t="s">
        <v>890</v>
      </c>
      <c r="AC21" s="100">
        <v>45473</v>
      </c>
      <c r="AD21" s="100">
        <v>45473</v>
      </c>
      <c r="AE21" s="97">
        <v>15375.67931</v>
      </c>
      <c r="AF21" s="97">
        <v>1</v>
      </c>
      <c r="AG21" s="97">
        <v>126.56</v>
      </c>
      <c r="AH21" s="97">
        <v>19.459461000000001</v>
      </c>
      <c r="AI21" s="96"/>
      <c r="AJ21" s="96"/>
      <c r="AK21" s="96"/>
      <c r="AL21" s="98">
        <v>8.7261000000000005E-2</v>
      </c>
      <c r="AM21" s="98">
        <v>3.6900000000000002E-4</v>
      </c>
      <c r="AN21" s="106"/>
    </row>
    <row r="22" spans="1:40" ht="15" customHeight="1">
      <c r="A22" s="106"/>
      <c r="B22" s="96">
        <v>286</v>
      </c>
      <c r="C22" s="96">
        <v>1445</v>
      </c>
      <c r="D22" s="96" t="s">
        <v>3508</v>
      </c>
      <c r="E22" s="96">
        <v>520044439</v>
      </c>
      <c r="F22" s="96" t="s">
        <v>308</v>
      </c>
      <c r="G22" s="96" t="s">
        <v>3509</v>
      </c>
      <c r="H22" s="96" t="s">
        <v>3510</v>
      </c>
      <c r="I22" s="96" t="s">
        <v>320</v>
      </c>
      <c r="J22" s="96" t="s">
        <v>952</v>
      </c>
      <c r="K22" s="96" t="s">
        <v>203</v>
      </c>
      <c r="L22" s="96" t="s">
        <v>203</v>
      </c>
      <c r="M22" s="96" t="s">
        <v>325</v>
      </c>
      <c r="N22" s="96" t="s">
        <v>450</v>
      </c>
      <c r="O22" s="96" t="s">
        <v>338</v>
      </c>
      <c r="P22" s="100">
        <v>42572</v>
      </c>
      <c r="Q22" s="96" t="s">
        <v>1520</v>
      </c>
      <c r="R22" s="96" t="s">
        <v>414</v>
      </c>
      <c r="S22" s="96" t="s">
        <v>406</v>
      </c>
      <c r="T22" s="96" t="s">
        <v>1200</v>
      </c>
      <c r="U22" s="97">
        <v>2.75</v>
      </c>
      <c r="V22" s="100">
        <v>46928</v>
      </c>
      <c r="W22" s="98">
        <v>6.5000000000000002E-2</v>
      </c>
      <c r="X22" s="98">
        <v>4.5999999999999999E-2</v>
      </c>
      <c r="Y22" s="96" t="s">
        <v>411</v>
      </c>
      <c r="Z22" s="96"/>
      <c r="AA22" s="96" t="s">
        <v>887</v>
      </c>
      <c r="AB22" s="96" t="s">
        <v>890</v>
      </c>
      <c r="AC22" s="100">
        <v>45473</v>
      </c>
      <c r="AD22" s="100">
        <v>45473</v>
      </c>
      <c r="AE22" s="97">
        <v>4589.5214249999999</v>
      </c>
      <c r="AF22" s="97">
        <v>1</v>
      </c>
      <c r="AG22" s="97">
        <v>95.28</v>
      </c>
      <c r="AH22" s="97">
        <v>4.3728959999999999</v>
      </c>
      <c r="AI22" s="96"/>
      <c r="AJ22" s="96"/>
      <c r="AK22" s="96"/>
      <c r="AL22" s="98">
        <v>1.9609000000000001E-2</v>
      </c>
      <c r="AM22" s="98">
        <v>8.2999999999999998E-5</v>
      </c>
      <c r="AN22" s="106"/>
    </row>
    <row r="23" spans="1:40" ht="15" customHeight="1">
      <c r="A23" s="106"/>
      <c r="B23" s="96">
        <v>286</v>
      </c>
      <c r="C23" s="96">
        <v>1445</v>
      </c>
      <c r="D23" s="96" t="s">
        <v>2051</v>
      </c>
      <c r="E23" s="96">
        <v>513436394</v>
      </c>
      <c r="F23" s="96" t="s">
        <v>308</v>
      </c>
      <c r="G23" s="96" t="s">
        <v>3511</v>
      </c>
      <c r="H23" s="96" t="s">
        <v>3512</v>
      </c>
      <c r="I23" s="96" t="s">
        <v>320</v>
      </c>
      <c r="J23" s="96" t="s">
        <v>753</v>
      </c>
      <c r="K23" s="96" t="s">
        <v>203</v>
      </c>
      <c r="L23" s="96" t="s">
        <v>203</v>
      </c>
      <c r="M23" s="96" t="s">
        <v>325</v>
      </c>
      <c r="N23" s="96" t="s">
        <v>476</v>
      </c>
      <c r="O23" s="96" t="s">
        <v>338</v>
      </c>
      <c r="P23" s="100">
        <v>39084</v>
      </c>
      <c r="Q23" s="96" t="s">
        <v>1301</v>
      </c>
      <c r="R23" s="96" t="s">
        <v>414</v>
      </c>
      <c r="S23" s="96" t="s">
        <v>406</v>
      </c>
      <c r="T23" s="96" t="s">
        <v>1200</v>
      </c>
      <c r="U23" s="97">
        <v>1.38</v>
      </c>
      <c r="V23" s="100">
        <v>46385</v>
      </c>
      <c r="W23" s="98">
        <v>2.52E-2</v>
      </c>
      <c r="X23" s="98">
        <v>5.6000000000000001E-2</v>
      </c>
      <c r="Y23" s="96" t="s">
        <v>411</v>
      </c>
      <c r="Z23" s="96"/>
      <c r="AA23" s="96" t="s">
        <v>887</v>
      </c>
      <c r="AB23" s="96" t="s">
        <v>890</v>
      </c>
      <c r="AC23" s="100">
        <v>45473</v>
      </c>
      <c r="AD23" s="100">
        <v>45473</v>
      </c>
      <c r="AE23" s="97">
        <v>386.04201399999999</v>
      </c>
      <c r="AF23" s="97">
        <v>1</v>
      </c>
      <c r="AG23" s="97">
        <v>143</v>
      </c>
      <c r="AH23" s="97">
        <v>0.55203999999999998</v>
      </c>
      <c r="AI23" s="96"/>
      <c r="AJ23" s="96"/>
      <c r="AK23" s="96"/>
      <c r="AL23" s="98">
        <v>2.4750000000000002E-3</v>
      </c>
      <c r="AM23" s="98">
        <v>1.0000000000000001E-5</v>
      </c>
      <c r="AN23" s="106"/>
    </row>
    <row r="24" spans="1:40" ht="15" customHeight="1">
      <c r="A24" s="106"/>
      <c r="B24" s="96">
        <v>286</v>
      </c>
      <c r="C24" s="96">
        <v>286</v>
      </c>
      <c r="D24" s="96" t="s">
        <v>3475</v>
      </c>
      <c r="E24" s="96">
        <v>520027293</v>
      </c>
      <c r="F24" s="96" t="s">
        <v>308</v>
      </c>
      <c r="G24" s="96" t="s">
        <v>3476</v>
      </c>
      <c r="H24" s="96" t="s">
        <v>3477</v>
      </c>
      <c r="I24" s="96" t="s">
        <v>320</v>
      </c>
      <c r="J24" s="96" t="s">
        <v>753</v>
      </c>
      <c r="K24" s="96" t="s">
        <v>203</v>
      </c>
      <c r="L24" s="96" t="s">
        <v>203</v>
      </c>
      <c r="M24" s="96" t="s">
        <v>325</v>
      </c>
      <c r="N24" s="96" t="s">
        <v>454</v>
      </c>
      <c r="O24" s="96" t="s">
        <v>338</v>
      </c>
      <c r="P24" s="100">
        <v>44060</v>
      </c>
      <c r="Q24" s="96" t="s">
        <v>1211</v>
      </c>
      <c r="R24" s="96" t="s">
        <v>414</v>
      </c>
      <c r="S24" s="96" t="s">
        <v>406</v>
      </c>
      <c r="T24" s="96" t="s">
        <v>1200</v>
      </c>
      <c r="U24" s="97">
        <v>7.61</v>
      </c>
      <c r="V24" s="100">
        <v>51501</v>
      </c>
      <c r="W24" s="98">
        <v>3.2099999999999997E-2</v>
      </c>
      <c r="X24" s="98">
        <v>5.3E-3</v>
      </c>
      <c r="Y24" s="96" t="s">
        <v>411</v>
      </c>
      <c r="Z24" s="96"/>
      <c r="AA24" s="96" t="s">
        <v>887</v>
      </c>
      <c r="AB24" s="96" t="s">
        <v>890</v>
      </c>
      <c r="AC24" s="100">
        <v>45473</v>
      </c>
      <c r="AD24" s="100">
        <v>45473</v>
      </c>
      <c r="AE24" s="97">
        <v>224366.308601</v>
      </c>
      <c r="AF24" s="97">
        <v>1</v>
      </c>
      <c r="AG24" s="97">
        <v>94.68</v>
      </c>
      <c r="AH24" s="97">
        <v>212.43002000000001</v>
      </c>
      <c r="AI24" s="96"/>
      <c r="AJ24" s="96"/>
      <c r="AK24" s="96"/>
      <c r="AL24" s="98">
        <v>4.8972000000000002E-2</v>
      </c>
      <c r="AM24" s="98">
        <v>1.1E-4</v>
      </c>
      <c r="AN24" s="106"/>
    </row>
    <row r="25" spans="1:40" ht="15" customHeight="1">
      <c r="A25" s="106"/>
      <c r="B25" s="96">
        <v>286</v>
      </c>
      <c r="C25" s="96">
        <v>286</v>
      </c>
      <c r="D25" s="96" t="s">
        <v>3480</v>
      </c>
      <c r="E25" s="96">
        <v>514189596</v>
      </c>
      <c r="F25" s="96" t="s">
        <v>308</v>
      </c>
      <c r="G25" s="96" t="s">
        <v>3481</v>
      </c>
      <c r="H25" s="96" t="s">
        <v>3482</v>
      </c>
      <c r="I25" s="96" t="s">
        <v>320</v>
      </c>
      <c r="J25" s="96" t="s">
        <v>952</v>
      </c>
      <c r="K25" s="96" t="s">
        <v>203</v>
      </c>
      <c r="L25" s="96" t="s">
        <v>203</v>
      </c>
      <c r="M25" s="96" t="s">
        <v>325</v>
      </c>
      <c r="N25" s="96" t="s">
        <v>463</v>
      </c>
      <c r="O25" s="96" t="s">
        <v>338</v>
      </c>
      <c r="P25" s="100">
        <v>43310</v>
      </c>
      <c r="Q25" s="96" t="s">
        <v>1320</v>
      </c>
      <c r="R25" s="96" t="s">
        <v>412</v>
      </c>
      <c r="S25" s="96" t="s">
        <v>406</v>
      </c>
      <c r="T25" s="96" t="s">
        <v>1200</v>
      </c>
      <c r="U25" s="97">
        <v>0.5</v>
      </c>
      <c r="V25" s="100">
        <v>45657</v>
      </c>
      <c r="W25" s="98">
        <v>5.4899999999999997E-2</v>
      </c>
      <c r="X25" s="98">
        <v>3.5499999999999997E-2</v>
      </c>
      <c r="Y25" s="96" t="s">
        <v>411</v>
      </c>
      <c r="Z25" s="96"/>
      <c r="AA25" s="96" t="s">
        <v>887</v>
      </c>
      <c r="AB25" s="96" t="s">
        <v>890</v>
      </c>
      <c r="AC25" s="100">
        <v>45473</v>
      </c>
      <c r="AD25" s="100">
        <v>45473</v>
      </c>
      <c r="AE25" s="97">
        <v>677.95957299999998</v>
      </c>
      <c r="AF25" s="97">
        <v>1</v>
      </c>
      <c r="AG25" s="97">
        <v>99.07</v>
      </c>
      <c r="AH25" s="97">
        <v>0.67165399999999997</v>
      </c>
      <c r="AI25" s="96"/>
      <c r="AJ25" s="96"/>
      <c r="AK25" s="96"/>
      <c r="AL25" s="98">
        <v>1.54E-4</v>
      </c>
      <c r="AM25" s="98">
        <v>0</v>
      </c>
      <c r="AN25" s="106"/>
    </row>
    <row r="26" spans="1:40" ht="15" customHeight="1">
      <c r="A26" s="106"/>
      <c r="B26" s="96">
        <v>286</v>
      </c>
      <c r="C26" s="96">
        <v>286</v>
      </c>
      <c r="D26" s="96" t="s">
        <v>3472</v>
      </c>
      <c r="E26" s="96"/>
      <c r="F26" s="96" t="s">
        <v>308</v>
      </c>
      <c r="G26" s="96" t="s">
        <v>3473</v>
      </c>
      <c r="H26" s="96" t="s">
        <v>3474</v>
      </c>
      <c r="I26" s="96" t="s">
        <v>320</v>
      </c>
      <c r="J26" s="96" t="s">
        <v>952</v>
      </c>
      <c r="K26" s="96" t="s">
        <v>203</v>
      </c>
      <c r="L26" s="96" t="s">
        <v>203</v>
      </c>
      <c r="M26" s="96" t="s">
        <v>325</v>
      </c>
      <c r="N26" s="96" t="s">
        <v>450</v>
      </c>
      <c r="O26" s="96" t="s">
        <v>338</v>
      </c>
      <c r="P26" s="100">
        <v>44514</v>
      </c>
      <c r="Q26" s="96" t="s">
        <v>1320</v>
      </c>
      <c r="R26" s="96" t="s">
        <v>412</v>
      </c>
      <c r="S26" s="96" t="s">
        <v>406</v>
      </c>
      <c r="T26" s="96" t="s">
        <v>1200</v>
      </c>
      <c r="U26" s="97">
        <v>2.31</v>
      </c>
      <c r="V26" s="100">
        <v>47118</v>
      </c>
      <c r="W26" s="98">
        <v>6.3100000000000003E-2</v>
      </c>
      <c r="X26" s="98">
        <v>2.86E-2</v>
      </c>
      <c r="Y26" s="96" t="s">
        <v>411</v>
      </c>
      <c r="Z26" s="96"/>
      <c r="AA26" s="96" t="s">
        <v>887</v>
      </c>
      <c r="AB26" s="96" t="s">
        <v>890</v>
      </c>
      <c r="AC26" s="100">
        <v>45473</v>
      </c>
      <c r="AD26" s="100">
        <v>45473</v>
      </c>
      <c r="AE26" s="97">
        <v>1363.998014</v>
      </c>
      <c r="AF26" s="97">
        <v>1</v>
      </c>
      <c r="AG26" s="97">
        <v>93.81</v>
      </c>
      <c r="AH26" s="97">
        <v>1.279566</v>
      </c>
      <c r="AI26" s="96"/>
      <c r="AJ26" s="96"/>
      <c r="AK26" s="96"/>
      <c r="AL26" s="98">
        <v>2.9399999999999999E-4</v>
      </c>
      <c r="AM26" s="98">
        <v>0</v>
      </c>
      <c r="AN26" s="106"/>
    </row>
    <row r="27" spans="1:40" ht="15" customHeight="1">
      <c r="A27" s="106"/>
      <c r="B27" s="96">
        <v>286</v>
      </c>
      <c r="C27" s="96">
        <v>286</v>
      </c>
      <c r="D27" s="96" t="s">
        <v>2051</v>
      </c>
      <c r="E27" s="96">
        <v>513436394</v>
      </c>
      <c r="F27" s="96" t="s">
        <v>308</v>
      </c>
      <c r="G27" s="96" t="s">
        <v>3506</v>
      </c>
      <c r="H27" s="96" t="s">
        <v>3507</v>
      </c>
      <c r="I27" s="96" t="s">
        <v>320</v>
      </c>
      <c r="J27" s="96" t="s">
        <v>753</v>
      </c>
      <c r="K27" s="96" t="s">
        <v>203</v>
      </c>
      <c r="L27" s="96" t="s">
        <v>203</v>
      </c>
      <c r="M27" s="96" t="s">
        <v>325</v>
      </c>
      <c r="N27" s="96" t="s">
        <v>476</v>
      </c>
      <c r="O27" s="96" t="s">
        <v>338</v>
      </c>
      <c r="P27" s="100">
        <v>40909</v>
      </c>
      <c r="Q27" s="96" t="s">
        <v>1301</v>
      </c>
      <c r="R27" s="96" t="s">
        <v>414</v>
      </c>
      <c r="S27" s="96" t="s">
        <v>406</v>
      </c>
      <c r="T27" s="96" t="s">
        <v>1200</v>
      </c>
      <c r="U27" s="97">
        <v>3.99</v>
      </c>
      <c r="V27" s="100">
        <v>48213</v>
      </c>
      <c r="W27" s="98">
        <v>2.8500000000000001E-2</v>
      </c>
      <c r="X27" s="98">
        <v>4.8000000000000001E-2</v>
      </c>
      <c r="Y27" s="96" t="s">
        <v>411</v>
      </c>
      <c r="Z27" s="96"/>
      <c r="AA27" s="96" t="s">
        <v>887</v>
      </c>
      <c r="AB27" s="96" t="s">
        <v>890</v>
      </c>
      <c r="AC27" s="100">
        <v>45473</v>
      </c>
      <c r="AD27" s="100">
        <v>45473</v>
      </c>
      <c r="AE27" s="97">
        <v>306505.499373</v>
      </c>
      <c r="AF27" s="97">
        <v>1</v>
      </c>
      <c r="AG27" s="97">
        <v>126.56</v>
      </c>
      <c r="AH27" s="97">
        <v>387.91336000000001</v>
      </c>
      <c r="AI27" s="96"/>
      <c r="AJ27" s="96"/>
      <c r="AK27" s="96"/>
      <c r="AL27" s="98">
        <v>8.9427000000000006E-2</v>
      </c>
      <c r="AM27" s="98">
        <v>2.02E-4</v>
      </c>
      <c r="AN27" s="106"/>
    </row>
    <row r="28" spans="1:40" ht="15" customHeight="1">
      <c r="A28" s="106"/>
      <c r="B28" s="96">
        <v>286</v>
      </c>
      <c r="C28" s="96">
        <v>286</v>
      </c>
      <c r="D28" s="96" t="s">
        <v>3469</v>
      </c>
      <c r="E28" s="96"/>
      <c r="F28" s="96" t="s">
        <v>308</v>
      </c>
      <c r="G28" s="96" t="s">
        <v>3470</v>
      </c>
      <c r="H28" s="96" t="s">
        <v>3471</v>
      </c>
      <c r="I28" s="96" t="s">
        <v>320</v>
      </c>
      <c r="J28" s="96" t="s">
        <v>753</v>
      </c>
      <c r="K28" s="96" t="s">
        <v>203</v>
      </c>
      <c r="L28" s="96" t="s">
        <v>203</v>
      </c>
      <c r="M28" s="96" t="s">
        <v>325</v>
      </c>
      <c r="N28" s="96" t="s">
        <v>442</v>
      </c>
      <c r="O28" s="96" t="s">
        <v>338</v>
      </c>
      <c r="P28" s="100">
        <v>45138</v>
      </c>
      <c r="Q28" s="96" t="s">
        <v>409</v>
      </c>
      <c r="R28" s="96" t="s">
        <v>409</v>
      </c>
      <c r="S28" s="96" t="s">
        <v>409</v>
      </c>
      <c r="T28" s="96" t="s">
        <v>1200</v>
      </c>
      <c r="U28" s="97">
        <v>2.37</v>
      </c>
      <c r="V28" s="100">
        <v>47738</v>
      </c>
      <c r="W28" s="98">
        <v>3.9100000000000003E-2</v>
      </c>
      <c r="X28" s="98">
        <v>4.2500000000000003E-2</v>
      </c>
      <c r="Y28" s="96" t="s">
        <v>411</v>
      </c>
      <c r="Z28" s="96"/>
      <c r="AA28" s="96" t="s">
        <v>887</v>
      </c>
      <c r="AB28" s="96" t="s">
        <v>890</v>
      </c>
      <c r="AC28" s="100">
        <v>45473</v>
      </c>
      <c r="AD28" s="100">
        <v>45473</v>
      </c>
      <c r="AE28" s="97">
        <v>10376.667593</v>
      </c>
      <c r="AF28" s="97">
        <v>1</v>
      </c>
      <c r="AG28" s="97">
        <v>103.94</v>
      </c>
      <c r="AH28" s="97">
        <v>10.785508</v>
      </c>
      <c r="AI28" s="96"/>
      <c r="AJ28" s="96"/>
      <c r="AK28" s="96"/>
      <c r="AL28" s="98">
        <v>2.4859999999999999E-3</v>
      </c>
      <c r="AM28" s="98">
        <v>5.0000000000000004E-6</v>
      </c>
      <c r="AN28" s="106"/>
    </row>
    <row r="29" spans="1:40" ht="15" customHeight="1">
      <c r="A29" s="106"/>
      <c r="B29" s="96">
        <v>286</v>
      </c>
      <c r="C29" s="96">
        <v>286</v>
      </c>
      <c r="D29" s="96" t="s">
        <v>3483</v>
      </c>
      <c r="E29" s="96">
        <v>515703528</v>
      </c>
      <c r="F29" s="96" t="s">
        <v>308</v>
      </c>
      <c r="G29" s="96" t="s">
        <v>3484</v>
      </c>
      <c r="H29" s="96" t="s">
        <v>3485</v>
      </c>
      <c r="I29" s="96" t="s">
        <v>320</v>
      </c>
      <c r="J29" s="96" t="s">
        <v>952</v>
      </c>
      <c r="K29" s="96" t="s">
        <v>203</v>
      </c>
      <c r="L29" s="96" t="s">
        <v>203</v>
      </c>
      <c r="M29" s="96" t="s">
        <v>325</v>
      </c>
      <c r="N29" s="96" t="s">
        <v>444</v>
      </c>
      <c r="O29" s="96" t="s">
        <v>338</v>
      </c>
      <c r="P29" s="100">
        <v>42995</v>
      </c>
      <c r="Q29" s="96" t="s">
        <v>1309</v>
      </c>
      <c r="R29" s="96" t="s">
        <v>414</v>
      </c>
      <c r="S29" s="96" t="s">
        <v>406</v>
      </c>
      <c r="T29" s="96" t="s">
        <v>1200</v>
      </c>
      <c r="U29" s="97">
        <v>0.89</v>
      </c>
      <c r="V29" s="100">
        <v>45918</v>
      </c>
      <c r="W29" s="98">
        <v>6.2799999999999995E-2</v>
      </c>
      <c r="X29" s="98">
        <v>4.1000000000000002E-2</v>
      </c>
      <c r="Y29" s="96" t="s">
        <v>411</v>
      </c>
      <c r="Z29" s="96"/>
      <c r="AA29" s="96" t="s">
        <v>887</v>
      </c>
      <c r="AB29" s="96" t="s">
        <v>890</v>
      </c>
      <c r="AC29" s="100">
        <v>45473</v>
      </c>
      <c r="AD29" s="100">
        <v>45473</v>
      </c>
      <c r="AE29" s="97">
        <v>327730.25388600002</v>
      </c>
      <c r="AF29" s="97">
        <v>1</v>
      </c>
      <c r="AG29" s="97">
        <v>99.61</v>
      </c>
      <c r="AH29" s="97">
        <v>326.45210500000002</v>
      </c>
      <c r="AI29" s="96"/>
      <c r="AJ29" s="96"/>
      <c r="AK29" s="96"/>
      <c r="AL29" s="98">
        <v>7.5258000000000005E-2</v>
      </c>
      <c r="AM29" s="98">
        <v>1.7000000000000001E-4</v>
      </c>
      <c r="AN29" s="106"/>
    </row>
    <row r="30" spans="1:40" ht="15" customHeight="1">
      <c r="A30" s="106"/>
      <c r="B30" s="96">
        <v>286</v>
      </c>
      <c r="C30" s="96">
        <v>286</v>
      </c>
      <c r="D30" s="96" t="s">
        <v>1197</v>
      </c>
      <c r="E30" s="96">
        <v>520018078</v>
      </c>
      <c r="F30" s="96" t="s">
        <v>308</v>
      </c>
      <c r="G30" s="96" t="s">
        <v>3459</v>
      </c>
      <c r="H30" s="96" t="s">
        <v>3460</v>
      </c>
      <c r="I30" s="96" t="s">
        <v>320</v>
      </c>
      <c r="J30" s="96" t="s">
        <v>952</v>
      </c>
      <c r="K30" s="96" t="s">
        <v>203</v>
      </c>
      <c r="L30" s="96" t="s">
        <v>203</v>
      </c>
      <c r="M30" s="96" t="s">
        <v>325</v>
      </c>
      <c r="N30" s="96" t="s">
        <v>447</v>
      </c>
      <c r="O30" s="96" t="s">
        <v>338</v>
      </c>
      <c r="P30" s="100">
        <v>45145</v>
      </c>
      <c r="Q30" s="96" t="s">
        <v>1199</v>
      </c>
      <c r="R30" s="96" t="s">
        <v>412</v>
      </c>
      <c r="S30" s="96" t="s">
        <v>408</v>
      </c>
      <c r="T30" s="96" t="s">
        <v>1200</v>
      </c>
      <c r="U30" s="97">
        <v>2.29</v>
      </c>
      <c r="V30" s="100">
        <v>46380</v>
      </c>
      <c r="W30" s="98">
        <v>6.6500000000000004E-2</v>
      </c>
      <c r="X30" s="98">
        <v>6.8000000000000005E-2</v>
      </c>
      <c r="Y30" s="96" t="s">
        <v>411</v>
      </c>
      <c r="Z30" s="96"/>
      <c r="AA30" s="96" t="s">
        <v>887</v>
      </c>
      <c r="AB30" s="96" t="s">
        <v>890</v>
      </c>
      <c r="AC30" s="100">
        <v>45473</v>
      </c>
      <c r="AD30" s="100">
        <v>45473</v>
      </c>
      <c r="AE30" s="97">
        <v>18022.514705000001</v>
      </c>
      <c r="AF30" s="97">
        <v>1</v>
      </c>
      <c r="AG30" s="97">
        <v>100.89</v>
      </c>
      <c r="AH30" s="97">
        <v>18.182915000000001</v>
      </c>
      <c r="AI30" s="96"/>
      <c r="AJ30" s="96"/>
      <c r="AK30" s="96"/>
      <c r="AL30" s="98">
        <v>4.1910000000000003E-3</v>
      </c>
      <c r="AM30" s="98">
        <v>9.0000000000000002E-6</v>
      </c>
      <c r="AN30" s="106"/>
    </row>
    <row r="31" spans="1:40" ht="15" customHeight="1">
      <c r="A31" s="106"/>
      <c r="B31" s="96">
        <v>286</v>
      </c>
      <c r="C31" s="96">
        <v>286</v>
      </c>
      <c r="D31" s="96" t="s">
        <v>3489</v>
      </c>
      <c r="E31" s="96">
        <v>520042185</v>
      </c>
      <c r="F31" s="96" t="s">
        <v>308</v>
      </c>
      <c r="G31" s="96" t="s">
        <v>3498</v>
      </c>
      <c r="H31" s="96" t="s">
        <v>3499</v>
      </c>
      <c r="I31" s="96" t="s">
        <v>320</v>
      </c>
      <c r="J31" s="96" t="s">
        <v>952</v>
      </c>
      <c r="K31" s="96" t="s">
        <v>203</v>
      </c>
      <c r="L31" s="96" t="s">
        <v>203</v>
      </c>
      <c r="M31" s="96" t="s">
        <v>325</v>
      </c>
      <c r="N31" s="96" t="s">
        <v>445</v>
      </c>
      <c r="O31" s="96" t="s">
        <v>338</v>
      </c>
      <c r="P31" s="100">
        <v>42796</v>
      </c>
      <c r="Q31" s="96" t="s">
        <v>1211</v>
      </c>
      <c r="R31" s="96" t="s">
        <v>414</v>
      </c>
      <c r="S31" s="96" t="s">
        <v>406</v>
      </c>
      <c r="T31" s="96" t="s">
        <v>1200</v>
      </c>
      <c r="U31" s="97">
        <v>1.18</v>
      </c>
      <c r="V31" s="100">
        <v>46096</v>
      </c>
      <c r="W31" s="98">
        <v>5.0299999999999997E-2</v>
      </c>
      <c r="X31" s="98">
        <v>2.5000000000000001E-2</v>
      </c>
      <c r="Y31" s="96" t="s">
        <v>411</v>
      </c>
      <c r="Z31" s="96"/>
      <c r="AA31" s="96" t="s">
        <v>887</v>
      </c>
      <c r="AB31" s="96" t="s">
        <v>890</v>
      </c>
      <c r="AC31" s="100">
        <v>45473</v>
      </c>
      <c r="AD31" s="100">
        <v>45473</v>
      </c>
      <c r="AE31" s="97">
        <v>86893.306274000002</v>
      </c>
      <c r="AF31" s="97">
        <v>1</v>
      </c>
      <c r="AG31" s="97">
        <v>97.89</v>
      </c>
      <c r="AH31" s="97">
        <v>85.059856999999994</v>
      </c>
      <c r="AI31" s="96"/>
      <c r="AJ31" s="96"/>
      <c r="AK31" s="96"/>
      <c r="AL31" s="98">
        <v>1.9609000000000001E-2</v>
      </c>
      <c r="AM31" s="98">
        <v>4.3999999999999999E-5</v>
      </c>
      <c r="AN31" s="106"/>
    </row>
    <row r="32" spans="1:40" ht="15" customHeight="1">
      <c r="A32" s="106"/>
      <c r="B32" s="96">
        <v>286</v>
      </c>
      <c r="C32" s="96">
        <v>286</v>
      </c>
      <c r="D32" s="96" t="s">
        <v>3466</v>
      </c>
      <c r="E32" s="96">
        <v>516041118</v>
      </c>
      <c r="F32" s="96" t="s">
        <v>308</v>
      </c>
      <c r="G32" s="96" t="s">
        <v>3467</v>
      </c>
      <c r="H32" s="96" t="s">
        <v>3468</v>
      </c>
      <c r="I32" s="96" t="s">
        <v>320</v>
      </c>
      <c r="J32" s="96" t="s">
        <v>753</v>
      </c>
      <c r="K32" s="96" t="s">
        <v>203</v>
      </c>
      <c r="L32" s="96" t="s">
        <v>203</v>
      </c>
      <c r="M32" s="96" t="s">
        <v>325</v>
      </c>
      <c r="N32" s="96" t="s">
        <v>476</v>
      </c>
      <c r="O32" s="96" t="s">
        <v>338</v>
      </c>
      <c r="P32" s="100">
        <v>45153</v>
      </c>
      <c r="Q32" s="96" t="s">
        <v>1332</v>
      </c>
      <c r="R32" s="96" t="s">
        <v>412</v>
      </c>
      <c r="S32" s="96" t="s">
        <v>406</v>
      </c>
      <c r="T32" s="96" t="s">
        <v>1200</v>
      </c>
      <c r="U32" s="97">
        <v>3.01</v>
      </c>
      <c r="V32" s="100">
        <v>47483</v>
      </c>
      <c r="W32" s="98">
        <v>3.44E-2</v>
      </c>
      <c r="X32" s="98">
        <v>3.6400000000000002E-2</v>
      </c>
      <c r="Y32" s="96" t="s">
        <v>411</v>
      </c>
      <c r="Z32" s="96"/>
      <c r="AA32" s="96" t="s">
        <v>887</v>
      </c>
      <c r="AB32" s="96" t="s">
        <v>890</v>
      </c>
      <c r="AC32" s="100">
        <v>45473</v>
      </c>
      <c r="AD32" s="100">
        <v>45473</v>
      </c>
      <c r="AE32" s="97">
        <v>186152.61248000001</v>
      </c>
      <c r="AF32" s="97">
        <v>1</v>
      </c>
      <c r="AG32" s="97">
        <v>103.18</v>
      </c>
      <c r="AH32" s="97">
        <v>192.07226499999999</v>
      </c>
      <c r="AI32" s="96"/>
      <c r="AJ32" s="96"/>
      <c r="AK32" s="96"/>
      <c r="AL32" s="98">
        <v>4.4278999999999999E-2</v>
      </c>
      <c r="AM32" s="98">
        <v>1E-4</v>
      </c>
      <c r="AN32" s="106"/>
    </row>
    <row r="33" spans="1:40" ht="15" customHeight="1">
      <c r="A33" s="106"/>
      <c r="B33" s="96">
        <v>286</v>
      </c>
      <c r="C33" s="96">
        <v>286</v>
      </c>
      <c r="D33" s="96" t="s">
        <v>3489</v>
      </c>
      <c r="E33" s="96">
        <v>520042185</v>
      </c>
      <c r="F33" s="96" t="s">
        <v>308</v>
      </c>
      <c r="G33" s="96" t="s">
        <v>3490</v>
      </c>
      <c r="H33" s="96" t="s">
        <v>3491</v>
      </c>
      <c r="I33" s="96" t="s">
        <v>320</v>
      </c>
      <c r="J33" s="96" t="s">
        <v>952</v>
      </c>
      <c r="K33" s="96" t="s">
        <v>203</v>
      </c>
      <c r="L33" s="96" t="s">
        <v>203</v>
      </c>
      <c r="M33" s="96" t="s">
        <v>325</v>
      </c>
      <c r="N33" s="96" t="s">
        <v>445</v>
      </c>
      <c r="O33" s="96" t="s">
        <v>338</v>
      </c>
      <c r="P33" s="100">
        <v>42795</v>
      </c>
      <c r="Q33" s="96" t="s">
        <v>1211</v>
      </c>
      <c r="R33" s="96" t="s">
        <v>414</v>
      </c>
      <c r="S33" s="96" t="s">
        <v>406</v>
      </c>
      <c r="T33" s="96" t="s">
        <v>1200</v>
      </c>
      <c r="U33" s="97">
        <v>4.41</v>
      </c>
      <c r="V33" s="100">
        <v>49202</v>
      </c>
      <c r="W33" s="98">
        <v>5.6899999999999999E-2</v>
      </c>
      <c r="X33" s="98">
        <v>3.7400000000000003E-2</v>
      </c>
      <c r="Y33" s="96" t="s">
        <v>411</v>
      </c>
      <c r="Z33" s="96"/>
      <c r="AA33" s="96" t="s">
        <v>887</v>
      </c>
      <c r="AB33" s="96" t="s">
        <v>890</v>
      </c>
      <c r="AC33" s="100">
        <v>45473</v>
      </c>
      <c r="AD33" s="100">
        <v>45473</v>
      </c>
      <c r="AE33" s="97">
        <v>6835.8128909999996</v>
      </c>
      <c r="AF33" s="97">
        <v>1</v>
      </c>
      <c r="AG33" s="97">
        <v>93.08</v>
      </c>
      <c r="AH33" s="97">
        <v>6.3627739999999999</v>
      </c>
      <c r="AI33" s="96"/>
      <c r="AJ33" s="96"/>
      <c r="AK33" s="96"/>
      <c r="AL33" s="98">
        <v>1.4660000000000001E-3</v>
      </c>
      <c r="AM33" s="98">
        <v>3.0000000000000001E-6</v>
      </c>
      <c r="AN33" s="106"/>
    </row>
    <row r="34" spans="1:40" ht="15" customHeight="1">
      <c r="A34" s="106"/>
      <c r="B34" s="96">
        <v>286</v>
      </c>
      <c r="C34" s="96">
        <v>286</v>
      </c>
      <c r="D34" s="96" t="s">
        <v>1462</v>
      </c>
      <c r="E34" s="96">
        <v>520000472</v>
      </c>
      <c r="F34" s="96" t="s">
        <v>308</v>
      </c>
      <c r="G34" s="96" t="s">
        <v>3464</v>
      </c>
      <c r="H34" s="96" t="s">
        <v>3465</v>
      </c>
      <c r="I34" s="96" t="s">
        <v>320</v>
      </c>
      <c r="J34" s="96" t="s">
        <v>753</v>
      </c>
      <c r="K34" s="96" t="s">
        <v>203</v>
      </c>
      <c r="L34" s="96" t="s">
        <v>203</v>
      </c>
      <c r="M34" s="96" t="s">
        <v>325</v>
      </c>
      <c r="N34" s="96" t="s">
        <v>454</v>
      </c>
      <c r="O34" s="96" t="s">
        <v>338</v>
      </c>
      <c r="P34" s="100">
        <v>41766</v>
      </c>
      <c r="Q34" s="96" t="s">
        <v>1301</v>
      </c>
      <c r="R34" s="96" t="s">
        <v>414</v>
      </c>
      <c r="S34" s="96" t="s">
        <v>406</v>
      </c>
      <c r="T34" s="96" t="s">
        <v>1200</v>
      </c>
      <c r="U34" s="97">
        <v>2.66</v>
      </c>
      <c r="V34" s="100">
        <v>47245</v>
      </c>
      <c r="W34" s="98">
        <v>2.7799999999999998E-2</v>
      </c>
      <c r="X34" s="98">
        <v>0.06</v>
      </c>
      <c r="Y34" s="96" t="s">
        <v>411</v>
      </c>
      <c r="Z34" s="96"/>
      <c r="AA34" s="96" t="s">
        <v>887</v>
      </c>
      <c r="AB34" s="96" t="s">
        <v>890</v>
      </c>
      <c r="AC34" s="100">
        <v>45473</v>
      </c>
      <c r="AD34" s="100">
        <v>45473</v>
      </c>
      <c r="AE34" s="97">
        <v>306246.30137</v>
      </c>
      <c r="AF34" s="97">
        <v>1</v>
      </c>
      <c r="AG34" s="97">
        <v>124.82</v>
      </c>
      <c r="AH34" s="97">
        <v>382.25663300000002</v>
      </c>
      <c r="AI34" s="96"/>
      <c r="AJ34" s="96"/>
      <c r="AK34" s="96"/>
      <c r="AL34" s="98">
        <v>8.8123000000000007E-2</v>
      </c>
      <c r="AM34" s="98">
        <v>1.9900000000000001E-4</v>
      </c>
      <c r="AN34" s="106"/>
    </row>
    <row r="35" spans="1:40" ht="15" customHeight="1">
      <c r="A35" s="106"/>
      <c r="B35" s="96">
        <v>286</v>
      </c>
      <c r="C35" s="96">
        <v>286</v>
      </c>
      <c r="D35" s="96" t="s">
        <v>3508</v>
      </c>
      <c r="E35" s="96">
        <v>520044439</v>
      </c>
      <c r="F35" s="96" t="s">
        <v>308</v>
      </c>
      <c r="G35" s="96" t="s">
        <v>3509</v>
      </c>
      <c r="H35" s="96" t="s">
        <v>3510</v>
      </c>
      <c r="I35" s="96" t="s">
        <v>320</v>
      </c>
      <c r="J35" s="96" t="s">
        <v>952</v>
      </c>
      <c r="K35" s="96" t="s">
        <v>203</v>
      </c>
      <c r="L35" s="96" t="s">
        <v>203</v>
      </c>
      <c r="M35" s="96" t="s">
        <v>325</v>
      </c>
      <c r="N35" s="96" t="s">
        <v>450</v>
      </c>
      <c r="O35" s="96" t="s">
        <v>338</v>
      </c>
      <c r="P35" s="100">
        <v>42572</v>
      </c>
      <c r="Q35" s="96" t="s">
        <v>1520</v>
      </c>
      <c r="R35" s="96" t="s">
        <v>414</v>
      </c>
      <c r="S35" s="96" t="s">
        <v>406</v>
      </c>
      <c r="T35" s="96" t="s">
        <v>1200</v>
      </c>
      <c r="U35" s="97">
        <v>2.75</v>
      </c>
      <c r="V35" s="100">
        <v>46928</v>
      </c>
      <c r="W35" s="98">
        <v>6.5000000000000002E-2</v>
      </c>
      <c r="X35" s="98">
        <v>4.5999999999999999E-2</v>
      </c>
      <c r="Y35" s="96" t="s">
        <v>411</v>
      </c>
      <c r="Z35" s="96"/>
      <c r="AA35" s="96" t="s">
        <v>887</v>
      </c>
      <c r="AB35" s="96" t="s">
        <v>890</v>
      </c>
      <c r="AC35" s="100">
        <v>45473</v>
      </c>
      <c r="AD35" s="100">
        <v>45473</v>
      </c>
      <c r="AE35" s="97">
        <v>186426.36382500001</v>
      </c>
      <c r="AF35" s="97">
        <v>1</v>
      </c>
      <c r="AG35" s="97">
        <v>95.28</v>
      </c>
      <c r="AH35" s="97">
        <v>177.627039</v>
      </c>
      <c r="AI35" s="96"/>
      <c r="AJ35" s="96"/>
      <c r="AK35" s="96"/>
      <c r="AL35" s="98">
        <v>4.0948999999999999E-2</v>
      </c>
      <c r="AM35" s="98">
        <v>9.2E-5</v>
      </c>
      <c r="AN35" s="106"/>
    </row>
    <row r="36" spans="1:40" ht="15" customHeight="1">
      <c r="A36" s="106"/>
      <c r="B36" s="96">
        <v>286</v>
      </c>
      <c r="C36" s="96">
        <v>286</v>
      </c>
      <c r="D36" s="96" t="s">
        <v>3461</v>
      </c>
      <c r="E36" s="96">
        <v>520021874</v>
      </c>
      <c r="F36" s="96" t="s">
        <v>308</v>
      </c>
      <c r="G36" s="96" t="s">
        <v>3462</v>
      </c>
      <c r="H36" s="96" t="s">
        <v>3463</v>
      </c>
      <c r="I36" s="96" t="s">
        <v>320</v>
      </c>
      <c r="J36" s="96" t="s">
        <v>952</v>
      </c>
      <c r="K36" s="96" t="s">
        <v>203</v>
      </c>
      <c r="L36" s="96" t="s">
        <v>203</v>
      </c>
      <c r="M36" s="96" t="s">
        <v>325</v>
      </c>
      <c r="N36" s="96" t="s">
        <v>450</v>
      </c>
      <c r="O36" s="96" t="s">
        <v>338</v>
      </c>
      <c r="P36" s="100">
        <v>43828</v>
      </c>
      <c r="Q36" s="96" t="s">
        <v>1520</v>
      </c>
      <c r="R36" s="96" t="s">
        <v>414</v>
      </c>
      <c r="S36" s="96" t="s">
        <v>406</v>
      </c>
      <c r="T36" s="96" t="s">
        <v>1200</v>
      </c>
      <c r="U36" s="97">
        <v>2.37</v>
      </c>
      <c r="V36" s="100">
        <v>46568</v>
      </c>
      <c r="W36" s="98">
        <v>6.2700000000000006E-2</v>
      </c>
      <c r="X36" s="98">
        <v>4.4699999999999997E-2</v>
      </c>
      <c r="Y36" s="96" t="s">
        <v>411</v>
      </c>
      <c r="Z36" s="96"/>
      <c r="AA36" s="96" t="s">
        <v>887</v>
      </c>
      <c r="AB36" s="96" t="s">
        <v>890</v>
      </c>
      <c r="AC36" s="100">
        <v>45473</v>
      </c>
      <c r="AD36" s="100">
        <v>45473</v>
      </c>
      <c r="AE36" s="97">
        <v>170337.33815900001</v>
      </c>
      <c r="AF36" s="97">
        <v>1</v>
      </c>
      <c r="AG36" s="97">
        <v>96.14</v>
      </c>
      <c r="AH36" s="97">
        <v>163.762316</v>
      </c>
      <c r="AI36" s="96"/>
      <c r="AJ36" s="96"/>
      <c r="AK36" s="96"/>
      <c r="AL36" s="98">
        <v>3.7752000000000001E-2</v>
      </c>
      <c r="AM36" s="98">
        <v>8.5000000000000006E-5</v>
      </c>
      <c r="AN36" s="106"/>
    </row>
    <row r="37" spans="1:40" ht="15" customHeight="1">
      <c r="A37" s="106"/>
      <c r="B37" s="96">
        <v>286</v>
      </c>
      <c r="C37" s="96">
        <v>286</v>
      </c>
      <c r="D37" s="96" t="s">
        <v>1505</v>
      </c>
      <c r="E37" s="96">
        <v>520010869</v>
      </c>
      <c r="F37" s="96" t="s">
        <v>308</v>
      </c>
      <c r="G37" s="96" t="s">
        <v>3504</v>
      </c>
      <c r="H37" s="96" t="s">
        <v>3505</v>
      </c>
      <c r="I37" s="96" t="s">
        <v>320</v>
      </c>
      <c r="J37" s="96" t="s">
        <v>753</v>
      </c>
      <c r="K37" s="96" t="s">
        <v>203</v>
      </c>
      <c r="L37" s="96" t="s">
        <v>203</v>
      </c>
      <c r="M37" s="96" t="s">
        <v>325</v>
      </c>
      <c r="N37" s="96" t="s">
        <v>476</v>
      </c>
      <c r="O37" s="96" t="s">
        <v>338</v>
      </c>
      <c r="P37" s="100">
        <v>40738</v>
      </c>
      <c r="Q37" s="96" t="s">
        <v>1199</v>
      </c>
      <c r="R37" s="96" t="s">
        <v>412</v>
      </c>
      <c r="S37" s="96" t="s">
        <v>406</v>
      </c>
      <c r="T37" s="96" t="s">
        <v>1200</v>
      </c>
      <c r="U37" s="97">
        <v>9.0299999999999994</v>
      </c>
      <c r="V37" s="100">
        <v>54253</v>
      </c>
      <c r="W37" s="98">
        <v>3.4099999999999998E-2</v>
      </c>
      <c r="X37" s="98">
        <v>4.1000000000000002E-2</v>
      </c>
      <c r="Y37" s="96" t="s">
        <v>411</v>
      </c>
      <c r="Z37" s="96"/>
      <c r="AA37" s="96" t="s">
        <v>887</v>
      </c>
      <c r="AB37" s="96" t="s">
        <v>890</v>
      </c>
      <c r="AC37" s="100">
        <v>45473</v>
      </c>
      <c r="AD37" s="100">
        <v>45473</v>
      </c>
      <c r="AE37" s="97">
        <v>995950.61639900005</v>
      </c>
      <c r="AF37" s="97">
        <v>1</v>
      </c>
      <c r="AG37" s="97">
        <v>129.74</v>
      </c>
      <c r="AH37" s="97">
        <v>1292.1463289999999</v>
      </c>
      <c r="AI37" s="96"/>
      <c r="AJ37" s="96"/>
      <c r="AK37" s="96"/>
      <c r="AL37" s="98">
        <v>0.29788399999999998</v>
      </c>
      <c r="AM37" s="98">
        <v>6.7199999999999996E-4</v>
      </c>
      <c r="AN37" s="106"/>
    </row>
    <row r="38" spans="1:40" ht="15" customHeight="1">
      <c r="A38" s="106"/>
      <c r="B38" s="96">
        <v>286</v>
      </c>
      <c r="C38" s="96">
        <v>286</v>
      </c>
      <c r="D38" s="96" t="s">
        <v>2515</v>
      </c>
      <c r="E38" s="96">
        <v>2250</v>
      </c>
      <c r="F38" s="96" t="s">
        <v>80</v>
      </c>
      <c r="G38" s="96" t="s">
        <v>3478</v>
      </c>
      <c r="H38" s="96" t="s">
        <v>3479</v>
      </c>
      <c r="I38" s="96" t="s">
        <v>320</v>
      </c>
      <c r="J38" s="96" t="s">
        <v>952</v>
      </c>
      <c r="K38" s="96" t="s">
        <v>203</v>
      </c>
      <c r="L38" s="96" t="s">
        <v>223</v>
      </c>
      <c r="M38" s="96" t="s">
        <v>325</v>
      </c>
      <c r="N38" s="96" t="s">
        <v>470</v>
      </c>
      <c r="O38" s="96" t="s">
        <v>338</v>
      </c>
      <c r="P38" s="100">
        <v>44014</v>
      </c>
      <c r="Q38" s="96" t="s">
        <v>1332</v>
      </c>
      <c r="R38" s="96" t="s">
        <v>412</v>
      </c>
      <c r="S38" s="96" t="s">
        <v>406</v>
      </c>
      <c r="T38" s="96" t="s">
        <v>1200</v>
      </c>
      <c r="U38" s="97">
        <v>3.56</v>
      </c>
      <c r="V38" s="100">
        <v>48014</v>
      </c>
      <c r="W38" s="98">
        <v>6.4799999999999996E-2</v>
      </c>
      <c r="X38" s="98">
        <v>3.3500000000000002E-2</v>
      </c>
      <c r="Y38" s="96" t="s">
        <v>411</v>
      </c>
      <c r="Z38" s="96"/>
      <c r="AA38" s="96" t="s">
        <v>887</v>
      </c>
      <c r="AB38" s="96" t="s">
        <v>890</v>
      </c>
      <c r="AC38" s="100">
        <v>45473</v>
      </c>
      <c r="AD38" s="100">
        <v>45473</v>
      </c>
      <c r="AE38" s="97">
        <v>6258.2784789999996</v>
      </c>
      <c r="AF38" s="97">
        <v>1</v>
      </c>
      <c r="AG38" s="97">
        <v>89.96</v>
      </c>
      <c r="AH38" s="97">
        <v>5.6299469999999996</v>
      </c>
      <c r="AI38" s="96"/>
      <c r="AJ38" s="96"/>
      <c r="AK38" s="96"/>
      <c r="AL38" s="98">
        <v>1.297E-3</v>
      </c>
      <c r="AM38" s="98">
        <v>1.9999999999999999E-6</v>
      </c>
      <c r="AN38" s="106"/>
    </row>
    <row r="39" spans="1:40" ht="15" customHeight="1">
      <c r="A39" s="106"/>
      <c r="B39" s="96">
        <v>286</v>
      </c>
      <c r="C39" s="96">
        <v>286</v>
      </c>
      <c r="D39" s="96" t="s">
        <v>3513</v>
      </c>
      <c r="E39" s="96">
        <v>520041690</v>
      </c>
      <c r="F39" s="96" t="s">
        <v>308</v>
      </c>
      <c r="G39" s="96" t="s">
        <v>3514</v>
      </c>
      <c r="H39" s="96" t="s">
        <v>3515</v>
      </c>
      <c r="I39" s="96" t="s">
        <v>320</v>
      </c>
      <c r="J39" s="96" t="s">
        <v>753</v>
      </c>
      <c r="K39" s="96" t="s">
        <v>203</v>
      </c>
      <c r="L39" s="96" t="s">
        <v>203</v>
      </c>
      <c r="M39" s="96" t="s">
        <v>325</v>
      </c>
      <c r="N39" s="96" t="s">
        <v>450</v>
      </c>
      <c r="O39" s="96" t="s">
        <v>338</v>
      </c>
      <c r="P39" s="100">
        <v>41448</v>
      </c>
      <c r="Q39" s="96" t="s">
        <v>409</v>
      </c>
      <c r="R39" s="96" t="s">
        <v>409</v>
      </c>
      <c r="S39" s="96" t="s">
        <v>409</v>
      </c>
      <c r="T39" s="96" t="s">
        <v>1200</v>
      </c>
      <c r="U39" s="97" t="s">
        <v>3768</v>
      </c>
      <c r="V39" s="100">
        <v>46752</v>
      </c>
      <c r="W39" s="98">
        <v>9.99</v>
      </c>
      <c r="X39" s="98">
        <v>5.3499999999999999E-2</v>
      </c>
      <c r="Y39" s="96" t="s">
        <v>411</v>
      </c>
      <c r="Z39" s="96"/>
      <c r="AA39" s="96" t="s">
        <v>887</v>
      </c>
      <c r="AB39" s="96" t="s">
        <v>890</v>
      </c>
      <c r="AC39" s="100">
        <v>45439</v>
      </c>
      <c r="AD39" s="100">
        <v>45473</v>
      </c>
      <c r="AE39" s="97">
        <v>1044708.3</v>
      </c>
      <c r="AF39" s="97">
        <v>1</v>
      </c>
      <c r="AG39" s="97">
        <v>10.64</v>
      </c>
      <c r="AH39" s="97">
        <v>111.15696</v>
      </c>
      <c r="AI39" s="96"/>
      <c r="AJ39" s="96"/>
      <c r="AK39" s="96"/>
      <c r="AL39" s="98">
        <v>2.5624999999999998E-2</v>
      </c>
      <c r="AM39" s="98">
        <v>5.7000000000000003E-5</v>
      </c>
      <c r="AN39" s="106"/>
    </row>
    <row r="40" spans="1:40" ht="15" customHeight="1">
      <c r="A40" s="106"/>
      <c r="B40" s="96">
        <v>286</v>
      </c>
      <c r="C40" s="96">
        <v>286</v>
      </c>
      <c r="D40" s="96" t="s">
        <v>1505</v>
      </c>
      <c r="E40" s="96">
        <v>520010869</v>
      </c>
      <c r="F40" s="96" t="s">
        <v>308</v>
      </c>
      <c r="G40" s="96" t="s">
        <v>3500</v>
      </c>
      <c r="H40" s="96" t="s">
        <v>3501</v>
      </c>
      <c r="I40" s="96" t="s">
        <v>320</v>
      </c>
      <c r="J40" s="96" t="s">
        <v>753</v>
      </c>
      <c r="K40" s="96" t="s">
        <v>203</v>
      </c>
      <c r="L40" s="96" t="s">
        <v>203</v>
      </c>
      <c r="M40" s="96" t="s">
        <v>325</v>
      </c>
      <c r="N40" s="96" t="s">
        <v>476</v>
      </c>
      <c r="O40" s="96" t="s">
        <v>338</v>
      </c>
      <c r="P40" s="100">
        <v>40328</v>
      </c>
      <c r="Q40" s="96" t="s">
        <v>1199</v>
      </c>
      <c r="R40" s="96" t="s">
        <v>412</v>
      </c>
      <c r="S40" s="96" t="s">
        <v>406</v>
      </c>
      <c r="T40" s="96" t="s">
        <v>1200</v>
      </c>
      <c r="U40" s="97">
        <v>5.56</v>
      </c>
      <c r="V40" s="100">
        <v>50034</v>
      </c>
      <c r="W40" s="98">
        <v>3.1699999999999999E-2</v>
      </c>
      <c r="X40" s="98">
        <v>4.9000000000000002E-2</v>
      </c>
      <c r="Y40" s="96" t="s">
        <v>411</v>
      </c>
      <c r="Z40" s="96"/>
      <c r="AA40" s="96" t="s">
        <v>887</v>
      </c>
      <c r="AB40" s="96" t="s">
        <v>890</v>
      </c>
      <c r="AC40" s="100">
        <v>45473</v>
      </c>
      <c r="AD40" s="100">
        <v>45473</v>
      </c>
      <c r="AE40" s="97">
        <v>506538.06265099999</v>
      </c>
      <c r="AF40" s="97">
        <v>1</v>
      </c>
      <c r="AG40" s="97">
        <v>153.87</v>
      </c>
      <c r="AH40" s="97">
        <v>779.41011600000002</v>
      </c>
      <c r="AI40" s="96"/>
      <c r="AJ40" s="96"/>
      <c r="AK40" s="96"/>
      <c r="AL40" s="98">
        <v>0.17968100000000001</v>
      </c>
      <c r="AM40" s="98">
        <v>4.0499999999999998E-4</v>
      </c>
      <c r="AN40" s="106"/>
    </row>
    <row r="41" spans="1:40" ht="15" customHeight="1">
      <c r="A41" s="106"/>
      <c r="B41" s="96">
        <v>286</v>
      </c>
      <c r="C41" s="96">
        <v>286</v>
      </c>
      <c r="D41" s="96" t="s">
        <v>3492</v>
      </c>
      <c r="E41" s="96">
        <v>513102384</v>
      </c>
      <c r="F41" s="96" t="s">
        <v>308</v>
      </c>
      <c r="G41" s="96" t="s">
        <v>3502</v>
      </c>
      <c r="H41" s="96" t="s">
        <v>3503</v>
      </c>
      <c r="I41" s="96" t="s">
        <v>320</v>
      </c>
      <c r="J41" s="96" t="s">
        <v>753</v>
      </c>
      <c r="K41" s="96" t="s">
        <v>203</v>
      </c>
      <c r="L41" s="96" t="s">
        <v>203</v>
      </c>
      <c r="M41" s="96" t="s">
        <v>325</v>
      </c>
      <c r="N41" s="96" t="s">
        <v>477</v>
      </c>
      <c r="O41" s="96" t="s">
        <v>338</v>
      </c>
      <c r="P41" s="100">
        <v>38830</v>
      </c>
      <c r="Q41" s="96" t="s">
        <v>1313</v>
      </c>
      <c r="R41" s="96" t="s">
        <v>412</v>
      </c>
      <c r="S41" s="96" t="s">
        <v>406</v>
      </c>
      <c r="T41" s="96" t="s">
        <v>1200</v>
      </c>
      <c r="U41" s="97">
        <v>0.67</v>
      </c>
      <c r="V41" s="100">
        <v>45952</v>
      </c>
      <c r="W41" s="98">
        <v>2.2800000000000001E-2</v>
      </c>
      <c r="X41" s="98">
        <v>7.7499999999999999E-2</v>
      </c>
      <c r="Y41" s="96" t="s">
        <v>411</v>
      </c>
      <c r="Z41" s="96"/>
      <c r="AA41" s="96" t="s">
        <v>887</v>
      </c>
      <c r="AB41" s="96" t="s">
        <v>890</v>
      </c>
      <c r="AC41" s="100">
        <v>45473</v>
      </c>
      <c r="AD41" s="100">
        <v>45473</v>
      </c>
      <c r="AE41" s="97">
        <v>19165.001656</v>
      </c>
      <c r="AF41" s="97">
        <v>1</v>
      </c>
      <c r="AG41" s="97">
        <v>147.52000000000001</v>
      </c>
      <c r="AH41" s="97">
        <v>28.272210000000001</v>
      </c>
      <c r="AI41" s="96"/>
      <c r="AJ41" s="96"/>
      <c r="AK41" s="96"/>
      <c r="AL41" s="98">
        <v>6.5170000000000002E-3</v>
      </c>
      <c r="AM41" s="98">
        <v>1.4E-5</v>
      </c>
      <c r="AN41" s="106"/>
    </row>
    <row r="42" spans="1:40" ht="15" customHeight="1">
      <c r="A42" s="106"/>
      <c r="B42" s="96">
        <v>286</v>
      </c>
      <c r="C42" s="96">
        <v>286</v>
      </c>
      <c r="D42" s="96" t="s">
        <v>3495</v>
      </c>
      <c r="E42" s="96">
        <v>510984230</v>
      </c>
      <c r="F42" s="96" t="s">
        <v>308</v>
      </c>
      <c r="G42" s="96" t="s">
        <v>3496</v>
      </c>
      <c r="H42" s="96" t="s">
        <v>3497</v>
      </c>
      <c r="I42" s="96" t="s">
        <v>320</v>
      </c>
      <c r="J42" s="96" t="s">
        <v>754</v>
      </c>
      <c r="K42" s="96" t="s">
        <v>203</v>
      </c>
      <c r="L42" s="96" t="s">
        <v>203</v>
      </c>
      <c r="M42" s="96" t="s">
        <v>325</v>
      </c>
      <c r="N42" s="96" t="s">
        <v>463</v>
      </c>
      <c r="O42" s="96" t="s">
        <v>338</v>
      </c>
      <c r="P42" s="100">
        <v>38107</v>
      </c>
      <c r="Q42" s="96" t="s">
        <v>1301</v>
      </c>
      <c r="R42" s="96" t="s">
        <v>414</v>
      </c>
      <c r="S42" s="96" t="s">
        <v>406</v>
      </c>
      <c r="T42" s="96" t="s">
        <v>1201</v>
      </c>
      <c r="U42" s="97">
        <v>1.45</v>
      </c>
      <c r="V42" s="100">
        <v>46568</v>
      </c>
      <c r="W42" s="98">
        <v>6.4600000000000005E-2</v>
      </c>
      <c r="X42" s="98">
        <v>7.9699999999999993E-2</v>
      </c>
      <c r="Y42" s="96" t="s">
        <v>411</v>
      </c>
      <c r="Z42" s="96"/>
      <c r="AA42" s="96" t="s">
        <v>887</v>
      </c>
      <c r="AB42" s="96" t="s">
        <v>890</v>
      </c>
      <c r="AC42" s="100">
        <v>45473</v>
      </c>
      <c r="AD42" s="100">
        <v>45473</v>
      </c>
      <c r="AE42" s="97">
        <v>13500.974375</v>
      </c>
      <c r="AF42" s="97">
        <v>3.7589999999999999</v>
      </c>
      <c r="AG42" s="97">
        <v>106.26</v>
      </c>
      <c r="AH42" s="97">
        <v>53.927121999999997</v>
      </c>
      <c r="AI42" s="96"/>
      <c r="AJ42" s="96"/>
      <c r="AK42" s="96"/>
      <c r="AL42" s="98">
        <v>1.2432E-2</v>
      </c>
      <c r="AM42" s="98">
        <v>2.8E-5</v>
      </c>
      <c r="AN42" s="106"/>
    </row>
    <row r="43" spans="1:40" ht="15" customHeight="1">
      <c r="A43" s="106"/>
      <c r="B43" s="96">
        <v>286</v>
      </c>
      <c r="C43" s="96">
        <v>286</v>
      </c>
      <c r="D43" s="96" t="s">
        <v>3492</v>
      </c>
      <c r="E43" s="96">
        <v>513102384</v>
      </c>
      <c r="F43" s="96" t="s">
        <v>308</v>
      </c>
      <c r="G43" s="96" t="s">
        <v>3493</v>
      </c>
      <c r="H43" s="96" t="s">
        <v>3494</v>
      </c>
      <c r="I43" s="96" t="s">
        <v>320</v>
      </c>
      <c r="J43" s="96" t="s">
        <v>753</v>
      </c>
      <c r="K43" s="96" t="s">
        <v>203</v>
      </c>
      <c r="L43" s="96" t="s">
        <v>203</v>
      </c>
      <c r="M43" s="96" t="s">
        <v>325</v>
      </c>
      <c r="N43" s="96" t="s">
        <v>476</v>
      </c>
      <c r="O43" s="96" t="s">
        <v>338</v>
      </c>
      <c r="P43" s="100">
        <v>37763</v>
      </c>
      <c r="Q43" s="96" t="s">
        <v>1313</v>
      </c>
      <c r="R43" s="96" t="s">
        <v>412</v>
      </c>
      <c r="S43" s="96" t="s">
        <v>406</v>
      </c>
      <c r="T43" s="96" t="s">
        <v>1200</v>
      </c>
      <c r="U43" s="97">
        <v>0.67</v>
      </c>
      <c r="V43" s="100">
        <v>45952</v>
      </c>
      <c r="W43" s="98">
        <v>2.2700000000000001E-2</v>
      </c>
      <c r="X43" s="98">
        <v>7.7499999999999999E-2</v>
      </c>
      <c r="Y43" s="96" t="s">
        <v>411</v>
      </c>
      <c r="Z43" s="96"/>
      <c r="AA43" s="96" t="s">
        <v>887</v>
      </c>
      <c r="AB43" s="96" t="s">
        <v>890</v>
      </c>
      <c r="AC43" s="100">
        <v>45473</v>
      </c>
      <c r="AD43" s="100">
        <v>45473</v>
      </c>
      <c r="AE43" s="97">
        <v>1038.40868</v>
      </c>
      <c r="AF43" s="97">
        <v>1</v>
      </c>
      <c r="AG43" s="97">
        <v>146.54</v>
      </c>
      <c r="AH43" s="97">
        <v>1.521684</v>
      </c>
      <c r="AI43" s="96"/>
      <c r="AJ43" s="96"/>
      <c r="AK43" s="96"/>
      <c r="AL43" s="98">
        <v>3.5E-4</v>
      </c>
      <c r="AM43" s="98">
        <v>0</v>
      </c>
      <c r="AN43" s="106"/>
    </row>
    <row r="44" spans="1:40" ht="15" customHeight="1">
      <c r="A44" s="106"/>
      <c r="B44" s="96">
        <v>286</v>
      </c>
      <c r="C44" s="96">
        <v>286</v>
      </c>
      <c r="D44" s="96" t="s">
        <v>3486</v>
      </c>
      <c r="E44" s="96">
        <v>520040775</v>
      </c>
      <c r="F44" s="96" t="s">
        <v>308</v>
      </c>
      <c r="G44" s="96" t="s">
        <v>3487</v>
      </c>
      <c r="H44" s="96" t="s">
        <v>3488</v>
      </c>
      <c r="I44" s="96" t="s">
        <v>320</v>
      </c>
      <c r="J44" s="96" t="s">
        <v>952</v>
      </c>
      <c r="K44" s="96" t="s">
        <v>203</v>
      </c>
      <c r="L44" s="96" t="s">
        <v>203</v>
      </c>
      <c r="M44" s="96" t="s">
        <v>325</v>
      </c>
      <c r="N44" s="96" t="s">
        <v>461</v>
      </c>
      <c r="O44" s="96" t="s">
        <v>338</v>
      </c>
      <c r="P44" s="100">
        <v>43844</v>
      </c>
      <c r="Q44" s="96" t="s">
        <v>1309</v>
      </c>
      <c r="R44" s="96" t="s">
        <v>414</v>
      </c>
      <c r="S44" s="96" t="s">
        <v>406</v>
      </c>
      <c r="T44" s="96" t="s">
        <v>1200</v>
      </c>
      <c r="U44" s="97">
        <v>1.66</v>
      </c>
      <c r="V44" s="100">
        <v>46203</v>
      </c>
      <c r="W44" s="98">
        <v>6.2600000000000003E-2</v>
      </c>
      <c r="X44" s="98">
        <v>4.2999999999999997E-2</v>
      </c>
      <c r="Y44" s="96" t="s">
        <v>411</v>
      </c>
      <c r="Z44" s="96"/>
      <c r="AA44" s="96" t="s">
        <v>887</v>
      </c>
      <c r="AB44" s="96" t="s">
        <v>890</v>
      </c>
      <c r="AC44" s="100">
        <v>45473</v>
      </c>
      <c r="AD44" s="100">
        <v>45473</v>
      </c>
      <c r="AE44" s="97">
        <v>80814.277159999998</v>
      </c>
      <c r="AF44" s="97">
        <v>1</v>
      </c>
      <c r="AG44" s="97">
        <v>97.01</v>
      </c>
      <c r="AH44" s="97">
        <v>78.397930000000002</v>
      </c>
      <c r="AI44" s="96"/>
      <c r="AJ44" s="96"/>
      <c r="AK44" s="96"/>
      <c r="AL44" s="98">
        <v>1.8072999999999999E-2</v>
      </c>
      <c r="AM44" s="98">
        <v>4.0000000000000003E-5</v>
      </c>
      <c r="AN44" s="106"/>
    </row>
    <row r="45" spans="1:40" ht="15" customHeight="1">
      <c r="A45" s="106"/>
      <c r="B45" s="96">
        <v>286</v>
      </c>
      <c r="C45" s="96">
        <v>286</v>
      </c>
      <c r="D45" s="96" t="s">
        <v>2051</v>
      </c>
      <c r="E45" s="96">
        <v>513436394</v>
      </c>
      <c r="F45" s="96" t="s">
        <v>308</v>
      </c>
      <c r="G45" s="96" t="s">
        <v>3511</v>
      </c>
      <c r="H45" s="96" t="s">
        <v>3512</v>
      </c>
      <c r="I45" s="96" t="s">
        <v>320</v>
      </c>
      <c r="J45" s="96" t="s">
        <v>753</v>
      </c>
      <c r="K45" s="96" t="s">
        <v>203</v>
      </c>
      <c r="L45" s="96" t="s">
        <v>203</v>
      </c>
      <c r="M45" s="96" t="s">
        <v>325</v>
      </c>
      <c r="N45" s="96" t="s">
        <v>476</v>
      </c>
      <c r="O45" s="96" t="s">
        <v>338</v>
      </c>
      <c r="P45" s="100">
        <v>39084</v>
      </c>
      <c r="Q45" s="96" t="s">
        <v>1301</v>
      </c>
      <c r="R45" s="96" t="s">
        <v>414</v>
      </c>
      <c r="S45" s="96" t="s">
        <v>406</v>
      </c>
      <c r="T45" s="96" t="s">
        <v>1200</v>
      </c>
      <c r="U45" s="97">
        <v>1.38</v>
      </c>
      <c r="V45" s="100">
        <v>46385</v>
      </c>
      <c r="W45" s="98">
        <v>2.52E-2</v>
      </c>
      <c r="X45" s="98">
        <v>5.6000000000000001E-2</v>
      </c>
      <c r="Y45" s="96" t="s">
        <v>411</v>
      </c>
      <c r="Z45" s="96"/>
      <c r="AA45" s="96" t="s">
        <v>887</v>
      </c>
      <c r="AB45" s="96" t="s">
        <v>890</v>
      </c>
      <c r="AC45" s="100">
        <v>45473</v>
      </c>
      <c r="AD45" s="100">
        <v>45473</v>
      </c>
      <c r="AE45" s="97">
        <v>15681.026927000001</v>
      </c>
      <c r="AF45" s="97">
        <v>1</v>
      </c>
      <c r="AG45" s="97">
        <v>143</v>
      </c>
      <c r="AH45" s="97">
        <v>22.423867999999999</v>
      </c>
      <c r="AI45" s="96"/>
      <c r="AJ45" s="96"/>
      <c r="AK45" s="96"/>
      <c r="AL45" s="98">
        <v>5.169E-3</v>
      </c>
      <c r="AM45" s="98">
        <v>1.1E-5</v>
      </c>
      <c r="AN45" s="106"/>
    </row>
    <row r="46" spans="1:40" ht="15" customHeight="1">
      <c r="A46" s="106"/>
      <c r="B46" s="96">
        <v>286</v>
      </c>
      <c r="C46" s="96">
        <v>9803</v>
      </c>
      <c r="D46" s="96" t="s">
        <v>1505</v>
      </c>
      <c r="E46" s="96">
        <v>520010869</v>
      </c>
      <c r="F46" s="96" t="s">
        <v>308</v>
      </c>
      <c r="G46" s="96" t="s">
        <v>3504</v>
      </c>
      <c r="H46" s="96" t="s">
        <v>3505</v>
      </c>
      <c r="I46" s="96" t="s">
        <v>320</v>
      </c>
      <c r="J46" s="96" t="s">
        <v>753</v>
      </c>
      <c r="K46" s="96" t="s">
        <v>203</v>
      </c>
      <c r="L46" s="96" t="s">
        <v>203</v>
      </c>
      <c r="M46" s="96" t="s">
        <v>325</v>
      </c>
      <c r="N46" s="96" t="s">
        <v>476</v>
      </c>
      <c r="O46" s="96" t="s">
        <v>338</v>
      </c>
      <c r="P46" s="100">
        <v>40738</v>
      </c>
      <c r="Q46" s="96" t="s">
        <v>1199</v>
      </c>
      <c r="R46" s="96" t="s">
        <v>412</v>
      </c>
      <c r="S46" s="96" t="s">
        <v>406</v>
      </c>
      <c r="T46" s="96" t="s">
        <v>1200</v>
      </c>
      <c r="U46" s="97">
        <v>9.0299999999999994</v>
      </c>
      <c r="V46" s="100">
        <v>54253</v>
      </c>
      <c r="W46" s="98">
        <v>3.4099999999999998E-2</v>
      </c>
      <c r="X46" s="98">
        <v>4.1000000000000002E-2</v>
      </c>
      <c r="Y46" s="96" t="s">
        <v>411</v>
      </c>
      <c r="Z46" s="96"/>
      <c r="AA46" s="96" t="s">
        <v>887</v>
      </c>
      <c r="AB46" s="96" t="s">
        <v>890</v>
      </c>
      <c r="AC46" s="100">
        <v>45473</v>
      </c>
      <c r="AD46" s="100">
        <v>45473</v>
      </c>
      <c r="AE46" s="97">
        <v>20265.16</v>
      </c>
      <c r="AF46" s="97">
        <v>1</v>
      </c>
      <c r="AG46" s="97">
        <v>129.74</v>
      </c>
      <c r="AH46" s="97">
        <v>26.292020000000001</v>
      </c>
      <c r="AI46" s="96"/>
      <c r="AJ46" s="96"/>
      <c r="AK46" s="96"/>
      <c r="AL46" s="98">
        <v>0.92990200000000001</v>
      </c>
      <c r="AM46" s="98">
        <v>1.5759999999999999E-3</v>
      </c>
      <c r="AN46" s="106"/>
    </row>
    <row r="47" spans="1:40" ht="15" customHeight="1">
      <c r="A47" s="106"/>
      <c r="B47" s="96">
        <v>286</v>
      </c>
      <c r="C47" s="96">
        <v>9803</v>
      </c>
      <c r="D47" s="96" t="s">
        <v>2051</v>
      </c>
      <c r="E47" s="96">
        <v>513436394</v>
      </c>
      <c r="F47" s="96" t="s">
        <v>308</v>
      </c>
      <c r="G47" s="96" t="s">
        <v>3506</v>
      </c>
      <c r="H47" s="96" t="s">
        <v>3507</v>
      </c>
      <c r="I47" s="96" t="s">
        <v>320</v>
      </c>
      <c r="J47" s="96" t="s">
        <v>753</v>
      </c>
      <c r="K47" s="96" t="s">
        <v>203</v>
      </c>
      <c r="L47" s="96" t="s">
        <v>203</v>
      </c>
      <c r="M47" s="96" t="s">
        <v>325</v>
      </c>
      <c r="N47" s="96" t="s">
        <v>476</v>
      </c>
      <c r="O47" s="96" t="s">
        <v>338</v>
      </c>
      <c r="P47" s="100">
        <v>40909</v>
      </c>
      <c r="Q47" s="96" t="s">
        <v>1301</v>
      </c>
      <c r="R47" s="96" t="s">
        <v>414</v>
      </c>
      <c r="S47" s="96" t="s">
        <v>406</v>
      </c>
      <c r="T47" s="96" t="s">
        <v>1200</v>
      </c>
      <c r="U47" s="97">
        <v>3.99</v>
      </c>
      <c r="V47" s="100">
        <v>48213</v>
      </c>
      <c r="W47" s="98">
        <v>2.8500000000000001E-2</v>
      </c>
      <c r="X47" s="98">
        <v>4.8000000000000001E-2</v>
      </c>
      <c r="Y47" s="96" t="s">
        <v>411</v>
      </c>
      <c r="Z47" s="96"/>
      <c r="AA47" s="96" t="s">
        <v>887</v>
      </c>
      <c r="AB47" s="96" t="s">
        <v>890</v>
      </c>
      <c r="AC47" s="100">
        <v>45473</v>
      </c>
      <c r="AD47" s="100">
        <v>45473</v>
      </c>
      <c r="AE47" s="97">
        <v>1566</v>
      </c>
      <c r="AF47" s="97">
        <v>1</v>
      </c>
      <c r="AG47" s="97">
        <v>126.56</v>
      </c>
      <c r="AH47" s="97">
        <v>1.98193</v>
      </c>
      <c r="AI47" s="96"/>
      <c r="AJ47" s="96"/>
      <c r="AK47" s="96"/>
      <c r="AL47" s="98">
        <v>7.0097000000000007E-2</v>
      </c>
      <c r="AM47" s="98">
        <v>1.18E-4</v>
      </c>
      <c r="AN47" s="106"/>
    </row>
    <row r="48" spans="1:40" ht="15" customHeight="1">
      <c r="A48" s="106"/>
      <c r="B48" s="96">
        <v>286</v>
      </c>
      <c r="C48" s="96">
        <v>14418</v>
      </c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106"/>
    </row>
    <row r="49" spans="1:40" ht="15" customHeight="1">
      <c r="A49" s="106"/>
      <c r="B49" s="96">
        <v>286</v>
      </c>
      <c r="C49" s="96">
        <v>1446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106"/>
    </row>
    <row r="50" spans="1:40" ht="15" customHeight="1">
      <c r="A50" s="106"/>
      <c r="B50" s="105" t="s">
        <v>3767</v>
      </c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6"/>
    </row>
  </sheetData>
  <mergeCells count="4">
    <mergeCell ref="B50:AM50"/>
    <mergeCell ref="A1:A50"/>
    <mergeCell ref="B1:AM1"/>
    <mergeCell ref="AN1:AN50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AB14"/>
  <sheetViews>
    <sheetView rightToLeft="1" workbookViewId="0">
      <selection sqref="A1:A14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1.375" bestFit="1" customWidth="1"/>
    <col min="5" max="5" width="9.875" bestFit="1" customWidth="1"/>
    <col min="6" max="6" width="11.125" bestFit="1" customWidth="1"/>
    <col min="7" max="7" width="23.875" bestFit="1" customWidth="1"/>
    <col min="8" max="8" width="12.25" bestFit="1" customWidth="1"/>
    <col min="9" max="9" width="11" bestFit="1" customWidth="1"/>
    <col min="10" max="10" width="12.75" bestFit="1" customWidth="1"/>
    <col min="11" max="11" width="8.75" bestFit="1" customWidth="1"/>
    <col min="12" max="12" width="10.75" bestFit="1" customWidth="1"/>
    <col min="13" max="13" width="6.875" bestFit="1" customWidth="1"/>
    <col min="14" max="14" width="15.8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3.25" bestFit="1" customWidth="1"/>
    <col min="19" max="19" width="10.875" bestFit="1" customWidth="1"/>
    <col min="20" max="20" width="10.625" bestFit="1" customWidth="1"/>
    <col min="21" max="21" width="10.125" bestFit="1" customWidth="1"/>
    <col min="22" max="22" width="13.5" bestFit="1" customWidth="1"/>
    <col min="23" max="23" width="8.625" bestFit="1" customWidth="1"/>
    <col min="24" max="24" width="11.875" bestFit="1" customWidth="1"/>
    <col min="25" max="25" width="9.875" bestFit="1" customWidth="1"/>
    <col min="26" max="26" width="11" bestFit="1" customWidth="1"/>
    <col min="27" max="27" width="10.375" bestFit="1" customWidth="1"/>
    <col min="28" max="28" width="3.125" customWidth="1"/>
  </cols>
  <sheetData>
    <row r="1" spans="1:28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6" t="s">
        <v>3766</v>
      </c>
    </row>
    <row r="2" spans="1:28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83</v>
      </c>
      <c r="O2" s="21" t="s">
        <v>56</v>
      </c>
      <c r="P2" s="21" t="s">
        <v>97</v>
      </c>
      <c r="Q2" s="21" t="s">
        <v>59</v>
      </c>
      <c r="R2" s="21" t="s">
        <v>103</v>
      </c>
      <c r="S2" s="21" t="s">
        <v>104</v>
      </c>
      <c r="T2" s="21" t="s">
        <v>106</v>
      </c>
      <c r="U2" s="21" t="s">
        <v>107</v>
      </c>
      <c r="V2" s="21" t="s">
        <v>76</v>
      </c>
      <c r="W2" s="21" t="s">
        <v>61</v>
      </c>
      <c r="X2" s="21" t="s">
        <v>77</v>
      </c>
      <c r="Y2" s="21" t="s">
        <v>63</v>
      </c>
      <c r="Z2" s="21" t="s">
        <v>64</v>
      </c>
      <c r="AA2" s="21" t="s">
        <v>65</v>
      </c>
      <c r="AB2" s="106"/>
    </row>
    <row r="3" spans="1:28" ht="15" customHeight="1">
      <c r="A3" s="106"/>
      <c r="B3" s="96">
        <v>286</v>
      </c>
      <c r="C3" s="96">
        <v>1446</v>
      </c>
      <c r="D3" s="96" t="s">
        <v>3516</v>
      </c>
      <c r="E3" s="96">
        <v>520026618</v>
      </c>
      <c r="F3" s="96" t="s">
        <v>308</v>
      </c>
      <c r="G3" s="96" t="s">
        <v>3517</v>
      </c>
      <c r="H3" s="96" t="s">
        <v>3518</v>
      </c>
      <c r="I3" s="96" t="s">
        <v>320</v>
      </c>
      <c r="J3" s="96" t="s">
        <v>764</v>
      </c>
      <c r="K3" s="96" t="s">
        <v>203</v>
      </c>
      <c r="L3" s="96" t="s">
        <v>203</v>
      </c>
      <c r="M3" s="96" t="s">
        <v>325</v>
      </c>
      <c r="N3" s="96" t="s">
        <v>462</v>
      </c>
      <c r="O3" s="96" t="s">
        <v>337</v>
      </c>
      <c r="P3" s="100">
        <v>37508</v>
      </c>
      <c r="Q3" s="96" t="s">
        <v>1200</v>
      </c>
      <c r="R3" s="96" t="s">
        <v>888</v>
      </c>
      <c r="S3" s="96" t="s">
        <v>890</v>
      </c>
      <c r="T3" s="100">
        <v>45256</v>
      </c>
      <c r="U3" s="100">
        <v>45473</v>
      </c>
      <c r="V3" s="97">
        <v>70.581551000000005</v>
      </c>
      <c r="W3" s="97">
        <v>1</v>
      </c>
      <c r="X3" s="97">
        <v>0</v>
      </c>
      <c r="Y3" s="97">
        <v>1.9999999999999999E-6</v>
      </c>
      <c r="Z3" s="98">
        <v>1</v>
      </c>
      <c r="AA3" s="98">
        <v>0</v>
      </c>
      <c r="AB3" s="106"/>
    </row>
    <row r="4" spans="1:28" ht="15" customHeight="1">
      <c r="A4" s="106"/>
      <c r="B4" s="96">
        <v>286</v>
      </c>
      <c r="C4" s="96">
        <v>286</v>
      </c>
      <c r="D4" s="96" t="s">
        <v>3516</v>
      </c>
      <c r="E4" s="96">
        <v>520026618</v>
      </c>
      <c r="F4" s="96" t="s">
        <v>308</v>
      </c>
      <c r="G4" s="96" t="s">
        <v>3517</v>
      </c>
      <c r="H4" s="96" t="s">
        <v>3518</v>
      </c>
      <c r="I4" s="96" t="s">
        <v>320</v>
      </c>
      <c r="J4" s="96" t="s">
        <v>764</v>
      </c>
      <c r="K4" s="96" t="s">
        <v>203</v>
      </c>
      <c r="L4" s="96" t="s">
        <v>203</v>
      </c>
      <c r="M4" s="96" t="s">
        <v>325</v>
      </c>
      <c r="N4" s="96" t="s">
        <v>462</v>
      </c>
      <c r="O4" s="96" t="s">
        <v>337</v>
      </c>
      <c r="P4" s="100">
        <v>37508</v>
      </c>
      <c r="Q4" s="96" t="s">
        <v>1200</v>
      </c>
      <c r="R4" s="96" t="s">
        <v>888</v>
      </c>
      <c r="S4" s="96" t="s">
        <v>890</v>
      </c>
      <c r="T4" s="100">
        <v>45256</v>
      </c>
      <c r="U4" s="100">
        <v>45473</v>
      </c>
      <c r="V4" s="97">
        <v>867.11982799999998</v>
      </c>
      <c r="W4" s="97">
        <v>1</v>
      </c>
      <c r="X4" s="97">
        <v>0</v>
      </c>
      <c r="Y4" s="97">
        <v>1.9999999999999999E-6</v>
      </c>
      <c r="Z4" s="98">
        <v>0</v>
      </c>
      <c r="AA4" s="98">
        <v>0</v>
      </c>
      <c r="AB4" s="106"/>
    </row>
    <row r="5" spans="1:28" ht="15" customHeight="1">
      <c r="A5" s="106"/>
      <c r="B5" s="96">
        <v>286</v>
      </c>
      <c r="C5" s="96">
        <v>286</v>
      </c>
      <c r="D5" s="96" t="s">
        <v>3519</v>
      </c>
      <c r="E5" s="96">
        <v>550277925</v>
      </c>
      <c r="F5" s="96" t="s">
        <v>309</v>
      </c>
      <c r="G5" s="96" t="s">
        <v>3520</v>
      </c>
      <c r="H5" s="96">
        <v>25000344</v>
      </c>
      <c r="I5" s="96" t="s">
        <v>311</v>
      </c>
      <c r="J5" s="96" t="s">
        <v>764</v>
      </c>
      <c r="K5" s="96" t="s">
        <v>203</v>
      </c>
      <c r="L5" s="96" t="s">
        <v>203</v>
      </c>
      <c r="M5" s="96" t="s">
        <v>325</v>
      </c>
      <c r="N5" s="96" t="s">
        <v>476</v>
      </c>
      <c r="O5" s="96" t="s">
        <v>337</v>
      </c>
      <c r="P5" s="100">
        <v>43255</v>
      </c>
      <c r="Q5" s="96" t="s">
        <v>1200</v>
      </c>
      <c r="R5" s="96" t="s">
        <v>888</v>
      </c>
      <c r="S5" s="96" t="s">
        <v>890</v>
      </c>
      <c r="T5" s="100">
        <v>45347</v>
      </c>
      <c r="U5" s="100">
        <v>45473</v>
      </c>
      <c r="V5" s="97">
        <v>1212261.72</v>
      </c>
      <c r="W5" s="97">
        <v>1</v>
      </c>
      <c r="X5" s="97">
        <v>130.17830000000001</v>
      </c>
      <c r="Y5" s="97">
        <v>1578.1016999999999</v>
      </c>
      <c r="Z5" s="98">
        <v>0.49787100000000001</v>
      </c>
      <c r="AA5" s="98">
        <v>8.2100000000000001E-4</v>
      </c>
      <c r="AB5" s="106"/>
    </row>
    <row r="6" spans="1:28" ht="15" customHeight="1">
      <c r="A6" s="106"/>
      <c r="B6" s="96">
        <v>286</v>
      </c>
      <c r="C6" s="96">
        <v>286</v>
      </c>
      <c r="D6" s="96" t="s">
        <v>3521</v>
      </c>
      <c r="E6" s="96">
        <v>515811289</v>
      </c>
      <c r="F6" s="96" t="s">
        <v>308</v>
      </c>
      <c r="G6" s="96" t="s">
        <v>3522</v>
      </c>
      <c r="H6" s="96">
        <v>25100244</v>
      </c>
      <c r="I6" s="96" t="s">
        <v>311</v>
      </c>
      <c r="J6" s="96" t="s">
        <v>764</v>
      </c>
      <c r="K6" s="96" t="s">
        <v>203</v>
      </c>
      <c r="L6" s="96" t="s">
        <v>203</v>
      </c>
      <c r="M6" s="96" t="s">
        <v>325</v>
      </c>
      <c r="N6" s="96" t="s">
        <v>448</v>
      </c>
      <c r="O6" s="96" t="s">
        <v>338</v>
      </c>
      <c r="P6" s="100">
        <v>44698</v>
      </c>
      <c r="Q6" s="96" t="s">
        <v>1201</v>
      </c>
      <c r="R6" s="96" t="s">
        <v>888</v>
      </c>
      <c r="S6" s="96" t="s">
        <v>890</v>
      </c>
      <c r="T6" s="100">
        <v>45321</v>
      </c>
      <c r="U6" s="100">
        <v>45473</v>
      </c>
      <c r="V6" s="97">
        <v>824.82</v>
      </c>
      <c r="W6" s="97">
        <v>3.7589999999999999</v>
      </c>
      <c r="X6" s="97">
        <v>6053</v>
      </c>
      <c r="Y6" s="97">
        <v>187.67317</v>
      </c>
      <c r="Z6" s="98">
        <v>5.9207999999999997E-2</v>
      </c>
      <c r="AA6" s="98">
        <v>9.7E-5</v>
      </c>
      <c r="AB6" s="106"/>
    </row>
    <row r="7" spans="1:28" ht="15" customHeight="1">
      <c r="A7" s="106"/>
      <c r="B7" s="96">
        <v>286</v>
      </c>
      <c r="C7" s="96">
        <v>286</v>
      </c>
      <c r="D7" s="96" t="s">
        <v>3523</v>
      </c>
      <c r="E7" s="96">
        <v>515237899</v>
      </c>
      <c r="F7" s="96" t="s">
        <v>308</v>
      </c>
      <c r="G7" s="96" t="s">
        <v>3524</v>
      </c>
      <c r="H7" s="96">
        <v>253000014</v>
      </c>
      <c r="I7" s="96" t="s">
        <v>311</v>
      </c>
      <c r="J7" s="96" t="s">
        <v>764</v>
      </c>
      <c r="K7" s="96" t="s">
        <v>203</v>
      </c>
      <c r="L7" s="96" t="s">
        <v>203</v>
      </c>
      <c r="M7" s="96" t="s">
        <v>325</v>
      </c>
      <c r="N7" s="96" t="s">
        <v>446</v>
      </c>
      <c r="O7" s="96" t="s">
        <v>337</v>
      </c>
      <c r="P7" s="100">
        <v>44724</v>
      </c>
      <c r="Q7" s="96" t="s">
        <v>1200</v>
      </c>
      <c r="R7" s="96" t="s">
        <v>888</v>
      </c>
      <c r="S7" s="96" t="s">
        <v>890</v>
      </c>
      <c r="T7" s="100">
        <v>45137</v>
      </c>
      <c r="U7" s="100">
        <v>45473</v>
      </c>
      <c r="V7" s="97">
        <v>350.78</v>
      </c>
      <c r="W7" s="97">
        <v>1</v>
      </c>
      <c r="X7" s="97">
        <v>100081.39</v>
      </c>
      <c r="Y7" s="97">
        <v>351.06349999999998</v>
      </c>
      <c r="Z7" s="98">
        <v>0.11075599999999999</v>
      </c>
      <c r="AA7" s="98">
        <v>1.8200000000000001E-4</v>
      </c>
      <c r="AB7" s="106"/>
    </row>
    <row r="8" spans="1:28" ht="15" customHeight="1">
      <c r="A8" s="106"/>
      <c r="B8" s="96">
        <v>286</v>
      </c>
      <c r="C8" s="96">
        <v>286</v>
      </c>
      <c r="D8" s="96" t="s">
        <v>3525</v>
      </c>
      <c r="E8" s="96">
        <v>516018397</v>
      </c>
      <c r="F8" s="96" t="s">
        <v>308</v>
      </c>
      <c r="G8" s="96" t="s">
        <v>3526</v>
      </c>
      <c r="H8" s="96">
        <v>253000019</v>
      </c>
      <c r="I8" s="96" t="s">
        <v>311</v>
      </c>
      <c r="J8" s="96" t="s">
        <v>764</v>
      </c>
      <c r="K8" s="96" t="s">
        <v>203</v>
      </c>
      <c r="L8" s="96" t="s">
        <v>203</v>
      </c>
      <c r="M8" s="96" t="s">
        <v>325</v>
      </c>
      <c r="N8" s="96" t="s">
        <v>460</v>
      </c>
      <c r="O8" s="96" t="s">
        <v>337</v>
      </c>
      <c r="P8" s="100">
        <v>44750</v>
      </c>
      <c r="Q8" s="96" t="s">
        <v>1200</v>
      </c>
      <c r="R8" s="96" t="s">
        <v>888</v>
      </c>
      <c r="S8" s="96" t="s">
        <v>890</v>
      </c>
      <c r="T8" s="100">
        <v>45123</v>
      </c>
      <c r="U8" s="100">
        <v>45473</v>
      </c>
      <c r="V8" s="97">
        <v>1357.78</v>
      </c>
      <c r="W8" s="97">
        <v>1</v>
      </c>
      <c r="X8" s="97">
        <v>34900</v>
      </c>
      <c r="Y8" s="97">
        <v>473.86487</v>
      </c>
      <c r="Z8" s="98">
        <v>0.14949799999999999</v>
      </c>
      <c r="AA8" s="98">
        <v>2.4600000000000002E-4</v>
      </c>
      <c r="AB8" s="106"/>
    </row>
    <row r="9" spans="1:28" ht="15" customHeight="1">
      <c r="A9" s="106"/>
      <c r="B9" s="96">
        <v>286</v>
      </c>
      <c r="C9" s="96">
        <v>286</v>
      </c>
      <c r="D9" s="96" t="s">
        <v>3527</v>
      </c>
      <c r="E9" s="96">
        <v>511578411</v>
      </c>
      <c r="F9" s="96" t="s">
        <v>308</v>
      </c>
      <c r="G9" s="96" t="s">
        <v>3528</v>
      </c>
      <c r="H9" s="96">
        <v>7001</v>
      </c>
      <c r="I9" s="96" t="s">
        <v>311</v>
      </c>
      <c r="J9" s="96" t="s">
        <v>764</v>
      </c>
      <c r="K9" s="96" t="s">
        <v>203</v>
      </c>
      <c r="L9" s="96" t="s">
        <v>203</v>
      </c>
      <c r="M9" s="96" t="s">
        <v>325</v>
      </c>
      <c r="N9" s="96" t="s">
        <v>462</v>
      </c>
      <c r="O9" s="96" t="s">
        <v>337</v>
      </c>
      <c r="P9" s="100">
        <v>44816</v>
      </c>
      <c r="Q9" s="96" t="s">
        <v>1200</v>
      </c>
      <c r="R9" s="96" t="s">
        <v>888</v>
      </c>
      <c r="S9" s="96" t="s">
        <v>890</v>
      </c>
      <c r="T9" s="100">
        <v>45190</v>
      </c>
      <c r="U9" s="100">
        <v>45473</v>
      </c>
      <c r="V9" s="97">
        <v>31339.29</v>
      </c>
      <c r="W9" s="97">
        <v>1</v>
      </c>
      <c r="X9" s="97">
        <v>1120</v>
      </c>
      <c r="Y9" s="97">
        <v>351.00004999999999</v>
      </c>
      <c r="Z9" s="98">
        <v>0.110736</v>
      </c>
      <c r="AA9" s="98">
        <v>1.8200000000000001E-4</v>
      </c>
      <c r="AB9" s="106"/>
    </row>
    <row r="10" spans="1:28" ht="15" customHeight="1">
      <c r="A10" s="106"/>
      <c r="B10" s="96">
        <v>286</v>
      </c>
      <c r="C10" s="96">
        <v>286</v>
      </c>
      <c r="D10" s="96" t="s">
        <v>3529</v>
      </c>
      <c r="E10" s="96">
        <v>5841055</v>
      </c>
      <c r="F10" s="96" t="s">
        <v>308</v>
      </c>
      <c r="G10" s="96" t="s">
        <v>3530</v>
      </c>
      <c r="H10" s="96">
        <v>25100301</v>
      </c>
      <c r="I10" s="96" t="s">
        <v>311</v>
      </c>
      <c r="J10" s="96" t="s">
        <v>764</v>
      </c>
      <c r="K10" s="96" t="s">
        <v>204</v>
      </c>
      <c r="L10" s="96" t="s">
        <v>223</v>
      </c>
      <c r="M10" s="96" t="s">
        <v>325</v>
      </c>
      <c r="N10" s="96" t="s">
        <v>536</v>
      </c>
      <c r="O10" s="96" t="s">
        <v>338</v>
      </c>
      <c r="P10" s="100">
        <v>44742</v>
      </c>
      <c r="Q10" s="96" t="s">
        <v>1201</v>
      </c>
      <c r="R10" s="96" t="s">
        <v>888</v>
      </c>
      <c r="S10" s="96" t="s">
        <v>890</v>
      </c>
      <c r="T10" s="100">
        <v>45457</v>
      </c>
      <c r="U10" s="100">
        <v>45473</v>
      </c>
      <c r="V10" s="97">
        <v>7363.77</v>
      </c>
      <c r="W10" s="97">
        <v>3.7589999999999999</v>
      </c>
      <c r="X10" s="97">
        <v>823.66</v>
      </c>
      <c r="Y10" s="97">
        <v>227.99248</v>
      </c>
      <c r="Z10" s="98">
        <v>7.1928000000000006E-2</v>
      </c>
      <c r="AA10" s="98">
        <v>1.18E-4</v>
      </c>
      <c r="AB10" s="106"/>
    </row>
    <row r="11" spans="1:28" ht="15" customHeight="1">
      <c r="A11" s="106"/>
      <c r="B11" s="96">
        <v>286</v>
      </c>
      <c r="C11" s="96">
        <v>9803</v>
      </c>
      <c r="D11" s="96" t="s">
        <v>3516</v>
      </c>
      <c r="E11" s="96">
        <v>520026618</v>
      </c>
      <c r="F11" s="96" t="s">
        <v>308</v>
      </c>
      <c r="G11" s="96" t="s">
        <v>3517</v>
      </c>
      <c r="H11" s="96" t="s">
        <v>3518</v>
      </c>
      <c r="I11" s="96" t="s">
        <v>320</v>
      </c>
      <c r="J11" s="96" t="s">
        <v>764</v>
      </c>
      <c r="K11" s="96" t="s">
        <v>203</v>
      </c>
      <c r="L11" s="96" t="s">
        <v>203</v>
      </c>
      <c r="M11" s="96" t="s">
        <v>325</v>
      </c>
      <c r="N11" s="96" t="s">
        <v>462</v>
      </c>
      <c r="O11" s="96" t="s">
        <v>337</v>
      </c>
      <c r="P11" s="100">
        <v>37508</v>
      </c>
      <c r="Q11" s="96" t="s">
        <v>1200</v>
      </c>
      <c r="R11" s="96" t="s">
        <v>888</v>
      </c>
      <c r="S11" s="96" t="s">
        <v>890</v>
      </c>
      <c r="T11" s="100">
        <v>45256</v>
      </c>
      <c r="U11" s="100">
        <v>45473</v>
      </c>
      <c r="V11" s="97">
        <v>9.2983980000000006</v>
      </c>
      <c r="W11" s="97">
        <v>1</v>
      </c>
      <c r="X11" s="97">
        <v>0</v>
      </c>
      <c r="Y11" s="97">
        <v>1.9999999999999999E-6</v>
      </c>
      <c r="Z11" s="98">
        <v>1</v>
      </c>
      <c r="AA11" s="98">
        <v>0</v>
      </c>
      <c r="AB11" s="106"/>
    </row>
    <row r="12" spans="1:28" ht="15" customHeight="1">
      <c r="A12" s="106"/>
      <c r="B12" s="96">
        <v>286</v>
      </c>
      <c r="C12" s="96">
        <v>14418</v>
      </c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106"/>
    </row>
    <row r="13" spans="1:28" ht="15" customHeight="1">
      <c r="A13" s="106"/>
      <c r="B13" s="96">
        <v>286</v>
      </c>
      <c r="C13" s="96">
        <v>1445</v>
      </c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106"/>
    </row>
    <row r="14" spans="1:28" ht="15" customHeight="1">
      <c r="A14" s="106"/>
      <c r="B14" s="105" t="s">
        <v>3767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6"/>
    </row>
  </sheetData>
  <mergeCells count="4">
    <mergeCell ref="B14:AA14"/>
    <mergeCell ref="A1:A14"/>
    <mergeCell ref="B1:AA1"/>
    <mergeCell ref="AB1:AB14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B59"/>
  <sheetViews>
    <sheetView rightToLeft="1" workbookViewId="0">
      <selection sqref="A1:A59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67.125" bestFit="1" customWidth="1"/>
    <col min="5" max="5" width="11.375" bestFit="1" customWidth="1"/>
    <col min="6" max="6" width="9.375" bestFit="1" customWidth="1"/>
    <col min="7" max="7" width="41.125" bestFit="1" customWidth="1"/>
    <col min="8" max="8" width="9.875" bestFit="1" customWidth="1"/>
    <col min="9" max="9" width="8" bestFit="1" customWidth="1"/>
    <col min="10" max="10" width="19.125" bestFit="1" customWidth="1"/>
    <col min="11" max="11" width="9.875" bestFit="1" customWidth="1"/>
    <col min="12" max="12" width="8.75" bestFit="1" customWidth="1"/>
    <col min="13" max="13" width="10.625" bestFit="1" customWidth="1"/>
    <col min="14" max="14" width="10" bestFit="1" customWidth="1"/>
    <col min="15" max="15" width="10.75" bestFit="1" customWidth="1"/>
    <col min="16" max="16" width="9.625" bestFit="1" customWidth="1"/>
    <col min="17" max="17" width="10.125" bestFit="1" customWidth="1"/>
    <col min="18" max="18" width="9.875" bestFit="1" customWidth="1"/>
    <col min="19" max="19" width="12.375" bestFit="1" customWidth="1"/>
    <col min="20" max="20" width="10.875" bestFit="1" customWidth="1"/>
    <col min="21" max="21" width="10.625" bestFit="1" customWidth="1"/>
    <col min="22" max="22" width="8.625" bestFit="1" customWidth="1"/>
    <col min="23" max="23" width="11.375" bestFit="1" customWidth="1"/>
    <col min="24" max="24" width="10.875" bestFit="1" customWidth="1"/>
    <col min="25" max="25" width="10.5" bestFit="1" customWidth="1"/>
    <col min="26" max="26" width="11" bestFit="1" customWidth="1"/>
    <col min="27" max="27" width="10.375" bestFit="1" customWidth="1"/>
    <col min="28" max="28" width="3.125" customWidth="1"/>
  </cols>
  <sheetData>
    <row r="1" spans="1:28" ht="15" customHeight="1">
      <c r="A1" s="106" t="s">
        <v>3764</v>
      </c>
      <c r="B1" s="106" t="s">
        <v>3765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 t="s">
        <v>3766</v>
      </c>
    </row>
    <row r="2" spans="1:28" ht="66.75" customHeight="1">
      <c r="A2" s="106"/>
      <c r="B2" s="21" t="s">
        <v>49</v>
      </c>
      <c r="C2" s="21" t="s">
        <v>50</v>
      </c>
      <c r="D2" s="21" t="s">
        <v>108</v>
      </c>
      <c r="E2" s="21" t="s">
        <v>109</v>
      </c>
      <c r="F2" s="21" t="s">
        <v>110</v>
      </c>
      <c r="G2" s="21" t="s">
        <v>111</v>
      </c>
      <c r="H2" s="21" t="s">
        <v>112</v>
      </c>
      <c r="I2" s="21" t="s">
        <v>113</v>
      </c>
      <c r="J2" s="21" t="s">
        <v>54</v>
      </c>
      <c r="K2" s="21" t="s">
        <v>114</v>
      </c>
      <c r="L2" s="21" t="s">
        <v>55</v>
      </c>
      <c r="M2" s="21" t="s">
        <v>115</v>
      </c>
      <c r="N2" s="21" t="s">
        <v>116</v>
      </c>
      <c r="O2" s="21" t="s">
        <v>69</v>
      </c>
      <c r="P2" s="21" t="s">
        <v>56</v>
      </c>
      <c r="Q2" s="23" t="s">
        <v>97</v>
      </c>
      <c r="R2" s="21" t="s">
        <v>59</v>
      </c>
      <c r="S2" s="21" t="s">
        <v>103</v>
      </c>
      <c r="T2" s="21" t="s">
        <v>104</v>
      </c>
      <c r="U2" s="21" t="s">
        <v>106</v>
      </c>
      <c r="V2" s="21" t="s">
        <v>61</v>
      </c>
      <c r="W2" s="24" t="s">
        <v>117</v>
      </c>
      <c r="X2" s="21" t="s">
        <v>63</v>
      </c>
      <c r="Y2" s="21" t="s">
        <v>118</v>
      </c>
      <c r="Z2" s="21" t="s">
        <v>64</v>
      </c>
      <c r="AA2" s="21" t="s">
        <v>65</v>
      </c>
      <c r="AB2" s="106"/>
    </row>
    <row r="3" spans="1:28" ht="15" customHeight="1">
      <c r="A3" s="106"/>
      <c r="B3" s="96">
        <v>286</v>
      </c>
      <c r="C3" s="96">
        <v>286</v>
      </c>
      <c r="D3" s="96" t="s">
        <v>3531</v>
      </c>
      <c r="E3" s="96"/>
      <c r="F3" s="96"/>
      <c r="G3" s="96" t="s">
        <v>3532</v>
      </c>
      <c r="H3" s="96">
        <v>691239670</v>
      </c>
      <c r="I3" s="96" t="s">
        <v>311</v>
      </c>
      <c r="J3" s="96" t="s">
        <v>1006</v>
      </c>
      <c r="K3" s="96"/>
      <c r="L3" s="96" t="s">
        <v>203</v>
      </c>
      <c r="M3" s="96"/>
      <c r="N3" s="96"/>
      <c r="O3" s="96" t="s">
        <v>203</v>
      </c>
      <c r="P3" s="96" t="s">
        <v>338</v>
      </c>
      <c r="Q3" s="100">
        <v>41030</v>
      </c>
      <c r="R3" s="96" t="s">
        <v>1201</v>
      </c>
      <c r="S3" s="96" t="s">
        <v>886</v>
      </c>
      <c r="T3" s="96" t="s">
        <v>890</v>
      </c>
      <c r="U3" s="100">
        <v>45291</v>
      </c>
      <c r="V3" s="97">
        <v>3.7589999999999999</v>
      </c>
      <c r="W3" s="97">
        <v>551.43249000000003</v>
      </c>
      <c r="X3" s="97">
        <v>2072.8347199999998</v>
      </c>
      <c r="Y3" s="98">
        <v>6.8900000000000005E-4</v>
      </c>
      <c r="Z3" s="98">
        <v>1.3889E-2</v>
      </c>
      <c r="AA3" s="98">
        <v>1.0790000000000001E-3</v>
      </c>
      <c r="AB3" s="106"/>
    </row>
    <row r="4" spans="1:28" ht="15" customHeight="1">
      <c r="A4" s="106"/>
      <c r="B4" s="96">
        <v>286</v>
      </c>
      <c r="C4" s="96">
        <v>286</v>
      </c>
      <c r="D4" s="96" t="s">
        <v>3533</v>
      </c>
      <c r="E4" s="96"/>
      <c r="F4" s="96"/>
      <c r="G4" s="96" t="s">
        <v>3534</v>
      </c>
      <c r="H4" s="96">
        <v>691239771</v>
      </c>
      <c r="I4" s="96" t="s">
        <v>311</v>
      </c>
      <c r="J4" s="96" t="s">
        <v>1004</v>
      </c>
      <c r="K4" s="96"/>
      <c r="L4" s="96" t="s">
        <v>203</v>
      </c>
      <c r="M4" s="96"/>
      <c r="N4" s="96"/>
      <c r="O4" s="96" t="s">
        <v>203</v>
      </c>
      <c r="P4" s="96" t="s">
        <v>338</v>
      </c>
      <c r="Q4" s="100">
        <v>42339</v>
      </c>
      <c r="R4" s="96" t="s">
        <v>1200</v>
      </c>
      <c r="S4" s="96" t="s">
        <v>886</v>
      </c>
      <c r="T4" s="96" t="s">
        <v>890</v>
      </c>
      <c r="U4" s="100">
        <v>45456</v>
      </c>
      <c r="V4" s="97">
        <v>1</v>
      </c>
      <c r="W4" s="97">
        <v>833.40754000000004</v>
      </c>
      <c r="X4" s="97">
        <v>833.40754000000004</v>
      </c>
      <c r="Y4" s="98">
        <v>2.251E-3</v>
      </c>
      <c r="Z4" s="98">
        <v>5.5840000000000004E-3</v>
      </c>
      <c r="AA4" s="98">
        <v>4.3399999999999998E-4</v>
      </c>
      <c r="AB4" s="106"/>
    </row>
    <row r="5" spans="1:28" ht="15" customHeight="1">
      <c r="A5" s="106"/>
      <c r="B5" s="96">
        <v>286</v>
      </c>
      <c r="C5" s="96">
        <v>286</v>
      </c>
      <c r="D5" s="96" t="s">
        <v>3535</v>
      </c>
      <c r="E5" s="96"/>
      <c r="F5" s="96"/>
      <c r="G5" s="96" t="s">
        <v>3536</v>
      </c>
      <c r="H5" s="96">
        <v>691239734</v>
      </c>
      <c r="I5" s="96" t="s">
        <v>311</v>
      </c>
      <c r="J5" s="96" t="s">
        <v>1002</v>
      </c>
      <c r="K5" s="96"/>
      <c r="L5" s="96" t="s">
        <v>203</v>
      </c>
      <c r="M5" s="96"/>
      <c r="N5" s="96"/>
      <c r="O5" s="96" t="s">
        <v>203</v>
      </c>
      <c r="P5" s="96" t="s">
        <v>338</v>
      </c>
      <c r="Q5" s="100">
        <v>41802</v>
      </c>
      <c r="R5" s="96" t="s">
        <v>1200</v>
      </c>
      <c r="S5" s="96" t="s">
        <v>886</v>
      </c>
      <c r="T5" s="96" t="s">
        <v>890</v>
      </c>
      <c r="U5" s="100">
        <v>45382</v>
      </c>
      <c r="V5" s="97">
        <v>1</v>
      </c>
      <c r="W5" s="97">
        <v>6831.1900599999999</v>
      </c>
      <c r="X5" s="97">
        <v>6831.1900599999999</v>
      </c>
      <c r="Y5" s="98">
        <v>2.2769999999999999E-2</v>
      </c>
      <c r="Z5" s="98">
        <v>4.5775000000000003E-2</v>
      </c>
      <c r="AA5" s="98">
        <v>3.5569999999999998E-3</v>
      </c>
      <c r="AB5" s="106"/>
    </row>
    <row r="6" spans="1:28" ht="15" customHeight="1">
      <c r="A6" s="106"/>
      <c r="B6" s="96">
        <v>286</v>
      </c>
      <c r="C6" s="96">
        <v>286</v>
      </c>
      <c r="D6" s="96" t="s">
        <v>3537</v>
      </c>
      <c r="E6" s="96"/>
      <c r="F6" s="96"/>
      <c r="G6" s="96" t="s">
        <v>3538</v>
      </c>
      <c r="H6" s="96">
        <v>691239778</v>
      </c>
      <c r="I6" s="96" t="s">
        <v>311</v>
      </c>
      <c r="J6" s="96" t="s">
        <v>1006</v>
      </c>
      <c r="K6" s="96"/>
      <c r="L6" s="96" t="s">
        <v>203</v>
      </c>
      <c r="M6" s="96"/>
      <c r="N6" s="96"/>
      <c r="O6" s="96" t="s">
        <v>203</v>
      </c>
      <c r="P6" s="96" t="s">
        <v>338</v>
      </c>
      <c r="Q6" s="100">
        <v>38191</v>
      </c>
      <c r="R6" s="96" t="s">
        <v>1201</v>
      </c>
      <c r="S6" s="96" t="s">
        <v>886</v>
      </c>
      <c r="T6" s="96" t="s">
        <v>890</v>
      </c>
      <c r="U6" s="100">
        <v>45291</v>
      </c>
      <c r="V6" s="97">
        <v>3.7589999999999999</v>
      </c>
      <c r="W6" s="97">
        <v>1004.95427</v>
      </c>
      <c r="X6" s="97">
        <v>3777.62309</v>
      </c>
      <c r="Y6" s="98">
        <v>5.0239999999999998E-3</v>
      </c>
      <c r="Z6" s="98">
        <v>2.5312999999999999E-2</v>
      </c>
      <c r="AA6" s="98">
        <v>1.967E-3</v>
      </c>
      <c r="AB6" s="106"/>
    </row>
    <row r="7" spans="1:28" ht="15" customHeight="1">
      <c r="A7" s="106"/>
      <c r="B7" s="96">
        <v>286</v>
      </c>
      <c r="C7" s="96">
        <v>286</v>
      </c>
      <c r="D7" s="96" t="s">
        <v>3535</v>
      </c>
      <c r="E7" s="96"/>
      <c r="F7" s="96"/>
      <c r="G7" s="96" t="s">
        <v>3539</v>
      </c>
      <c r="H7" s="96">
        <v>691239784</v>
      </c>
      <c r="I7" s="96" t="s">
        <v>311</v>
      </c>
      <c r="J7" s="96" t="s">
        <v>1002</v>
      </c>
      <c r="K7" s="96"/>
      <c r="L7" s="96" t="s">
        <v>203</v>
      </c>
      <c r="M7" s="96"/>
      <c r="N7" s="96"/>
      <c r="O7" s="96" t="s">
        <v>203</v>
      </c>
      <c r="P7" s="96" t="s">
        <v>338</v>
      </c>
      <c r="Q7" s="100">
        <v>40634</v>
      </c>
      <c r="R7" s="96" t="s">
        <v>1200</v>
      </c>
      <c r="S7" s="96" t="s">
        <v>886</v>
      </c>
      <c r="T7" s="96" t="s">
        <v>890</v>
      </c>
      <c r="U7" s="100">
        <v>45369</v>
      </c>
      <c r="V7" s="97">
        <v>1</v>
      </c>
      <c r="W7" s="97">
        <v>153.80600000000001</v>
      </c>
      <c r="X7" s="97">
        <v>153.80600000000001</v>
      </c>
      <c r="Y7" s="98">
        <v>1.8000000000000001E-4</v>
      </c>
      <c r="Z7" s="98">
        <v>1.0300000000000001E-3</v>
      </c>
      <c r="AA7" s="98">
        <v>8.0000000000000007E-5</v>
      </c>
      <c r="AB7" s="106"/>
    </row>
    <row r="8" spans="1:28" ht="15" customHeight="1">
      <c r="A8" s="106"/>
      <c r="B8" s="96">
        <v>286</v>
      </c>
      <c r="C8" s="96">
        <v>286</v>
      </c>
      <c r="D8" s="96" t="s">
        <v>3540</v>
      </c>
      <c r="E8" s="96"/>
      <c r="F8" s="96"/>
      <c r="G8" s="96" t="s">
        <v>3541</v>
      </c>
      <c r="H8" s="96">
        <v>691239661</v>
      </c>
      <c r="I8" s="96" t="s">
        <v>311</v>
      </c>
      <c r="J8" s="96" t="s">
        <v>1001</v>
      </c>
      <c r="K8" s="96"/>
      <c r="L8" s="96" t="s">
        <v>203</v>
      </c>
      <c r="M8" s="96"/>
      <c r="N8" s="96"/>
      <c r="O8" s="96" t="s">
        <v>203</v>
      </c>
      <c r="P8" s="96" t="s">
        <v>338</v>
      </c>
      <c r="Q8" s="100">
        <v>40787</v>
      </c>
      <c r="R8" s="96" t="s">
        <v>1201</v>
      </c>
      <c r="S8" s="96" t="s">
        <v>886</v>
      </c>
      <c r="T8" s="96" t="s">
        <v>890</v>
      </c>
      <c r="U8" s="100">
        <v>45291</v>
      </c>
      <c r="V8" s="97">
        <v>3.7589999999999999</v>
      </c>
      <c r="W8" s="97">
        <v>2152.9020599999999</v>
      </c>
      <c r="X8" s="97">
        <v>8092.7588599999999</v>
      </c>
      <c r="Y8" s="98">
        <v>2.4464E-2</v>
      </c>
      <c r="Z8" s="98">
        <v>5.4228999999999999E-2</v>
      </c>
      <c r="AA8" s="98">
        <v>4.2139999999999999E-3</v>
      </c>
      <c r="AB8" s="106"/>
    </row>
    <row r="9" spans="1:28" ht="15" customHeight="1">
      <c r="A9" s="106"/>
      <c r="B9" s="96">
        <v>286</v>
      </c>
      <c r="C9" s="96">
        <v>286</v>
      </c>
      <c r="D9" s="96" t="s">
        <v>3542</v>
      </c>
      <c r="E9" s="96"/>
      <c r="F9" s="96"/>
      <c r="G9" s="96" t="s">
        <v>3543</v>
      </c>
      <c r="H9" s="96">
        <v>291231152</v>
      </c>
      <c r="I9" s="96" t="s">
        <v>311</v>
      </c>
      <c r="J9" s="96" t="s">
        <v>1004</v>
      </c>
      <c r="K9" s="96"/>
      <c r="L9" s="96" t="s">
        <v>203</v>
      </c>
      <c r="M9" s="96"/>
      <c r="N9" s="96"/>
      <c r="O9" s="96" t="s">
        <v>203</v>
      </c>
      <c r="P9" s="96" t="s">
        <v>338</v>
      </c>
      <c r="Q9" s="100">
        <v>44468</v>
      </c>
      <c r="R9" s="96" t="s">
        <v>1200</v>
      </c>
      <c r="S9" s="96" t="s">
        <v>886</v>
      </c>
      <c r="T9" s="96" t="s">
        <v>890</v>
      </c>
      <c r="U9" s="100">
        <v>45468</v>
      </c>
      <c r="V9" s="97">
        <v>1</v>
      </c>
      <c r="W9" s="97">
        <v>325.34145000000001</v>
      </c>
      <c r="X9" s="97">
        <v>325.34145000000001</v>
      </c>
      <c r="Y9" s="98">
        <v>3.4600000000000001E-4</v>
      </c>
      <c r="Z9" s="98">
        <v>2.1800000000000001E-3</v>
      </c>
      <c r="AA9" s="98">
        <v>1.6899999999999999E-4</v>
      </c>
      <c r="AB9" s="106"/>
    </row>
    <row r="10" spans="1:28" ht="15" customHeight="1">
      <c r="A10" s="106"/>
      <c r="B10" s="96">
        <v>286</v>
      </c>
      <c r="C10" s="96">
        <v>286</v>
      </c>
      <c r="D10" s="96" t="s">
        <v>3544</v>
      </c>
      <c r="E10" s="96"/>
      <c r="F10" s="96"/>
      <c r="G10" s="96" t="s">
        <v>3545</v>
      </c>
      <c r="H10" s="96">
        <v>691239662</v>
      </c>
      <c r="I10" s="96" t="s">
        <v>311</v>
      </c>
      <c r="J10" s="96" t="s">
        <v>1001</v>
      </c>
      <c r="K10" s="96"/>
      <c r="L10" s="96" t="s">
        <v>203</v>
      </c>
      <c r="M10" s="96"/>
      <c r="N10" s="96"/>
      <c r="O10" s="96" t="s">
        <v>203</v>
      </c>
      <c r="P10" s="96" t="s">
        <v>338</v>
      </c>
      <c r="Q10" s="100">
        <v>40817</v>
      </c>
      <c r="R10" s="96" t="s">
        <v>1201</v>
      </c>
      <c r="S10" s="96" t="s">
        <v>886</v>
      </c>
      <c r="T10" s="96" t="s">
        <v>890</v>
      </c>
      <c r="U10" s="100">
        <v>45466</v>
      </c>
      <c r="V10" s="97">
        <v>3.7589999999999999</v>
      </c>
      <c r="W10" s="97">
        <v>415.43570999999997</v>
      </c>
      <c r="X10" s="97">
        <v>1561.62283</v>
      </c>
      <c r="Y10" s="98">
        <v>5.5389999999999997E-3</v>
      </c>
      <c r="Z10" s="98">
        <v>1.0463999999999999E-2</v>
      </c>
      <c r="AA10" s="98">
        <v>8.1300000000000003E-4</v>
      </c>
      <c r="AB10" s="106"/>
    </row>
    <row r="11" spans="1:28" ht="15" customHeight="1">
      <c r="A11" s="106"/>
      <c r="B11" s="96">
        <v>286</v>
      </c>
      <c r="C11" s="96">
        <v>286</v>
      </c>
      <c r="D11" s="96" t="s">
        <v>3546</v>
      </c>
      <c r="E11" s="96"/>
      <c r="F11" s="96"/>
      <c r="G11" s="96" t="s">
        <v>3547</v>
      </c>
      <c r="H11" s="96">
        <v>291231024</v>
      </c>
      <c r="I11" s="96" t="s">
        <v>311</v>
      </c>
      <c r="J11" s="96" t="s">
        <v>1001</v>
      </c>
      <c r="K11" s="96"/>
      <c r="L11" s="96" t="s">
        <v>203</v>
      </c>
      <c r="M11" s="96"/>
      <c r="N11" s="96"/>
      <c r="O11" s="96" t="s">
        <v>203</v>
      </c>
      <c r="P11" s="96" t="s">
        <v>338</v>
      </c>
      <c r="Q11" s="100">
        <v>42964</v>
      </c>
      <c r="R11" s="96" t="s">
        <v>1201</v>
      </c>
      <c r="S11" s="96" t="s">
        <v>886</v>
      </c>
      <c r="T11" s="96" t="s">
        <v>890</v>
      </c>
      <c r="U11" s="100">
        <v>45438</v>
      </c>
      <c r="V11" s="97">
        <v>3.7589999999999999</v>
      </c>
      <c r="W11" s="97">
        <v>407.33022</v>
      </c>
      <c r="X11" s="97">
        <v>1531.15428</v>
      </c>
      <c r="Y11" s="98">
        <v>1.8940000000000001E-3</v>
      </c>
      <c r="Z11" s="98">
        <v>1.026E-2</v>
      </c>
      <c r="AA11" s="98">
        <v>7.9699999999999997E-4</v>
      </c>
      <c r="AB11" s="106"/>
    </row>
    <row r="12" spans="1:28" ht="15" customHeight="1">
      <c r="A12" s="106"/>
      <c r="B12" s="96">
        <v>286</v>
      </c>
      <c r="C12" s="96">
        <v>286</v>
      </c>
      <c r="D12" s="96" t="s">
        <v>3548</v>
      </c>
      <c r="E12" s="96"/>
      <c r="F12" s="96"/>
      <c r="G12" s="96" t="s">
        <v>3549</v>
      </c>
      <c r="H12" s="96">
        <v>691239667</v>
      </c>
      <c r="I12" s="96" t="s">
        <v>311</v>
      </c>
      <c r="J12" s="96" t="s">
        <v>1006</v>
      </c>
      <c r="K12" s="96"/>
      <c r="L12" s="96" t="s">
        <v>203</v>
      </c>
      <c r="M12" s="96"/>
      <c r="N12" s="96"/>
      <c r="O12" s="96" t="s">
        <v>203</v>
      </c>
      <c r="P12" s="96" t="s">
        <v>338</v>
      </c>
      <c r="Q12" s="100">
        <v>41193</v>
      </c>
      <c r="R12" s="96" t="s">
        <v>1201</v>
      </c>
      <c r="S12" s="96" t="s">
        <v>886</v>
      </c>
      <c r="T12" s="96" t="s">
        <v>890</v>
      </c>
      <c r="U12" s="100">
        <v>45291</v>
      </c>
      <c r="V12" s="97">
        <v>3.7589999999999999</v>
      </c>
      <c r="W12" s="97">
        <v>2147.9733900000001</v>
      </c>
      <c r="X12" s="97">
        <v>8074.2319699999998</v>
      </c>
      <c r="Y12" s="98">
        <v>8.1049999999999994E-3</v>
      </c>
      <c r="Z12" s="98">
        <v>5.4105E-2</v>
      </c>
      <c r="AA12" s="98">
        <v>4.2040000000000003E-3</v>
      </c>
      <c r="AB12" s="106"/>
    </row>
    <row r="13" spans="1:28" ht="15" customHeight="1">
      <c r="A13" s="106"/>
      <c r="B13" s="96">
        <v>286</v>
      </c>
      <c r="C13" s="96">
        <v>286</v>
      </c>
      <c r="D13" s="96" t="s">
        <v>3550</v>
      </c>
      <c r="E13" s="96"/>
      <c r="F13" s="96"/>
      <c r="G13" s="96" t="s">
        <v>3551</v>
      </c>
      <c r="H13" s="96">
        <v>291231023</v>
      </c>
      <c r="I13" s="96" t="s">
        <v>311</v>
      </c>
      <c r="J13" s="96" t="s">
        <v>1001</v>
      </c>
      <c r="K13" s="96"/>
      <c r="L13" s="96" t="s">
        <v>203</v>
      </c>
      <c r="M13" s="96"/>
      <c r="N13" s="96"/>
      <c r="O13" s="96" t="s">
        <v>203</v>
      </c>
      <c r="P13" s="96" t="s">
        <v>338</v>
      </c>
      <c r="Q13" s="100">
        <v>42961</v>
      </c>
      <c r="R13" s="96" t="s">
        <v>1201</v>
      </c>
      <c r="S13" s="96" t="s">
        <v>886</v>
      </c>
      <c r="T13" s="96" t="s">
        <v>890</v>
      </c>
      <c r="U13" s="100">
        <v>45291</v>
      </c>
      <c r="V13" s="97">
        <v>3.7589999999999999</v>
      </c>
      <c r="W13" s="97">
        <v>359.30434000000002</v>
      </c>
      <c r="X13" s="97">
        <v>1350.62501</v>
      </c>
      <c r="Y13" s="98">
        <v>3.2659999999999998E-3</v>
      </c>
      <c r="Z13" s="98">
        <v>9.0500000000000008E-3</v>
      </c>
      <c r="AA13" s="98">
        <v>7.0299999999999996E-4</v>
      </c>
      <c r="AB13" s="106"/>
    </row>
    <row r="14" spans="1:28" ht="15" customHeight="1">
      <c r="A14" s="106"/>
      <c r="B14" s="96">
        <v>286</v>
      </c>
      <c r="C14" s="96">
        <v>286</v>
      </c>
      <c r="D14" s="96" t="s">
        <v>3552</v>
      </c>
      <c r="E14" s="96"/>
      <c r="F14" s="96"/>
      <c r="G14" s="96" t="s">
        <v>3553</v>
      </c>
      <c r="H14" s="96">
        <v>691239777</v>
      </c>
      <c r="I14" s="96" t="s">
        <v>311</v>
      </c>
      <c r="J14" s="96" t="s">
        <v>1001</v>
      </c>
      <c r="K14" s="96"/>
      <c r="L14" s="96" t="s">
        <v>203</v>
      </c>
      <c r="M14" s="96"/>
      <c r="N14" s="96"/>
      <c r="O14" s="96" t="s">
        <v>203</v>
      </c>
      <c r="P14" s="96" t="s">
        <v>338</v>
      </c>
      <c r="Q14" s="100">
        <v>42522</v>
      </c>
      <c r="R14" s="96" t="s">
        <v>1201</v>
      </c>
      <c r="S14" s="96" t="s">
        <v>886</v>
      </c>
      <c r="T14" s="96" t="s">
        <v>890</v>
      </c>
      <c r="U14" s="100">
        <v>45462</v>
      </c>
      <c r="V14" s="97">
        <v>3.7589999999999999</v>
      </c>
      <c r="W14" s="97">
        <v>6746.3394399999997</v>
      </c>
      <c r="X14" s="97">
        <v>25359.489959999999</v>
      </c>
      <c r="Y14" s="98">
        <v>0.15828300000000001</v>
      </c>
      <c r="Z14" s="98">
        <v>0.169932</v>
      </c>
      <c r="AA14" s="98">
        <v>1.3206000000000001E-2</v>
      </c>
      <c r="AB14" s="106"/>
    </row>
    <row r="15" spans="1:28" ht="15" customHeight="1">
      <c r="A15" s="106"/>
      <c r="B15" s="96">
        <v>286</v>
      </c>
      <c r="C15" s="96">
        <v>286</v>
      </c>
      <c r="D15" s="96" t="s">
        <v>3554</v>
      </c>
      <c r="E15" s="96"/>
      <c r="F15" s="96"/>
      <c r="G15" s="96" t="s">
        <v>3555</v>
      </c>
      <c r="H15" s="96">
        <v>691239740</v>
      </c>
      <c r="I15" s="96" t="s">
        <v>311</v>
      </c>
      <c r="J15" s="96" t="s">
        <v>1001</v>
      </c>
      <c r="K15" s="96"/>
      <c r="L15" s="96" t="s">
        <v>203</v>
      </c>
      <c r="M15" s="96"/>
      <c r="N15" s="96"/>
      <c r="O15" s="96" t="s">
        <v>203</v>
      </c>
      <c r="P15" s="96" t="s">
        <v>338</v>
      </c>
      <c r="Q15" s="100">
        <v>41883</v>
      </c>
      <c r="R15" s="96" t="s">
        <v>1201</v>
      </c>
      <c r="S15" s="96" t="s">
        <v>886</v>
      </c>
      <c r="T15" s="96" t="s">
        <v>890</v>
      </c>
      <c r="U15" s="100">
        <v>45462</v>
      </c>
      <c r="V15" s="97">
        <v>3.7589999999999999</v>
      </c>
      <c r="W15" s="97">
        <v>1078.9473499999999</v>
      </c>
      <c r="X15" s="97">
        <v>4055.76307</v>
      </c>
      <c r="Y15" s="98">
        <v>7.8758999999999996E-2</v>
      </c>
      <c r="Z15" s="98">
        <v>2.7177E-2</v>
      </c>
      <c r="AA15" s="98">
        <v>2.1120000000000002E-3</v>
      </c>
      <c r="AB15" s="106"/>
    </row>
    <row r="16" spans="1:28" ht="15" customHeight="1">
      <c r="A16" s="106"/>
      <c r="B16" s="96">
        <v>286</v>
      </c>
      <c r="C16" s="96">
        <v>286</v>
      </c>
      <c r="D16" s="96" t="s">
        <v>3556</v>
      </c>
      <c r="E16" s="96"/>
      <c r="F16" s="96"/>
      <c r="G16" s="96" t="s">
        <v>3557</v>
      </c>
      <c r="H16" s="96">
        <v>291231006</v>
      </c>
      <c r="I16" s="96" t="s">
        <v>311</v>
      </c>
      <c r="J16" s="96" t="s">
        <v>1001</v>
      </c>
      <c r="K16" s="96"/>
      <c r="L16" s="96" t="s">
        <v>203</v>
      </c>
      <c r="M16" s="96"/>
      <c r="N16" s="96"/>
      <c r="O16" s="96" t="s">
        <v>223</v>
      </c>
      <c r="P16" s="96" t="s">
        <v>338</v>
      </c>
      <c r="Q16" s="100">
        <v>42597</v>
      </c>
      <c r="R16" s="96" t="s">
        <v>1201</v>
      </c>
      <c r="S16" s="96" t="s">
        <v>886</v>
      </c>
      <c r="T16" s="96" t="s">
        <v>890</v>
      </c>
      <c r="U16" s="100">
        <v>45291</v>
      </c>
      <c r="V16" s="97">
        <v>3.7589999999999999</v>
      </c>
      <c r="W16" s="97">
        <v>236.63677999999999</v>
      </c>
      <c r="X16" s="97">
        <v>889.51764000000003</v>
      </c>
      <c r="Y16" s="98">
        <v>6.8279999999999999E-3</v>
      </c>
      <c r="Z16" s="98">
        <v>5.96E-3</v>
      </c>
      <c r="AA16" s="98">
        <v>4.6299999999999998E-4</v>
      </c>
      <c r="AB16" s="106"/>
    </row>
    <row r="17" spans="1:28" ht="15" customHeight="1">
      <c r="A17" s="106"/>
      <c r="B17" s="96">
        <v>286</v>
      </c>
      <c r="C17" s="96">
        <v>286</v>
      </c>
      <c r="D17" s="96" t="s">
        <v>3558</v>
      </c>
      <c r="E17" s="96"/>
      <c r="F17" s="96"/>
      <c r="G17" s="96" t="s">
        <v>3559</v>
      </c>
      <c r="H17" s="96">
        <v>291231012</v>
      </c>
      <c r="I17" s="96" t="s">
        <v>311</v>
      </c>
      <c r="J17" s="96" t="s">
        <v>1004</v>
      </c>
      <c r="K17" s="96"/>
      <c r="L17" s="96" t="s">
        <v>203</v>
      </c>
      <c r="M17" s="96"/>
      <c r="N17" s="96"/>
      <c r="O17" s="96" t="s">
        <v>203</v>
      </c>
      <c r="P17" s="96" t="s">
        <v>338</v>
      </c>
      <c r="Q17" s="100">
        <v>42731</v>
      </c>
      <c r="R17" s="96" t="s">
        <v>1200</v>
      </c>
      <c r="S17" s="96" t="s">
        <v>886</v>
      </c>
      <c r="T17" s="96" t="s">
        <v>890</v>
      </c>
      <c r="U17" s="100">
        <v>45446</v>
      </c>
      <c r="V17" s="97">
        <v>1</v>
      </c>
      <c r="W17" s="97">
        <v>1324.6730500000001</v>
      </c>
      <c r="X17" s="97">
        <v>1324.6730500000001</v>
      </c>
      <c r="Y17" s="98">
        <v>3.5799999999999998E-3</v>
      </c>
      <c r="Z17" s="98">
        <v>8.8760000000000002E-3</v>
      </c>
      <c r="AA17" s="98">
        <v>6.8900000000000005E-4</v>
      </c>
      <c r="AB17" s="106"/>
    </row>
    <row r="18" spans="1:28" ht="15" customHeight="1">
      <c r="A18" s="106"/>
      <c r="B18" s="96">
        <v>286</v>
      </c>
      <c r="C18" s="96">
        <v>286</v>
      </c>
      <c r="D18" s="96" t="s">
        <v>3560</v>
      </c>
      <c r="E18" s="96"/>
      <c r="F18" s="96"/>
      <c r="G18" s="96" t="s">
        <v>3561</v>
      </c>
      <c r="H18" s="96">
        <v>291231143</v>
      </c>
      <c r="I18" s="96" t="s">
        <v>311</v>
      </c>
      <c r="J18" s="96" t="s">
        <v>1004</v>
      </c>
      <c r="K18" s="96"/>
      <c r="L18" s="96" t="s">
        <v>203</v>
      </c>
      <c r="M18" s="96"/>
      <c r="N18" s="96"/>
      <c r="O18" s="96" t="s">
        <v>203</v>
      </c>
      <c r="P18" s="96" t="s">
        <v>338</v>
      </c>
      <c r="Q18" s="100">
        <v>44382</v>
      </c>
      <c r="R18" s="96" t="s">
        <v>1200</v>
      </c>
      <c r="S18" s="96" t="s">
        <v>886</v>
      </c>
      <c r="T18" s="96" t="s">
        <v>890</v>
      </c>
      <c r="U18" s="100">
        <v>45424</v>
      </c>
      <c r="V18" s="97">
        <v>1</v>
      </c>
      <c r="W18" s="97">
        <v>406.27609000000001</v>
      </c>
      <c r="X18" s="97">
        <v>406.27609000000001</v>
      </c>
      <c r="Y18" s="98">
        <v>2.7E-4</v>
      </c>
      <c r="Z18" s="98">
        <v>2.722E-3</v>
      </c>
      <c r="AA18" s="98">
        <v>2.1100000000000001E-4</v>
      </c>
      <c r="AB18" s="106"/>
    </row>
    <row r="19" spans="1:28" ht="15" customHeight="1">
      <c r="A19" s="106"/>
      <c r="B19" s="96">
        <v>286</v>
      </c>
      <c r="C19" s="96">
        <v>286</v>
      </c>
      <c r="D19" s="96" t="s">
        <v>3535</v>
      </c>
      <c r="E19" s="96"/>
      <c r="F19" s="96"/>
      <c r="G19" s="96" t="s">
        <v>3562</v>
      </c>
      <c r="H19" s="96">
        <v>691239743</v>
      </c>
      <c r="I19" s="96" t="s">
        <v>311</v>
      </c>
      <c r="J19" s="96" t="s">
        <v>1002</v>
      </c>
      <c r="K19" s="96"/>
      <c r="L19" s="96" t="s">
        <v>203</v>
      </c>
      <c r="M19" s="96"/>
      <c r="N19" s="96"/>
      <c r="O19" s="96" t="s">
        <v>288</v>
      </c>
      <c r="P19" s="96" t="s">
        <v>338</v>
      </c>
      <c r="Q19" s="100">
        <v>42004</v>
      </c>
      <c r="R19" s="96" t="s">
        <v>1200</v>
      </c>
      <c r="S19" s="96" t="s">
        <v>886</v>
      </c>
      <c r="T19" s="96" t="s">
        <v>890</v>
      </c>
      <c r="U19" s="100">
        <v>45469</v>
      </c>
      <c r="V19" s="97">
        <v>1</v>
      </c>
      <c r="W19" s="97">
        <v>2174.79097</v>
      </c>
      <c r="X19" s="97">
        <v>2174.79097</v>
      </c>
      <c r="Y19" s="98">
        <v>1.7390000000000001E-3</v>
      </c>
      <c r="Z19" s="98">
        <v>1.4572999999999999E-2</v>
      </c>
      <c r="AA19" s="98">
        <v>1.132E-3</v>
      </c>
      <c r="AB19" s="106"/>
    </row>
    <row r="20" spans="1:28" ht="15" customHeight="1">
      <c r="A20" s="106"/>
      <c r="B20" s="96">
        <v>286</v>
      </c>
      <c r="C20" s="96">
        <v>286</v>
      </c>
      <c r="D20" s="96" t="s">
        <v>3563</v>
      </c>
      <c r="E20" s="96"/>
      <c r="F20" s="96"/>
      <c r="G20" s="96" t="s">
        <v>3564</v>
      </c>
      <c r="H20" s="96">
        <v>291231025</v>
      </c>
      <c r="I20" s="96" t="s">
        <v>311</v>
      </c>
      <c r="J20" s="96" t="s">
        <v>1006</v>
      </c>
      <c r="K20" s="96"/>
      <c r="L20" s="96" t="s">
        <v>203</v>
      </c>
      <c r="M20" s="96"/>
      <c r="N20" s="96"/>
      <c r="O20" s="96" t="s">
        <v>203</v>
      </c>
      <c r="P20" s="96" t="s">
        <v>338</v>
      </c>
      <c r="Q20" s="100">
        <v>38191</v>
      </c>
      <c r="R20" s="96" t="s">
        <v>1201</v>
      </c>
      <c r="S20" s="96" t="s">
        <v>886</v>
      </c>
      <c r="T20" s="96" t="s">
        <v>890</v>
      </c>
      <c r="U20" s="100">
        <v>45291</v>
      </c>
      <c r="V20" s="97">
        <v>3.7589999999999999</v>
      </c>
      <c r="W20" s="97">
        <v>655.71420999999998</v>
      </c>
      <c r="X20" s="97">
        <v>2464.8296999999998</v>
      </c>
      <c r="Y20" s="98">
        <v>1.5989999999999999E-3</v>
      </c>
      <c r="Z20" s="98">
        <v>1.6515999999999999E-2</v>
      </c>
      <c r="AA20" s="98">
        <v>1.2830000000000001E-3</v>
      </c>
      <c r="AB20" s="106"/>
    </row>
    <row r="21" spans="1:28" ht="15" customHeight="1">
      <c r="A21" s="106"/>
      <c r="B21" s="96">
        <v>286</v>
      </c>
      <c r="C21" s="96">
        <v>286</v>
      </c>
      <c r="D21" s="96" t="s">
        <v>3565</v>
      </c>
      <c r="E21" s="96"/>
      <c r="F21" s="96"/>
      <c r="G21" s="96" t="s">
        <v>3566</v>
      </c>
      <c r="H21" s="96">
        <v>691239766</v>
      </c>
      <c r="I21" s="96" t="s">
        <v>311</v>
      </c>
      <c r="J21" s="96" t="s">
        <v>1002</v>
      </c>
      <c r="K21" s="96"/>
      <c r="L21" s="96" t="s">
        <v>203</v>
      </c>
      <c r="M21" s="96"/>
      <c r="N21" s="96"/>
      <c r="O21" s="96" t="s">
        <v>203</v>
      </c>
      <c r="P21" s="96" t="s">
        <v>338</v>
      </c>
      <c r="Q21" s="100">
        <v>42187</v>
      </c>
      <c r="R21" s="96" t="s">
        <v>1200</v>
      </c>
      <c r="S21" s="96" t="s">
        <v>886</v>
      </c>
      <c r="T21" s="96" t="s">
        <v>890</v>
      </c>
      <c r="U21" s="100">
        <v>45372</v>
      </c>
      <c r="V21" s="97">
        <v>1</v>
      </c>
      <c r="W21" s="97">
        <v>31744.21919</v>
      </c>
      <c r="X21" s="97">
        <v>31744.21919</v>
      </c>
      <c r="Y21" s="98">
        <v>2.2460000000000001E-2</v>
      </c>
      <c r="Z21" s="98">
        <v>0.21271599999999999</v>
      </c>
      <c r="AA21" s="98">
        <v>1.6531000000000001E-2</v>
      </c>
      <c r="AB21" s="106"/>
    </row>
    <row r="22" spans="1:28" ht="15" customHeight="1">
      <c r="A22" s="106"/>
      <c r="B22" s="96">
        <v>286</v>
      </c>
      <c r="C22" s="96">
        <v>286</v>
      </c>
      <c r="D22" s="96" t="s">
        <v>3567</v>
      </c>
      <c r="E22" s="96"/>
      <c r="F22" s="96"/>
      <c r="G22" s="96" t="s">
        <v>3568</v>
      </c>
      <c r="H22" s="96">
        <v>291231022</v>
      </c>
      <c r="I22" s="96" t="s">
        <v>311</v>
      </c>
      <c r="J22" s="96" t="s">
        <v>1004</v>
      </c>
      <c r="K22" s="96"/>
      <c r="L22" s="96" t="s">
        <v>203</v>
      </c>
      <c r="M22" s="96"/>
      <c r="N22" s="96"/>
      <c r="O22" s="96" t="s">
        <v>203</v>
      </c>
      <c r="P22" s="96" t="s">
        <v>338</v>
      </c>
      <c r="Q22" s="100">
        <v>42961</v>
      </c>
      <c r="R22" s="96" t="s">
        <v>1200</v>
      </c>
      <c r="S22" s="96" t="s">
        <v>886</v>
      </c>
      <c r="T22" s="96" t="s">
        <v>890</v>
      </c>
      <c r="U22" s="100">
        <v>45463</v>
      </c>
      <c r="V22" s="97">
        <v>1</v>
      </c>
      <c r="W22" s="97">
        <v>313.61002999999999</v>
      </c>
      <c r="X22" s="97">
        <v>313.61002999999999</v>
      </c>
      <c r="Y22" s="98">
        <v>5.0500000000000002E-4</v>
      </c>
      <c r="Z22" s="98">
        <v>2.101E-3</v>
      </c>
      <c r="AA22" s="98">
        <v>1.63E-4</v>
      </c>
      <c r="AB22" s="106"/>
    </row>
    <row r="23" spans="1:28" ht="15" customHeight="1">
      <c r="A23" s="106"/>
      <c r="B23" s="96">
        <v>286</v>
      </c>
      <c r="C23" s="96">
        <v>286</v>
      </c>
      <c r="D23" s="96" t="s">
        <v>3535</v>
      </c>
      <c r="E23" s="96"/>
      <c r="F23" s="96"/>
      <c r="G23" s="96" t="s">
        <v>3569</v>
      </c>
      <c r="H23" s="96">
        <v>291231021</v>
      </c>
      <c r="I23" s="96" t="s">
        <v>311</v>
      </c>
      <c r="J23" s="96" t="s">
        <v>1002</v>
      </c>
      <c r="K23" s="96"/>
      <c r="L23" s="96" t="s">
        <v>203</v>
      </c>
      <c r="M23" s="96"/>
      <c r="N23" s="96"/>
      <c r="O23" s="96" t="s">
        <v>203</v>
      </c>
      <c r="P23" s="96" t="s">
        <v>338</v>
      </c>
      <c r="Q23" s="100">
        <v>42947</v>
      </c>
      <c r="R23" s="96" t="s">
        <v>1200</v>
      </c>
      <c r="S23" s="96" t="s">
        <v>886</v>
      </c>
      <c r="T23" s="96" t="s">
        <v>890</v>
      </c>
      <c r="U23" s="100">
        <v>45291</v>
      </c>
      <c r="V23" s="97">
        <v>1</v>
      </c>
      <c r="W23" s="97">
        <v>2167.0273299999999</v>
      </c>
      <c r="X23" s="97">
        <v>2167.0273299999999</v>
      </c>
      <c r="Y23" s="98">
        <v>5.0390000000000001E-3</v>
      </c>
      <c r="Z23" s="98">
        <v>1.4520999999999999E-2</v>
      </c>
      <c r="AA23" s="98">
        <v>1.1280000000000001E-3</v>
      </c>
      <c r="AB23" s="106"/>
    </row>
    <row r="24" spans="1:28" ht="15" customHeight="1">
      <c r="A24" s="106"/>
      <c r="B24" s="96">
        <v>286</v>
      </c>
      <c r="C24" s="96">
        <v>286</v>
      </c>
      <c r="D24" s="96" t="s">
        <v>3554</v>
      </c>
      <c r="E24" s="96"/>
      <c r="F24" s="96"/>
      <c r="G24" s="96" t="s">
        <v>3570</v>
      </c>
      <c r="H24" s="96">
        <v>691239673</v>
      </c>
      <c r="I24" s="96" t="s">
        <v>311</v>
      </c>
      <c r="J24" s="96" t="s">
        <v>1001</v>
      </c>
      <c r="K24" s="96"/>
      <c r="L24" s="96" t="s">
        <v>203</v>
      </c>
      <c r="M24" s="96"/>
      <c r="N24" s="96"/>
      <c r="O24" s="96" t="s">
        <v>203</v>
      </c>
      <c r="P24" s="96" t="s">
        <v>338</v>
      </c>
      <c r="Q24" s="100">
        <v>41183</v>
      </c>
      <c r="R24" s="96" t="s">
        <v>1201</v>
      </c>
      <c r="S24" s="96" t="s">
        <v>886</v>
      </c>
      <c r="T24" s="96" t="s">
        <v>890</v>
      </c>
      <c r="U24" s="100">
        <v>45462</v>
      </c>
      <c r="V24" s="97">
        <v>3.7589999999999999</v>
      </c>
      <c r="W24" s="97">
        <v>392.65940999999998</v>
      </c>
      <c r="X24" s="97">
        <v>1476.0067200000001</v>
      </c>
      <c r="Y24" s="98">
        <v>1.4093E-2</v>
      </c>
      <c r="Z24" s="98">
        <v>9.8899999999999995E-3</v>
      </c>
      <c r="AA24" s="98">
        <v>7.6800000000000002E-4</v>
      </c>
      <c r="AB24" s="106"/>
    </row>
    <row r="25" spans="1:28" ht="15" customHeight="1">
      <c r="A25" s="106"/>
      <c r="B25" s="96">
        <v>286</v>
      </c>
      <c r="C25" s="96">
        <v>286</v>
      </c>
      <c r="D25" s="96" t="s">
        <v>3571</v>
      </c>
      <c r="E25" s="96"/>
      <c r="F25" s="96"/>
      <c r="G25" s="96" t="s">
        <v>3572</v>
      </c>
      <c r="H25" s="96">
        <v>291231020</v>
      </c>
      <c r="I25" s="96" t="s">
        <v>311</v>
      </c>
      <c r="J25" s="96" t="s">
        <v>1004</v>
      </c>
      <c r="K25" s="96"/>
      <c r="L25" s="96" t="s">
        <v>204</v>
      </c>
      <c r="M25" s="96"/>
      <c r="N25" s="96"/>
      <c r="O25" s="96" t="s">
        <v>223</v>
      </c>
      <c r="P25" s="96" t="s">
        <v>338</v>
      </c>
      <c r="Q25" s="100">
        <v>42943</v>
      </c>
      <c r="R25" s="96" t="s">
        <v>1201</v>
      </c>
      <c r="S25" s="96" t="s">
        <v>886</v>
      </c>
      <c r="T25" s="96" t="s">
        <v>890</v>
      </c>
      <c r="U25" s="100">
        <v>45473</v>
      </c>
      <c r="V25" s="97">
        <v>3.7589999999999999</v>
      </c>
      <c r="W25" s="97">
        <v>146.02229</v>
      </c>
      <c r="X25" s="97">
        <v>548.89779999999996</v>
      </c>
      <c r="Y25" s="98">
        <v>2.1999999999999999E-5</v>
      </c>
      <c r="Z25" s="98">
        <v>3.6779999999999998E-3</v>
      </c>
      <c r="AA25" s="98">
        <v>2.8499999999999999E-4</v>
      </c>
      <c r="AB25" s="106"/>
    </row>
    <row r="26" spans="1:28" ht="15" customHeight="1">
      <c r="A26" s="106"/>
      <c r="B26" s="96">
        <v>286</v>
      </c>
      <c r="C26" s="96">
        <v>286</v>
      </c>
      <c r="D26" s="96" t="s">
        <v>3573</v>
      </c>
      <c r="E26" s="96"/>
      <c r="F26" s="96"/>
      <c r="G26" s="96" t="s">
        <v>3574</v>
      </c>
      <c r="H26" s="96">
        <v>591231041</v>
      </c>
      <c r="I26" s="96" t="s">
        <v>311</v>
      </c>
      <c r="J26" s="96" t="s">
        <v>1003</v>
      </c>
      <c r="K26" s="96"/>
      <c r="L26" s="96" t="s">
        <v>204</v>
      </c>
      <c r="M26" s="96"/>
      <c r="N26" s="96"/>
      <c r="O26" s="96" t="s">
        <v>203</v>
      </c>
      <c r="P26" s="96" t="s">
        <v>338</v>
      </c>
      <c r="Q26" s="100">
        <v>43073</v>
      </c>
      <c r="R26" s="96" t="s">
        <v>1201</v>
      </c>
      <c r="S26" s="96" t="s">
        <v>886</v>
      </c>
      <c r="T26" s="96" t="s">
        <v>890</v>
      </c>
      <c r="U26" s="100">
        <v>45322</v>
      </c>
      <c r="V26" s="97">
        <v>3.7589999999999999</v>
      </c>
      <c r="W26" s="97">
        <v>1227.0029199999999</v>
      </c>
      <c r="X26" s="97">
        <v>4612.3039900000003</v>
      </c>
      <c r="Y26" s="98">
        <v>1.7909000000000001E-2</v>
      </c>
      <c r="Z26" s="98">
        <v>3.0905999999999999E-2</v>
      </c>
      <c r="AA26" s="98">
        <v>2.4009999999999999E-3</v>
      </c>
      <c r="AB26" s="106"/>
    </row>
    <row r="27" spans="1:28" ht="15" customHeight="1">
      <c r="A27" s="106"/>
      <c r="B27" s="96">
        <v>286</v>
      </c>
      <c r="C27" s="96">
        <v>286</v>
      </c>
      <c r="D27" s="96" t="s">
        <v>3575</v>
      </c>
      <c r="E27" s="96"/>
      <c r="F27" s="96"/>
      <c r="G27" s="96" t="s">
        <v>3576</v>
      </c>
      <c r="H27" s="96">
        <v>691239659</v>
      </c>
      <c r="I27" s="96" t="s">
        <v>311</v>
      </c>
      <c r="J27" s="96" t="s">
        <v>1004</v>
      </c>
      <c r="K27" s="96"/>
      <c r="L27" s="96" t="s">
        <v>204</v>
      </c>
      <c r="M27" s="96"/>
      <c r="N27" s="96"/>
      <c r="O27" s="96" t="s">
        <v>223</v>
      </c>
      <c r="P27" s="96" t="s">
        <v>338</v>
      </c>
      <c r="Q27" s="100">
        <v>40717</v>
      </c>
      <c r="R27" s="96" t="s">
        <v>1201</v>
      </c>
      <c r="S27" s="96" t="s">
        <v>886</v>
      </c>
      <c r="T27" s="96" t="s">
        <v>890</v>
      </c>
      <c r="U27" s="100">
        <v>45291</v>
      </c>
      <c r="V27" s="97">
        <v>3.7589999999999999</v>
      </c>
      <c r="W27" s="97">
        <v>208.96605</v>
      </c>
      <c r="X27" s="97">
        <v>785.50338999999997</v>
      </c>
      <c r="Y27" s="98">
        <v>1.0900000000000001E-4</v>
      </c>
      <c r="Z27" s="98">
        <v>5.2630000000000003E-3</v>
      </c>
      <c r="AA27" s="98">
        <v>4.0900000000000002E-4</v>
      </c>
      <c r="AB27" s="106"/>
    </row>
    <row r="28" spans="1:28" ht="15" customHeight="1">
      <c r="A28" s="106"/>
      <c r="B28" s="96">
        <v>286</v>
      </c>
      <c r="C28" s="96">
        <v>286</v>
      </c>
      <c r="D28" s="96" t="s">
        <v>3577</v>
      </c>
      <c r="E28" s="96"/>
      <c r="F28" s="96"/>
      <c r="G28" s="96" t="s">
        <v>3578</v>
      </c>
      <c r="H28" s="96">
        <v>691239764</v>
      </c>
      <c r="I28" s="96" t="s">
        <v>311</v>
      </c>
      <c r="J28" s="96" t="s">
        <v>1006</v>
      </c>
      <c r="K28" s="96"/>
      <c r="L28" s="96" t="s">
        <v>204</v>
      </c>
      <c r="M28" s="96"/>
      <c r="N28" s="96"/>
      <c r="O28" s="96" t="s">
        <v>223</v>
      </c>
      <c r="P28" s="96" t="s">
        <v>338</v>
      </c>
      <c r="Q28" s="100">
        <v>42290</v>
      </c>
      <c r="R28" s="96" t="s">
        <v>1201</v>
      </c>
      <c r="S28" s="96" t="s">
        <v>886</v>
      </c>
      <c r="T28" s="96" t="s">
        <v>890</v>
      </c>
      <c r="U28" s="100">
        <v>45291</v>
      </c>
      <c r="V28" s="97">
        <v>3.7589999999999999</v>
      </c>
      <c r="W28" s="97">
        <v>33.164340000000003</v>
      </c>
      <c r="X28" s="97">
        <v>124.66477</v>
      </c>
      <c r="Y28" s="98">
        <v>1.5300000000000001E-4</v>
      </c>
      <c r="Z28" s="98">
        <v>8.3500000000000002E-4</v>
      </c>
      <c r="AA28" s="98">
        <v>6.3999999999999997E-5</v>
      </c>
      <c r="AB28" s="106"/>
    </row>
    <row r="29" spans="1:28" ht="15" customHeight="1">
      <c r="A29" s="106"/>
      <c r="B29" s="96">
        <v>286</v>
      </c>
      <c r="C29" s="96">
        <v>286</v>
      </c>
      <c r="D29" s="96" t="s">
        <v>3579</v>
      </c>
      <c r="E29" s="96"/>
      <c r="F29" s="96"/>
      <c r="G29" s="96" t="s">
        <v>3580</v>
      </c>
      <c r="H29" s="96">
        <v>291231030</v>
      </c>
      <c r="I29" s="96" t="s">
        <v>311</v>
      </c>
      <c r="J29" s="96" t="s">
        <v>1004</v>
      </c>
      <c r="K29" s="96"/>
      <c r="L29" s="96" t="s">
        <v>204</v>
      </c>
      <c r="M29" s="96"/>
      <c r="N29" s="96"/>
      <c r="O29" s="96" t="s">
        <v>223</v>
      </c>
      <c r="P29" s="96" t="s">
        <v>338</v>
      </c>
      <c r="Q29" s="100">
        <v>38372</v>
      </c>
      <c r="R29" s="96" t="s">
        <v>1201</v>
      </c>
      <c r="S29" s="96" t="s">
        <v>886</v>
      </c>
      <c r="T29" s="96" t="s">
        <v>890</v>
      </c>
      <c r="U29" s="100">
        <v>44964</v>
      </c>
      <c r="V29" s="97">
        <v>3.7589999999999999</v>
      </c>
      <c r="W29" s="97">
        <v>1E-3</v>
      </c>
      <c r="X29" s="97">
        <v>1E-3</v>
      </c>
      <c r="Y29" s="98">
        <v>0</v>
      </c>
      <c r="Z29" s="98">
        <v>0</v>
      </c>
      <c r="AA29" s="98">
        <v>0</v>
      </c>
      <c r="AB29" s="106"/>
    </row>
    <row r="30" spans="1:28" ht="15" customHeight="1">
      <c r="A30" s="106"/>
      <c r="B30" s="96">
        <v>286</v>
      </c>
      <c r="C30" s="96">
        <v>286</v>
      </c>
      <c r="D30" s="96" t="s">
        <v>3581</v>
      </c>
      <c r="E30" s="96"/>
      <c r="F30" s="96"/>
      <c r="G30" s="96" t="s">
        <v>3582</v>
      </c>
      <c r="H30" s="96">
        <v>291231029</v>
      </c>
      <c r="I30" s="96" t="s">
        <v>311</v>
      </c>
      <c r="J30" s="96" t="s">
        <v>1005</v>
      </c>
      <c r="K30" s="96"/>
      <c r="L30" s="96" t="s">
        <v>204</v>
      </c>
      <c r="M30" s="96"/>
      <c r="N30" s="96"/>
      <c r="O30" s="96" t="s">
        <v>232</v>
      </c>
      <c r="P30" s="96" t="s">
        <v>338</v>
      </c>
      <c r="Q30" s="100">
        <v>43069</v>
      </c>
      <c r="R30" s="96" t="s">
        <v>1202</v>
      </c>
      <c r="S30" s="96" t="s">
        <v>886</v>
      </c>
      <c r="T30" s="96" t="s">
        <v>890</v>
      </c>
      <c r="U30" s="100">
        <v>45449</v>
      </c>
      <c r="V30" s="97">
        <v>4.0202</v>
      </c>
      <c r="W30" s="97">
        <v>500.77679999999998</v>
      </c>
      <c r="X30" s="97">
        <v>2013.2229</v>
      </c>
      <c r="Y30" s="98">
        <v>5.0070000000000002E-3</v>
      </c>
      <c r="Z30" s="98">
        <v>1.349E-2</v>
      </c>
      <c r="AA30" s="98">
        <v>1.0480000000000001E-3</v>
      </c>
      <c r="AB30" s="106"/>
    </row>
    <row r="31" spans="1:28" ht="15" customHeight="1">
      <c r="A31" s="106"/>
      <c r="B31" s="96">
        <v>286</v>
      </c>
      <c r="C31" s="96">
        <v>286</v>
      </c>
      <c r="D31" s="96" t="s">
        <v>3535</v>
      </c>
      <c r="E31" s="96"/>
      <c r="F31" s="96"/>
      <c r="G31" s="96" t="s">
        <v>3583</v>
      </c>
      <c r="H31" s="96">
        <v>691239759</v>
      </c>
      <c r="I31" s="96" t="s">
        <v>311</v>
      </c>
      <c r="J31" s="96" t="s">
        <v>1002</v>
      </c>
      <c r="K31" s="96"/>
      <c r="L31" s="96" t="s">
        <v>204</v>
      </c>
      <c r="M31" s="96"/>
      <c r="N31" s="96"/>
      <c r="O31" s="96" t="s">
        <v>232</v>
      </c>
      <c r="P31" s="96" t="s">
        <v>338</v>
      </c>
      <c r="Q31" s="100">
        <v>42156</v>
      </c>
      <c r="R31" s="96" t="s">
        <v>1205</v>
      </c>
      <c r="S31" s="96" t="s">
        <v>886</v>
      </c>
      <c r="T31" s="96" t="s">
        <v>890</v>
      </c>
      <c r="U31" s="100">
        <v>45382</v>
      </c>
      <c r="V31" s="97">
        <v>4.7504999999999997</v>
      </c>
      <c r="W31" s="97">
        <v>70.120949999999993</v>
      </c>
      <c r="X31" s="97">
        <v>333.10955000000001</v>
      </c>
      <c r="Y31" s="98">
        <v>1.7750000000000001E-3</v>
      </c>
      <c r="Z31" s="98">
        <v>2.232E-3</v>
      </c>
      <c r="AA31" s="98">
        <v>1.73E-4</v>
      </c>
      <c r="AB31" s="106"/>
    </row>
    <row r="32" spans="1:28" ht="15" customHeight="1">
      <c r="A32" s="106"/>
      <c r="B32" s="96">
        <v>286</v>
      </c>
      <c r="C32" s="96">
        <v>286</v>
      </c>
      <c r="D32" s="96" t="s">
        <v>3584</v>
      </c>
      <c r="E32" s="96"/>
      <c r="F32" s="96"/>
      <c r="G32" s="96" t="s">
        <v>3585</v>
      </c>
      <c r="H32" s="96">
        <v>291231027</v>
      </c>
      <c r="I32" s="96" t="s">
        <v>311</v>
      </c>
      <c r="J32" s="96" t="s">
        <v>1001</v>
      </c>
      <c r="K32" s="96"/>
      <c r="L32" s="96" t="s">
        <v>204</v>
      </c>
      <c r="M32" s="96"/>
      <c r="N32" s="96"/>
      <c r="O32" s="96" t="s">
        <v>223</v>
      </c>
      <c r="P32" s="96" t="s">
        <v>338</v>
      </c>
      <c r="Q32" s="100">
        <v>43044</v>
      </c>
      <c r="R32" s="96" t="s">
        <v>1201</v>
      </c>
      <c r="S32" s="96" t="s">
        <v>886</v>
      </c>
      <c r="T32" s="96" t="s">
        <v>890</v>
      </c>
      <c r="U32" s="100">
        <v>45291</v>
      </c>
      <c r="V32" s="97">
        <v>3.7589999999999999</v>
      </c>
      <c r="W32" s="97">
        <v>871.54664000000002</v>
      </c>
      <c r="X32" s="97">
        <v>3276.14381</v>
      </c>
      <c r="Y32" s="98">
        <v>5.8100000000000001E-3</v>
      </c>
      <c r="Z32" s="98">
        <v>2.1953E-2</v>
      </c>
      <c r="AA32" s="98">
        <v>1.7060000000000001E-3</v>
      </c>
      <c r="AB32" s="106"/>
    </row>
    <row r="33" spans="1:28" ht="15" customHeight="1">
      <c r="A33" s="106"/>
      <c r="B33" s="96">
        <v>286</v>
      </c>
      <c r="C33" s="96">
        <v>286</v>
      </c>
      <c r="D33" s="96" t="s">
        <v>3586</v>
      </c>
      <c r="E33" s="96"/>
      <c r="F33" s="96"/>
      <c r="G33" s="96" t="s">
        <v>3587</v>
      </c>
      <c r="H33" s="96">
        <v>591231062</v>
      </c>
      <c r="I33" s="96" t="s">
        <v>311</v>
      </c>
      <c r="J33" s="96" t="s">
        <v>1003</v>
      </c>
      <c r="K33" s="96"/>
      <c r="L33" s="96" t="s">
        <v>204</v>
      </c>
      <c r="M33" s="96"/>
      <c r="N33" s="96"/>
      <c r="O33" s="96" t="s">
        <v>223</v>
      </c>
      <c r="P33" s="96" t="s">
        <v>338</v>
      </c>
      <c r="Q33" s="100">
        <v>45084</v>
      </c>
      <c r="R33" s="96" t="s">
        <v>1201</v>
      </c>
      <c r="S33" s="96" t="s">
        <v>886</v>
      </c>
      <c r="T33" s="96" t="s">
        <v>890</v>
      </c>
      <c r="U33" s="100">
        <v>45443</v>
      </c>
      <c r="V33" s="97">
        <v>3.7589999999999999</v>
      </c>
      <c r="W33" s="97">
        <v>25.295380000000002</v>
      </c>
      <c r="X33" s="97">
        <v>95.085340000000002</v>
      </c>
      <c r="Y33" s="98">
        <v>1.6945999999999999E-2</v>
      </c>
      <c r="Z33" s="98">
        <v>6.3699999999999998E-4</v>
      </c>
      <c r="AA33" s="98">
        <v>4.8999999999999998E-5</v>
      </c>
      <c r="AB33" s="106"/>
    </row>
    <row r="34" spans="1:28" ht="15" customHeight="1">
      <c r="A34" s="106"/>
      <c r="B34" s="96">
        <v>286</v>
      </c>
      <c r="C34" s="96">
        <v>286</v>
      </c>
      <c r="D34" s="96" t="s">
        <v>3586</v>
      </c>
      <c r="E34" s="96"/>
      <c r="F34" s="96"/>
      <c r="G34" s="96" t="s">
        <v>3588</v>
      </c>
      <c r="H34" s="96">
        <v>591231040</v>
      </c>
      <c r="I34" s="96" t="s">
        <v>311</v>
      </c>
      <c r="J34" s="96" t="s">
        <v>1003</v>
      </c>
      <c r="K34" s="96"/>
      <c r="L34" s="96" t="s">
        <v>204</v>
      </c>
      <c r="M34" s="96"/>
      <c r="N34" s="96"/>
      <c r="O34" s="96" t="s">
        <v>223</v>
      </c>
      <c r="P34" s="96" t="s">
        <v>338</v>
      </c>
      <c r="Q34" s="100">
        <v>43069</v>
      </c>
      <c r="R34" s="96" t="s">
        <v>1201</v>
      </c>
      <c r="S34" s="96" t="s">
        <v>886</v>
      </c>
      <c r="T34" s="96" t="s">
        <v>890</v>
      </c>
      <c r="U34" s="100">
        <v>45322</v>
      </c>
      <c r="V34" s="97">
        <v>3.7589999999999999</v>
      </c>
      <c r="W34" s="97">
        <v>490.80806000000001</v>
      </c>
      <c r="X34" s="97">
        <v>1844.94748</v>
      </c>
      <c r="Y34" s="98">
        <v>1.6941000000000001E-2</v>
      </c>
      <c r="Z34" s="98">
        <v>1.2362E-2</v>
      </c>
      <c r="AA34" s="98">
        <v>9.6000000000000002E-4</v>
      </c>
      <c r="AB34" s="106"/>
    </row>
    <row r="35" spans="1:28" ht="15" customHeight="1">
      <c r="A35" s="106"/>
      <c r="B35" s="96">
        <v>286</v>
      </c>
      <c r="C35" s="96">
        <v>286</v>
      </c>
      <c r="D35" s="96" t="s">
        <v>3577</v>
      </c>
      <c r="E35" s="96"/>
      <c r="F35" s="96"/>
      <c r="G35" s="96" t="s">
        <v>3589</v>
      </c>
      <c r="H35" s="96">
        <v>291231011</v>
      </c>
      <c r="I35" s="96" t="s">
        <v>311</v>
      </c>
      <c r="J35" s="96" t="s">
        <v>1006</v>
      </c>
      <c r="K35" s="96"/>
      <c r="L35" s="96" t="s">
        <v>204</v>
      </c>
      <c r="M35" s="96"/>
      <c r="N35" s="96"/>
      <c r="O35" s="96" t="s">
        <v>223</v>
      </c>
      <c r="P35" s="96" t="s">
        <v>338</v>
      </c>
      <c r="Q35" s="100">
        <v>42705</v>
      </c>
      <c r="R35" s="96" t="s">
        <v>1201</v>
      </c>
      <c r="S35" s="96" t="s">
        <v>886</v>
      </c>
      <c r="T35" s="96" t="s">
        <v>890</v>
      </c>
      <c r="U35" s="100">
        <v>45291</v>
      </c>
      <c r="V35" s="97">
        <v>3.7589999999999999</v>
      </c>
      <c r="W35" s="97">
        <v>312.06731000000002</v>
      </c>
      <c r="X35" s="97">
        <v>1173.0610200000001</v>
      </c>
      <c r="Y35" s="98">
        <v>4.2499999999999998E-4</v>
      </c>
      <c r="Z35" s="98">
        <v>7.8600000000000007E-3</v>
      </c>
      <c r="AA35" s="98">
        <v>6.0999999999999997E-4</v>
      </c>
      <c r="AB35" s="106"/>
    </row>
    <row r="36" spans="1:28" ht="15" customHeight="1">
      <c r="A36" s="106"/>
      <c r="B36" s="96">
        <v>286</v>
      </c>
      <c r="C36" s="96">
        <v>286</v>
      </c>
      <c r="D36" s="96" t="s">
        <v>3590</v>
      </c>
      <c r="E36" s="96"/>
      <c r="F36" s="96"/>
      <c r="G36" s="96" t="s">
        <v>3591</v>
      </c>
      <c r="H36" s="96">
        <v>291231003</v>
      </c>
      <c r="I36" s="96" t="s">
        <v>311</v>
      </c>
      <c r="J36" s="96" t="s">
        <v>1004</v>
      </c>
      <c r="K36" s="96"/>
      <c r="L36" s="96" t="s">
        <v>204</v>
      </c>
      <c r="M36" s="96"/>
      <c r="N36" s="96"/>
      <c r="O36" s="96" t="s">
        <v>223</v>
      </c>
      <c r="P36" s="96" t="s">
        <v>338</v>
      </c>
      <c r="Q36" s="100">
        <v>38191</v>
      </c>
      <c r="R36" s="96" t="s">
        <v>1201</v>
      </c>
      <c r="S36" s="96" t="s">
        <v>886</v>
      </c>
      <c r="T36" s="96" t="s">
        <v>890</v>
      </c>
      <c r="U36" s="100">
        <v>45442</v>
      </c>
      <c r="V36" s="97">
        <v>3.7589999999999999</v>
      </c>
      <c r="W36" s="97">
        <v>138.74028000000001</v>
      </c>
      <c r="X36" s="97">
        <v>521.52471000000003</v>
      </c>
      <c r="Y36" s="98">
        <v>6.4899999999999995E-4</v>
      </c>
      <c r="Z36" s="98">
        <v>3.4940000000000001E-3</v>
      </c>
      <c r="AA36" s="98">
        <v>2.7099999999999997E-4</v>
      </c>
      <c r="AB36" s="106"/>
    </row>
    <row r="37" spans="1:28" ht="15" customHeight="1">
      <c r="A37" s="106"/>
      <c r="B37" s="96">
        <v>286</v>
      </c>
      <c r="C37" s="96">
        <v>286</v>
      </c>
      <c r="D37" s="96" t="s">
        <v>3592</v>
      </c>
      <c r="E37" s="96"/>
      <c r="F37" s="96"/>
      <c r="G37" s="96" t="s">
        <v>3593</v>
      </c>
      <c r="H37" s="96">
        <v>291231194</v>
      </c>
      <c r="I37" s="96" t="s">
        <v>311</v>
      </c>
      <c r="J37" s="96" t="s">
        <v>1005</v>
      </c>
      <c r="K37" s="96"/>
      <c r="L37" s="96" t="s">
        <v>204</v>
      </c>
      <c r="M37" s="96"/>
      <c r="N37" s="96"/>
      <c r="O37" s="96" t="s">
        <v>232</v>
      </c>
      <c r="P37" s="96" t="s">
        <v>338</v>
      </c>
      <c r="Q37" s="100">
        <v>44679</v>
      </c>
      <c r="R37" s="96" t="s">
        <v>1202</v>
      </c>
      <c r="S37" s="96" t="s">
        <v>886</v>
      </c>
      <c r="T37" s="96" t="s">
        <v>890</v>
      </c>
      <c r="U37" s="100">
        <v>45467</v>
      </c>
      <c r="V37" s="97">
        <v>4.0202</v>
      </c>
      <c r="W37" s="97">
        <v>485.70952</v>
      </c>
      <c r="X37" s="97">
        <v>1952.64941</v>
      </c>
      <c r="Y37" s="98">
        <v>1.273E-3</v>
      </c>
      <c r="Z37" s="98">
        <v>1.3084E-2</v>
      </c>
      <c r="AA37" s="98">
        <v>1.016E-3</v>
      </c>
      <c r="AB37" s="106"/>
    </row>
    <row r="38" spans="1:28" ht="15" customHeight="1">
      <c r="A38" s="106"/>
      <c r="B38" s="96">
        <v>286</v>
      </c>
      <c r="C38" s="96">
        <v>286</v>
      </c>
      <c r="D38" s="96" t="s">
        <v>3594</v>
      </c>
      <c r="E38" s="96"/>
      <c r="F38" s="96"/>
      <c r="G38" s="96" t="s">
        <v>3595</v>
      </c>
      <c r="H38" s="96">
        <v>291231013</v>
      </c>
      <c r="I38" s="96" t="s">
        <v>311</v>
      </c>
      <c r="J38" s="96" t="s">
        <v>1006</v>
      </c>
      <c r="K38" s="96"/>
      <c r="L38" s="96" t="s">
        <v>204</v>
      </c>
      <c r="M38" s="96"/>
      <c r="N38" s="96"/>
      <c r="O38" s="96" t="s">
        <v>223</v>
      </c>
      <c r="P38" s="96" t="s">
        <v>338</v>
      </c>
      <c r="Q38" s="100">
        <v>42771</v>
      </c>
      <c r="R38" s="96" t="s">
        <v>1201</v>
      </c>
      <c r="S38" s="96" t="s">
        <v>886</v>
      </c>
      <c r="T38" s="96" t="s">
        <v>890</v>
      </c>
      <c r="U38" s="100">
        <v>45291</v>
      </c>
      <c r="V38" s="97">
        <v>3.7589999999999999</v>
      </c>
      <c r="W38" s="97">
        <v>131.14991000000001</v>
      </c>
      <c r="X38" s="97">
        <v>492.99252999999999</v>
      </c>
      <c r="Y38" s="98">
        <v>7.8999999999999996E-5</v>
      </c>
      <c r="Z38" s="98">
        <v>3.3029999999999999E-3</v>
      </c>
      <c r="AA38" s="98">
        <v>2.5599999999999999E-4</v>
      </c>
      <c r="AB38" s="106"/>
    </row>
    <row r="39" spans="1:28" ht="15" customHeight="1">
      <c r="A39" s="106"/>
      <c r="B39" s="96">
        <v>286</v>
      </c>
      <c r="C39" s="96">
        <v>286</v>
      </c>
      <c r="D39" s="96" t="s">
        <v>3596</v>
      </c>
      <c r="E39" s="96"/>
      <c r="F39" s="96"/>
      <c r="G39" s="96" t="s">
        <v>3597</v>
      </c>
      <c r="H39" s="96">
        <v>291231004</v>
      </c>
      <c r="I39" s="96" t="s">
        <v>311</v>
      </c>
      <c r="J39" s="96" t="s">
        <v>1004</v>
      </c>
      <c r="K39" s="96"/>
      <c r="L39" s="96" t="s">
        <v>204</v>
      </c>
      <c r="M39" s="96"/>
      <c r="N39" s="96"/>
      <c r="O39" s="96" t="s">
        <v>223</v>
      </c>
      <c r="P39" s="96" t="s">
        <v>338</v>
      </c>
      <c r="Q39" s="100">
        <v>42522</v>
      </c>
      <c r="R39" s="96" t="s">
        <v>1201</v>
      </c>
      <c r="S39" s="96" t="s">
        <v>886</v>
      </c>
      <c r="T39" s="96" t="s">
        <v>890</v>
      </c>
      <c r="U39" s="100">
        <v>45446</v>
      </c>
      <c r="V39" s="97">
        <v>3.7589999999999999</v>
      </c>
      <c r="W39" s="97">
        <v>237.09687</v>
      </c>
      <c r="X39" s="97">
        <v>891.24712</v>
      </c>
      <c r="Y39" s="98">
        <v>3.8999999999999999E-5</v>
      </c>
      <c r="Z39" s="98">
        <v>5.9719999999999999E-3</v>
      </c>
      <c r="AA39" s="98">
        <v>4.64E-4</v>
      </c>
      <c r="AB39" s="106"/>
    </row>
    <row r="40" spans="1:28" ht="15" customHeight="1">
      <c r="A40" s="106"/>
      <c r="B40" s="96">
        <v>286</v>
      </c>
      <c r="C40" s="96">
        <v>286</v>
      </c>
      <c r="D40" s="96" t="s">
        <v>3598</v>
      </c>
      <c r="E40" s="96"/>
      <c r="F40" s="96"/>
      <c r="G40" s="96" t="s">
        <v>3599</v>
      </c>
      <c r="H40" s="96">
        <v>291231026</v>
      </c>
      <c r="I40" s="96" t="s">
        <v>311</v>
      </c>
      <c r="J40" s="96" t="s">
        <v>1004</v>
      </c>
      <c r="K40" s="96"/>
      <c r="L40" s="96" t="s">
        <v>204</v>
      </c>
      <c r="M40" s="96"/>
      <c r="N40" s="96"/>
      <c r="O40" s="96" t="s">
        <v>223</v>
      </c>
      <c r="P40" s="96" t="s">
        <v>338</v>
      </c>
      <c r="Q40" s="100">
        <v>43006</v>
      </c>
      <c r="R40" s="96" t="s">
        <v>1201</v>
      </c>
      <c r="S40" s="96" t="s">
        <v>886</v>
      </c>
      <c r="T40" s="96" t="s">
        <v>890</v>
      </c>
      <c r="U40" s="100">
        <v>45291</v>
      </c>
      <c r="V40" s="97">
        <v>3.7589999999999999</v>
      </c>
      <c r="W40" s="97">
        <v>100.36775</v>
      </c>
      <c r="X40" s="97">
        <v>377.28235999999998</v>
      </c>
      <c r="Y40" s="98">
        <v>1.25E-4</v>
      </c>
      <c r="Z40" s="98">
        <v>2.5279999999999999E-3</v>
      </c>
      <c r="AA40" s="98">
        <v>1.9599999999999999E-4</v>
      </c>
      <c r="AB40" s="106"/>
    </row>
    <row r="41" spans="1:28" ht="15" customHeight="1">
      <c r="A41" s="106"/>
      <c r="B41" s="96">
        <v>286</v>
      </c>
      <c r="C41" s="96">
        <v>286</v>
      </c>
      <c r="D41" s="96" t="s">
        <v>3590</v>
      </c>
      <c r="E41" s="96"/>
      <c r="F41" s="96"/>
      <c r="G41" s="96" t="s">
        <v>3600</v>
      </c>
      <c r="H41" s="96">
        <v>291231014</v>
      </c>
      <c r="I41" s="96" t="s">
        <v>311</v>
      </c>
      <c r="J41" s="96" t="s">
        <v>1004</v>
      </c>
      <c r="K41" s="96"/>
      <c r="L41" s="96" t="s">
        <v>204</v>
      </c>
      <c r="M41" s="96"/>
      <c r="N41" s="96"/>
      <c r="O41" s="96" t="s">
        <v>223</v>
      </c>
      <c r="P41" s="96" t="s">
        <v>338</v>
      </c>
      <c r="Q41" s="100">
        <v>38191</v>
      </c>
      <c r="R41" s="96" t="s">
        <v>1201</v>
      </c>
      <c r="S41" s="96" t="s">
        <v>886</v>
      </c>
      <c r="T41" s="96" t="s">
        <v>890</v>
      </c>
      <c r="U41" s="100">
        <v>45435</v>
      </c>
      <c r="V41" s="97">
        <v>3.7589999999999999</v>
      </c>
      <c r="W41" s="97">
        <v>109.40119</v>
      </c>
      <c r="X41" s="97">
        <v>411.23907000000003</v>
      </c>
      <c r="Y41" s="98">
        <v>2.5099999999999998E-4</v>
      </c>
      <c r="Z41" s="98">
        <v>2.7550000000000001E-3</v>
      </c>
      <c r="AA41" s="98">
        <v>2.14E-4</v>
      </c>
      <c r="AB41" s="106"/>
    </row>
    <row r="42" spans="1:28" ht="15" customHeight="1">
      <c r="A42" s="106"/>
      <c r="B42" s="96">
        <v>286</v>
      </c>
      <c r="C42" s="96">
        <v>286</v>
      </c>
      <c r="D42" s="96" t="s">
        <v>3601</v>
      </c>
      <c r="E42" s="96"/>
      <c r="F42" s="96"/>
      <c r="G42" s="96" t="s">
        <v>3602</v>
      </c>
      <c r="H42" s="96">
        <v>291231016</v>
      </c>
      <c r="I42" s="96" t="s">
        <v>311</v>
      </c>
      <c r="J42" s="96" t="s">
        <v>1005</v>
      </c>
      <c r="K42" s="96"/>
      <c r="L42" s="96" t="s">
        <v>204</v>
      </c>
      <c r="M42" s="96"/>
      <c r="N42" s="96"/>
      <c r="O42" s="96" t="s">
        <v>223</v>
      </c>
      <c r="P42" s="96" t="s">
        <v>338</v>
      </c>
      <c r="Q42" s="100">
        <v>42824</v>
      </c>
      <c r="R42" s="96" t="s">
        <v>1201</v>
      </c>
      <c r="S42" s="96" t="s">
        <v>886</v>
      </c>
      <c r="T42" s="96" t="s">
        <v>890</v>
      </c>
      <c r="U42" s="100">
        <v>45291</v>
      </c>
      <c r="V42" s="97">
        <v>3.7589999999999999</v>
      </c>
      <c r="W42" s="97">
        <v>128.96235999999999</v>
      </c>
      <c r="X42" s="97">
        <v>484.76952</v>
      </c>
      <c r="Y42" s="98">
        <v>1.2799999999999999E-4</v>
      </c>
      <c r="Z42" s="98">
        <v>3.248E-3</v>
      </c>
      <c r="AA42" s="98">
        <v>2.52E-4</v>
      </c>
      <c r="AB42" s="106"/>
    </row>
    <row r="43" spans="1:28" ht="15" customHeight="1">
      <c r="A43" s="106"/>
      <c r="B43" s="96">
        <v>286</v>
      </c>
      <c r="C43" s="96">
        <v>286</v>
      </c>
      <c r="D43" s="96" t="s">
        <v>3603</v>
      </c>
      <c r="E43" s="96"/>
      <c r="F43" s="96"/>
      <c r="G43" s="96" t="s">
        <v>3604</v>
      </c>
      <c r="H43" s="96">
        <v>291231015</v>
      </c>
      <c r="I43" s="96" t="s">
        <v>311</v>
      </c>
      <c r="J43" s="96" t="s">
        <v>1006</v>
      </c>
      <c r="K43" s="96"/>
      <c r="L43" s="96" t="s">
        <v>204</v>
      </c>
      <c r="M43" s="96"/>
      <c r="N43" s="96"/>
      <c r="O43" s="96" t="s">
        <v>223</v>
      </c>
      <c r="P43" s="96" t="s">
        <v>338</v>
      </c>
      <c r="Q43" s="100">
        <v>42824</v>
      </c>
      <c r="R43" s="96" t="s">
        <v>1201</v>
      </c>
      <c r="S43" s="96" t="s">
        <v>886</v>
      </c>
      <c r="T43" s="96" t="s">
        <v>890</v>
      </c>
      <c r="U43" s="100">
        <v>45473</v>
      </c>
      <c r="V43" s="97">
        <v>3.7589999999999999</v>
      </c>
      <c r="W43" s="97">
        <v>482.69434000000001</v>
      </c>
      <c r="X43" s="97">
        <v>1814.44802</v>
      </c>
      <c r="Y43" s="98">
        <v>3.1999999999999999E-5</v>
      </c>
      <c r="Z43" s="98">
        <v>1.2158E-2</v>
      </c>
      <c r="AA43" s="98">
        <v>9.4399999999999996E-4</v>
      </c>
      <c r="AB43" s="106"/>
    </row>
    <row r="44" spans="1:28" ht="15" customHeight="1">
      <c r="A44" s="106"/>
      <c r="B44" s="96">
        <v>286</v>
      </c>
      <c r="C44" s="96">
        <v>286</v>
      </c>
      <c r="D44" s="96" t="s">
        <v>3605</v>
      </c>
      <c r="E44" s="96"/>
      <c r="F44" s="96"/>
      <c r="G44" s="96" t="s">
        <v>3606</v>
      </c>
      <c r="H44" s="96">
        <v>291231005</v>
      </c>
      <c r="I44" s="96" t="s">
        <v>311</v>
      </c>
      <c r="J44" s="96" t="s">
        <v>1006</v>
      </c>
      <c r="K44" s="96"/>
      <c r="L44" s="96" t="s">
        <v>204</v>
      </c>
      <c r="M44" s="96"/>
      <c r="N44" s="96"/>
      <c r="O44" s="96" t="s">
        <v>232</v>
      </c>
      <c r="P44" s="96" t="s">
        <v>338</v>
      </c>
      <c r="Q44" s="100">
        <v>42551</v>
      </c>
      <c r="R44" s="96" t="s">
        <v>1202</v>
      </c>
      <c r="S44" s="96" t="s">
        <v>886</v>
      </c>
      <c r="T44" s="96" t="s">
        <v>890</v>
      </c>
      <c r="U44" s="100">
        <v>45438</v>
      </c>
      <c r="V44" s="97">
        <v>4.0202</v>
      </c>
      <c r="W44" s="97">
        <v>673.70262000000002</v>
      </c>
      <c r="X44" s="97">
        <v>2708.4192899999998</v>
      </c>
      <c r="Y44" s="98">
        <v>1.03E-4</v>
      </c>
      <c r="Z44" s="98">
        <v>1.8148999999999998E-2</v>
      </c>
      <c r="AA44" s="98">
        <v>1.41E-3</v>
      </c>
      <c r="AB44" s="106"/>
    </row>
    <row r="45" spans="1:28" ht="15" customHeight="1">
      <c r="A45" s="106"/>
      <c r="B45" s="96">
        <v>286</v>
      </c>
      <c r="C45" s="96">
        <v>286</v>
      </c>
      <c r="D45" s="96" t="s">
        <v>3607</v>
      </c>
      <c r="E45" s="96"/>
      <c r="F45" s="96"/>
      <c r="G45" s="96" t="s">
        <v>3608</v>
      </c>
      <c r="H45" s="96">
        <v>291231019</v>
      </c>
      <c r="I45" s="96" t="s">
        <v>311</v>
      </c>
      <c r="J45" s="96" t="s">
        <v>1005</v>
      </c>
      <c r="K45" s="96"/>
      <c r="L45" s="96" t="s">
        <v>204</v>
      </c>
      <c r="M45" s="96"/>
      <c r="N45" s="96"/>
      <c r="O45" s="96" t="s">
        <v>232</v>
      </c>
      <c r="P45" s="96" t="s">
        <v>338</v>
      </c>
      <c r="Q45" s="100">
        <v>42892</v>
      </c>
      <c r="R45" s="96" t="s">
        <v>1202</v>
      </c>
      <c r="S45" s="96" t="s">
        <v>886</v>
      </c>
      <c r="T45" s="96" t="s">
        <v>890</v>
      </c>
      <c r="U45" s="100">
        <v>45435</v>
      </c>
      <c r="V45" s="97">
        <v>4.0202</v>
      </c>
      <c r="W45" s="97">
        <v>355.31542000000002</v>
      </c>
      <c r="X45" s="97">
        <v>1428.43904</v>
      </c>
      <c r="Y45" s="98">
        <v>2.3679999999999999E-3</v>
      </c>
      <c r="Z45" s="98">
        <v>9.5709999999999996E-3</v>
      </c>
      <c r="AA45" s="98">
        <v>7.4299999999999995E-4</v>
      </c>
      <c r="AB45" s="106"/>
    </row>
    <row r="46" spans="1:28" ht="15" customHeight="1">
      <c r="A46" s="106"/>
      <c r="B46" s="96">
        <v>286</v>
      </c>
      <c r="C46" s="96">
        <v>286</v>
      </c>
      <c r="D46" s="96" t="s">
        <v>3609</v>
      </c>
      <c r="E46" s="96"/>
      <c r="F46" s="96"/>
      <c r="G46" s="96" t="s">
        <v>3610</v>
      </c>
      <c r="H46" s="96">
        <v>691239770</v>
      </c>
      <c r="I46" s="96" t="s">
        <v>311</v>
      </c>
      <c r="J46" s="96" t="s">
        <v>1004</v>
      </c>
      <c r="K46" s="96"/>
      <c r="L46" s="96" t="s">
        <v>204</v>
      </c>
      <c r="M46" s="96"/>
      <c r="N46" s="96"/>
      <c r="O46" s="96" t="s">
        <v>295</v>
      </c>
      <c r="P46" s="96" t="s">
        <v>338</v>
      </c>
      <c r="Q46" s="100">
        <v>42339</v>
      </c>
      <c r="R46" s="96" t="s">
        <v>1201</v>
      </c>
      <c r="S46" s="96" t="s">
        <v>886</v>
      </c>
      <c r="T46" s="96" t="s">
        <v>890</v>
      </c>
      <c r="U46" s="100">
        <v>45440</v>
      </c>
      <c r="V46" s="97">
        <v>3.7589999999999999</v>
      </c>
      <c r="W46" s="97">
        <v>1053.1158800000001</v>
      </c>
      <c r="X46" s="97">
        <v>3958.6625899999999</v>
      </c>
      <c r="Y46" s="98">
        <v>1.0529999999999999E-3</v>
      </c>
      <c r="Z46" s="98">
        <v>2.6526000000000001E-2</v>
      </c>
      <c r="AA46" s="98">
        <v>2.0609999999999999E-3</v>
      </c>
      <c r="AB46" s="106"/>
    </row>
    <row r="47" spans="1:28" ht="15" customHeight="1">
      <c r="A47" s="106"/>
      <c r="B47" s="96">
        <v>286</v>
      </c>
      <c r="C47" s="96">
        <v>286</v>
      </c>
      <c r="D47" s="96" t="s">
        <v>3611</v>
      </c>
      <c r="E47" s="96"/>
      <c r="F47" s="96"/>
      <c r="G47" s="96" t="s">
        <v>3612</v>
      </c>
      <c r="H47" s="96">
        <v>291231028</v>
      </c>
      <c r="I47" s="96" t="s">
        <v>311</v>
      </c>
      <c r="J47" s="96" t="s">
        <v>1004</v>
      </c>
      <c r="K47" s="96"/>
      <c r="L47" s="96" t="s">
        <v>204</v>
      </c>
      <c r="M47" s="96"/>
      <c r="N47" s="96"/>
      <c r="O47" s="96" t="s">
        <v>223</v>
      </c>
      <c r="P47" s="96" t="s">
        <v>338</v>
      </c>
      <c r="Q47" s="100">
        <v>43044</v>
      </c>
      <c r="R47" s="96" t="s">
        <v>1201</v>
      </c>
      <c r="S47" s="96" t="s">
        <v>886</v>
      </c>
      <c r="T47" s="96" t="s">
        <v>890</v>
      </c>
      <c r="U47" s="100">
        <v>45446</v>
      </c>
      <c r="V47" s="97">
        <v>3.7589999999999999</v>
      </c>
      <c r="W47" s="97">
        <v>6.4329400000000003</v>
      </c>
      <c r="X47" s="97">
        <v>24.181439999999998</v>
      </c>
      <c r="Y47" s="98">
        <v>3.0000000000000001E-6</v>
      </c>
      <c r="Z47" s="98">
        <v>1.6200000000000001E-4</v>
      </c>
      <c r="AA47" s="98">
        <v>1.2E-5</v>
      </c>
      <c r="AB47" s="106"/>
    </row>
    <row r="48" spans="1:28" ht="15" customHeight="1">
      <c r="A48" s="106"/>
      <c r="B48" s="96">
        <v>286</v>
      </c>
      <c r="C48" s="96">
        <v>286</v>
      </c>
      <c r="D48" s="96" t="s">
        <v>3613</v>
      </c>
      <c r="E48" s="96"/>
      <c r="F48" s="96"/>
      <c r="G48" s="96" t="s">
        <v>3614</v>
      </c>
      <c r="H48" s="96">
        <v>691239775</v>
      </c>
      <c r="I48" s="96" t="s">
        <v>311</v>
      </c>
      <c r="J48" s="96" t="s">
        <v>1006</v>
      </c>
      <c r="K48" s="96"/>
      <c r="L48" s="96" t="s">
        <v>204</v>
      </c>
      <c r="M48" s="96"/>
      <c r="N48" s="96"/>
      <c r="O48" s="96" t="s">
        <v>223</v>
      </c>
      <c r="P48" s="96" t="s">
        <v>338</v>
      </c>
      <c r="Q48" s="100">
        <v>42480</v>
      </c>
      <c r="R48" s="96" t="s">
        <v>1201</v>
      </c>
      <c r="S48" s="96" t="s">
        <v>886</v>
      </c>
      <c r="T48" s="96" t="s">
        <v>890</v>
      </c>
      <c r="U48" s="100">
        <v>45439</v>
      </c>
      <c r="V48" s="97">
        <v>3.7589999999999999</v>
      </c>
      <c r="W48" s="97">
        <v>1039.1093599999999</v>
      </c>
      <c r="X48" s="97">
        <v>3906.0120700000002</v>
      </c>
      <c r="Y48" s="98">
        <v>6.9200000000000002E-4</v>
      </c>
      <c r="Z48" s="98">
        <v>2.6173999999999999E-2</v>
      </c>
      <c r="AA48" s="98">
        <v>2.0339999999999998E-3</v>
      </c>
      <c r="AB48" s="106"/>
    </row>
    <row r="49" spans="1:28" ht="15" customHeight="1">
      <c r="A49" s="106"/>
      <c r="B49" s="96">
        <v>286</v>
      </c>
      <c r="C49" s="96">
        <v>286</v>
      </c>
      <c r="D49" s="96" t="s">
        <v>3615</v>
      </c>
      <c r="E49" s="96"/>
      <c r="F49" s="96"/>
      <c r="G49" s="96" t="s">
        <v>3616</v>
      </c>
      <c r="H49" s="96">
        <v>691239741</v>
      </c>
      <c r="I49" s="96" t="s">
        <v>311</v>
      </c>
      <c r="J49" s="96" t="s">
        <v>1006</v>
      </c>
      <c r="K49" s="96"/>
      <c r="L49" s="96" t="s">
        <v>204</v>
      </c>
      <c r="M49" s="96"/>
      <c r="N49" s="96"/>
      <c r="O49" s="96" t="s">
        <v>232</v>
      </c>
      <c r="P49" s="96" t="s">
        <v>338</v>
      </c>
      <c r="Q49" s="100">
        <v>41931</v>
      </c>
      <c r="R49" s="96" t="s">
        <v>1201</v>
      </c>
      <c r="S49" s="96" t="s">
        <v>886</v>
      </c>
      <c r="T49" s="96" t="s">
        <v>890</v>
      </c>
      <c r="U49" s="100">
        <v>45291</v>
      </c>
      <c r="V49" s="97">
        <v>3.7589999999999999</v>
      </c>
      <c r="W49" s="97">
        <v>149.30355</v>
      </c>
      <c r="X49" s="97">
        <v>561.23203999999998</v>
      </c>
      <c r="Y49" s="98">
        <v>7.4600000000000003E-4</v>
      </c>
      <c r="Z49" s="98">
        <v>3.7599999999999999E-3</v>
      </c>
      <c r="AA49" s="98">
        <v>2.92E-4</v>
      </c>
      <c r="AB49" s="106"/>
    </row>
    <row r="50" spans="1:28" ht="15" customHeight="1">
      <c r="A50" s="106"/>
      <c r="B50" s="96">
        <v>286</v>
      </c>
      <c r="C50" s="96">
        <v>286</v>
      </c>
      <c r="D50" s="96" t="s">
        <v>3617</v>
      </c>
      <c r="E50" s="96"/>
      <c r="F50" s="96"/>
      <c r="G50" s="96" t="s">
        <v>3618</v>
      </c>
      <c r="H50" s="96">
        <v>291231018</v>
      </c>
      <c r="I50" s="96" t="s">
        <v>311</v>
      </c>
      <c r="J50" s="96" t="s">
        <v>1006</v>
      </c>
      <c r="K50" s="96"/>
      <c r="L50" s="96" t="s">
        <v>204</v>
      </c>
      <c r="M50" s="96"/>
      <c r="N50" s="96"/>
      <c r="O50" s="96" t="s">
        <v>223</v>
      </c>
      <c r="P50" s="96" t="s">
        <v>338</v>
      </c>
      <c r="Q50" s="100">
        <v>42879</v>
      </c>
      <c r="R50" s="96" t="s">
        <v>1201</v>
      </c>
      <c r="S50" s="96" t="s">
        <v>886</v>
      </c>
      <c r="T50" s="96" t="s">
        <v>890</v>
      </c>
      <c r="U50" s="100">
        <v>45439</v>
      </c>
      <c r="V50" s="97">
        <v>3.7589999999999999</v>
      </c>
      <c r="W50" s="97">
        <v>455.18013999999999</v>
      </c>
      <c r="X50" s="97">
        <v>1711.02214</v>
      </c>
      <c r="Y50" s="98">
        <v>1.8E-5</v>
      </c>
      <c r="Z50" s="98">
        <v>1.1464999999999999E-2</v>
      </c>
      <c r="AA50" s="98">
        <v>8.9099999999999997E-4</v>
      </c>
      <c r="AB50" s="106"/>
    </row>
    <row r="51" spans="1:28" ht="15" customHeight="1">
      <c r="A51" s="106"/>
      <c r="B51" s="96">
        <v>286</v>
      </c>
      <c r="C51" s="96">
        <v>286</v>
      </c>
      <c r="D51" s="96" t="s">
        <v>3535</v>
      </c>
      <c r="E51" s="96"/>
      <c r="F51" s="96"/>
      <c r="G51" s="96" t="s">
        <v>3619</v>
      </c>
      <c r="H51" s="96">
        <v>691239767</v>
      </c>
      <c r="I51" s="96" t="s">
        <v>311</v>
      </c>
      <c r="J51" s="96" t="s">
        <v>1002</v>
      </c>
      <c r="K51" s="96"/>
      <c r="L51" s="96" t="s">
        <v>204</v>
      </c>
      <c r="M51" s="96"/>
      <c r="N51" s="96"/>
      <c r="O51" s="96" t="s">
        <v>232</v>
      </c>
      <c r="P51" s="96" t="s">
        <v>338</v>
      </c>
      <c r="Q51" s="100">
        <v>42309</v>
      </c>
      <c r="R51" s="96" t="s">
        <v>1205</v>
      </c>
      <c r="S51" s="96" t="s">
        <v>886</v>
      </c>
      <c r="T51" s="96" t="s">
        <v>890</v>
      </c>
      <c r="U51" s="100">
        <v>45382</v>
      </c>
      <c r="V51" s="97">
        <v>4.7504999999999997</v>
      </c>
      <c r="W51" s="97">
        <v>48.360790000000001</v>
      </c>
      <c r="X51" s="97">
        <v>229.73795000000001</v>
      </c>
      <c r="Y51" s="98">
        <v>1.0660000000000001E-3</v>
      </c>
      <c r="Z51" s="98">
        <v>1.539E-3</v>
      </c>
      <c r="AA51" s="98">
        <v>1.1900000000000001E-4</v>
      </c>
      <c r="AB51" s="106"/>
    </row>
    <row r="52" spans="1:28" ht="15" customHeight="1">
      <c r="A52" s="106"/>
      <c r="B52" s="96">
        <v>286</v>
      </c>
      <c r="C52" s="96">
        <v>286</v>
      </c>
      <c r="D52" s="96" t="s">
        <v>3620</v>
      </c>
      <c r="E52" s="96"/>
      <c r="F52" s="96"/>
      <c r="G52" s="96" t="s">
        <v>3621</v>
      </c>
      <c r="H52" s="96">
        <v>291231033</v>
      </c>
      <c r="I52" s="96" t="s">
        <v>311</v>
      </c>
      <c r="J52" s="96" t="s">
        <v>1005</v>
      </c>
      <c r="K52" s="96"/>
      <c r="L52" s="96" t="s">
        <v>204</v>
      </c>
      <c r="M52" s="96"/>
      <c r="N52" s="96"/>
      <c r="O52" s="96" t="s">
        <v>223</v>
      </c>
      <c r="P52" s="96" t="s">
        <v>338</v>
      </c>
      <c r="Q52" s="100">
        <v>43116</v>
      </c>
      <c r="R52" s="96" t="s">
        <v>1201</v>
      </c>
      <c r="S52" s="96" t="s">
        <v>886</v>
      </c>
      <c r="T52" s="96" t="s">
        <v>890</v>
      </c>
      <c r="U52" s="100">
        <v>45291</v>
      </c>
      <c r="V52" s="97">
        <v>3.7589999999999999</v>
      </c>
      <c r="W52" s="97">
        <v>296.97532999999999</v>
      </c>
      <c r="X52" s="97">
        <v>1116.3302799999999</v>
      </c>
      <c r="Y52" s="98">
        <v>3.9500000000000001E-4</v>
      </c>
      <c r="Z52" s="98">
        <v>7.4799999999999997E-3</v>
      </c>
      <c r="AA52" s="98">
        <v>5.8100000000000003E-4</v>
      </c>
      <c r="AB52" s="106"/>
    </row>
    <row r="53" spans="1:28" ht="15" customHeight="1">
      <c r="A53" s="106"/>
      <c r="B53" s="96">
        <v>286</v>
      </c>
      <c r="C53" s="96">
        <v>286</v>
      </c>
      <c r="D53" s="96" t="s">
        <v>3622</v>
      </c>
      <c r="E53" s="96"/>
      <c r="F53" s="96"/>
      <c r="G53" s="96" t="s">
        <v>3623</v>
      </c>
      <c r="H53" s="96">
        <v>291231017</v>
      </c>
      <c r="I53" s="96" t="s">
        <v>311</v>
      </c>
      <c r="J53" s="96" t="s">
        <v>1006</v>
      </c>
      <c r="K53" s="96"/>
      <c r="L53" s="96" t="s">
        <v>204</v>
      </c>
      <c r="M53" s="96"/>
      <c r="N53" s="96"/>
      <c r="O53" s="96" t="s">
        <v>232</v>
      </c>
      <c r="P53" s="96" t="s">
        <v>338</v>
      </c>
      <c r="Q53" s="100">
        <v>42879</v>
      </c>
      <c r="R53" s="96" t="s">
        <v>1202</v>
      </c>
      <c r="S53" s="96" t="s">
        <v>886</v>
      </c>
      <c r="T53" s="96" t="s">
        <v>890</v>
      </c>
      <c r="U53" s="100">
        <v>45468</v>
      </c>
      <c r="V53" s="97">
        <v>4.0202</v>
      </c>
      <c r="W53" s="97">
        <v>707.47022000000004</v>
      </c>
      <c r="X53" s="97">
        <v>2844.1717699999999</v>
      </c>
      <c r="Y53" s="98">
        <v>4.5000000000000003E-5</v>
      </c>
      <c r="Z53" s="98">
        <v>1.9057999999999999E-2</v>
      </c>
      <c r="AA53" s="98">
        <v>1.4809999999999999E-3</v>
      </c>
      <c r="AB53" s="106"/>
    </row>
    <row r="54" spans="1:28" ht="15" customHeight="1">
      <c r="A54" s="106"/>
      <c r="B54" s="96">
        <v>286</v>
      </c>
      <c r="C54" s="96">
        <v>286</v>
      </c>
      <c r="D54" s="96" t="s">
        <v>3624</v>
      </c>
      <c r="E54" s="96"/>
      <c r="F54" s="96"/>
      <c r="G54" s="96" t="s">
        <v>3625</v>
      </c>
      <c r="H54" s="96">
        <v>291231008</v>
      </c>
      <c r="I54" s="96" t="s">
        <v>311</v>
      </c>
      <c r="J54" s="96" t="s">
        <v>1005</v>
      </c>
      <c r="K54" s="96"/>
      <c r="L54" s="96" t="s">
        <v>204</v>
      </c>
      <c r="M54" s="96"/>
      <c r="N54" s="96"/>
      <c r="O54" s="96" t="s">
        <v>223</v>
      </c>
      <c r="P54" s="96" t="s">
        <v>338</v>
      </c>
      <c r="Q54" s="100">
        <v>42704</v>
      </c>
      <c r="R54" s="96" t="s">
        <v>1201</v>
      </c>
      <c r="S54" s="96" t="s">
        <v>886</v>
      </c>
      <c r="T54" s="96" t="s">
        <v>890</v>
      </c>
      <c r="U54" s="100">
        <v>45291</v>
      </c>
      <c r="V54" s="97">
        <v>3.7589999999999999</v>
      </c>
      <c r="W54" s="97">
        <v>534.76896999999997</v>
      </c>
      <c r="X54" s="97">
        <v>2010.1965600000001</v>
      </c>
      <c r="Y54" s="98">
        <v>2.0100000000000001E-4</v>
      </c>
      <c r="Z54" s="98">
        <v>1.3469999999999999E-2</v>
      </c>
      <c r="AA54" s="98">
        <v>1.0460000000000001E-3</v>
      </c>
      <c r="AB54" s="106"/>
    </row>
    <row r="55" spans="1:28" ht="15" customHeight="1">
      <c r="A55" s="106"/>
      <c r="B55" s="96">
        <v>286</v>
      </c>
      <c r="C55" s="96">
        <v>14418</v>
      </c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106"/>
    </row>
    <row r="56" spans="1:28" ht="15" customHeight="1">
      <c r="A56" s="106"/>
      <c r="B56" s="96">
        <v>286</v>
      </c>
      <c r="C56" s="96">
        <v>1445</v>
      </c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106"/>
    </row>
    <row r="57" spans="1:28" ht="15" customHeight="1">
      <c r="A57" s="106"/>
      <c r="B57" s="96">
        <v>286</v>
      </c>
      <c r="C57" s="96">
        <v>1446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106"/>
    </row>
    <row r="58" spans="1:28" ht="15" customHeight="1">
      <c r="A58" s="106"/>
      <c r="B58" s="96">
        <v>286</v>
      </c>
      <c r="C58" s="96">
        <v>9803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106"/>
    </row>
    <row r="59" spans="1:28" ht="15" customHeight="1">
      <c r="A59" s="106"/>
      <c r="B59" s="105" t="s">
        <v>3767</v>
      </c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6"/>
    </row>
  </sheetData>
  <mergeCells count="4">
    <mergeCell ref="B59:AA59"/>
    <mergeCell ref="A1:A59"/>
    <mergeCell ref="B1:AA1"/>
    <mergeCell ref="AB1:AB59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D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15.75" bestFit="1" customWidth="1"/>
    <col min="5" max="5" width="9.875" bestFit="1" customWidth="1"/>
    <col min="6" max="6" width="9.125" bestFit="1" customWidth="1"/>
    <col min="7" max="7" width="13.875" bestFit="1" customWidth="1"/>
    <col min="8" max="8" width="10.875" bestFit="1" customWidth="1"/>
    <col min="9" max="9" width="11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2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10.125" bestFit="1" customWidth="1"/>
    <col min="18" max="18" width="9.875" bestFit="1" customWidth="1"/>
    <col min="19" max="19" width="11.5" bestFit="1" customWidth="1"/>
    <col min="20" max="20" width="10.875" bestFit="1" customWidth="1"/>
    <col min="21" max="21" width="10.625" bestFit="1" customWidth="1"/>
    <col min="22" max="22" width="10.875" bestFit="1" customWidth="1"/>
    <col min="23" max="23" width="7.75" bestFit="1" customWidth="1"/>
    <col min="24" max="24" width="9.875" bestFit="1" customWidth="1"/>
    <col min="25" max="25" width="11" bestFit="1" customWidth="1"/>
    <col min="26" max="26" width="8.625" bestFit="1" customWidth="1"/>
    <col min="27" max="27" width="9.5" bestFit="1" customWidth="1"/>
    <col min="28" max="28" width="11" bestFit="1" customWidth="1"/>
    <col min="29" max="29" width="10.375" bestFit="1" customWidth="1"/>
    <col min="30" max="30" width="3.125" customWidth="1"/>
  </cols>
  <sheetData>
    <row r="1" spans="1:30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6" t="s">
        <v>3766</v>
      </c>
    </row>
    <row r="2" spans="1:30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55</v>
      </c>
      <c r="K2" s="21" t="s">
        <v>69</v>
      </c>
      <c r="L2" s="21" t="s">
        <v>89</v>
      </c>
      <c r="M2" s="21" t="s">
        <v>92</v>
      </c>
      <c r="N2" s="21" t="s">
        <v>83</v>
      </c>
      <c r="O2" s="21" t="s">
        <v>93</v>
      </c>
      <c r="P2" s="21" t="s">
        <v>56</v>
      </c>
      <c r="Q2" s="21" t="s">
        <v>97</v>
      </c>
      <c r="R2" s="21" t="s">
        <v>59</v>
      </c>
      <c r="S2" s="21" t="s">
        <v>103</v>
      </c>
      <c r="T2" s="21" t="s">
        <v>104</v>
      </c>
      <c r="U2" s="21" t="s">
        <v>106</v>
      </c>
      <c r="V2" s="21" t="s">
        <v>94</v>
      </c>
      <c r="W2" s="21" t="s">
        <v>95</v>
      </c>
      <c r="X2" s="21" t="s">
        <v>76</v>
      </c>
      <c r="Y2" s="21" t="s">
        <v>77</v>
      </c>
      <c r="Z2" s="21" t="s">
        <v>61</v>
      </c>
      <c r="AA2" s="21" t="s">
        <v>63</v>
      </c>
      <c r="AB2" s="21" t="s">
        <v>64</v>
      </c>
      <c r="AC2" s="21" t="s">
        <v>65</v>
      </c>
      <c r="AD2" s="106"/>
    </row>
    <row r="3" spans="1:30" ht="15" customHeight="1">
      <c r="A3" s="106"/>
      <c r="B3" s="96">
        <v>286</v>
      </c>
      <c r="C3" s="96">
        <v>1446</v>
      </c>
      <c r="D3" s="96" t="s">
        <v>1814</v>
      </c>
      <c r="E3" s="96">
        <v>514599943</v>
      </c>
      <c r="F3" s="96" t="s">
        <v>308</v>
      </c>
      <c r="G3" s="96" t="s">
        <v>3626</v>
      </c>
      <c r="H3" s="96">
        <v>9272070</v>
      </c>
      <c r="I3" s="96" t="s">
        <v>311</v>
      </c>
      <c r="J3" s="96" t="s">
        <v>203</v>
      </c>
      <c r="K3" s="96" t="s">
        <v>203</v>
      </c>
      <c r="L3" s="96" t="s">
        <v>325</v>
      </c>
      <c r="M3" s="96" t="s">
        <v>2463</v>
      </c>
      <c r="N3" s="96" t="s">
        <v>470</v>
      </c>
      <c r="O3" s="100">
        <v>45658</v>
      </c>
      <c r="P3" s="96" t="s">
        <v>338</v>
      </c>
      <c r="Q3" s="100">
        <v>45296</v>
      </c>
      <c r="R3" s="96" t="s">
        <v>1200</v>
      </c>
      <c r="S3" s="96" t="s">
        <v>885</v>
      </c>
      <c r="T3" s="96" t="s">
        <v>890</v>
      </c>
      <c r="U3" s="100">
        <v>45473</v>
      </c>
      <c r="V3" s="97">
        <v>11200</v>
      </c>
      <c r="W3" s="97">
        <v>0.01</v>
      </c>
      <c r="X3" s="97">
        <v>103.121522</v>
      </c>
      <c r="Y3" s="97">
        <v>266.642</v>
      </c>
      <c r="Z3" s="97">
        <v>1</v>
      </c>
      <c r="AA3" s="97">
        <v>0.27496500000000001</v>
      </c>
      <c r="AB3" s="98">
        <v>1</v>
      </c>
      <c r="AC3" s="98">
        <v>3.9999999999999998E-6</v>
      </c>
      <c r="AD3" s="106"/>
    </row>
    <row r="4" spans="1:30" ht="15" customHeight="1">
      <c r="A4" s="106"/>
      <c r="B4" s="96">
        <v>286</v>
      </c>
      <c r="C4" s="96">
        <v>286</v>
      </c>
      <c r="D4" s="96" t="s">
        <v>1814</v>
      </c>
      <c r="E4" s="96">
        <v>514599943</v>
      </c>
      <c r="F4" s="96" t="s">
        <v>308</v>
      </c>
      <c r="G4" s="96" t="s">
        <v>3626</v>
      </c>
      <c r="H4" s="96">
        <v>9272070</v>
      </c>
      <c r="I4" s="96" t="s">
        <v>311</v>
      </c>
      <c r="J4" s="96" t="s">
        <v>203</v>
      </c>
      <c r="K4" s="96" t="s">
        <v>203</v>
      </c>
      <c r="L4" s="96" t="s">
        <v>325</v>
      </c>
      <c r="M4" s="96" t="s">
        <v>2463</v>
      </c>
      <c r="N4" s="96" t="s">
        <v>470</v>
      </c>
      <c r="O4" s="100">
        <v>45658</v>
      </c>
      <c r="P4" s="96" t="s">
        <v>338</v>
      </c>
      <c r="Q4" s="100">
        <v>45296</v>
      </c>
      <c r="R4" s="96" t="s">
        <v>1200</v>
      </c>
      <c r="S4" s="96" t="s">
        <v>885</v>
      </c>
      <c r="T4" s="96" t="s">
        <v>890</v>
      </c>
      <c r="U4" s="100">
        <v>45473</v>
      </c>
      <c r="V4" s="97">
        <v>11200</v>
      </c>
      <c r="W4" s="97">
        <v>0.01</v>
      </c>
      <c r="X4" s="97">
        <v>1266.8851090000001</v>
      </c>
      <c r="Y4" s="97">
        <v>266.642</v>
      </c>
      <c r="Z4" s="97">
        <v>1</v>
      </c>
      <c r="AA4" s="97">
        <v>3.378047</v>
      </c>
      <c r="AB4" s="98">
        <v>1</v>
      </c>
      <c r="AC4" s="98">
        <v>9.9999999999999995E-7</v>
      </c>
      <c r="AD4" s="106"/>
    </row>
    <row r="5" spans="1:30" ht="15" customHeight="1">
      <c r="A5" s="106"/>
      <c r="B5" s="96">
        <v>286</v>
      </c>
      <c r="C5" s="96">
        <v>9803</v>
      </c>
      <c r="D5" s="96" t="s">
        <v>1814</v>
      </c>
      <c r="E5" s="96">
        <v>514599943</v>
      </c>
      <c r="F5" s="96" t="s">
        <v>308</v>
      </c>
      <c r="G5" s="96" t="s">
        <v>3626</v>
      </c>
      <c r="H5" s="96">
        <v>9272070</v>
      </c>
      <c r="I5" s="96" t="s">
        <v>311</v>
      </c>
      <c r="J5" s="96" t="s">
        <v>203</v>
      </c>
      <c r="K5" s="96" t="s">
        <v>203</v>
      </c>
      <c r="L5" s="96" t="s">
        <v>325</v>
      </c>
      <c r="M5" s="96" t="s">
        <v>2463</v>
      </c>
      <c r="N5" s="96" t="s">
        <v>470</v>
      </c>
      <c r="O5" s="100">
        <v>45658</v>
      </c>
      <c r="P5" s="96" t="s">
        <v>338</v>
      </c>
      <c r="Q5" s="100">
        <v>45296</v>
      </c>
      <c r="R5" s="96" t="s">
        <v>1200</v>
      </c>
      <c r="S5" s="96" t="s">
        <v>885</v>
      </c>
      <c r="T5" s="96" t="s">
        <v>890</v>
      </c>
      <c r="U5" s="100">
        <v>45473</v>
      </c>
      <c r="V5" s="97">
        <v>11200</v>
      </c>
      <c r="W5" s="97">
        <v>0.01</v>
      </c>
      <c r="X5" s="97">
        <v>13.585207</v>
      </c>
      <c r="Y5" s="97">
        <v>266.642</v>
      </c>
      <c r="Z5" s="97">
        <v>1</v>
      </c>
      <c r="AA5" s="97">
        <v>3.6222999999999998E-2</v>
      </c>
      <c r="AB5" s="98">
        <v>1</v>
      </c>
      <c r="AC5" s="98">
        <v>1.9999999999999999E-6</v>
      </c>
      <c r="AD5" s="106"/>
    </row>
    <row r="6" spans="1:30" ht="15" customHeight="1">
      <c r="A6" s="106"/>
      <c r="B6" s="96">
        <v>286</v>
      </c>
      <c r="C6" s="96">
        <v>14418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106"/>
    </row>
    <row r="7" spans="1:30" ht="15" customHeight="1">
      <c r="A7" s="106"/>
      <c r="B7" s="96">
        <v>286</v>
      </c>
      <c r="C7" s="96">
        <v>1445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106"/>
    </row>
    <row r="8" spans="1:30" ht="15" customHeight="1">
      <c r="A8" s="106"/>
      <c r="B8" s="105" t="s">
        <v>3767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6"/>
    </row>
  </sheetData>
  <mergeCells count="4">
    <mergeCell ref="B8:AC8"/>
    <mergeCell ref="A1:A8"/>
    <mergeCell ref="B1:AC1"/>
    <mergeCell ref="AD1:AD8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D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18.25" bestFit="1" customWidth="1"/>
    <col min="5" max="5" width="9.875" bestFit="1" customWidth="1"/>
    <col min="6" max="6" width="9.125" bestFit="1" customWidth="1"/>
    <col min="7" max="7" width="21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11.5" bestFit="1" customWidth="1"/>
    <col min="14" max="14" width="18.125" bestFit="1" customWidth="1"/>
    <col min="15" max="15" width="10.125" bestFit="1" customWidth="1"/>
    <col min="16" max="16" width="9.625" bestFit="1" customWidth="1"/>
    <col min="17" max="17" width="10.125" bestFit="1" customWidth="1"/>
    <col min="18" max="18" width="9.875" bestFit="1" customWidth="1"/>
    <col min="19" max="19" width="11.5" bestFit="1" customWidth="1"/>
    <col min="20" max="20" width="10.875" bestFit="1" customWidth="1"/>
    <col min="21" max="21" width="10.625" bestFit="1" customWidth="1"/>
    <col min="22" max="22" width="8.625" bestFit="1" customWidth="1"/>
    <col min="23" max="23" width="7.75" bestFit="1" customWidth="1"/>
    <col min="24" max="24" width="7.5" bestFit="1" customWidth="1"/>
    <col min="25" max="25" width="11" bestFit="1" customWidth="1"/>
    <col min="26" max="26" width="8.625" bestFit="1" customWidth="1"/>
    <col min="27" max="27" width="7.375" bestFit="1" customWidth="1"/>
    <col min="28" max="28" width="11" bestFit="1" customWidth="1"/>
    <col min="29" max="29" width="10.375" bestFit="1" customWidth="1"/>
    <col min="30" max="30" width="3.125" customWidth="1"/>
  </cols>
  <sheetData>
    <row r="1" spans="1:30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6" t="s">
        <v>3766</v>
      </c>
    </row>
    <row r="2" spans="1:30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83</v>
      </c>
      <c r="N2" s="21" t="s">
        <v>96</v>
      </c>
      <c r="O2" s="21" t="s">
        <v>93</v>
      </c>
      <c r="P2" s="21" t="s">
        <v>56</v>
      </c>
      <c r="Q2" s="21" t="s">
        <v>97</v>
      </c>
      <c r="R2" s="21" t="s">
        <v>59</v>
      </c>
      <c r="S2" s="21" t="s">
        <v>103</v>
      </c>
      <c r="T2" s="21" t="s">
        <v>104</v>
      </c>
      <c r="U2" s="21" t="s">
        <v>106</v>
      </c>
      <c r="V2" s="21" t="s">
        <v>94</v>
      </c>
      <c r="W2" s="21" t="s">
        <v>95</v>
      </c>
      <c r="X2" s="21" t="s">
        <v>76</v>
      </c>
      <c r="Y2" s="21" t="s">
        <v>77</v>
      </c>
      <c r="Z2" s="21" t="s">
        <v>61</v>
      </c>
      <c r="AA2" s="21" t="s">
        <v>119</v>
      </c>
      <c r="AB2" s="21" t="s">
        <v>64</v>
      </c>
      <c r="AC2" s="21" t="s">
        <v>65</v>
      </c>
      <c r="AD2" s="106"/>
    </row>
    <row r="3" spans="1:30" ht="15" customHeight="1">
      <c r="A3" s="106"/>
      <c r="B3" s="96">
        <v>286</v>
      </c>
      <c r="C3" s="96">
        <v>1446</v>
      </c>
      <c r="D3" s="96" t="s">
        <v>1209</v>
      </c>
      <c r="E3" s="96">
        <v>520000522</v>
      </c>
      <c r="F3" s="96" t="s">
        <v>308</v>
      </c>
      <c r="G3" s="96" t="s">
        <v>3627</v>
      </c>
      <c r="H3" s="96" t="s">
        <v>3628</v>
      </c>
      <c r="I3" s="96" t="s">
        <v>136</v>
      </c>
      <c r="J3" s="96" t="s">
        <v>972</v>
      </c>
      <c r="K3" s="96" t="s">
        <v>203</v>
      </c>
      <c r="L3" s="96" t="s">
        <v>203</v>
      </c>
      <c r="M3" s="96" t="s">
        <v>483</v>
      </c>
      <c r="N3" s="96" t="s">
        <v>746</v>
      </c>
      <c r="O3" s="100">
        <v>45833</v>
      </c>
      <c r="P3" s="96" t="s">
        <v>338</v>
      </c>
      <c r="Q3" s="100">
        <v>45468</v>
      </c>
      <c r="R3" s="96" t="s">
        <v>1200</v>
      </c>
      <c r="S3" s="96" t="s">
        <v>885</v>
      </c>
      <c r="T3" s="96" t="s">
        <v>890</v>
      </c>
      <c r="U3" s="100">
        <v>45473</v>
      </c>
      <c r="V3" s="97">
        <v>1E-4</v>
      </c>
      <c r="W3" s="97">
        <v>1</v>
      </c>
      <c r="X3" s="97">
        <v>3.8300179999999999</v>
      </c>
      <c r="Y3" s="97">
        <v>1320</v>
      </c>
      <c r="Z3" s="97">
        <v>1</v>
      </c>
      <c r="AA3" s="97">
        <v>5.0556229999999998</v>
      </c>
      <c r="AB3" s="98">
        <v>1</v>
      </c>
      <c r="AC3" s="98">
        <v>8.1000000000000004E-5</v>
      </c>
      <c r="AD3" s="106"/>
    </row>
    <row r="4" spans="1:30" ht="15" customHeight="1">
      <c r="A4" s="106"/>
      <c r="B4" s="96">
        <v>286</v>
      </c>
      <c r="C4" s="96">
        <v>286</v>
      </c>
      <c r="D4" s="96" t="s">
        <v>1209</v>
      </c>
      <c r="E4" s="96">
        <v>520000522</v>
      </c>
      <c r="F4" s="96" t="s">
        <v>308</v>
      </c>
      <c r="G4" s="96" t="s">
        <v>3627</v>
      </c>
      <c r="H4" s="96" t="s">
        <v>3628</v>
      </c>
      <c r="I4" s="96" t="s">
        <v>136</v>
      </c>
      <c r="J4" s="96" t="s">
        <v>972</v>
      </c>
      <c r="K4" s="96" t="s">
        <v>203</v>
      </c>
      <c r="L4" s="96" t="s">
        <v>203</v>
      </c>
      <c r="M4" s="96" t="s">
        <v>483</v>
      </c>
      <c r="N4" s="96" t="s">
        <v>746</v>
      </c>
      <c r="O4" s="100">
        <v>45833</v>
      </c>
      <c r="P4" s="96" t="s">
        <v>338</v>
      </c>
      <c r="Q4" s="100">
        <v>45468</v>
      </c>
      <c r="R4" s="96" t="s">
        <v>1200</v>
      </c>
      <c r="S4" s="96" t="s">
        <v>885</v>
      </c>
      <c r="T4" s="96" t="s">
        <v>890</v>
      </c>
      <c r="U4" s="100">
        <v>45473</v>
      </c>
      <c r="V4" s="97">
        <v>1E-4</v>
      </c>
      <c r="W4" s="97">
        <v>1</v>
      </c>
      <c r="X4" s="97">
        <v>47.053153000000002</v>
      </c>
      <c r="Y4" s="97">
        <v>1320</v>
      </c>
      <c r="Z4" s="97">
        <v>1</v>
      </c>
      <c r="AA4" s="97">
        <v>62.110163</v>
      </c>
      <c r="AB4" s="98">
        <v>1</v>
      </c>
      <c r="AC4" s="98">
        <v>3.1999999999999999E-5</v>
      </c>
      <c r="AD4" s="106"/>
    </row>
    <row r="5" spans="1:30" ht="15" customHeight="1">
      <c r="A5" s="106"/>
      <c r="B5" s="96">
        <v>286</v>
      </c>
      <c r="C5" s="96">
        <v>9803</v>
      </c>
      <c r="D5" s="96" t="s">
        <v>1209</v>
      </c>
      <c r="E5" s="96">
        <v>520000522</v>
      </c>
      <c r="F5" s="96" t="s">
        <v>308</v>
      </c>
      <c r="G5" s="96" t="s">
        <v>3627</v>
      </c>
      <c r="H5" s="96" t="s">
        <v>3628</v>
      </c>
      <c r="I5" s="96" t="s">
        <v>136</v>
      </c>
      <c r="J5" s="96" t="s">
        <v>972</v>
      </c>
      <c r="K5" s="96" t="s">
        <v>203</v>
      </c>
      <c r="L5" s="96" t="s">
        <v>203</v>
      </c>
      <c r="M5" s="96" t="s">
        <v>483</v>
      </c>
      <c r="N5" s="96" t="s">
        <v>746</v>
      </c>
      <c r="O5" s="100">
        <v>45833</v>
      </c>
      <c r="P5" s="96" t="s">
        <v>338</v>
      </c>
      <c r="Q5" s="100">
        <v>45468</v>
      </c>
      <c r="R5" s="96" t="s">
        <v>1200</v>
      </c>
      <c r="S5" s="96" t="s">
        <v>885</v>
      </c>
      <c r="T5" s="96" t="s">
        <v>890</v>
      </c>
      <c r="U5" s="100">
        <v>45473</v>
      </c>
      <c r="V5" s="97">
        <v>1E-4</v>
      </c>
      <c r="W5" s="97">
        <v>1</v>
      </c>
      <c r="X5" s="97">
        <v>0.50456500000000004</v>
      </c>
      <c r="Y5" s="97">
        <v>1320</v>
      </c>
      <c r="Z5" s="97">
        <v>1</v>
      </c>
      <c r="AA5" s="97">
        <v>0.66602600000000001</v>
      </c>
      <c r="AB5" s="98">
        <v>1</v>
      </c>
      <c r="AC5" s="98">
        <v>3.8999999999999999E-5</v>
      </c>
      <c r="AD5" s="106"/>
    </row>
    <row r="6" spans="1:30" ht="15" customHeight="1">
      <c r="A6" s="106"/>
      <c r="B6" s="96">
        <v>286</v>
      </c>
      <c r="C6" s="96">
        <v>14418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106"/>
    </row>
    <row r="7" spans="1:30" ht="15" customHeight="1">
      <c r="A7" s="106"/>
      <c r="B7" s="96">
        <v>286</v>
      </c>
      <c r="C7" s="96">
        <v>1445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106"/>
    </row>
    <row r="8" spans="1:30" ht="15" customHeight="1">
      <c r="A8" s="106"/>
      <c r="B8" s="105" t="s">
        <v>3767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6"/>
    </row>
  </sheetData>
  <mergeCells count="4">
    <mergeCell ref="B8:AC8"/>
    <mergeCell ref="A1:A8"/>
    <mergeCell ref="B1:AC1"/>
    <mergeCell ref="AD1:AD8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Q115"/>
  <sheetViews>
    <sheetView rightToLeft="1" workbookViewId="0">
      <selection sqref="A1:A115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30.375" bestFit="1" customWidth="1"/>
    <col min="5" max="5" width="9.625" bestFit="1" customWidth="1"/>
    <col min="6" max="6" width="10.375" bestFit="1" customWidth="1"/>
    <col min="7" max="7" width="8.625" bestFit="1" customWidth="1"/>
    <col min="8" max="8" width="15.125" bestFit="1" customWidth="1"/>
    <col min="9" max="9" width="11.875" bestFit="1" customWidth="1"/>
    <col min="10" max="10" width="11.625" customWidth="1"/>
    <col min="11" max="11" width="10.875" bestFit="1" customWidth="1"/>
    <col min="12" max="12" width="9.625" bestFit="1" customWidth="1"/>
    <col min="13" max="13" width="10.375" bestFit="1" customWidth="1"/>
    <col min="14" max="14" width="8.625" bestFit="1" customWidth="1"/>
    <col min="15" max="15" width="15.5" bestFit="1" customWidth="1"/>
    <col min="16" max="16" width="11.875" bestFit="1" customWidth="1"/>
    <col min="17" max="17" width="11.625" customWidth="1"/>
    <col min="18" max="18" width="11.5" bestFit="1" customWidth="1"/>
    <col min="19" max="19" width="11" bestFit="1" customWidth="1"/>
    <col min="20" max="20" width="8.75" bestFit="1" customWidth="1"/>
    <col min="21" max="21" width="10.75" bestFit="1" customWidth="1"/>
    <col min="22" max="22" width="18.125" bestFit="1" customWidth="1"/>
    <col min="23" max="23" width="15" bestFit="1" customWidth="1"/>
    <col min="24" max="24" width="11.5" bestFit="1" customWidth="1"/>
    <col min="25" max="25" width="11" bestFit="1" customWidth="1"/>
    <col min="26" max="26" width="9.625" bestFit="1" customWidth="1"/>
    <col min="27" max="27" width="9.875" bestFit="1" customWidth="1"/>
    <col min="28" max="29" width="10.75" bestFit="1" customWidth="1"/>
    <col min="30" max="30" width="9.875" bestFit="1" customWidth="1"/>
    <col min="31" max="31" width="11.375" bestFit="1" customWidth="1"/>
    <col min="32" max="32" width="8.375" bestFit="1" customWidth="1"/>
    <col min="33" max="33" width="13.125" bestFit="1" customWidth="1"/>
    <col min="34" max="34" width="10.5" bestFit="1" customWidth="1"/>
    <col min="35" max="35" width="9.75" bestFit="1" customWidth="1"/>
    <col min="36" max="36" width="10.375" bestFit="1" customWidth="1"/>
    <col min="37" max="37" width="9.25" bestFit="1" customWidth="1"/>
    <col min="38" max="38" width="11" bestFit="1" customWidth="1"/>
    <col min="39" max="39" width="9.5" bestFit="1" customWidth="1"/>
    <col min="40" max="40" width="11.125" bestFit="1" customWidth="1"/>
    <col min="41" max="41" width="11" bestFit="1" customWidth="1"/>
    <col min="42" max="42" width="10.375" bestFit="1" customWidth="1"/>
    <col min="43" max="43" width="3.125" customWidth="1"/>
  </cols>
  <sheetData>
    <row r="1" spans="1:43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6" t="s">
        <v>3766</v>
      </c>
    </row>
    <row r="2" spans="1:43" ht="66.75" customHeight="1">
      <c r="A2" s="106"/>
      <c r="B2" s="21" t="s">
        <v>49</v>
      </c>
      <c r="C2" s="21" t="s">
        <v>50</v>
      </c>
      <c r="D2" s="21" t="s">
        <v>54</v>
      </c>
      <c r="E2" s="21" t="s">
        <v>120</v>
      </c>
      <c r="F2" s="21" t="s">
        <v>121</v>
      </c>
      <c r="G2" s="21" t="s">
        <v>61</v>
      </c>
      <c r="H2" s="21" t="s">
        <v>122</v>
      </c>
      <c r="I2" s="21" t="s">
        <v>123</v>
      </c>
      <c r="J2" s="21" t="s">
        <v>124</v>
      </c>
      <c r="K2" s="21" t="s">
        <v>125</v>
      </c>
      <c r="L2" s="21" t="s">
        <v>126</v>
      </c>
      <c r="M2" s="21" t="s">
        <v>127</v>
      </c>
      <c r="N2" s="21" t="s">
        <v>61</v>
      </c>
      <c r="O2" s="21" t="s">
        <v>128</v>
      </c>
      <c r="P2" s="21" t="s">
        <v>129</v>
      </c>
      <c r="Q2" s="21" t="s">
        <v>130</v>
      </c>
      <c r="R2" s="21" t="s">
        <v>131</v>
      </c>
      <c r="S2" s="21" t="s">
        <v>132</v>
      </c>
      <c r="T2" s="21" t="s">
        <v>55</v>
      </c>
      <c r="U2" s="21" t="s">
        <v>69</v>
      </c>
      <c r="V2" s="21" t="s">
        <v>133</v>
      </c>
      <c r="W2" s="21" t="s">
        <v>134</v>
      </c>
      <c r="X2" s="21" t="s">
        <v>135</v>
      </c>
      <c r="Y2" s="21" t="s">
        <v>136</v>
      </c>
      <c r="Z2" s="21" t="s">
        <v>56</v>
      </c>
      <c r="AA2" s="21" t="s">
        <v>137</v>
      </c>
      <c r="AB2" s="21" t="s">
        <v>138</v>
      </c>
      <c r="AC2" s="21" t="s">
        <v>139</v>
      </c>
      <c r="AD2" s="21" t="s">
        <v>140</v>
      </c>
      <c r="AE2" s="21" t="s">
        <v>141</v>
      </c>
      <c r="AF2" s="21" t="s">
        <v>142</v>
      </c>
      <c r="AG2" s="21" t="s">
        <v>85</v>
      </c>
      <c r="AH2" s="21" t="s">
        <v>143</v>
      </c>
      <c r="AI2" s="95" t="s">
        <v>144</v>
      </c>
      <c r="AJ2" s="21" t="s">
        <v>145</v>
      </c>
      <c r="AK2" s="99" t="s">
        <v>146</v>
      </c>
      <c r="AL2" s="21" t="s">
        <v>147</v>
      </c>
      <c r="AM2" s="95" t="s">
        <v>148</v>
      </c>
      <c r="AN2" s="21" t="s">
        <v>149</v>
      </c>
      <c r="AO2" s="21" t="s">
        <v>64</v>
      </c>
      <c r="AP2" s="21" t="s">
        <v>65</v>
      </c>
      <c r="AQ2" s="106"/>
    </row>
    <row r="3" spans="1:43" ht="15" customHeight="1">
      <c r="A3" s="106"/>
      <c r="B3" s="96">
        <v>286</v>
      </c>
      <c r="C3" s="96">
        <v>1445</v>
      </c>
      <c r="D3" s="96" t="s">
        <v>1017</v>
      </c>
      <c r="E3" s="96">
        <v>77136058</v>
      </c>
      <c r="F3" s="96" t="s">
        <v>1201</v>
      </c>
      <c r="G3" s="97">
        <v>3.7589999999999999</v>
      </c>
      <c r="H3" s="97">
        <v>-17933.554690000001</v>
      </c>
      <c r="I3" s="97">
        <v>-17.931761000000002</v>
      </c>
      <c r="J3" s="98">
        <v>469.875291</v>
      </c>
      <c r="K3" s="98">
        <v>-1.2830000000000001E-3</v>
      </c>
      <c r="L3" s="96">
        <v>77136059</v>
      </c>
      <c r="M3" s="96" t="s">
        <v>1200</v>
      </c>
      <c r="N3" s="97">
        <v>1</v>
      </c>
      <c r="O3" s="97">
        <v>67268.763644999999</v>
      </c>
      <c r="P3" s="97">
        <v>67.262035999999995</v>
      </c>
      <c r="Q3" s="98">
        <v>-468.875291</v>
      </c>
      <c r="R3" s="98">
        <v>1.2800000000000001E-3</v>
      </c>
      <c r="S3" s="97">
        <v>-0.143454</v>
      </c>
      <c r="T3" s="96" t="s">
        <v>203</v>
      </c>
      <c r="U3" s="96" t="s">
        <v>203</v>
      </c>
      <c r="V3" s="96" t="s">
        <v>745</v>
      </c>
      <c r="W3" s="96" t="s">
        <v>916</v>
      </c>
      <c r="X3" s="96" t="s">
        <v>929</v>
      </c>
      <c r="Y3" s="96" t="s">
        <v>3629</v>
      </c>
      <c r="Z3" s="96" t="s">
        <v>338</v>
      </c>
      <c r="AA3" s="100">
        <v>45470</v>
      </c>
      <c r="AB3" s="100">
        <v>45474</v>
      </c>
      <c r="AC3" s="96" t="s">
        <v>897</v>
      </c>
      <c r="AD3" s="96" t="s">
        <v>899</v>
      </c>
      <c r="AE3" s="96" t="s">
        <v>911</v>
      </c>
      <c r="AF3" s="96" t="s">
        <v>914</v>
      </c>
      <c r="AG3" s="96" t="s">
        <v>897</v>
      </c>
      <c r="AH3" s="96" t="s">
        <v>897</v>
      </c>
      <c r="AI3" s="98"/>
      <c r="AJ3" s="97">
        <v>3.7549999999999999</v>
      </c>
      <c r="AK3" s="97"/>
      <c r="AL3" s="96"/>
      <c r="AM3" s="98"/>
      <c r="AN3" s="96" t="s">
        <v>3630</v>
      </c>
      <c r="AO3" s="98">
        <v>1.523E-3</v>
      </c>
      <c r="AP3" s="98">
        <v>-1.9999999999999999E-6</v>
      </c>
      <c r="AQ3" s="106"/>
    </row>
    <row r="4" spans="1:43" ht="15" customHeight="1">
      <c r="A4" s="106"/>
      <c r="B4" s="96">
        <v>286</v>
      </c>
      <c r="C4" s="96">
        <v>1445</v>
      </c>
      <c r="D4" s="96" t="s">
        <v>1020</v>
      </c>
      <c r="E4" s="96">
        <v>86123386</v>
      </c>
      <c r="F4" s="96" t="s">
        <v>1202</v>
      </c>
      <c r="G4" s="97">
        <v>4.0202</v>
      </c>
      <c r="H4" s="97">
        <v>-3496.9932210000002</v>
      </c>
      <c r="I4" s="97">
        <v>-3.535803</v>
      </c>
      <c r="J4" s="98">
        <v>-490.32890600000002</v>
      </c>
      <c r="K4" s="98">
        <v>-2.7E-4</v>
      </c>
      <c r="L4" s="96">
        <v>86123387</v>
      </c>
      <c r="M4" s="96" t="s">
        <v>1201</v>
      </c>
      <c r="N4" s="97">
        <v>3.7589999999999999</v>
      </c>
      <c r="O4" s="97">
        <v>3751.705465</v>
      </c>
      <c r="P4" s="97">
        <v>3.7892049999999999</v>
      </c>
      <c r="Q4" s="98">
        <v>491.32890600000002</v>
      </c>
      <c r="R4" s="98">
        <v>2.7099999999999997E-4</v>
      </c>
      <c r="S4" s="97">
        <v>2.8989999999999998E-2</v>
      </c>
      <c r="T4" s="96" t="s">
        <v>203</v>
      </c>
      <c r="U4" s="96" t="s">
        <v>203</v>
      </c>
      <c r="V4" s="96" t="s">
        <v>745</v>
      </c>
      <c r="W4" s="96" t="s">
        <v>916</v>
      </c>
      <c r="X4" s="96" t="s">
        <v>929</v>
      </c>
      <c r="Y4" s="96" t="s">
        <v>3631</v>
      </c>
      <c r="Z4" s="96" t="s">
        <v>338</v>
      </c>
      <c r="AA4" s="100">
        <v>45467</v>
      </c>
      <c r="AB4" s="100">
        <v>47296</v>
      </c>
      <c r="AC4" s="96" t="s">
        <v>894</v>
      </c>
      <c r="AD4" s="96" t="s">
        <v>898</v>
      </c>
      <c r="AE4" s="96" t="s">
        <v>911</v>
      </c>
      <c r="AF4" s="96" t="s">
        <v>914</v>
      </c>
      <c r="AG4" s="96" t="s">
        <v>905</v>
      </c>
      <c r="AH4" s="96"/>
      <c r="AI4" s="96"/>
      <c r="AJ4" s="97">
        <v>3.9950000000000001</v>
      </c>
      <c r="AK4" s="96"/>
      <c r="AL4" s="96"/>
      <c r="AM4" s="96"/>
      <c r="AN4" s="96" t="s">
        <v>3632</v>
      </c>
      <c r="AO4" s="98">
        <v>-3.0699999999999998E-4</v>
      </c>
      <c r="AP4" s="98">
        <v>0</v>
      </c>
      <c r="AQ4" s="106"/>
    </row>
    <row r="5" spans="1:43" ht="15" customHeight="1">
      <c r="A5" s="106"/>
      <c r="B5" s="96">
        <v>286</v>
      </c>
      <c r="C5" s="96">
        <v>1445</v>
      </c>
      <c r="D5" s="96" t="s">
        <v>1019</v>
      </c>
      <c r="E5" s="96">
        <v>86123216</v>
      </c>
      <c r="F5" s="96" t="s">
        <v>1200</v>
      </c>
      <c r="G5" s="97">
        <v>1</v>
      </c>
      <c r="H5" s="97">
        <v>-186807.861363</v>
      </c>
      <c r="I5" s="97">
        <v>-195.02897100000001</v>
      </c>
      <c r="J5" s="98">
        <v>53.818094000000002</v>
      </c>
      <c r="K5" s="98">
        <v>-3.7130000000000002E-3</v>
      </c>
      <c r="L5" s="96">
        <v>86123217</v>
      </c>
      <c r="M5" s="96" t="s">
        <v>1200</v>
      </c>
      <c r="N5" s="97">
        <v>1</v>
      </c>
      <c r="O5" s="97">
        <v>186807.861363</v>
      </c>
      <c r="P5" s="97">
        <v>191.40511599999999</v>
      </c>
      <c r="Q5" s="98">
        <v>-52.818094000000002</v>
      </c>
      <c r="R5" s="98">
        <v>3.6440000000000001E-3</v>
      </c>
      <c r="S5" s="97">
        <v>-3.6238549999999998</v>
      </c>
      <c r="T5" s="96" t="s">
        <v>203</v>
      </c>
      <c r="U5" s="96" t="s">
        <v>203</v>
      </c>
      <c r="V5" s="96" t="s">
        <v>750</v>
      </c>
      <c r="W5" s="96" t="s">
        <v>916</v>
      </c>
      <c r="X5" s="96" t="s">
        <v>928</v>
      </c>
      <c r="Y5" s="96" t="s">
        <v>3633</v>
      </c>
      <c r="Z5" s="96" t="s">
        <v>338</v>
      </c>
      <c r="AA5" s="100">
        <v>44762</v>
      </c>
      <c r="AB5" s="100">
        <v>45495</v>
      </c>
      <c r="AC5" s="96" t="s">
        <v>896</v>
      </c>
      <c r="AD5" s="96" t="s">
        <v>899</v>
      </c>
      <c r="AE5" s="96" t="s">
        <v>911</v>
      </c>
      <c r="AF5" s="96" t="s">
        <v>914</v>
      </c>
      <c r="AG5" s="96" t="s">
        <v>900</v>
      </c>
      <c r="AH5" s="96" t="s">
        <v>896</v>
      </c>
      <c r="AI5" s="96"/>
      <c r="AJ5" s="97">
        <v>100</v>
      </c>
      <c r="AK5" s="96"/>
      <c r="AL5" s="96"/>
      <c r="AM5" s="96"/>
      <c r="AN5" s="96" t="s">
        <v>3634</v>
      </c>
      <c r="AO5" s="98">
        <v>3.8482000000000002E-2</v>
      </c>
      <c r="AP5" s="98">
        <v>-6.8999999999999997E-5</v>
      </c>
      <c r="AQ5" s="106"/>
    </row>
    <row r="6" spans="1:43" ht="15" customHeight="1">
      <c r="A6" s="106"/>
      <c r="B6" s="96">
        <v>286</v>
      </c>
      <c r="C6" s="96">
        <v>1445</v>
      </c>
      <c r="D6" s="96" t="s">
        <v>1020</v>
      </c>
      <c r="E6" s="96">
        <v>86123136</v>
      </c>
      <c r="F6" s="96" t="s">
        <v>1202</v>
      </c>
      <c r="G6" s="97">
        <v>4.0202</v>
      </c>
      <c r="H6" s="97">
        <v>-4856.9350299999996</v>
      </c>
      <c r="I6" s="97">
        <v>-4.9764629999999999</v>
      </c>
      <c r="J6" s="98">
        <v>28.317308000000001</v>
      </c>
      <c r="K6" s="98">
        <v>-3.8000000000000002E-4</v>
      </c>
      <c r="L6" s="96">
        <v>86123137</v>
      </c>
      <c r="M6" s="96" t="s">
        <v>1201</v>
      </c>
      <c r="N6" s="97">
        <v>3.7589999999999999</v>
      </c>
      <c r="O6" s="97">
        <v>5236.2616559999997</v>
      </c>
      <c r="P6" s="97">
        <v>5.134309</v>
      </c>
      <c r="Q6" s="98">
        <v>-27.317308000000001</v>
      </c>
      <c r="R6" s="98">
        <v>3.6699999999999998E-4</v>
      </c>
      <c r="S6" s="97">
        <v>-0.706507</v>
      </c>
      <c r="T6" s="96" t="s">
        <v>203</v>
      </c>
      <c r="U6" s="96" t="s">
        <v>203</v>
      </c>
      <c r="V6" s="96" t="s">
        <v>745</v>
      </c>
      <c r="W6" s="96" t="s">
        <v>916</v>
      </c>
      <c r="X6" s="96" t="s">
        <v>930</v>
      </c>
      <c r="Y6" s="96" t="s">
        <v>3635</v>
      </c>
      <c r="Z6" s="96" t="s">
        <v>338</v>
      </c>
      <c r="AA6" s="100">
        <v>43928</v>
      </c>
      <c r="AB6" s="100">
        <v>45762</v>
      </c>
      <c r="AC6" s="96" t="s">
        <v>894</v>
      </c>
      <c r="AD6" s="96" t="s">
        <v>898</v>
      </c>
      <c r="AE6" s="96" t="s">
        <v>911</v>
      </c>
      <c r="AF6" s="96" t="s">
        <v>914</v>
      </c>
      <c r="AG6" s="96" t="s">
        <v>897</v>
      </c>
      <c r="AH6" s="96" t="s">
        <v>897</v>
      </c>
      <c r="AI6" s="96"/>
      <c r="AJ6" s="97">
        <v>3.9195000000000002</v>
      </c>
      <c r="AK6" s="96"/>
      <c r="AL6" s="96"/>
      <c r="AM6" s="96"/>
      <c r="AN6" s="96" t="s">
        <v>3632</v>
      </c>
      <c r="AO6" s="98">
        <v>7.502E-3</v>
      </c>
      <c r="AP6" s="98">
        <v>-1.2999999999999999E-5</v>
      </c>
      <c r="AQ6" s="106"/>
    </row>
    <row r="7" spans="1:43" ht="15" customHeight="1">
      <c r="A7" s="106"/>
      <c r="B7" s="96">
        <v>286</v>
      </c>
      <c r="C7" s="96">
        <v>1445</v>
      </c>
      <c r="D7" s="96" t="s">
        <v>1020</v>
      </c>
      <c r="E7" s="96">
        <v>86123140</v>
      </c>
      <c r="F7" s="96" t="s">
        <v>1202</v>
      </c>
      <c r="G7" s="97">
        <v>4.0202</v>
      </c>
      <c r="H7" s="97">
        <v>-8997.3750049999999</v>
      </c>
      <c r="I7" s="97">
        <v>-9.208653</v>
      </c>
      <c r="J7" s="98">
        <v>31.878167000000001</v>
      </c>
      <c r="K7" s="98">
        <v>-7.0399999999999998E-4</v>
      </c>
      <c r="L7" s="96">
        <v>86123141</v>
      </c>
      <c r="M7" s="96" t="s">
        <v>1201</v>
      </c>
      <c r="N7" s="97">
        <v>3.7589999999999999</v>
      </c>
      <c r="O7" s="97">
        <v>9756.7534940000005</v>
      </c>
      <c r="P7" s="97">
        <v>9.5395869999999992</v>
      </c>
      <c r="Q7" s="98">
        <v>-30.878167000000001</v>
      </c>
      <c r="R7" s="98">
        <v>6.8199999999999999E-4</v>
      </c>
      <c r="S7" s="97">
        <v>-1.161316</v>
      </c>
      <c r="T7" s="96" t="s">
        <v>203</v>
      </c>
      <c r="U7" s="96" t="s">
        <v>203</v>
      </c>
      <c r="V7" s="96" t="s">
        <v>745</v>
      </c>
      <c r="W7" s="96" t="s">
        <v>916</v>
      </c>
      <c r="X7" s="96" t="s">
        <v>930</v>
      </c>
      <c r="Y7" s="96" t="s">
        <v>3636</v>
      </c>
      <c r="Z7" s="96" t="s">
        <v>338</v>
      </c>
      <c r="AA7" s="100">
        <v>43950</v>
      </c>
      <c r="AB7" s="100">
        <v>45802</v>
      </c>
      <c r="AC7" s="96" t="s">
        <v>894</v>
      </c>
      <c r="AD7" s="96" t="s">
        <v>898</v>
      </c>
      <c r="AE7" s="96" t="s">
        <v>911</v>
      </c>
      <c r="AF7" s="96" t="s">
        <v>914</v>
      </c>
      <c r="AG7" s="96" t="s">
        <v>897</v>
      </c>
      <c r="AH7" s="96" t="s">
        <v>897</v>
      </c>
      <c r="AI7" s="96"/>
      <c r="AJ7" s="97">
        <v>3.8111000000000002</v>
      </c>
      <c r="AK7" s="96"/>
      <c r="AL7" s="96"/>
      <c r="AM7" s="96"/>
      <c r="AN7" s="96" t="s">
        <v>3632</v>
      </c>
      <c r="AO7" s="98">
        <v>1.2331999999999999E-2</v>
      </c>
      <c r="AP7" s="98">
        <v>-2.1999999999999999E-5</v>
      </c>
      <c r="AQ7" s="106"/>
    </row>
    <row r="8" spans="1:43" ht="15" customHeight="1">
      <c r="A8" s="106"/>
      <c r="B8" s="96">
        <v>286</v>
      </c>
      <c r="C8" s="96">
        <v>1445</v>
      </c>
      <c r="D8" s="96" t="s">
        <v>1019</v>
      </c>
      <c r="E8" s="96">
        <v>86123192</v>
      </c>
      <c r="F8" s="96" t="s">
        <v>1201</v>
      </c>
      <c r="G8" s="97">
        <v>3.7589999999999999</v>
      </c>
      <c r="H8" s="97">
        <v>-9713.8700599999993</v>
      </c>
      <c r="I8" s="97">
        <v>-9.7086079999999999</v>
      </c>
      <c r="J8" s="98">
        <v>6.3637730000000001</v>
      </c>
      <c r="K8" s="98">
        <v>-6.9399999999999996E-4</v>
      </c>
      <c r="L8" s="96">
        <v>86123193</v>
      </c>
      <c r="M8" s="96" t="s">
        <v>1201</v>
      </c>
      <c r="N8" s="97">
        <v>3.7589999999999999</v>
      </c>
      <c r="O8" s="97">
        <v>9713.8700599999993</v>
      </c>
      <c r="P8" s="97">
        <v>8.1830020000000001</v>
      </c>
      <c r="Q8" s="98">
        <v>-5.3637730000000001</v>
      </c>
      <c r="R8" s="98">
        <v>5.8500000000000002E-4</v>
      </c>
      <c r="S8" s="97">
        <v>-5.7347510000000002</v>
      </c>
      <c r="T8" s="96" t="s">
        <v>203</v>
      </c>
      <c r="U8" s="96" t="s">
        <v>223</v>
      </c>
      <c r="V8" s="96" t="s">
        <v>750</v>
      </c>
      <c r="W8" s="96" t="s">
        <v>916</v>
      </c>
      <c r="X8" s="96" t="s">
        <v>928</v>
      </c>
      <c r="Y8" s="96" t="s">
        <v>3637</v>
      </c>
      <c r="Z8" s="96" t="s">
        <v>338</v>
      </c>
      <c r="AA8" s="100">
        <v>44620</v>
      </c>
      <c r="AB8" s="100">
        <v>48275</v>
      </c>
      <c r="AC8" s="96" t="s">
        <v>896</v>
      </c>
      <c r="AD8" s="96" t="s">
        <v>899</v>
      </c>
      <c r="AE8" s="96" t="s">
        <v>911</v>
      </c>
      <c r="AF8" s="96" t="s">
        <v>914</v>
      </c>
      <c r="AG8" s="96" t="s">
        <v>906</v>
      </c>
      <c r="AH8" s="96" t="s">
        <v>896</v>
      </c>
      <c r="AI8" s="96"/>
      <c r="AJ8" s="97">
        <v>100</v>
      </c>
      <c r="AK8" s="96"/>
      <c r="AL8" s="96"/>
      <c r="AM8" s="96"/>
      <c r="AN8" s="96" t="s">
        <v>3634</v>
      </c>
      <c r="AO8" s="98">
        <v>6.0898000000000001E-2</v>
      </c>
      <c r="AP8" s="98">
        <v>-1.0900000000000001E-4</v>
      </c>
      <c r="AQ8" s="106"/>
    </row>
    <row r="9" spans="1:43" ht="15" customHeight="1">
      <c r="A9" s="106"/>
      <c r="B9" s="96">
        <v>286</v>
      </c>
      <c r="C9" s="96">
        <v>1445</v>
      </c>
      <c r="D9" s="96" t="s">
        <v>1020</v>
      </c>
      <c r="E9" s="96">
        <v>86123130</v>
      </c>
      <c r="F9" s="96" t="s">
        <v>1201</v>
      </c>
      <c r="G9" s="97">
        <v>3.7589999999999999</v>
      </c>
      <c r="H9" s="97">
        <v>-37361.572271999998</v>
      </c>
      <c r="I9" s="97">
        <v>-35.363492999999998</v>
      </c>
      <c r="J9" s="98">
        <v>19.832487</v>
      </c>
      <c r="K9" s="98">
        <v>-2.5309999999999998E-3</v>
      </c>
      <c r="L9" s="96">
        <v>86123131</v>
      </c>
      <c r="M9" s="96" t="s">
        <v>1200</v>
      </c>
      <c r="N9" s="97">
        <v>1</v>
      </c>
      <c r="O9" s="97">
        <v>133119.282007</v>
      </c>
      <c r="P9" s="97">
        <v>126.228663</v>
      </c>
      <c r="Q9" s="98">
        <v>-18.832487</v>
      </c>
      <c r="R9" s="98">
        <v>2.4030000000000002E-3</v>
      </c>
      <c r="S9" s="97">
        <v>-6.7027080000000003</v>
      </c>
      <c r="T9" s="96" t="s">
        <v>203</v>
      </c>
      <c r="U9" s="96" t="s">
        <v>203</v>
      </c>
      <c r="V9" s="96" t="s">
        <v>745</v>
      </c>
      <c r="W9" s="96" t="s">
        <v>916</v>
      </c>
      <c r="X9" s="96" t="s">
        <v>929</v>
      </c>
      <c r="Y9" s="96" t="s">
        <v>3638</v>
      </c>
      <c r="Z9" s="96" t="s">
        <v>338</v>
      </c>
      <c r="AA9" s="100">
        <v>43924</v>
      </c>
      <c r="AB9" s="100">
        <v>47667</v>
      </c>
      <c r="AC9" s="96" t="s">
        <v>895</v>
      </c>
      <c r="AD9" s="96" t="s">
        <v>898</v>
      </c>
      <c r="AE9" s="96" t="s">
        <v>911</v>
      </c>
      <c r="AF9" s="96" t="s">
        <v>914</v>
      </c>
      <c r="AG9" s="96" t="s">
        <v>897</v>
      </c>
      <c r="AH9" s="96" t="s">
        <v>897</v>
      </c>
      <c r="AI9" s="96"/>
      <c r="AJ9" s="97">
        <v>3.63</v>
      </c>
      <c r="AK9" s="96"/>
      <c r="AL9" s="96"/>
      <c r="AM9" s="96"/>
      <c r="AN9" s="96" t="s">
        <v>3634</v>
      </c>
      <c r="AO9" s="98">
        <v>7.1177000000000004E-2</v>
      </c>
      <c r="AP9" s="98">
        <v>-1.27E-4</v>
      </c>
      <c r="AQ9" s="106"/>
    </row>
    <row r="10" spans="1:43" ht="15" customHeight="1">
      <c r="A10" s="106"/>
      <c r="B10" s="96">
        <v>286</v>
      </c>
      <c r="C10" s="96">
        <v>1445</v>
      </c>
      <c r="D10" s="96" t="s">
        <v>1019</v>
      </c>
      <c r="E10" s="96">
        <v>86123150</v>
      </c>
      <c r="F10" s="96" t="s">
        <v>1201</v>
      </c>
      <c r="G10" s="97">
        <v>3.7589999999999999</v>
      </c>
      <c r="H10" s="97">
        <v>-9713.8700599999993</v>
      </c>
      <c r="I10" s="97">
        <v>-9.9182330000000007</v>
      </c>
      <c r="J10" s="98">
        <v>5.1291130000000003</v>
      </c>
      <c r="K10" s="98">
        <v>-7.0899999999999999E-4</v>
      </c>
      <c r="L10" s="96">
        <v>86123151</v>
      </c>
      <c r="M10" s="96" t="s">
        <v>1201</v>
      </c>
      <c r="N10" s="97">
        <v>3.7589999999999999</v>
      </c>
      <c r="O10" s="97">
        <v>9713.8700599999993</v>
      </c>
      <c r="P10" s="97">
        <v>7.9845199999999998</v>
      </c>
      <c r="Q10" s="98">
        <v>-4.1291130000000003</v>
      </c>
      <c r="R10" s="98">
        <v>5.71E-4</v>
      </c>
      <c r="S10" s="97">
        <v>-7.2688269999999999</v>
      </c>
      <c r="T10" s="96" t="s">
        <v>203</v>
      </c>
      <c r="U10" s="96" t="s">
        <v>223</v>
      </c>
      <c r="V10" s="96" t="s">
        <v>750</v>
      </c>
      <c r="W10" s="96" t="s">
        <v>916</v>
      </c>
      <c r="X10" s="96" t="s">
        <v>928</v>
      </c>
      <c r="Y10" s="96" t="s">
        <v>3639</v>
      </c>
      <c r="Z10" s="96" t="s">
        <v>338</v>
      </c>
      <c r="AA10" s="100">
        <v>44057</v>
      </c>
      <c r="AB10" s="100">
        <v>47709</v>
      </c>
      <c r="AC10" s="96" t="s">
        <v>894</v>
      </c>
      <c r="AD10" s="96" t="s">
        <v>899</v>
      </c>
      <c r="AE10" s="96" t="s">
        <v>911</v>
      </c>
      <c r="AF10" s="96" t="s">
        <v>914</v>
      </c>
      <c r="AG10" s="96" t="s">
        <v>906</v>
      </c>
      <c r="AH10" s="96" t="s">
        <v>894</v>
      </c>
      <c r="AI10" s="96"/>
      <c r="AJ10" s="97">
        <v>100</v>
      </c>
      <c r="AK10" s="96"/>
      <c r="AL10" s="96"/>
      <c r="AM10" s="96"/>
      <c r="AN10" s="96" t="s">
        <v>3634</v>
      </c>
      <c r="AO10" s="98">
        <v>7.7188999999999994E-2</v>
      </c>
      <c r="AP10" s="98">
        <v>-1.3799999999999999E-4</v>
      </c>
      <c r="AQ10" s="106"/>
    </row>
    <row r="11" spans="1:43" ht="15" customHeight="1">
      <c r="A11" s="106"/>
      <c r="B11" s="96">
        <v>286</v>
      </c>
      <c r="C11" s="96">
        <v>1445</v>
      </c>
      <c r="D11" s="96" t="s">
        <v>1019</v>
      </c>
      <c r="E11" s="96">
        <v>86123188</v>
      </c>
      <c r="F11" s="96" t="s">
        <v>1201</v>
      </c>
      <c r="G11" s="97">
        <v>3.7589999999999999</v>
      </c>
      <c r="H11" s="97">
        <v>-9713.8700599999993</v>
      </c>
      <c r="I11" s="97">
        <v>-9.7402350000000002</v>
      </c>
      <c r="J11" s="98">
        <v>6.3268129999999996</v>
      </c>
      <c r="K11" s="98">
        <v>-6.9700000000000003E-4</v>
      </c>
      <c r="L11" s="96">
        <v>86123189</v>
      </c>
      <c r="M11" s="96" t="s">
        <v>1201</v>
      </c>
      <c r="N11" s="97">
        <v>3.7589999999999999</v>
      </c>
      <c r="O11" s="97">
        <v>9713.8700599999993</v>
      </c>
      <c r="P11" s="97">
        <v>8.2007180000000002</v>
      </c>
      <c r="Q11" s="98">
        <v>-5.3268129999999996</v>
      </c>
      <c r="R11" s="98">
        <v>5.8699999999999996E-4</v>
      </c>
      <c r="S11" s="97">
        <v>-5.7870429999999997</v>
      </c>
      <c r="T11" s="96" t="s">
        <v>203</v>
      </c>
      <c r="U11" s="96" t="s">
        <v>223</v>
      </c>
      <c r="V11" s="96" t="s">
        <v>750</v>
      </c>
      <c r="W11" s="96" t="s">
        <v>916</v>
      </c>
      <c r="X11" s="96" t="s">
        <v>928</v>
      </c>
      <c r="Y11" s="96" t="s">
        <v>3640</v>
      </c>
      <c r="Z11" s="96" t="s">
        <v>338</v>
      </c>
      <c r="AA11" s="100">
        <v>44601</v>
      </c>
      <c r="AB11" s="100">
        <v>48255</v>
      </c>
      <c r="AC11" s="96" t="s">
        <v>896</v>
      </c>
      <c r="AD11" s="96" t="s">
        <v>899</v>
      </c>
      <c r="AE11" s="96" t="s">
        <v>911</v>
      </c>
      <c r="AF11" s="96" t="s">
        <v>914</v>
      </c>
      <c r="AG11" s="96" t="s">
        <v>906</v>
      </c>
      <c r="AH11" s="96" t="s">
        <v>896</v>
      </c>
      <c r="AI11" s="96"/>
      <c r="AJ11" s="97">
        <v>100</v>
      </c>
      <c r="AK11" s="96"/>
      <c r="AL11" s="96"/>
      <c r="AM11" s="96"/>
      <c r="AN11" s="96" t="s">
        <v>3641</v>
      </c>
      <c r="AO11" s="98">
        <v>6.1454000000000002E-2</v>
      </c>
      <c r="AP11" s="98">
        <v>-1.1E-4</v>
      </c>
      <c r="AQ11" s="106"/>
    </row>
    <row r="12" spans="1:43" ht="15" customHeight="1">
      <c r="A12" s="106"/>
      <c r="B12" s="96">
        <v>286</v>
      </c>
      <c r="C12" s="96">
        <v>1445</v>
      </c>
      <c r="D12" s="96" t="s">
        <v>1019</v>
      </c>
      <c r="E12" s="96">
        <v>86123158</v>
      </c>
      <c r="F12" s="96" t="s">
        <v>1201</v>
      </c>
      <c r="G12" s="97">
        <v>3.7589999999999999</v>
      </c>
      <c r="H12" s="97">
        <v>-9713.8700599999993</v>
      </c>
      <c r="I12" s="97">
        <v>-9.9804300000000001</v>
      </c>
      <c r="J12" s="98">
        <v>4.9871879999999997</v>
      </c>
      <c r="K12" s="98">
        <v>-7.1400000000000001E-4</v>
      </c>
      <c r="L12" s="96">
        <v>86123159</v>
      </c>
      <c r="M12" s="96" t="s">
        <v>1201</v>
      </c>
      <c r="N12" s="97">
        <v>3.7589999999999999</v>
      </c>
      <c r="O12" s="97">
        <v>9713.8700599999993</v>
      </c>
      <c r="P12" s="97">
        <v>7.9792160000000001</v>
      </c>
      <c r="Q12" s="98">
        <v>-3.9871880000000002</v>
      </c>
      <c r="R12" s="98">
        <v>5.71E-4</v>
      </c>
      <c r="S12" s="97">
        <v>-7.5225629999999999</v>
      </c>
      <c r="T12" s="96" t="s">
        <v>203</v>
      </c>
      <c r="U12" s="96" t="s">
        <v>223</v>
      </c>
      <c r="V12" s="96" t="s">
        <v>750</v>
      </c>
      <c r="W12" s="96" t="s">
        <v>916</v>
      </c>
      <c r="X12" s="96" t="s">
        <v>928</v>
      </c>
      <c r="Y12" s="96" t="s">
        <v>3642</v>
      </c>
      <c r="Z12" s="96" t="s">
        <v>338</v>
      </c>
      <c r="AA12" s="100">
        <v>44109</v>
      </c>
      <c r="AB12" s="100">
        <v>47761</v>
      </c>
      <c r="AC12" s="96" t="s">
        <v>894</v>
      </c>
      <c r="AD12" s="96" t="s">
        <v>899</v>
      </c>
      <c r="AE12" s="96" t="s">
        <v>911</v>
      </c>
      <c r="AF12" s="96" t="s">
        <v>914</v>
      </c>
      <c r="AG12" s="96" t="s">
        <v>906</v>
      </c>
      <c r="AH12" s="96" t="s">
        <v>894</v>
      </c>
      <c r="AI12" s="96"/>
      <c r="AJ12" s="97">
        <v>100</v>
      </c>
      <c r="AK12" s="96"/>
      <c r="AL12" s="96"/>
      <c r="AM12" s="96"/>
      <c r="AN12" s="96" t="s">
        <v>3641</v>
      </c>
      <c r="AO12" s="98">
        <v>7.9883999999999997E-2</v>
      </c>
      <c r="AP12" s="98">
        <v>-1.4300000000000001E-4</v>
      </c>
      <c r="AQ12" s="106"/>
    </row>
    <row r="13" spans="1:43" ht="15" customHeight="1">
      <c r="A13" s="106"/>
      <c r="B13" s="96">
        <v>286</v>
      </c>
      <c r="C13" s="96">
        <v>1445</v>
      </c>
      <c r="D13" s="96" t="s">
        <v>1019</v>
      </c>
      <c r="E13" s="96">
        <v>86123184</v>
      </c>
      <c r="F13" s="96" t="s">
        <v>1201</v>
      </c>
      <c r="G13" s="97">
        <v>3.7589999999999999</v>
      </c>
      <c r="H13" s="97">
        <v>-19427.740120999999</v>
      </c>
      <c r="I13" s="97">
        <v>-19.580134000000001</v>
      </c>
      <c r="J13" s="98">
        <v>5.765307</v>
      </c>
      <c r="K13" s="98">
        <v>-1.4009999999999999E-3</v>
      </c>
      <c r="L13" s="96">
        <v>86123185</v>
      </c>
      <c r="M13" s="96" t="s">
        <v>1201</v>
      </c>
      <c r="N13" s="97">
        <v>3.7589999999999999</v>
      </c>
      <c r="O13" s="97">
        <v>19427.740120999999</v>
      </c>
      <c r="P13" s="97">
        <v>16.183934000000001</v>
      </c>
      <c r="Q13" s="98">
        <v>-4.765307</v>
      </c>
      <c r="R13" s="98">
        <v>1.158E-3</v>
      </c>
      <c r="S13" s="97">
        <v>-12.766313999999999</v>
      </c>
      <c r="T13" s="96" t="s">
        <v>203</v>
      </c>
      <c r="U13" s="96" t="s">
        <v>223</v>
      </c>
      <c r="V13" s="96" t="s">
        <v>750</v>
      </c>
      <c r="W13" s="96" t="s">
        <v>916</v>
      </c>
      <c r="X13" s="96" t="s">
        <v>928</v>
      </c>
      <c r="Y13" s="96" t="s">
        <v>3643</v>
      </c>
      <c r="Z13" s="96" t="s">
        <v>338</v>
      </c>
      <c r="AA13" s="100">
        <v>44571</v>
      </c>
      <c r="AB13" s="100">
        <v>48223</v>
      </c>
      <c r="AC13" s="96" t="s">
        <v>896</v>
      </c>
      <c r="AD13" s="96" t="s">
        <v>899</v>
      </c>
      <c r="AE13" s="96" t="s">
        <v>911</v>
      </c>
      <c r="AF13" s="96" t="s">
        <v>914</v>
      </c>
      <c r="AG13" s="96" t="s">
        <v>906</v>
      </c>
      <c r="AH13" s="96" t="s">
        <v>896</v>
      </c>
      <c r="AI13" s="96"/>
      <c r="AJ13" s="97">
        <v>100</v>
      </c>
      <c r="AK13" s="96"/>
      <c r="AL13" s="96"/>
      <c r="AM13" s="96"/>
      <c r="AN13" s="96" t="s">
        <v>3641</v>
      </c>
      <c r="AO13" s="98">
        <v>0.13556799999999999</v>
      </c>
      <c r="AP13" s="98">
        <v>-2.43E-4</v>
      </c>
      <c r="AQ13" s="106"/>
    </row>
    <row r="14" spans="1:43" ht="15" customHeight="1">
      <c r="A14" s="106"/>
      <c r="B14" s="96">
        <v>286</v>
      </c>
      <c r="C14" s="96">
        <v>1445</v>
      </c>
      <c r="D14" s="96" t="s">
        <v>1020</v>
      </c>
      <c r="E14" s="96">
        <v>86123164</v>
      </c>
      <c r="F14" s="96" t="s">
        <v>1202</v>
      </c>
      <c r="G14" s="97">
        <v>4.0202</v>
      </c>
      <c r="H14" s="97">
        <v>-11729.074328000001</v>
      </c>
      <c r="I14" s="97">
        <v>-11.643265</v>
      </c>
      <c r="J14" s="98">
        <v>23.1737</v>
      </c>
      <c r="K14" s="98">
        <v>-8.9099999999999997E-4</v>
      </c>
      <c r="L14" s="96">
        <v>86123165</v>
      </c>
      <c r="M14" s="96" t="s">
        <v>1200</v>
      </c>
      <c r="N14" s="97">
        <v>1</v>
      </c>
      <c r="O14" s="97">
        <v>46447.134340999997</v>
      </c>
      <c r="P14" s="97">
        <v>44.788369000000003</v>
      </c>
      <c r="Q14" s="98">
        <v>-22.1737</v>
      </c>
      <c r="R14" s="98">
        <v>8.52E-4</v>
      </c>
      <c r="S14" s="97">
        <v>-2.0198870000000002</v>
      </c>
      <c r="T14" s="96" t="s">
        <v>203</v>
      </c>
      <c r="U14" s="96" t="s">
        <v>203</v>
      </c>
      <c r="V14" s="96" t="s">
        <v>745</v>
      </c>
      <c r="W14" s="96" t="s">
        <v>916</v>
      </c>
      <c r="X14" s="96" t="s">
        <v>929</v>
      </c>
      <c r="Y14" s="96" t="s">
        <v>3644</v>
      </c>
      <c r="Z14" s="96" t="s">
        <v>338</v>
      </c>
      <c r="AA14" s="100">
        <v>44167</v>
      </c>
      <c r="AB14" s="100">
        <v>51316</v>
      </c>
      <c r="AC14" s="96" t="s">
        <v>894</v>
      </c>
      <c r="AD14" s="96" t="s">
        <v>898</v>
      </c>
      <c r="AE14" s="96" t="s">
        <v>911</v>
      </c>
      <c r="AF14" s="96" t="s">
        <v>914</v>
      </c>
      <c r="AG14" s="96" t="s">
        <v>897</v>
      </c>
      <c r="AH14" s="96" t="s">
        <v>897</v>
      </c>
      <c r="AI14" s="96"/>
      <c r="AJ14" s="97">
        <v>3.9639000000000002</v>
      </c>
      <c r="AK14" s="96"/>
      <c r="AL14" s="96"/>
      <c r="AM14" s="96"/>
      <c r="AN14" s="96" t="s">
        <v>3634</v>
      </c>
      <c r="AO14" s="98">
        <v>2.1448999999999999E-2</v>
      </c>
      <c r="AP14" s="98">
        <v>-3.8000000000000002E-5</v>
      </c>
      <c r="AQ14" s="106"/>
    </row>
    <row r="15" spans="1:43" ht="15" customHeight="1">
      <c r="A15" s="106"/>
      <c r="B15" s="96">
        <v>286</v>
      </c>
      <c r="C15" s="96">
        <v>1445</v>
      </c>
      <c r="D15" s="96" t="s">
        <v>1019</v>
      </c>
      <c r="E15" s="96">
        <v>86123190</v>
      </c>
      <c r="F15" s="96" t="s">
        <v>1201</v>
      </c>
      <c r="G15" s="97">
        <v>3.7589999999999999</v>
      </c>
      <c r="H15" s="97">
        <v>-9713.8700599999993</v>
      </c>
      <c r="I15" s="97">
        <v>-9.713025</v>
      </c>
      <c r="J15" s="98">
        <v>6.461919</v>
      </c>
      <c r="K15" s="98">
        <v>-6.9499999999999998E-4</v>
      </c>
      <c r="L15" s="96">
        <v>86123191</v>
      </c>
      <c r="M15" s="96" t="s">
        <v>1201</v>
      </c>
      <c r="N15" s="97">
        <v>3.7589999999999999</v>
      </c>
      <c r="O15" s="97">
        <v>9713.8700599999993</v>
      </c>
      <c r="P15" s="97">
        <v>8.2099080000000004</v>
      </c>
      <c r="Q15" s="98">
        <v>-5.461919</v>
      </c>
      <c r="R15" s="98">
        <v>5.8699999999999996E-4</v>
      </c>
      <c r="S15" s="97">
        <v>-5.65022</v>
      </c>
      <c r="T15" s="96" t="s">
        <v>203</v>
      </c>
      <c r="U15" s="96" t="s">
        <v>223</v>
      </c>
      <c r="V15" s="96" t="s">
        <v>750</v>
      </c>
      <c r="W15" s="96" t="s">
        <v>916</v>
      </c>
      <c r="X15" s="96" t="s">
        <v>928</v>
      </c>
      <c r="Y15" s="96" t="s">
        <v>3645</v>
      </c>
      <c r="Z15" s="96" t="s">
        <v>338</v>
      </c>
      <c r="AA15" s="100">
        <v>44617</v>
      </c>
      <c r="AB15" s="100">
        <v>48274</v>
      </c>
      <c r="AC15" s="96" t="s">
        <v>896</v>
      </c>
      <c r="AD15" s="96" t="s">
        <v>899</v>
      </c>
      <c r="AE15" s="96" t="s">
        <v>911</v>
      </c>
      <c r="AF15" s="96" t="s">
        <v>914</v>
      </c>
      <c r="AG15" s="96" t="s">
        <v>906</v>
      </c>
      <c r="AH15" s="96" t="s">
        <v>896</v>
      </c>
      <c r="AI15" s="96"/>
      <c r="AJ15" s="97">
        <v>100</v>
      </c>
      <c r="AK15" s="96"/>
      <c r="AL15" s="96"/>
      <c r="AM15" s="96"/>
      <c r="AN15" s="96" t="s">
        <v>3634</v>
      </c>
      <c r="AO15" s="98">
        <v>6.0000999999999999E-2</v>
      </c>
      <c r="AP15" s="98">
        <v>-1.07E-4</v>
      </c>
      <c r="AQ15" s="106"/>
    </row>
    <row r="16" spans="1:43" ht="15" customHeight="1">
      <c r="A16" s="106"/>
      <c r="B16" s="96">
        <v>286</v>
      </c>
      <c r="C16" s="96">
        <v>1445</v>
      </c>
      <c r="D16" s="96" t="s">
        <v>1019</v>
      </c>
      <c r="E16" s="96">
        <v>86123162</v>
      </c>
      <c r="F16" s="96" t="s">
        <v>1201</v>
      </c>
      <c r="G16" s="97">
        <v>3.7589999999999999</v>
      </c>
      <c r="H16" s="97">
        <v>-9713.8700599999993</v>
      </c>
      <c r="I16" s="97">
        <v>-9.9286770000000004</v>
      </c>
      <c r="J16" s="98">
        <v>5.3352040000000001</v>
      </c>
      <c r="K16" s="98">
        <v>-7.1000000000000002E-4</v>
      </c>
      <c r="L16" s="96">
        <v>86123163</v>
      </c>
      <c r="M16" s="96" t="s">
        <v>1201</v>
      </c>
      <c r="N16" s="97">
        <v>3.7589999999999999</v>
      </c>
      <c r="O16" s="97">
        <v>9713.8700599999993</v>
      </c>
      <c r="P16" s="97">
        <v>8.0677029999999998</v>
      </c>
      <c r="Q16" s="98">
        <v>-4.3352040000000001</v>
      </c>
      <c r="R16" s="98">
        <v>5.7700000000000004E-4</v>
      </c>
      <c r="S16" s="97">
        <v>-6.9954020000000003</v>
      </c>
      <c r="T16" s="96" t="s">
        <v>203</v>
      </c>
      <c r="U16" s="96" t="s">
        <v>223</v>
      </c>
      <c r="V16" s="96" t="s">
        <v>750</v>
      </c>
      <c r="W16" s="96" t="s">
        <v>916</v>
      </c>
      <c r="X16" s="96" t="s">
        <v>928</v>
      </c>
      <c r="Y16" s="96" t="s">
        <v>3646</v>
      </c>
      <c r="Z16" s="96" t="s">
        <v>338</v>
      </c>
      <c r="AA16" s="100">
        <v>44147</v>
      </c>
      <c r="AB16" s="100">
        <v>47799</v>
      </c>
      <c r="AC16" s="96" t="s">
        <v>894</v>
      </c>
      <c r="AD16" s="96" t="s">
        <v>899</v>
      </c>
      <c r="AE16" s="96" t="s">
        <v>911</v>
      </c>
      <c r="AF16" s="96" t="s">
        <v>914</v>
      </c>
      <c r="AG16" s="96" t="s">
        <v>906</v>
      </c>
      <c r="AH16" s="96" t="s">
        <v>894</v>
      </c>
      <c r="AI16" s="96"/>
      <c r="AJ16" s="97">
        <v>100</v>
      </c>
      <c r="AK16" s="96"/>
      <c r="AL16" s="96"/>
      <c r="AM16" s="96"/>
      <c r="AN16" s="96" t="s">
        <v>3641</v>
      </c>
      <c r="AO16" s="98">
        <v>7.4286000000000005E-2</v>
      </c>
      <c r="AP16" s="98">
        <v>-1.3300000000000001E-4</v>
      </c>
      <c r="AQ16" s="106"/>
    </row>
    <row r="17" spans="1:43" ht="15" customHeight="1">
      <c r="A17" s="106"/>
      <c r="B17" s="96">
        <v>286</v>
      </c>
      <c r="C17" s="96">
        <v>1445</v>
      </c>
      <c r="D17" s="96" t="s">
        <v>1019</v>
      </c>
      <c r="E17" s="96">
        <v>86123160</v>
      </c>
      <c r="F17" s="96" t="s">
        <v>1201</v>
      </c>
      <c r="G17" s="97">
        <v>3.7589999999999999</v>
      </c>
      <c r="H17" s="97">
        <v>-9713.8700599999993</v>
      </c>
      <c r="I17" s="97">
        <v>-9.9554480000000005</v>
      </c>
      <c r="J17" s="98">
        <v>5.1318520000000003</v>
      </c>
      <c r="K17" s="98">
        <v>-7.1199999999999996E-4</v>
      </c>
      <c r="L17" s="96">
        <v>86123161</v>
      </c>
      <c r="M17" s="96" t="s">
        <v>1201</v>
      </c>
      <c r="N17" s="97">
        <v>3.7589999999999999</v>
      </c>
      <c r="O17" s="97">
        <v>9713.8700599999993</v>
      </c>
      <c r="P17" s="97">
        <v>8.0155150000000006</v>
      </c>
      <c r="Q17" s="98">
        <v>-4.1318520000000003</v>
      </c>
      <c r="R17" s="98">
        <v>5.7300000000000005E-4</v>
      </c>
      <c r="S17" s="97">
        <v>-7.2922060000000002</v>
      </c>
      <c r="T17" s="96" t="s">
        <v>203</v>
      </c>
      <c r="U17" s="96" t="s">
        <v>223</v>
      </c>
      <c r="V17" s="96" t="s">
        <v>750</v>
      </c>
      <c r="W17" s="96" t="s">
        <v>916</v>
      </c>
      <c r="X17" s="96" t="s">
        <v>928</v>
      </c>
      <c r="Y17" s="96" t="s">
        <v>3647</v>
      </c>
      <c r="Z17" s="96" t="s">
        <v>338</v>
      </c>
      <c r="AA17" s="100">
        <v>44125</v>
      </c>
      <c r="AB17" s="100">
        <v>47777</v>
      </c>
      <c r="AC17" s="96" t="s">
        <v>894</v>
      </c>
      <c r="AD17" s="96" t="s">
        <v>899</v>
      </c>
      <c r="AE17" s="96" t="s">
        <v>911</v>
      </c>
      <c r="AF17" s="96" t="s">
        <v>914</v>
      </c>
      <c r="AG17" s="96" t="s">
        <v>906</v>
      </c>
      <c r="AH17" s="96" t="s">
        <v>894</v>
      </c>
      <c r="AI17" s="96"/>
      <c r="AJ17" s="97">
        <v>100</v>
      </c>
      <c r="AK17" s="96"/>
      <c r="AL17" s="96"/>
      <c r="AM17" s="96"/>
      <c r="AN17" s="96" t="s">
        <v>3641</v>
      </c>
      <c r="AO17" s="98">
        <v>7.7437000000000006E-2</v>
      </c>
      <c r="AP17" s="98">
        <v>-1.3799999999999999E-4</v>
      </c>
      <c r="AQ17" s="106"/>
    </row>
    <row r="18" spans="1:43" ht="15" customHeight="1">
      <c r="A18" s="106"/>
      <c r="B18" s="96">
        <v>286</v>
      </c>
      <c r="C18" s="96">
        <v>1445</v>
      </c>
      <c r="D18" s="96" t="s">
        <v>1019</v>
      </c>
      <c r="E18" s="96">
        <v>86123302</v>
      </c>
      <c r="F18" s="96" t="s">
        <v>1201</v>
      </c>
      <c r="G18" s="97">
        <v>3.7589999999999999</v>
      </c>
      <c r="H18" s="97">
        <v>-16513.579103</v>
      </c>
      <c r="I18" s="97">
        <v>-16.987935</v>
      </c>
      <c r="J18" s="98">
        <v>46.787334999999999</v>
      </c>
      <c r="K18" s="98">
        <v>-1.2160000000000001E-3</v>
      </c>
      <c r="L18" s="96">
        <v>86123303</v>
      </c>
      <c r="M18" s="96" t="s">
        <v>1201</v>
      </c>
      <c r="N18" s="97">
        <v>3.7589999999999999</v>
      </c>
      <c r="O18" s="97">
        <v>16513.579103</v>
      </c>
      <c r="P18" s="97">
        <v>16.624846000000002</v>
      </c>
      <c r="Q18" s="98">
        <v>-45.787334999999999</v>
      </c>
      <c r="R18" s="98">
        <v>1.1900000000000001E-3</v>
      </c>
      <c r="S18" s="97">
        <v>-1.364849</v>
      </c>
      <c r="T18" s="96" t="s">
        <v>203</v>
      </c>
      <c r="U18" s="96" t="s">
        <v>223</v>
      </c>
      <c r="V18" s="96" t="s">
        <v>750</v>
      </c>
      <c r="W18" s="96" t="s">
        <v>916</v>
      </c>
      <c r="X18" s="96" t="s">
        <v>928</v>
      </c>
      <c r="Y18" s="96" t="s">
        <v>3648</v>
      </c>
      <c r="Z18" s="96" t="s">
        <v>338</v>
      </c>
      <c r="AA18" s="100">
        <v>45141</v>
      </c>
      <c r="AB18" s="100">
        <v>48798</v>
      </c>
      <c r="AC18" s="96" t="s">
        <v>896</v>
      </c>
      <c r="AD18" s="96" t="s">
        <v>899</v>
      </c>
      <c r="AE18" s="96" t="s">
        <v>911</v>
      </c>
      <c r="AF18" s="96" t="s">
        <v>914</v>
      </c>
      <c r="AG18" s="96" t="s">
        <v>906</v>
      </c>
      <c r="AH18" s="96" t="s">
        <v>896</v>
      </c>
      <c r="AI18" s="96"/>
      <c r="AJ18" s="97">
        <v>100</v>
      </c>
      <c r="AK18" s="96"/>
      <c r="AL18" s="96"/>
      <c r="AM18" s="96"/>
      <c r="AN18" s="96" t="s">
        <v>3634</v>
      </c>
      <c r="AO18" s="98">
        <v>1.4493000000000001E-2</v>
      </c>
      <c r="AP18" s="98">
        <v>-2.5000000000000001E-5</v>
      </c>
      <c r="AQ18" s="106"/>
    </row>
    <row r="19" spans="1:43" ht="15" customHeight="1">
      <c r="A19" s="106"/>
      <c r="B19" s="96">
        <v>286</v>
      </c>
      <c r="C19" s="96">
        <v>1445</v>
      </c>
      <c r="D19" s="96" t="s">
        <v>1017</v>
      </c>
      <c r="E19" s="96">
        <v>77131842</v>
      </c>
      <c r="F19" s="96" t="s">
        <v>1201</v>
      </c>
      <c r="G19" s="97">
        <v>3.7589999999999999</v>
      </c>
      <c r="H19" s="97">
        <v>-80000</v>
      </c>
      <c r="I19" s="97">
        <v>-76.384</v>
      </c>
      <c r="J19" s="98">
        <v>20.860361999999999</v>
      </c>
      <c r="K19" s="98">
        <v>-5.4669999999999996E-3</v>
      </c>
      <c r="L19" s="96">
        <v>77131843</v>
      </c>
      <c r="M19" s="96" t="s">
        <v>1200</v>
      </c>
      <c r="N19" s="97">
        <v>1</v>
      </c>
      <c r="O19" s="97">
        <v>282400</v>
      </c>
      <c r="P19" s="97">
        <v>273.36320000000001</v>
      </c>
      <c r="Q19" s="98">
        <v>-19.860361999999999</v>
      </c>
      <c r="R19" s="98">
        <v>5.2050000000000004E-3</v>
      </c>
      <c r="S19" s="97">
        <v>-13.76426</v>
      </c>
      <c r="T19" s="96" t="s">
        <v>203</v>
      </c>
      <c r="U19" s="96" t="s">
        <v>203</v>
      </c>
      <c r="V19" s="96" t="s">
        <v>745</v>
      </c>
      <c r="W19" s="96" t="s">
        <v>916</v>
      </c>
      <c r="X19" s="96" t="s">
        <v>929</v>
      </c>
      <c r="Y19" s="96" t="s">
        <v>3629</v>
      </c>
      <c r="Z19" s="96" t="s">
        <v>338</v>
      </c>
      <c r="AA19" s="100">
        <v>44998</v>
      </c>
      <c r="AB19" s="100">
        <v>45734</v>
      </c>
      <c r="AC19" s="96" t="s">
        <v>897</v>
      </c>
      <c r="AD19" s="96" t="s">
        <v>899</v>
      </c>
      <c r="AE19" s="96" t="s">
        <v>911</v>
      </c>
      <c r="AF19" s="96" t="s">
        <v>914</v>
      </c>
      <c r="AG19" s="96" t="s">
        <v>897</v>
      </c>
      <c r="AH19" s="96" t="s">
        <v>897</v>
      </c>
      <c r="AI19" s="96"/>
      <c r="AJ19" s="97">
        <v>3.6259999999999999</v>
      </c>
      <c r="AK19" s="96"/>
      <c r="AL19" s="96"/>
      <c r="AM19" s="96"/>
      <c r="AN19" s="96" t="s">
        <v>3641</v>
      </c>
      <c r="AO19" s="98">
        <v>0.14616599999999999</v>
      </c>
      <c r="AP19" s="98">
        <v>-2.6200000000000003E-4</v>
      </c>
      <c r="AQ19" s="106"/>
    </row>
    <row r="20" spans="1:43" ht="15" customHeight="1">
      <c r="A20" s="106"/>
      <c r="B20" s="96">
        <v>286</v>
      </c>
      <c r="C20" s="96">
        <v>1445</v>
      </c>
      <c r="D20" s="96" t="s">
        <v>1019</v>
      </c>
      <c r="E20" s="96">
        <v>86123294</v>
      </c>
      <c r="F20" s="96" t="s">
        <v>1201</v>
      </c>
      <c r="G20" s="97">
        <v>3.7589999999999999</v>
      </c>
      <c r="H20" s="97">
        <v>-19427.740120999999</v>
      </c>
      <c r="I20" s="97">
        <v>-19.107156</v>
      </c>
      <c r="J20" s="98">
        <v>24.938654</v>
      </c>
      <c r="K20" s="98">
        <v>-1.3669999999999999E-3</v>
      </c>
      <c r="L20" s="96">
        <v>86123295</v>
      </c>
      <c r="M20" s="96" t="s">
        <v>1201</v>
      </c>
      <c r="N20" s="97">
        <v>3.7589999999999999</v>
      </c>
      <c r="O20" s="97">
        <v>19427.740120999999</v>
      </c>
      <c r="P20" s="97">
        <v>18.340989</v>
      </c>
      <c r="Q20" s="98">
        <v>-23.938654</v>
      </c>
      <c r="R20" s="98">
        <v>1.312E-3</v>
      </c>
      <c r="S20" s="97">
        <v>-2.8800189999999999</v>
      </c>
      <c r="T20" s="96" t="s">
        <v>203</v>
      </c>
      <c r="U20" s="96" t="s">
        <v>223</v>
      </c>
      <c r="V20" s="96" t="s">
        <v>750</v>
      </c>
      <c r="W20" s="96" t="s">
        <v>916</v>
      </c>
      <c r="X20" s="96" t="s">
        <v>928</v>
      </c>
      <c r="Y20" s="96" t="s">
        <v>3649</v>
      </c>
      <c r="Z20" s="96" t="s">
        <v>338</v>
      </c>
      <c r="AA20" s="100">
        <v>45076</v>
      </c>
      <c r="AB20" s="100">
        <v>48731</v>
      </c>
      <c r="AC20" s="96" t="s">
        <v>896</v>
      </c>
      <c r="AD20" s="96" t="s">
        <v>899</v>
      </c>
      <c r="AE20" s="96" t="s">
        <v>911</v>
      </c>
      <c r="AF20" s="96" t="s">
        <v>914</v>
      </c>
      <c r="AG20" s="96" t="s">
        <v>906</v>
      </c>
      <c r="AH20" s="96" t="s">
        <v>896</v>
      </c>
      <c r="AI20" s="96"/>
      <c r="AJ20" s="97">
        <v>100</v>
      </c>
      <c r="AK20" s="96"/>
      <c r="AL20" s="96"/>
      <c r="AM20" s="96"/>
      <c r="AN20" s="96" t="s">
        <v>3634</v>
      </c>
      <c r="AO20" s="98">
        <v>3.0582999999999999E-2</v>
      </c>
      <c r="AP20" s="98">
        <v>-5.3999999999999998E-5</v>
      </c>
      <c r="AQ20" s="106"/>
    </row>
    <row r="21" spans="1:43" ht="15" customHeight="1">
      <c r="A21" s="106"/>
      <c r="B21" s="96">
        <v>286</v>
      </c>
      <c r="C21" s="96">
        <v>1445</v>
      </c>
      <c r="D21" s="96" t="s">
        <v>1019</v>
      </c>
      <c r="E21" s="96">
        <v>86123298</v>
      </c>
      <c r="F21" s="96" t="s">
        <v>1201</v>
      </c>
      <c r="G21" s="97">
        <v>3.7589999999999999</v>
      </c>
      <c r="H21" s="97">
        <v>-19427.740120999999</v>
      </c>
      <c r="I21" s="97">
        <v>-19.056011000000002</v>
      </c>
      <c r="J21" s="98">
        <v>30.735527999999999</v>
      </c>
      <c r="K21" s="98">
        <v>-1.364E-3</v>
      </c>
      <c r="L21" s="96">
        <v>86123299</v>
      </c>
      <c r="M21" s="96" t="s">
        <v>1201</v>
      </c>
      <c r="N21" s="97">
        <v>3.7589999999999999</v>
      </c>
      <c r="O21" s="97">
        <v>19427.740120999999</v>
      </c>
      <c r="P21" s="97">
        <v>18.436012000000002</v>
      </c>
      <c r="Q21" s="98">
        <v>-29.735527999999999</v>
      </c>
      <c r="R21" s="98">
        <v>1.3190000000000001E-3</v>
      </c>
      <c r="S21" s="97">
        <v>-2.330578</v>
      </c>
      <c r="T21" s="96" t="s">
        <v>203</v>
      </c>
      <c r="U21" s="96" t="s">
        <v>223</v>
      </c>
      <c r="V21" s="96" t="s">
        <v>750</v>
      </c>
      <c r="W21" s="96" t="s">
        <v>916</v>
      </c>
      <c r="X21" s="96" t="s">
        <v>928</v>
      </c>
      <c r="Y21" s="96" t="s">
        <v>3650</v>
      </c>
      <c r="Z21" s="96" t="s">
        <v>338</v>
      </c>
      <c r="AA21" s="100">
        <v>45092</v>
      </c>
      <c r="AB21" s="100">
        <v>48750</v>
      </c>
      <c r="AC21" s="96" t="s">
        <v>896</v>
      </c>
      <c r="AD21" s="96" t="s">
        <v>899</v>
      </c>
      <c r="AE21" s="96" t="s">
        <v>911</v>
      </c>
      <c r="AF21" s="96" t="s">
        <v>914</v>
      </c>
      <c r="AG21" s="96" t="s">
        <v>906</v>
      </c>
      <c r="AH21" s="96" t="s">
        <v>896</v>
      </c>
      <c r="AI21" s="96"/>
      <c r="AJ21" s="97">
        <v>100</v>
      </c>
      <c r="AK21" s="96"/>
      <c r="AL21" s="96"/>
      <c r="AM21" s="96"/>
      <c r="AN21" s="96" t="s">
        <v>3634</v>
      </c>
      <c r="AO21" s="98">
        <v>2.4749E-2</v>
      </c>
      <c r="AP21" s="98">
        <v>-4.3999999999999999E-5</v>
      </c>
      <c r="AQ21" s="106"/>
    </row>
    <row r="22" spans="1:43" ht="15" customHeight="1">
      <c r="A22" s="106"/>
      <c r="B22" s="96">
        <v>286</v>
      </c>
      <c r="C22" s="96">
        <v>1445</v>
      </c>
      <c r="D22" s="96" t="s">
        <v>1017</v>
      </c>
      <c r="E22" s="96">
        <v>77135306</v>
      </c>
      <c r="F22" s="96" t="s">
        <v>1205</v>
      </c>
      <c r="G22" s="97">
        <v>4.7504999999999997</v>
      </c>
      <c r="H22" s="97">
        <v>-18067.798312999999</v>
      </c>
      <c r="I22" s="97">
        <v>-15.518431</v>
      </c>
      <c r="J22" s="98">
        <v>-208.437884</v>
      </c>
      <c r="K22" s="98">
        <v>-1.403E-3</v>
      </c>
      <c r="L22" s="96">
        <v>77135307</v>
      </c>
      <c r="M22" s="96" t="s">
        <v>1201</v>
      </c>
      <c r="N22" s="97">
        <v>3.7589999999999999</v>
      </c>
      <c r="O22" s="97">
        <v>22943.032331999999</v>
      </c>
      <c r="P22" s="97">
        <v>19.705770000000001</v>
      </c>
      <c r="Q22" s="98">
        <v>209.437884</v>
      </c>
      <c r="R22" s="98">
        <v>1.41E-3</v>
      </c>
      <c r="S22" s="97">
        <v>0.35367999999999999</v>
      </c>
      <c r="T22" s="96" t="s">
        <v>203</v>
      </c>
      <c r="U22" s="96" t="s">
        <v>203</v>
      </c>
      <c r="V22" s="96" t="s">
        <v>745</v>
      </c>
      <c r="W22" s="96" t="s">
        <v>916</v>
      </c>
      <c r="X22" s="96" t="s">
        <v>929</v>
      </c>
      <c r="Y22" s="96" t="s">
        <v>3651</v>
      </c>
      <c r="Z22" s="96" t="s">
        <v>338</v>
      </c>
      <c r="AA22" s="100">
        <v>45386</v>
      </c>
      <c r="AB22" s="100">
        <v>45755</v>
      </c>
      <c r="AC22" s="96" t="s">
        <v>897</v>
      </c>
      <c r="AD22" s="96" t="s">
        <v>899</v>
      </c>
      <c r="AE22" s="96" t="s">
        <v>911</v>
      </c>
      <c r="AF22" s="96" t="s">
        <v>914</v>
      </c>
      <c r="AG22" s="96" t="s">
        <v>897</v>
      </c>
      <c r="AH22" s="96" t="s">
        <v>897</v>
      </c>
      <c r="AI22" s="96"/>
      <c r="AJ22" s="97">
        <v>4.7030000000000003</v>
      </c>
      <c r="AK22" s="96"/>
      <c r="AL22" s="96"/>
      <c r="AM22" s="96"/>
      <c r="AN22" s="96" t="s">
        <v>3634</v>
      </c>
      <c r="AO22" s="98">
        <v>-3.7550000000000001E-3</v>
      </c>
      <c r="AP22" s="98">
        <v>6.0000000000000002E-6</v>
      </c>
      <c r="AQ22" s="106"/>
    </row>
    <row r="23" spans="1:43" ht="15" customHeight="1">
      <c r="A23" s="106"/>
      <c r="B23" s="96">
        <v>286</v>
      </c>
      <c r="C23" s="96">
        <v>1445</v>
      </c>
      <c r="D23" s="96" t="s">
        <v>1019</v>
      </c>
      <c r="E23" s="96">
        <v>86123300</v>
      </c>
      <c r="F23" s="96" t="s">
        <v>1201</v>
      </c>
      <c r="G23" s="97">
        <v>3.7589999999999999</v>
      </c>
      <c r="H23" s="97">
        <v>-16513.579103</v>
      </c>
      <c r="I23" s="97">
        <v>-17.070347000000002</v>
      </c>
      <c r="J23" s="98">
        <v>22.148484</v>
      </c>
      <c r="K23" s="98">
        <v>-1.2210000000000001E-3</v>
      </c>
      <c r="L23" s="96">
        <v>86123301</v>
      </c>
      <c r="M23" s="96" t="s">
        <v>1201</v>
      </c>
      <c r="N23" s="97">
        <v>3.7589999999999999</v>
      </c>
      <c r="O23" s="97">
        <v>16513.579103</v>
      </c>
      <c r="P23" s="97">
        <v>16.299624000000001</v>
      </c>
      <c r="Q23" s="98">
        <v>-21.148484</v>
      </c>
      <c r="R23" s="98">
        <v>1.1659999999999999E-3</v>
      </c>
      <c r="S23" s="97">
        <v>-2.8971480000000001</v>
      </c>
      <c r="T23" s="96" t="s">
        <v>203</v>
      </c>
      <c r="U23" s="96" t="s">
        <v>223</v>
      </c>
      <c r="V23" s="96" t="s">
        <v>750</v>
      </c>
      <c r="W23" s="96" t="s">
        <v>916</v>
      </c>
      <c r="X23" s="96" t="s">
        <v>928</v>
      </c>
      <c r="Y23" s="96" t="s">
        <v>3652</v>
      </c>
      <c r="Z23" s="96" t="s">
        <v>338</v>
      </c>
      <c r="AA23" s="100">
        <v>45110</v>
      </c>
      <c r="AB23" s="100">
        <v>48766</v>
      </c>
      <c r="AC23" s="96" t="s">
        <v>896</v>
      </c>
      <c r="AD23" s="96" t="s">
        <v>899</v>
      </c>
      <c r="AE23" s="96" t="s">
        <v>911</v>
      </c>
      <c r="AF23" s="96" t="s">
        <v>914</v>
      </c>
      <c r="AG23" s="96" t="s">
        <v>906</v>
      </c>
      <c r="AH23" s="96" t="s">
        <v>896</v>
      </c>
      <c r="AI23" s="96"/>
      <c r="AJ23" s="97">
        <v>100</v>
      </c>
      <c r="AK23" s="96"/>
      <c r="AL23" s="96"/>
      <c r="AM23" s="96"/>
      <c r="AN23" s="96" t="s">
        <v>3634</v>
      </c>
      <c r="AO23" s="98">
        <v>3.0765000000000001E-2</v>
      </c>
      <c r="AP23" s="98">
        <v>-5.5000000000000002E-5</v>
      </c>
      <c r="AQ23" s="106"/>
    </row>
    <row r="24" spans="1:43" ht="15" customHeight="1">
      <c r="A24" s="106"/>
      <c r="B24" s="96">
        <v>286</v>
      </c>
      <c r="C24" s="96">
        <v>1445</v>
      </c>
      <c r="D24" s="96" t="s">
        <v>1020</v>
      </c>
      <c r="E24" s="96">
        <v>86123312</v>
      </c>
      <c r="F24" s="96" t="s">
        <v>1202</v>
      </c>
      <c r="G24" s="97">
        <v>4.0202</v>
      </c>
      <c r="H24" s="97">
        <v>-8985.3298059999997</v>
      </c>
      <c r="I24" s="97">
        <v>-9.0685090000000006</v>
      </c>
      <c r="J24" s="98">
        <v>-21.297145</v>
      </c>
      <c r="K24" s="98">
        <v>-6.9399999999999996E-4</v>
      </c>
      <c r="L24" s="96">
        <v>86123313</v>
      </c>
      <c r="M24" s="96" t="s">
        <v>1201</v>
      </c>
      <c r="N24" s="97">
        <v>3.7589999999999999</v>
      </c>
      <c r="O24" s="97">
        <v>9817.3713459999999</v>
      </c>
      <c r="P24" s="97">
        <v>10.154045</v>
      </c>
      <c r="Q24" s="98">
        <v>22.297145</v>
      </c>
      <c r="R24" s="98">
        <v>7.2599999999999997E-4</v>
      </c>
      <c r="S24" s="97">
        <v>1.7118359999999999</v>
      </c>
      <c r="T24" s="96" t="s">
        <v>203</v>
      </c>
      <c r="U24" s="96" t="s">
        <v>203</v>
      </c>
      <c r="V24" s="96" t="s">
        <v>745</v>
      </c>
      <c r="W24" s="96" t="s">
        <v>916</v>
      </c>
      <c r="X24" s="96" t="s">
        <v>930</v>
      </c>
      <c r="Y24" s="96" t="s">
        <v>3653</v>
      </c>
      <c r="Z24" s="96" t="s">
        <v>338</v>
      </c>
      <c r="AA24" s="100">
        <v>45252</v>
      </c>
      <c r="AB24" s="100">
        <v>46348</v>
      </c>
      <c r="AC24" s="96" t="s">
        <v>894</v>
      </c>
      <c r="AD24" s="96" t="s">
        <v>898</v>
      </c>
      <c r="AE24" s="96" t="s">
        <v>911</v>
      </c>
      <c r="AF24" s="96" t="s">
        <v>914</v>
      </c>
      <c r="AG24" s="96" t="s">
        <v>897</v>
      </c>
      <c r="AH24" s="96" t="s">
        <v>897</v>
      </c>
      <c r="AI24" s="96"/>
      <c r="AJ24" s="97">
        <v>4.0643000000000002</v>
      </c>
      <c r="AK24" s="96"/>
      <c r="AL24" s="96"/>
      <c r="AM24" s="96"/>
      <c r="AN24" s="96" t="s">
        <v>3634</v>
      </c>
      <c r="AO24" s="98">
        <v>-1.8178E-2</v>
      </c>
      <c r="AP24" s="98">
        <v>3.1999999999999999E-5</v>
      </c>
      <c r="AQ24" s="106"/>
    </row>
    <row r="25" spans="1:43" ht="15" customHeight="1">
      <c r="A25" s="106"/>
      <c r="B25" s="96">
        <v>286</v>
      </c>
      <c r="C25" s="96">
        <v>1445</v>
      </c>
      <c r="D25" s="96" t="s">
        <v>1017</v>
      </c>
      <c r="E25" s="96">
        <v>77132658</v>
      </c>
      <c r="F25" s="96" t="s">
        <v>1202</v>
      </c>
      <c r="G25" s="97">
        <v>4.0202</v>
      </c>
      <c r="H25" s="97">
        <v>-5022.0708210000003</v>
      </c>
      <c r="I25" s="97">
        <v>-4.9095760000000004</v>
      </c>
      <c r="J25" s="98">
        <v>-22.397417999999998</v>
      </c>
      <c r="K25" s="98">
        <v>-3.7500000000000001E-4</v>
      </c>
      <c r="L25" s="96">
        <v>77132659</v>
      </c>
      <c r="M25" s="96" t="s">
        <v>1201</v>
      </c>
      <c r="N25" s="97">
        <v>3.7589999999999999</v>
      </c>
      <c r="O25" s="97">
        <v>5612.5659079999996</v>
      </c>
      <c r="P25" s="97">
        <v>5.4851599999999996</v>
      </c>
      <c r="Q25" s="98">
        <v>23.397417999999998</v>
      </c>
      <c r="R25" s="98">
        <v>3.9199999999999999E-4</v>
      </c>
      <c r="S25" s="97">
        <v>0.88123899999999999</v>
      </c>
      <c r="T25" s="96" t="s">
        <v>203</v>
      </c>
      <c r="U25" s="96" t="s">
        <v>203</v>
      </c>
      <c r="V25" s="96" t="s">
        <v>745</v>
      </c>
      <c r="W25" s="96" t="s">
        <v>916</v>
      </c>
      <c r="X25" s="96" t="s">
        <v>929</v>
      </c>
      <c r="Y25" s="96" t="s">
        <v>3654</v>
      </c>
      <c r="Z25" s="96" t="s">
        <v>338</v>
      </c>
      <c r="AA25" s="100">
        <v>45097</v>
      </c>
      <c r="AB25" s="100">
        <v>45656</v>
      </c>
      <c r="AC25" s="96" t="s">
        <v>897</v>
      </c>
      <c r="AD25" s="96" t="s">
        <v>899</v>
      </c>
      <c r="AE25" s="96" t="s">
        <v>911</v>
      </c>
      <c r="AF25" s="96" t="s">
        <v>914</v>
      </c>
      <c r="AG25" s="96" t="s">
        <v>897</v>
      </c>
      <c r="AH25" s="96" t="s">
        <v>897</v>
      </c>
      <c r="AI25" s="96"/>
      <c r="AJ25" s="97">
        <v>3.9430000000000001</v>
      </c>
      <c r="AK25" s="96"/>
      <c r="AL25" s="96"/>
      <c r="AM25" s="96"/>
      <c r="AN25" s="96" t="s">
        <v>3634</v>
      </c>
      <c r="AO25" s="98">
        <v>-9.358E-3</v>
      </c>
      <c r="AP25" s="98">
        <v>1.5999999999999999E-5</v>
      </c>
      <c r="AQ25" s="106"/>
    </row>
    <row r="26" spans="1:43" ht="15" customHeight="1">
      <c r="A26" s="106"/>
      <c r="B26" s="96">
        <v>286</v>
      </c>
      <c r="C26" s="96">
        <v>1445</v>
      </c>
      <c r="D26" s="96" t="s">
        <v>1019</v>
      </c>
      <c r="E26" s="96">
        <v>86123304</v>
      </c>
      <c r="F26" s="96" t="s">
        <v>1201</v>
      </c>
      <c r="G26" s="97">
        <v>3.7589999999999999</v>
      </c>
      <c r="H26" s="97">
        <v>-9713.8700599999993</v>
      </c>
      <c r="I26" s="97">
        <v>-9.9451289999999997</v>
      </c>
      <c r="J26" s="98">
        <v>70.239424999999997</v>
      </c>
      <c r="K26" s="98">
        <v>-7.1100000000000004E-4</v>
      </c>
      <c r="L26" s="96">
        <v>86123305</v>
      </c>
      <c r="M26" s="96" t="s">
        <v>1201</v>
      </c>
      <c r="N26" s="97">
        <v>3.7589999999999999</v>
      </c>
      <c r="O26" s="97">
        <v>9713.8700599999993</v>
      </c>
      <c r="P26" s="97">
        <v>9.8035399999999999</v>
      </c>
      <c r="Q26" s="98">
        <v>-69.239424999999997</v>
      </c>
      <c r="R26" s="98">
        <v>7.0100000000000002E-4</v>
      </c>
      <c r="S26" s="97">
        <v>-0.53223299999999996</v>
      </c>
      <c r="T26" s="96" t="s">
        <v>203</v>
      </c>
      <c r="U26" s="96" t="s">
        <v>223</v>
      </c>
      <c r="V26" s="96" t="s">
        <v>750</v>
      </c>
      <c r="W26" s="96" t="s">
        <v>916</v>
      </c>
      <c r="X26" s="96" t="s">
        <v>928</v>
      </c>
      <c r="Y26" s="96" t="s">
        <v>3655</v>
      </c>
      <c r="Z26" s="96" t="s">
        <v>338</v>
      </c>
      <c r="AA26" s="100">
        <v>45174</v>
      </c>
      <c r="AB26" s="100">
        <v>48829</v>
      </c>
      <c r="AC26" s="96" t="s">
        <v>896</v>
      </c>
      <c r="AD26" s="96" t="s">
        <v>899</v>
      </c>
      <c r="AE26" s="96" t="s">
        <v>911</v>
      </c>
      <c r="AF26" s="96" t="s">
        <v>914</v>
      </c>
      <c r="AG26" s="96" t="s">
        <v>906</v>
      </c>
      <c r="AH26" s="96" t="s">
        <v>896</v>
      </c>
      <c r="AI26" s="96"/>
      <c r="AJ26" s="97">
        <v>100</v>
      </c>
      <c r="AK26" s="96"/>
      <c r="AL26" s="96"/>
      <c r="AM26" s="96"/>
      <c r="AN26" s="96" t="s">
        <v>3641</v>
      </c>
      <c r="AO26" s="98">
        <v>5.6509999999999998E-3</v>
      </c>
      <c r="AP26" s="98">
        <v>-1.0000000000000001E-5</v>
      </c>
      <c r="AQ26" s="106"/>
    </row>
    <row r="27" spans="1:43" ht="15" customHeight="1">
      <c r="A27" s="106"/>
      <c r="B27" s="96">
        <v>286</v>
      </c>
      <c r="C27" s="96">
        <v>1446</v>
      </c>
      <c r="D27" s="96" t="s">
        <v>1021</v>
      </c>
      <c r="E27" s="96">
        <v>85124450</v>
      </c>
      <c r="F27" s="96" t="s">
        <v>1201</v>
      </c>
      <c r="G27" s="97">
        <v>3.7589999999999999</v>
      </c>
      <c r="H27" s="97">
        <v>1941.8515219999999</v>
      </c>
      <c r="I27" s="97">
        <v>57.826338</v>
      </c>
      <c r="J27" s="98">
        <v>64.104445999999996</v>
      </c>
      <c r="K27" s="98">
        <v>3.4949999999999998E-3</v>
      </c>
      <c r="L27" s="96">
        <v>85124451</v>
      </c>
      <c r="M27" s="96" t="s">
        <v>1201</v>
      </c>
      <c r="N27" s="97">
        <v>3.7589999999999999</v>
      </c>
      <c r="O27" s="97">
        <v>-56767.029110000003</v>
      </c>
      <c r="P27" s="97">
        <v>-56.924272999999999</v>
      </c>
      <c r="Q27" s="98">
        <v>-63.104446000000003</v>
      </c>
      <c r="R27" s="98">
        <v>-3.4399999999999999E-3</v>
      </c>
      <c r="S27" s="97">
        <v>3.39086</v>
      </c>
      <c r="T27" s="96" t="s">
        <v>203</v>
      </c>
      <c r="U27" s="96" t="s">
        <v>248</v>
      </c>
      <c r="V27" s="96" t="s">
        <v>746</v>
      </c>
      <c r="W27" s="96" t="s">
        <v>915</v>
      </c>
      <c r="X27" s="96" t="s">
        <v>248</v>
      </c>
      <c r="Y27" s="96" t="s">
        <v>3656</v>
      </c>
      <c r="Z27" s="96" t="s">
        <v>338</v>
      </c>
      <c r="AA27" s="100">
        <v>45369</v>
      </c>
      <c r="AB27" s="100">
        <v>45733</v>
      </c>
      <c r="AC27" s="96" t="s">
        <v>894</v>
      </c>
      <c r="AD27" s="96" t="s">
        <v>899</v>
      </c>
      <c r="AE27" s="96" t="s">
        <v>911</v>
      </c>
      <c r="AF27" s="96" t="s">
        <v>914</v>
      </c>
      <c r="AG27" s="96" t="s">
        <v>897</v>
      </c>
      <c r="AH27" s="96" t="s">
        <v>897</v>
      </c>
      <c r="AI27" s="96"/>
      <c r="AJ27" s="97"/>
      <c r="AK27" s="96"/>
      <c r="AL27" s="96"/>
      <c r="AM27" s="96"/>
      <c r="AN27" s="96" t="s">
        <v>3641</v>
      </c>
      <c r="AO27" s="98">
        <v>-6.2030000000000002E-3</v>
      </c>
      <c r="AP27" s="98">
        <v>5.3999999999999998E-5</v>
      </c>
      <c r="AQ27" s="106"/>
    </row>
    <row r="28" spans="1:43" ht="15" customHeight="1">
      <c r="A28" s="106"/>
      <c r="B28" s="96">
        <v>286</v>
      </c>
      <c r="C28" s="96">
        <v>1446</v>
      </c>
      <c r="D28" s="96" t="s">
        <v>1021</v>
      </c>
      <c r="E28" s="96">
        <v>85124468</v>
      </c>
      <c r="F28" s="96" t="s">
        <v>1201</v>
      </c>
      <c r="G28" s="97">
        <v>3.7589999999999999</v>
      </c>
      <c r="H28" s="97">
        <v>45.499009999999998</v>
      </c>
      <c r="I28" s="97">
        <v>36.556378000000002</v>
      </c>
      <c r="J28" s="98">
        <v>-20.795632999999999</v>
      </c>
      <c r="K28" s="98">
        <v>2.209E-3</v>
      </c>
      <c r="L28" s="96">
        <v>85124469</v>
      </c>
      <c r="M28" s="96" t="s">
        <v>1201</v>
      </c>
      <c r="N28" s="97">
        <v>3.7589999999999999</v>
      </c>
      <c r="O28" s="97">
        <v>-38923.021363</v>
      </c>
      <c r="P28" s="97">
        <v>-38.314264999999999</v>
      </c>
      <c r="Q28" s="98">
        <v>21.795632999999999</v>
      </c>
      <c r="R28" s="98">
        <v>-2.3149999999999998E-3</v>
      </c>
      <c r="S28" s="97">
        <v>-6.6078979999999996</v>
      </c>
      <c r="T28" s="96" t="s">
        <v>203</v>
      </c>
      <c r="U28" s="96" t="s">
        <v>223</v>
      </c>
      <c r="V28" s="96" t="s">
        <v>746</v>
      </c>
      <c r="W28" s="96" t="s">
        <v>915</v>
      </c>
      <c r="X28" s="96" t="s">
        <v>203</v>
      </c>
      <c r="Y28" s="96" t="s">
        <v>3657</v>
      </c>
      <c r="Z28" s="96" t="s">
        <v>338</v>
      </c>
      <c r="AA28" s="100">
        <v>45401</v>
      </c>
      <c r="AB28" s="100">
        <v>45583</v>
      </c>
      <c r="AC28" s="96" t="s">
        <v>895</v>
      </c>
      <c r="AD28" s="96" t="s">
        <v>899</v>
      </c>
      <c r="AE28" s="96" t="s">
        <v>911</v>
      </c>
      <c r="AF28" s="96" t="s">
        <v>914</v>
      </c>
      <c r="AG28" s="96" t="s">
        <v>897</v>
      </c>
      <c r="AH28" s="96" t="s">
        <v>897</v>
      </c>
      <c r="AI28" s="96"/>
      <c r="AJ28" s="97">
        <v>857.03044</v>
      </c>
      <c r="AK28" s="96"/>
      <c r="AL28" s="96"/>
      <c r="AM28" s="96"/>
      <c r="AN28" s="96" t="s">
        <v>3641</v>
      </c>
      <c r="AO28" s="98">
        <v>1.2088E-2</v>
      </c>
      <c r="AP28" s="98">
        <v>-1.06E-4</v>
      </c>
      <c r="AQ28" s="106"/>
    </row>
    <row r="29" spans="1:43" ht="15" customHeight="1">
      <c r="A29" s="106"/>
      <c r="B29" s="96">
        <v>286</v>
      </c>
      <c r="C29" s="96">
        <v>1446</v>
      </c>
      <c r="D29" s="96" t="s">
        <v>1021</v>
      </c>
      <c r="E29" s="96">
        <v>85124426</v>
      </c>
      <c r="F29" s="96" t="s">
        <v>1201</v>
      </c>
      <c r="G29" s="97">
        <v>3.7589999999999999</v>
      </c>
      <c r="H29" s="97">
        <v>1311.564136</v>
      </c>
      <c r="I29" s="97">
        <v>225.313602</v>
      </c>
      <c r="J29" s="98">
        <v>622.19607699999995</v>
      </c>
      <c r="K29" s="98">
        <v>1.3618999999999999E-2</v>
      </c>
      <c r="L29" s="96">
        <v>85124481</v>
      </c>
      <c r="M29" s="96" t="s">
        <v>1201</v>
      </c>
      <c r="N29" s="97">
        <v>3.7589999999999999</v>
      </c>
      <c r="O29" s="97">
        <v>-223741.03757499999</v>
      </c>
      <c r="P29" s="97">
        <v>-224.95147600000001</v>
      </c>
      <c r="Q29" s="98">
        <v>-621.19607699999995</v>
      </c>
      <c r="R29" s="98">
        <v>-1.3597E-2</v>
      </c>
      <c r="S29" s="97">
        <v>1.3612329999999999</v>
      </c>
      <c r="T29" s="96" t="s">
        <v>203</v>
      </c>
      <c r="U29" s="96" t="s">
        <v>223</v>
      </c>
      <c r="V29" s="96" t="s">
        <v>746</v>
      </c>
      <c r="W29" s="96" t="s">
        <v>915</v>
      </c>
      <c r="X29" s="96" t="s">
        <v>223</v>
      </c>
      <c r="Y29" s="96" t="s">
        <v>3658</v>
      </c>
      <c r="Z29" s="96" t="s">
        <v>338</v>
      </c>
      <c r="AA29" s="100">
        <v>45345</v>
      </c>
      <c r="AB29" s="100">
        <v>45527</v>
      </c>
      <c r="AC29" s="96" t="s">
        <v>894</v>
      </c>
      <c r="AD29" s="96" t="s">
        <v>899</v>
      </c>
      <c r="AE29" s="96" t="s">
        <v>911</v>
      </c>
      <c r="AF29" s="96" t="s">
        <v>914</v>
      </c>
      <c r="AG29" s="96" t="s">
        <v>897</v>
      </c>
      <c r="AH29" s="96" t="s">
        <v>897</v>
      </c>
      <c r="AI29" s="96"/>
      <c r="AJ29" s="97"/>
      <c r="AK29" s="96"/>
      <c r="AL29" s="96"/>
      <c r="AM29" s="96"/>
      <c r="AN29" s="96" t="s">
        <v>3634</v>
      </c>
      <c r="AO29" s="98">
        <v>-2.49E-3</v>
      </c>
      <c r="AP29" s="98">
        <v>2.0999999999999999E-5</v>
      </c>
      <c r="AQ29" s="106"/>
    </row>
    <row r="30" spans="1:43" ht="15" customHeight="1">
      <c r="A30" s="106"/>
      <c r="B30" s="96">
        <v>286</v>
      </c>
      <c r="C30" s="96">
        <v>1446</v>
      </c>
      <c r="D30" s="96" t="s">
        <v>1021</v>
      </c>
      <c r="E30" s="96">
        <v>85124464</v>
      </c>
      <c r="F30" s="96" t="s">
        <v>1200</v>
      </c>
      <c r="G30" s="97">
        <v>1</v>
      </c>
      <c r="H30" s="97">
        <v>3428.4049190000001</v>
      </c>
      <c r="I30" s="97">
        <v>115.365825</v>
      </c>
      <c r="J30" s="98">
        <v>63.907113000000003</v>
      </c>
      <c r="K30" s="98">
        <v>1.8550000000000001E-3</v>
      </c>
      <c r="L30" s="96">
        <v>85124465</v>
      </c>
      <c r="M30" s="96" t="s">
        <v>1200</v>
      </c>
      <c r="N30" s="97">
        <v>1</v>
      </c>
      <c r="O30" s="97">
        <v>-112036.912924</v>
      </c>
      <c r="P30" s="97">
        <v>-113.560614</v>
      </c>
      <c r="Q30" s="98">
        <v>-62.907113000000003</v>
      </c>
      <c r="R30" s="98">
        <v>-1.8259999999999999E-3</v>
      </c>
      <c r="S30" s="97">
        <v>1.8052109999999999</v>
      </c>
      <c r="T30" s="96" t="s">
        <v>203</v>
      </c>
      <c r="U30" s="96" t="s">
        <v>203</v>
      </c>
      <c r="V30" s="96" t="s">
        <v>746</v>
      </c>
      <c r="W30" s="96" t="s">
        <v>915</v>
      </c>
      <c r="X30" s="96" t="s">
        <v>203</v>
      </c>
      <c r="Y30" s="96" t="s">
        <v>3659</v>
      </c>
      <c r="Z30" s="96" t="s">
        <v>338</v>
      </c>
      <c r="AA30" s="100">
        <v>45400</v>
      </c>
      <c r="AB30" s="100">
        <v>45771</v>
      </c>
      <c r="AC30" s="96" t="s">
        <v>896</v>
      </c>
      <c r="AD30" s="96" t="s">
        <v>899</v>
      </c>
      <c r="AE30" s="96" t="s">
        <v>911</v>
      </c>
      <c r="AF30" s="96" t="s">
        <v>914</v>
      </c>
      <c r="AG30" s="96" t="s">
        <v>897</v>
      </c>
      <c r="AH30" s="96" t="s">
        <v>897</v>
      </c>
      <c r="AI30" s="96"/>
      <c r="AJ30" s="97">
        <v>32.619999999999997</v>
      </c>
      <c r="AK30" s="96"/>
      <c r="AL30" s="96"/>
      <c r="AM30" s="96"/>
      <c r="AN30" s="96" t="s">
        <v>3641</v>
      </c>
      <c r="AO30" s="98">
        <v>-3.3019999999999998E-3</v>
      </c>
      <c r="AP30" s="98">
        <v>2.9E-5</v>
      </c>
      <c r="AQ30" s="106"/>
    </row>
    <row r="31" spans="1:43" ht="15" customHeight="1">
      <c r="A31" s="106"/>
      <c r="B31" s="96">
        <v>286</v>
      </c>
      <c r="C31" s="96">
        <v>1446</v>
      </c>
      <c r="D31" s="96" t="s">
        <v>1021</v>
      </c>
      <c r="E31" s="96">
        <v>85124474</v>
      </c>
      <c r="F31" s="96" t="s">
        <v>1200</v>
      </c>
      <c r="G31" s="97">
        <v>1</v>
      </c>
      <c r="H31" s="97">
        <v>11.227046</v>
      </c>
      <c r="I31" s="97">
        <v>42.360657000000003</v>
      </c>
      <c r="J31" s="98">
        <v>157.39089200000001</v>
      </c>
      <c r="K31" s="98">
        <v>6.8099999999999996E-4</v>
      </c>
      <c r="L31" s="96">
        <v>85124475</v>
      </c>
      <c r="M31" s="96" t="s">
        <v>1200</v>
      </c>
      <c r="N31" s="97">
        <v>1</v>
      </c>
      <c r="O31" s="97">
        <v>-41727.079557999998</v>
      </c>
      <c r="P31" s="97">
        <v>-42.091513999999997</v>
      </c>
      <c r="Q31" s="98">
        <v>-156.39089200000001</v>
      </c>
      <c r="R31" s="98">
        <v>-6.7599999999999995E-4</v>
      </c>
      <c r="S31" s="97">
        <v>0.26914300000000002</v>
      </c>
      <c r="T31" s="96" t="s">
        <v>203</v>
      </c>
      <c r="U31" s="96" t="s">
        <v>203</v>
      </c>
      <c r="V31" s="96" t="s">
        <v>746</v>
      </c>
      <c r="W31" s="96" t="s">
        <v>915</v>
      </c>
      <c r="X31" s="96" t="s">
        <v>203</v>
      </c>
      <c r="Y31" s="96" t="s">
        <v>3660</v>
      </c>
      <c r="Z31" s="96" t="s">
        <v>338</v>
      </c>
      <c r="AA31" s="100">
        <v>45433</v>
      </c>
      <c r="AB31" s="100">
        <v>45798</v>
      </c>
      <c r="AC31" s="96" t="s">
        <v>896</v>
      </c>
      <c r="AD31" s="96" t="s">
        <v>899</v>
      </c>
      <c r="AE31" s="96" t="s">
        <v>911</v>
      </c>
      <c r="AF31" s="96" t="s">
        <v>914</v>
      </c>
      <c r="AG31" s="96" t="s">
        <v>897</v>
      </c>
      <c r="AH31" s="96" t="s">
        <v>897</v>
      </c>
      <c r="AI31" s="96"/>
      <c r="AJ31" s="97">
        <v>3625.46</v>
      </c>
      <c r="AK31" s="96"/>
      <c r="AL31" s="96"/>
      <c r="AM31" s="96"/>
      <c r="AN31" s="96" t="s">
        <v>3634</v>
      </c>
      <c r="AO31" s="98">
        <v>-4.9200000000000003E-4</v>
      </c>
      <c r="AP31" s="98">
        <v>3.9999999999999998E-6</v>
      </c>
      <c r="AQ31" s="106"/>
    </row>
    <row r="32" spans="1:43" ht="15" customHeight="1">
      <c r="A32" s="106"/>
      <c r="B32" s="96">
        <v>286</v>
      </c>
      <c r="C32" s="96">
        <v>1446</v>
      </c>
      <c r="D32" s="96" t="s">
        <v>1021</v>
      </c>
      <c r="E32" s="96">
        <v>85124490</v>
      </c>
      <c r="F32" s="96" t="s">
        <v>1201</v>
      </c>
      <c r="G32" s="97">
        <v>3.7589999999999999</v>
      </c>
      <c r="H32" s="97">
        <v>467.59952700000002</v>
      </c>
      <c r="I32" s="97">
        <v>157.96914799999999</v>
      </c>
      <c r="J32" s="98">
        <v>33.119022000000001</v>
      </c>
      <c r="K32" s="98">
        <v>9.5479999999999992E-3</v>
      </c>
      <c r="L32" s="96">
        <v>85124499</v>
      </c>
      <c r="M32" s="96" t="s">
        <v>1201</v>
      </c>
      <c r="N32" s="97">
        <v>3.7589999999999999</v>
      </c>
      <c r="O32" s="97">
        <v>-152126.913226</v>
      </c>
      <c r="P32" s="97">
        <v>-153.19940700000001</v>
      </c>
      <c r="Q32" s="98">
        <v>-32.119022000000001</v>
      </c>
      <c r="R32" s="98">
        <v>-9.2599999999999991E-3</v>
      </c>
      <c r="S32" s="97">
        <v>17.929455000000001</v>
      </c>
      <c r="T32" s="96" t="s">
        <v>203</v>
      </c>
      <c r="U32" s="96" t="s">
        <v>223</v>
      </c>
      <c r="V32" s="96" t="s">
        <v>746</v>
      </c>
      <c r="W32" s="96" t="s">
        <v>915</v>
      </c>
      <c r="X32" s="96" t="s">
        <v>232</v>
      </c>
      <c r="Y32" s="96" t="s">
        <v>3661</v>
      </c>
      <c r="Z32" s="96" t="s">
        <v>338</v>
      </c>
      <c r="AA32" s="100">
        <v>45450</v>
      </c>
      <c r="AB32" s="100">
        <v>45817</v>
      </c>
      <c r="AC32" s="96" t="s">
        <v>894</v>
      </c>
      <c r="AD32" s="96" t="s">
        <v>899</v>
      </c>
      <c r="AE32" s="96" t="s">
        <v>911</v>
      </c>
      <c r="AF32" s="96" t="s">
        <v>914</v>
      </c>
      <c r="AG32" s="96" t="s">
        <v>897</v>
      </c>
      <c r="AH32" s="96" t="s">
        <v>897</v>
      </c>
      <c r="AI32" s="96"/>
      <c r="AJ32" s="97">
        <v>308.66000000000003</v>
      </c>
      <c r="AK32" s="96"/>
      <c r="AL32" s="96"/>
      <c r="AM32" s="96"/>
      <c r="AN32" s="96" t="s">
        <v>3634</v>
      </c>
      <c r="AO32" s="98">
        <v>-3.2800999999999997E-2</v>
      </c>
      <c r="AP32" s="98">
        <v>2.8800000000000001E-4</v>
      </c>
      <c r="AQ32" s="106"/>
    </row>
    <row r="33" spans="1:43" ht="15" customHeight="1">
      <c r="A33" s="106"/>
      <c r="B33" s="96">
        <v>286</v>
      </c>
      <c r="C33" s="96">
        <v>1446</v>
      </c>
      <c r="D33" s="96" t="s">
        <v>1020</v>
      </c>
      <c r="E33" s="96">
        <v>86123332</v>
      </c>
      <c r="F33" s="96" t="s">
        <v>1201</v>
      </c>
      <c r="G33" s="97">
        <v>3.7589999999999999</v>
      </c>
      <c r="H33" s="97">
        <v>-300000</v>
      </c>
      <c r="I33" s="97">
        <v>-222.42291</v>
      </c>
      <c r="J33" s="98">
        <v>24.360379999999999</v>
      </c>
      <c r="K33" s="98">
        <v>-1.3443999999999999E-2</v>
      </c>
      <c r="L33" s="96">
        <v>86123333</v>
      </c>
      <c r="M33" s="96" t="s">
        <v>1200</v>
      </c>
      <c r="N33" s="97">
        <v>1</v>
      </c>
      <c r="O33" s="97">
        <v>1106700</v>
      </c>
      <c r="P33" s="97">
        <v>801.76611000000003</v>
      </c>
      <c r="Q33" s="98">
        <v>-23.360379999999999</v>
      </c>
      <c r="R33" s="98">
        <v>1.2892000000000001E-2</v>
      </c>
      <c r="S33" s="97">
        <v>-34.321620000000003</v>
      </c>
      <c r="T33" s="96" t="s">
        <v>203</v>
      </c>
      <c r="U33" s="96" t="s">
        <v>223</v>
      </c>
      <c r="V33" s="96" t="s">
        <v>745</v>
      </c>
      <c r="W33" s="96" t="s">
        <v>916</v>
      </c>
      <c r="X33" s="96" t="s">
        <v>929</v>
      </c>
      <c r="Y33" s="96" t="s">
        <v>3662</v>
      </c>
      <c r="Z33" s="96" t="s">
        <v>338</v>
      </c>
      <c r="AA33" s="100">
        <v>45330</v>
      </c>
      <c r="AB33" s="100">
        <v>48252</v>
      </c>
      <c r="AC33" s="96" t="s">
        <v>896</v>
      </c>
      <c r="AD33" s="96" t="s">
        <v>898</v>
      </c>
      <c r="AE33" s="96" t="s">
        <v>911</v>
      </c>
      <c r="AF33" s="96" t="s">
        <v>914</v>
      </c>
      <c r="AG33" s="96" t="s">
        <v>897</v>
      </c>
      <c r="AH33" s="96" t="s">
        <v>897</v>
      </c>
      <c r="AI33" s="96"/>
      <c r="AJ33" s="97">
        <v>3.6669999999999998</v>
      </c>
      <c r="AK33" s="96"/>
      <c r="AL33" s="96"/>
      <c r="AM33" s="96"/>
      <c r="AN33" s="96" t="s">
        <v>3641</v>
      </c>
      <c r="AO33" s="98">
        <v>6.2789999999999999E-2</v>
      </c>
      <c r="AP33" s="98">
        <v>-5.5099999999999995E-4</v>
      </c>
      <c r="AQ33" s="106"/>
    </row>
    <row r="34" spans="1:43" ht="15" customHeight="1">
      <c r="A34" s="106"/>
      <c r="B34" s="96">
        <v>286</v>
      </c>
      <c r="C34" s="96">
        <v>1446</v>
      </c>
      <c r="D34" s="96" t="s">
        <v>1021</v>
      </c>
      <c r="E34" s="96">
        <v>85124456</v>
      </c>
      <c r="F34" s="96" t="s">
        <v>1200</v>
      </c>
      <c r="G34" s="97">
        <v>1</v>
      </c>
      <c r="H34" s="97">
        <v>12221.773765</v>
      </c>
      <c r="I34" s="97">
        <v>51.771433000000002</v>
      </c>
      <c r="J34" s="98">
        <v>-7.1534269999999998</v>
      </c>
      <c r="K34" s="98">
        <v>8.3199999999999995E-4</v>
      </c>
      <c r="L34" s="96">
        <v>85124457</v>
      </c>
      <c r="M34" s="96" t="s">
        <v>1200</v>
      </c>
      <c r="N34" s="97">
        <v>1</v>
      </c>
      <c r="O34" s="97">
        <v>-58081.16878</v>
      </c>
      <c r="P34" s="97">
        <v>-59.008724000000001</v>
      </c>
      <c r="Q34" s="98">
        <v>8.1534270000000006</v>
      </c>
      <c r="R34" s="98">
        <v>-9.4799999999999995E-4</v>
      </c>
      <c r="S34" s="97">
        <v>-7.2372909999999999</v>
      </c>
      <c r="T34" s="96" t="s">
        <v>203</v>
      </c>
      <c r="U34" s="96" t="s">
        <v>203</v>
      </c>
      <c r="V34" s="96" t="s">
        <v>746</v>
      </c>
      <c r="W34" s="96" t="s">
        <v>915</v>
      </c>
      <c r="X34" s="96" t="s">
        <v>483</v>
      </c>
      <c r="Y34" s="96" t="s">
        <v>3663</v>
      </c>
      <c r="Z34" s="96" t="s">
        <v>338</v>
      </c>
      <c r="AA34" s="100">
        <v>45378</v>
      </c>
      <c r="AB34" s="100">
        <v>45743</v>
      </c>
      <c r="AC34" s="96" t="s">
        <v>896</v>
      </c>
      <c r="AD34" s="96" t="s">
        <v>899</v>
      </c>
      <c r="AE34" s="96" t="s">
        <v>911</v>
      </c>
      <c r="AF34" s="96" t="s">
        <v>914</v>
      </c>
      <c r="AG34" s="96" t="s">
        <v>897</v>
      </c>
      <c r="AH34" s="96" t="s">
        <v>897</v>
      </c>
      <c r="AI34" s="96"/>
      <c r="AJ34" s="97"/>
      <c r="AK34" s="96"/>
      <c r="AL34" s="96"/>
      <c r="AM34" s="96"/>
      <c r="AN34" s="96" t="s">
        <v>3634</v>
      </c>
      <c r="AO34" s="98">
        <v>1.324E-2</v>
      </c>
      <c r="AP34" s="98">
        <v>-1.16E-4</v>
      </c>
      <c r="AQ34" s="106"/>
    </row>
    <row r="35" spans="1:43" ht="15" customHeight="1">
      <c r="A35" s="106"/>
      <c r="B35" s="96">
        <v>286</v>
      </c>
      <c r="C35" s="96">
        <v>1446</v>
      </c>
      <c r="D35" s="96" t="s">
        <v>1017</v>
      </c>
      <c r="E35" s="96">
        <v>77135994</v>
      </c>
      <c r="F35" s="96" t="s">
        <v>1201</v>
      </c>
      <c r="G35" s="97">
        <v>3.7589999999999999</v>
      </c>
      <c r="H35" s="97">
        <v>-300000</v>
      </c>
      <c r="I35" s="97">
        <v>-295.83</v>
      </c>
      <c r="J35" s="98">
        <v>96.151598000000007</v>
      </c>
      <c r="K35" s="98">
        <v>-1.7881000000000001E-2</v>
      </c>
      <c r="L35" s="96">
        <v>77135995</v>
      </c>
      <c r="M35" s="96" t="s">
        <v>1200</v>
      </c>
      <c r="N35" s="97">
        <v>1</v>
      </c>
      <c r="O35" s="97">
        <v>1111800</v>
      </c>
      <c r="P35" s="97">
        <v>1100.45964</v>
      </c>
      <c r="Q35" s="98">
        <v>-95.151598000000007</v>
      </c>
      <c r="R35" s="98">
        <v>1.7694999999999999E-2</v>
      </c>
      <c r="S35" s="97">
        <v>-11.565329999999999</v>
      </c>
      <c r="T35" s="96" t="s">
        <v>203</v>
      </c>
      <c r="U35" s="96" t="s">
        <v>203</v>
      </c>
      <c r="V35" s="96" t="s">
        <v>745</v>
      </c>
      <c r="W35" s="96" t="s">
        <v>916</v>
      </c>
      <c r="X35" s="96" t="s">
        <v>929</v>
      </c>
      <c r="Y35" s="96" t="s">
        <v>3629</v>
      </c>
      <c r="Z35" s="96" t="s">
        <v>338</v>
      </c>
      <c r="AA35" s="100">
        <v>45468</v>
      </c>
      <c r="AB35" s="100">
        <v>45561</v>
      </c>
      <c r="AC35" s="96" t="s">
        <v>897</v>
      </c>
      <c r="AD35" s="96" t="s">
        <v>899</v>
      </c>
      <c r="AE35" s="96" t="s">
        <v>911</v>
      </c>
      <c r="AF35" s="96" t="s">
        <v>914</v>
      </c>
      <c r="AG35" s="96" t="s">
        <v>897</v>
      </c>
      <c r="AH35" s="96" t="s">
        <v>897</v>
      </c>
      <c r="AI35" s="96"/>
      <c r="AJ35" s="97">
        <v>3.7250000000000001</v>
      </c>
      <c r="AK35" s="96"/>
      <c r="AL35" s="96"/>
      <c r="AM35" s="96"/>
      <c r="AN35" s="96" t="s">
        <v>3641</v>
      </c>
      <c r="AO35" s="98">
        <v>2.1158E-2</v>
      </c>
      <c r="AP35" s="98">
        <v>-1.85E-4</v>
      </c>
      <c r="AQ35" s="106"/>
    </row>
    <row r="36" spans="1:43" ht="15" customHeight="1">
      <c r="A36" s="106"/>
      <c r="B36" s="96">
        <v>286</v>
      </c>
      <c r="C36" s="96">
        <v>1446</v>
      </c>
      <c r="D36" s="96" t="s">
        <v>1017</v>
      </c>
      <c r="E36" s="96">
        <v>77135856</v>
      </c>
      <c r="F36" s="96" t="s">
        <v>1201</v>
      </c>
      <c r="G36" s="97">
        <v>3.7589999999999999</v>
      </c>
      <c r="H36" s="97">
        <v>-150000</v>
      </c>
      <c r="I36" s="97">
        <v>-144.58500000000001</v>
      </c>
      <c r="J36" s="98">
        <v>76.916493000000003</v>
      </c>
      <c r="K36" s="98">
        <v>-8.7390000000000002E-3</v>
      </c>
      <c r="L36" s="96">
        <v>77135857</v>
      </c>
      <c r="M36" s="96" t="s">
        <v>1200</v>
      </c>
      <c r="N36" s="97">
        <v>1</v>
      </c>
      <c r="O36" s="97">
        <v>554850</v>
      </c>
      <c r="P36" s="97">
        <v>536.42898000000002</v>
      </c>
      <c r="Q36" s="98">
        <v>-75.916493000000003</v>
      </c>
      <c r="R36" s="98">
        <v>8.6250000000000007E-3</v>
      </c>
      <c r="S36" s="97">
        <v>-7.0660400000000001</v>
      </c>
      <c r="T36" s="96" t="s">
        <v>203</v>
      </c>
      <c r="U36" s="96" t="s">
        <v>203</v>
      </c>
      <c r="V36" s="96" t="s">
        <v>745</v>
      </c>
      <c r="W36" s="96" t="s">
        <v>916</v>
      </c>
      <c r="X36" s="96" t="s">
        <v>929</v>
      </c>
      <c r="Y36" s="96" t="s">
        <v>3629</v>
      </c>
      <c r="Z36" s="96" t="s">
        <v>338</v>
      </c>
      <c r="AA36" s="100">
        <v>45449</v>
      </c>
      <c r="AB36" s="100">
        <v>45545</v>
      </c>
      <c r="AC36" s="96" t="s">
        <v>897</v>
      </c>
      <c r="AD36" s="96" t="s">
        <v>899</v>
      </c>
      <c r="AE36" s="96" t="s">
        <v>911</v>
      </c>
      <c r="AF36" s="96" t="s">
        <v>914</v>
      </c>
      <c r="AG36" s="96" t="s">
        <v>897</v>
      </c>
      <c r="AH36" s="96" t="s">
        <v>897</v>
      </c>
      <c r="AI36" s="96"/>
      <c r="AJ36" s="97">
        <v>3.7240000000000002</v>
      </c>
      <c r="AK36" s="96"/>
      <c r="AL36" s="96"/>
      <c r="AM36" s="96"/>
      <c r="AN36" s="96" t="s">
        <v>3641</v>
      </c>
      <c r="AO36" s="98">
        <v>1.2926999999999999E-2</v>
      </c>
      <c r="AP36" s="98">
        <v>-1.13E-4</v>
      </c>
      <c r="AQ36" s="106"/>
    </row>
    <row r="37" spans="1:43" ht="15" customHeight="1">
      <c r="A37" s="106"/>
      <c r="B37" s="96">
        <v>286</v>
      </c>
      <c r="C37" s="96">
        <v>1446</v>
      </c>
      <c r="D37" s="96" t="s">
        <v>1017</v>
      </c>
      <c r="E37" s="96">
        <v>77135762</v>
      </c>
      <c r="F37" s="96" t="s">
        <v>1201</v>
      </c>
      <c r="G37" s="97">
        <v>3.7589999999999999</v>
      </c>
      <c r="H37" s="97">
        <v>-640000</v>
      </c>
      <c r="I37" s="97">
        <v>-636.41600000000005</v>
      </c>
      <c r="J37" s="98">
        <v>83.947196000000005</v>
      </c>
      <c r="K37" s="98">
        <v>-3.8468000000000002E-2</v>
      </c>
      <c r="L37" s="96">
        <v>77135763</v>
      </c>
      <c r="M37" s="96" t="s">
        <v>1200</v>
      </c>
      <c r="N37" s="97">
        <v>1</v>
      </c>
      <c r="O37" s="97">
        <v>2373760</v>
      </c>
      <c r="P37" s="97">
        <v>2363.7902100000001</v>
      </c>
      <c r="Q37" s="98">
        <v>-82.947196000000005</v>
      </c>
      <c r="R37" s="98">
        <v>3.8010000000000002E-2</v>
      </c>
      <c r="S37" s="97">
        <v>-28.497530000000001</v>
      </c>
      <c r="T37" s="96" t="s">
        <v>203</v>
      </c>
      <c r="U37" s="96" t="s">
        <v>203</v>
      </c>
      <c r="V37" s="96" t="s">
        <v>745</v>
      </c>
      <c r="W37" s="96" t="s">
        <v>916</v>
      </c>
      <c r="X37" s="96" t="s">
        <v>929</v>
      </c>
      <c r="Y37" s="96" t="s">
        <v>3629</v>
      </c>
      <c r="Z37" s="96" t="s">
        <v>338</v>
      </c>
      <c r="AA37" s="100">
        <v>45442</v>
      </c>
      <c r="AB37" s="100">
        <v>45509</v>
      </c>
      <c r="AC37" s="96" t="s">
        <v>897</v>
      </c>
      <c r="AD37" s="96" t="s">
        <v>899</v>
      </c>
      <c r="AE37" s="96" t="s">
        <v>911</v>
      </c>
      <c r="AF37" s="96" t="s">
        <v>914</v>
      </c>
      <c r="AG37" s="96" t="s">
        <v>897</v>
      </c>
      <c r="AH37" s="96" t="s">
        <v>897</v>
      </c>
      <c r="AI37" s="96"/>
      <c r="AJ37" s="97">
        <v>3.7210000000000001</v>
      </c>
      <c r="AK37" s="96"/>
      <c r="AL37" s="96"/>
      <c r="AM37" s="96"/>
      <c r="AN37" s="96" t="s">
        <v>3641</v>
      </c>
      <c r="AO37" s="98">
        <v>5.2135000000000001E-2</v>
      </c>
      <c r="AP37" s="98">
        <v>-4.5800000000000002E-4</v>
      </c>
      <c r="AQ37" s="106"/>
    </row>
    <row r="38" spans="1:43" ht="15" customHeight="1">
      <c r="A38" s="106"/>
      <c r="B38" s="96">
        <v>286</v>
      </c>
      <c r="C38" s="96">
        <v>1446</v>
      </c>
      <c r="D38" s="96" t="s">
        <v>1017</v>
      </c>
      <c r="E38" s="96">
        <v>77135686</v>
      </c>
      <c r="F38" s="96" t="s">
        <v>1201</v>
      </c>
      <c r="G38" s="97">
        <v>3.7589999999999999</v>
      </c>
      <c r="H38" s="97">
        <v>-1500000</v>
      </c>
      <c r="I38" s="97">
        <v>-1486.05</v>
      </c>
      <c r="J38" s="98">
        <v>40.797328</v>
      </c>
      <c r="K38" s="98">
        <v>-8.9825000000000002E-2</v>
      </c>
      <c r="L38" s="96">
        <v>77135687</v>
      </c>
      <c r="M38" s="96" t="s">
        <v>1200</v>
      </c>
      <c r="N38" s="97">
        <v>1</v>
      </c>
      <c r="O38" s="97">
        <v>5487000</v>
      </c>
      <c r="P38" s="97">
        <v>5449.1396999999997</v>
      </c>
      <c r="Q38" s="98">
        <v>-39.797328</v>
      </c>
      <c r="R38" s="98">
        <v>8.7623000000000006E-2</v>
      </c>
      <c r="S38" s="97">
        <v>-136.92224999999999</v>
      </c>
      <c r="T38" s="96" t="s">
        <v>203</v>
      </c>
      <c r="U38" s="96" t="s">
        <v>203</v>
      </c>
      <c r="V38" s="96" t="s">
        <v>745</v>
      </c>
      <c r="W38" s="96" t="s">
        <v>916</v>
      </c>
      <c r="X38" s="96" t="s">
        <v>929</v>
      </c>
      <c r="Y38" s="96" t="s">
        <v>3629</v>
      </c>
      <c r="Z38" s="96" t="s">
        <v>338</v>
      </c>
      <c r="AA38" s="100">
        <v>45435</v>
      </c>
      <c r="AB38" s="100">
        <v>45532</v>
      </c>
      <c r="AC38" s="96" t="s">
        <v>897</v>
      </c>
      <c r="AD38" s="96" t="s">
        <v>899</v>
      </c>
      <c r="AE38" s="96" t="s">
        <v>911</v>
      </c>
      <c r="AF38" s="96" t="s">
        <v>914</v>
      </c>
      <c r="AG38" s="96" t="s">
        <v>897</v>
      </c>
      <c r="AH38" s="96" t="s">
        <v>897</v>
      </c>
      <c r="AI38" s="96"/>
      <c r="AJ38" s="97">
        <v>3.6720000000000002</v>
      </c>
      <c r="AK38" s="96"/>
      <c r="AL38" s="96"/>
      <c r="AM38" s="96"/>
      <c r="AN38" s="96" t="s">
        <v>3641</v>
      </c>
      <c r="AO38" s="98">
        <v>0.25049500000000002</v>
      </c>
      <c r="AP38" s="98">
        <v>-2.2009999999999998E-3</v>
      </c>
      <c r="AQ38" s="106"/>
    </row>
    <row r="39" spans="1:43" ht="15" customHeight="1">
      <c r="A39" s="106"/>
      <c r="B39" s="96">
        <v>286</v>
      </c>
      <c r="C39" s="96">
        <v>1446</v>
      </c>
      <c r="D39" s="96" t="s">
        <v>1020</v>
      </c>
      <c r="E39" s="96">
        <v>86123230</v>
      </c>
      <c r="F39" s="96" t="s">
        <v>1201</v>
      </c>
      <c r="G39" s="97">
        <v>3.7589999999999999</v>
      </c>
      <c r="H39" s="97">
        <v>-400000</v>
      </c>
      <c r="I39" s="97">
        <v>-312.96620000000001</v>
      </c>
      <c r="J39" s="98">
        <v>7.6956049999999996</v>
      </c>
      <c r="K39" s="98">
        <v>-1.8917E-2</v>
      </c>
      <c r="L39" s="96">
        <v>86123231</v>
      </c>
      <c r="M39" s="96" t="s">
        <v>1200</v>
      </c>
      <c r="N39" s="97">
        <v>1</v>
      </c>
      <c r="O39" s="97">
        <v>1340000</v>
      </c>
      <c r="P39" s="97">
        <v>1023.56831</v>
      </c>
      <c r="Q39" s="98">
        <v>-6.6956049999999996</v>
      </c>
      <c r="R39" s="98">
        <v>1.6459000000000001E-2</v>
      </c>
      <c r="S39" s="97">
        <v>-152.87164999999999</v>
      </c>
      <c r="T39" s="96" t="s">
        <v>203</v>
      </c>
      <c r="U39" s="96" t="s">
        <v>223</v>
      </c>
      <c r="V39" s="96" t="s">
        <v>745</v>
      </c>
      <c r="W39" s="96" t="s">
        <v>916</v>
      </c>
      <c r="X39" s="96" t="s">
        <v>929</v>
      </c>
      <c r="Y39" s="96" t="s">
        <v>3664</v>
      </c>
      <c r="Z39" s="96" t="s">
        <v>338</v>
      </c>
      <c r="AA39" s="100">
        <v>44810</v>
      </c>
      <c r="AB39" s="100">
        <v>47732</v>
      </c>
      <c r="AC39" s="96" t="s">
        <v>896</v>
      </c>
      <c r="AD39" s="96" t="s">
        <v>898</v>
      </c>
      <c r="AE39" s="96" t="s">
        <v>911</v>
      </c>
      <c r="AF39" s="96" t="s">
        <v>914</v>
      </c>
      <c r="AG39" s="96" t="s">
        <v>897</v>
      </c>
      <c r="AH39" s="96" t="s">
        <v>897</v>
      </c>
      <c r="AI39" s="96"/>
      <c r="AJ39" s="97">
        <v>3.4159999999999999</v>
      </c>
      <c r="AK39" s="96"/>
      <c r="AL39" s="96"/>
      <c r="AM39" s="96"/>
      <c r="AN39" s="96" t="s">
        <v>3641</v>
      </c>
      <c r="AO39" s="98">
        <v>0.27967399999999998</v>
      </c>
      <c r="AP39" s="98">
        <v>-2.4580000000000001E-3</v>
      </c>
      <c r="AQ39" s="106"/>
    </row>
    <row r="40" spans="1:43" ht="15" customHeight="1">
      <c r="A40" s="106"/>
      <c r="B40" s="96">
        <v>286</v>
      </c>
      <c r="C40" s="96">
        <v>1446</v>
      </c>
      <c r="D40" s="96" t="s">
        <v>1021</v>
      </c>
      <c r="E40" s="96">
        <v>85124366</v>
      </c>
      <c r="F40" s="96" t="s">
        <v>1201</v>
      </c>
      <c r="G40" s="97">
        <v>3.7589999999999999</v>
      </c>
      <c r="H40" s="97">
        <v>894.06080499999996</v>
      </c>
      <c r="I40" s="97">
        <v>132.78591</v>
      </c>
      <c r="J40" s="98">
        <v>12.526731</v>
      </c>
      <c r="K40" s="98">
        <v>8.0260000000000001E-3</v>
      </c>
      <c r="L40" s="96">
        <v>85124419</v>
      </c>
      <c r="M40" s="96" t="s">
        <v>1201</v>
      </c>
      <c r="N40" s="97">
        <v>3.7589999999999999</v>
      </c>
      <c r="O40" s="97">
        <v>-119483.001238</v>
      </c>
      <c r="P40" s="97">
        <v>-122.185706</v>
      </c>
      <c r="Q40" s="98">
        <v>-11.526731</v>
      </c>
      <c r="R40" s="98">
        <v>-7.3850000000000001E-3</v>
      </c>
      <c r="S40" s="97">
        <v>39.846167000000001</v>
      </c>
      <c r="T40" s="96" t="s">
        <v>203</v>
      </c>
      <c r="U40" s="96" t="s">
        <v>223</v>
      </c>
      <c r="V40" s="96" t="s">
        <v>746</v>
      </c>
      <c r="W40" s="96" t="s">
        <v>915</v>
      </c>
      <c r="X40" s="96" t="s">
        <v>223</v>
      </c>
      <c r="Y40" s="96" t="s">
        <v>3665</v>
      </c>
      <c r="Z40" s="96" t="s">
        <v>338</v>
      </c>
      <c r="AA40" s="100">
        <v>45198</v>
      </c>
      <c r="AB40" s="100">
        <v>45561</v>
      </c>
      <c r="AC40" s="96" t="s">
        <v>896</v>
      </c>
      <c r="AD40" s="96" t="s">
        <v>899</v>
      </c>
      <c r="AE40" s="96" t="s">
        <v>911</v>
      </c>
      <c r="AF40" s="96" t="s">
        <v>914</v>
      </c>
      <c r="AG40" s="96" t="s">
        <v>897</v>
      </c>
      <c r="AH40" s="96" t="s">
        <v>897</v>
      </c>
      <c r="AI40" s="96"/>
      <c r="AJ40" s="97">
        <v>124.65</v>
      </c>
      <c r="AK40" s="96"/>
      <c r="AL40" s="96"/>
      <c r="AM40" s="96"/>
      <c r="AN40" s="96" t="s">
        <v>3641</v>
      </c>
      <c r="AO40" s="98">
        <v>-7.2897000000000003E-2</v>
      </c>
      <c r="AP40" s="98">
        <v>6.4000000000000005E-4</v>
      </c>
      <c r="AQ40" s="106"/>
    </row>
    <row r="41" spans="1:43" ht="15" customHeight="1">
      <c r="A41" s="106"/>
      <c r="B41" s="96">
        <v>286</v>
      </c>
      <c r="C41" s="96">
        <v>1446</v>
      </c>
      <c r="D41" s="96" t="s">
        <v>1017</v>
      </c>
      <c r="E41" s="96">
        <v>77135626</v>
      </c>
      <c r="F41" s="96" t="s">
        <v>1201</v>
      </c>
      <c r="G41" s="97">
        <v>3.7589999999999999</v>
      </c>
      <c r="H41" s="97">
        <v>26269.636395000001</v>
      </c>
      <c r="I41" s="97">
        <v>25.668061000000002</v>
      </c>
      <c r="J41" s="98">
        <v>73.172414000000003</v>
      </c>
      <c r="K41" s="98">
        <v>1.5510000000000001E-3</v>
      </c>
      <c r="L41" s="96">
        <v>77135627</v>
      </c>
      <c r="M41" s="96" t="s">
        <v>1200</v>
      </c>
      <c r="N41" s="97">
        <v>1</v>
      </c>
      <c r="O41" s="97">
        <v>-96803.610115000003</v>
      </c>
      <c r="P41" s="97">
        <v>-95.167629000000005</v>
      </c>
      <c r="Q41" s="98">
        <v>-72.172414000000003</v>
      </c>
      <c r="R41" s="98">
        <v>-1.5299999999999999E-3</v>
      </c>
      <c r="S41" s="97">
        <v>1.3186150000000001</v>
      </c>
      <c r="T41" s="96" t="s">
        <v>203</v>
      </c>
      <c r="U41" s="96" t="s">
        <v>203</v>
      </c>
      <c r="V41" s="96" t="s">
        <v>745</v>
      </c>
      <c r="W41" s="96" t="s">
        <v>916</v>
      </c>
      <c r="X41" s="96" t="s">
        <v>929</v>
      </c>
      <c r="Y41" s="96" t="s">
        <v>3629</v>
      </c>
      <c r="Z41" s="96" t="s">
        <v>338</v>
      </c>
      <c r="AA41" s="100">
        <v>45432</v>
      </c>
      <c r="AB41" s="100">
        <v>45618</v>
      </c>
      <c r="AC41" s="96" t="s">
        <v>897</v>
      </c>
      <c r="AD41" s="96" t="s">
        <v>899</v>
      </c>
      <c r="AE41" s="96" t="s">
        <v>911</v>
      </c>
      <c r="AF41" s="96" t="s">
        <v>914</v>
      </c>
      <c r="AG41" s="96" t="s">
        <v>897</v>
      </c>
      <c r="AH41" s="96" t="s">
        <v>897</v>
      </c>
      <c r="AI41" s="96"/>
      <c r="AJ41" s="97">
        <v>3.7029999999999998</v>
      </c>
      <c r="AK41" s="96"/>
      <c r="AL41" s="96"/>
      <c r="AM41" s="96"/>
      <c r="AN41" s="96" t="s">
        <v>3634</v>
      </c>
      <c r="AO41" s="98">
        <v>-2.4120000000000001E-3</v>
      </c>
      <c r="AP41" s="98">
        <v>2.0999999999999999E-5</v>
      </c>
      <c r="AQ41" s="106"/>
    </row>
    <row r="42" spans="1:43" ht="15" customHeight="1">
      <c r="A42" s="106"/>
      <c r="B42" s="96">
        <v>286</v>
      </c>
      <c r="C42" s="96">
        <v>1446</v>
      </c>
      <c r="D42" s="96" t="s">
        <v>1020</v>
      </c>
      <c r="E42" s="96">
        <v>86123270</v>
      </c>
      <c r="F42" s="96" t="s">
        <v>1201</v>
      </c>
      <c r="G42" s="97">
        <v>3.7589999999999999</v>
      </c>
      <c r="H42" s="97">
        <v>-400000</v>
      </c>
      <c r="I42" s="97">
        <v>-331.12065000000001</v>
      </c>
      <c r="J42" s="98">
        <v>12.647525999999999</v>
      </c>
      <c r="K42" s="98">
        <v>-2.0014000000000001E-2</v>
      </c>
      <c r="L42" s="96">
        <v>86123271</v>
      </c>
      <c r="M42" s="96" t="s">
        <v>1200</v>
      </c>
      <c r="N42" s="97">
        <v>1</v>
      </c>
      <c r="O42" s="97">
        <v>1411200</v>
      </c>
      <c r="P42" s="97">
        <v>1146.2693999999999</v>
      </c>
      <c r="Q42" s="98">
        <v>-11.647525999999999</v>
      </c>
      <c r="R42" s="98">
        <v>1.8432E-2</v>
      </c>
      <c r="S42" s="97">
        <v>-98.413120000000006</v>
      </c>
      <c r="T42" s="96" t="s">
        <v>203</v>
      </c>
      <c r="U42" s="96" t="s">
        <v>223</v>
      </c>
      <c r="V42" s="96" t="s">
        <v>745</v>
      </c>
      <c r="W42" s="96" t="s">
        <v>916</v>
      </c>
      <c r="X42" s="96" t="s">
        <v>929</v>
      </c>
      <c r="Y42" s="96" t="s">
        <v>3666</v>
      </c>
      <c r="Z42" s="96" t="s">
        <v>338</v>
      </c>
      <c r="AA42" s="100">
        <v>44985</v>
      </c>
      <c r="AB42" s="100">
        <v>47177</v>
      </c>
      <c r="AC42" s="96" t="s">
        <v>896</v>
      </c>
      <c r="AD42" s="96" t="s">
        <v>898</v>
      </c>
      <c r="AE42" s="96" t="s">
        <v>911</v>
      </c>
      <c r="AF42" s="96" t="s">
        <v>914</v>
      </c>
      <c r="AG42" s="96" t="s">
        <v>897</v>
      </c>
      <c r="AH42" s="96" t="s">
        <v>897</v>
      </c>
      <c r="AI42" s="96"/>
      <c r="AJ42" s="97">
        <v>3.6680000000000001</v>
      </c>
      <c r="AK42" s="96"/>
      <c r="AL42" s="96"/>
      <c r="AM42" s="96"/>
      <c r="AN42" s="96" t="s">
        <v>3641</v>
      </c>
      <c r="AO42" s="98">
        <v>0.18004300000000001</v>
      </c>
      <c r="AP42" s="98">
        <v>-1.5820000000000001E-3</v>
      </c>
      <c r="AQ42" s="106"/>
    </row>
    <row r="43" spans="1:43" ht="15" customHeight="1">
      <c r="A43" s="106"/>
      <c r="B43" s="96">
        <v>286</v>
      </c>
      <c r="C43" s="96">
        <v>1446</v>
      </c>
      <c r="D43" s="96" t="s">
        <v>1017</v>
      </c>
      <c r="E43" s="96">
        <v>77135562</v>
      </c>
      <c r="F43" s="96" t="s">
        <v>1202</v>
      </c>
      <c r="G43" s="97">
        <v>4.0202</v>
      </c>
      <c r="H43" s="97">
        <v>-300000</v>
      </c>
      <c r="I43" s="97">
        <v>-298.58999999999997</v>
      </c>
      <c r="J43" s="98">
        <v>114.20075199999999</v>
      </c>
      <c r="K43" s="98">
        <v>-1.9302E-2</v>
      </c>
      <c r="L43" s="96">
        <v>77135563</v>
      </c>
      <c r="M43" s="96" t="s">
        <v>1200</v>
      </c>
      <c r="N43" s="97">
        <v>1</v>
      </c>
      <c r="O43" s="97">
        <v>1196100</v>
      </c>
      <c r="P43" s="97">
        <v>1189.8802800000001</v>
      </c>
      <c r="Q43" s="98">
        <v>-113.20075199999999</v>
      </c>
      <c r="R43" s="98">
        <v>1.9133000000000001E-2</v>
      </c>
      <c r="S43" s="97">
        <v>-10.511240000000001</v>
      </c>
      <c r="T43" s="96" t="s">
        <v>203</v>
      </c>
      <c r="U43" s="96" t="s">
        <v>203</v>
      </c>
      <c r="V43" s="96" t="s">
        <v>745</v>
      </c>
      <c r="W43" s="96" t="s">
        <v>916</v>
      </c>
      <c r="X43" s="96" t="s">
        <v>929</v>
      </c>
      <c r="Y43" s="96" t="s">
        <v>3667</v>
      </c>
      <c r="Z43" s="96" t="s">
        <v>338</v>
      </c>
      <c r="AA43" s="100">
        <v>45420</v>
      </c>
      <c r="AB43" s="100">
        <v>45516</v>
      </c>
      <c r="AC43" s="96" t="s">
        <v>897</v>
      </c>
      <c r="AD43" s="96" t="s">
        <v>899</v>
      </c>
      <c r="AE43" s="96" t="s">
        <v>911</v>
      </c>
      <c r="AF43" s="96" t="s">
        <v>914</v>
      </c>
      <c r="AG43" s="96" t="s">
        <v>897</v>
      </c>
      <c r="AH43" s="96" t="s">
        <v>897</v>
      </c>
      <c r="AI43" s="96"/>
      <c r="AJ43" s="97">
        <v>3.988</v>
      </c>
      <c r="AK43" s="96"/>
      <c r="AL43" s="96"/>
      <c r="AM43" s="96"/>
      <c r="AN43" s="96" t="s">
        <v>3641</v>
      </c>
      <c r="AO43" s="98">
        <v>1.9230000000000001E-2</v>
      </c>
      <c r="AP43" s="98">
        <v>-1.6899999999999999E-4</v>
      </c>
      <c r="AQ43" s="106"/>
    </row>
    <row r="44" spans="1:43" ht="15" customHeight="1">
      <c r="A44" s="106"/>
      <c r="B44" s="96">
        <v>286</v>
      </c>
      <c r="C44" s="96">
        <v>1446</v>
      </c>
      <c r="D44" s="96" t="s">
        <v>1017</v>
      </c>
      <c r="E44" s="96">
        <v>77131842</v>
      </c>
      <c r="F44" s="96" t="s">
        <v>1201</v>
      </c>
      <c r="G44" s="97">
        <v>3.7589999999999999</v>
      </c>
      <c r="H44" s="97">
        <v>-680000</v>
      </c>
      <c r="I44" s="97">
        <v>-649.26400000000001</v>
      </c>
      <c r="J44" s="98">
        <v>20.860368000000001</v>
      </c>
      <c r="K44" s="98">
        <v>-3.9245000000000002E-2</v>
      </c>
      <c r="L44" s="96">
        <v>77131843</v>
      </c>
      <c r="M44" s="96" t="s">
        <v>1200</v>
      </c>
      <c r="N44" s="97">
        <v>1</v>
      </c>
      <c r="O44" s="97">
        <v>2400400</v>
      </c>
      <c r="P44" s="97">
        <v>2323.5871999999999</v>
      </c>
      <c r="Q44" s="98">
        <v>-19.860368000000001</v>
      </c>
      <c r="R44" s="98">
        <v>3.7363E-2</v>
      </c>
      <c r="S44" s="97">
        <v>-116.99618</v>
      </c>
      <c r="T44" s="96" t="s">
        <v>203</v>
      </c>
      <c r="U44" s="96" t="s">
        <v>203</v>
      </c>
      <c r="V44" s="96" t="s">
        <v>745</v>
      </c>
      <c r="W44" s="96" t="s">
        <v>916</v>
      </c>
      <c r="X44" s="96" t="s">
        <v>929</v>
      </c>
      <c r="Y44" s="96" t="s">
        <v>3629</v>
      </c>
      <c r="Z44" s="96" t="s">
        <v>338</v>
      </c>
      <c r="AA44" s="100">
        <v>44998</v>
      </c>
      <c r="AB44" s="100">
        <v>45734</v>
      </c>
      <c r="AC44" s="96" t="s">
        <v>897</v>
      </c>
      <c r="AD44" s="96" t="s">
        <v>899</v>
      </c>
      <c r="AE44" s="96" t="s">
        <v>911</v>
      </c>
      <c r="AF44" s="96" t="s">
        <v>914</v>
      </c>
      <c r="AG44" s="96" t="s">
        <v>897</v>
      </c>
      <c r="AH44" s="96" t="s">
        <v>897</v>
      </c>
      <c r="AI44" s="96"/>
      <c r="AJ44" s="97">
        <v>3.6259999999999999</v>
      </c>
      <c r="AK44" s="96"/>
      <c r="AL44" s="96"/>
      <c r="AM44" s="96"/>
      <c r="AN44" s="96" t="s">
        <v>3641</v>
      </c>
      <c r="AO44" s="98">
        <v>0.21404100000000001</v>
      </c>
      <c r="AP44" s="98">
        <v>-1.8810000000000001E-3</v>
      </c>
      <c r="AQ44" s="106"/>
    </row>
    <row r="45" spans="1:43" ht="15" customHeight="1">
      <c r="A45" s="106"/>
      <c r="B45" s="96">
        <v>286</v>
      </c>
      <c r="C45" s="96">
        <v>1446</v>
      </c>
      <c r="D45" s="96" t="s">
        <v>1021</v>
      </c>
      <c r="E45" s="96">
        <v>85124486</v>
      </c>
      <c r="F45" s="96" t="s">
        <v>1201</v>
      </c>
      <c r="G45" s="97">
        <v>3.7589999999999999</v>
      </c>
      <c r="H45" s="97">
        <v>1056.023621</v>
      </c>
      <c r="I45" s="97">
        <v>128.64479700000001</v>
      </c>
      <c r="J45" s="98">
        <v>-154.86165099999999</v>
      </c>
      <c r="K45" s="98">
        <v>7.7759999999999999E-3</v>
      </c>
      <c r="L45" s="96">
        <v>85124487</v>
      </c>
      <c r="M45" s="96" t="s">
        <v>1201</v>
      </c>
      <c r="N45" s="97">
        <v>3.7589999999999999</v>
      </c>
      <c r="O45" s="97">
        <v>-128634.23731</v>
      </c>
      <c r="P45" s="97">
        <v>-129.475505</v>
      </c>
      <c r="Q45" s="98">
        <v>155.86165099999999</v>
      </c>
      <c r="R45" s="98">
        <v>-7.8259999999999996E-3</v>
      </c>
      <c r="S45" s="97">
        <v>-3.1226310000000002</v>
      </c>
      <c r="T45" s="96" t="s">
        <v>204</v>
      </c>
      <c r="U45" s="96" t="s">
        <v>223</v>
      </c>
      <c r="V45" s="96" t="s">
        <v>746</v>
      </c>
      <c r="W45" s="96" t="s">
        <v>915</v>
      </c>
      <c r="X45" s="96" t="s">
        <v>237</v>
      </c>
      <c r="Y45" s="96" t="s">
        <v>3668</v>
      </c>
      <c r="Z45" s="96" t="s">
        <v>338</v>
      </c>
      <c r="AA45" s="100">
        <v>45443</v>
      </c>
      <c r="AB45" s="100">
        <v>45628</v>
      </c>
      <c r="AC45" s="96" t="s">
        <v>894</v>
      </c>
      <c r="AD45" s="96" t="s">
        <v>899</v>
      </c>
      <c r="AE45" s="96" t="s">
        <v>911</v>
      </c>
      <c r="AF45" s="96" t="s">
        <v>914</v>
      </c>
      <c r="AG45" s="96" t="s">
        <v>897</v>
      </c>
      <c r="AH45" s="96" t="s">
        <v>897</v>
      </c>
      <c r="AI45" s="96"/>
      <c r="AJ45" s="97">
        <v>121.81</v>
      </c>
      <c r="AK45" s="96"/>
      <c r="AL45" s="96"/>
      <c r="AM45" s="96"/>
      <c r="AN45" s="96"/>
      <c r="AO45" s="98">
        <v>5.7120000000000001E-3</v>
      </c>
      <c r="AP45" s="98">
        <v>-5.0000000000000002E-5</v>
      </c>
      <c r="AQ45" s="106"/>
    </row>
    <row r="46" spans="1:43" ht="15" customHeight="1">
      <c r="A46" s="106"/>
      <c r="B46" s="96">
        <v>286</v>
      </c>
      <c r="C46" s="96">
        <v>1446</v>
      </c>
      <c r="D46" s="96" t="s">
        <v>1021</v>
      </c>
      <c r="E46" s="96">
        <v>85124462</v>
      </c>
      <c r="F46" s="96" t="s">
        <v>1201</v>
      </c>
      <c r="G46" s="97">
        <v>3.7589999999999999</v>
      </c>
      <c r="H46" s="97">
        <v>1772.018323</v>
      </c>
      <c r="I46" s="97">
        <v>108.181718</v>
      </c>
      <c r="J46" s="98">
        <v>-31.447064999999998</v>
      </c>
      <c r="K46" s="98">
        <v>6.5389999999999997E-3</v>
      </c>
      <c r="L46" s="96">
        <v>85124463</v>
      </c>
      <c r="M46" s="96" t="s">
        <v>1201</v>
      </c>
      <c r="N46" s="97">
        <v>3.7589999999999999</v>
      </c>
      <c r="O46" s="97">
        <v>-110237.259875</v>
      </c>
      <c r="P46" s="97">
        <v>-111.62183899999999</v>
      </c>
      <c r="Q46" s="98">
        <v>32.447065000000002</v>
      </c>
      <c r="R46" s="98">
        <v>-6.7470000000000004E-3</v>
      </c>
      <c r="S46" s="97">
        <v>-12.931416</v>
      </c>
      <c r="T46" s="96" t="s">
        <v>204</v>
      </c>
      <c r="U46" s="96" t="s">
        <v>223</v>
      </c>
      <c r="V46" s="96" t="s">
        <v>746</v>
      </c>
      <c r="W46" s="96" t="s">
        <v>915</v>
      </c>
      <c r="X46" s="96" t="s">
        <v>237</v>
      </c>
      <c r="Y46" s="96" t="s">
        <v>3669</v>
      </c>
      <c r="Z46" s="96" t="s">
        <v>338</v>
      </c>
      <c r="AA46" s="100">
        <v>45398</v>
      </c>
      <c r="AB46" s="100">
        <v>45581</v>
      </c>
      <c r="AC46" s="96" t="s">
        <v>895</v>
      </c>
      <c r="AD46" s="96" t="s">
        <v>899</v>
      </c>
      <c r="AE46" s="96" t="s">
        <v>911</v>
      </c>
      <c r="AF46" s="96" t="s">
        <v>914</v>
      </c>
      <c r="AG46" s="96" t="s">
        <v>897</v>
      </c>
      <c r="AH46" s="96" t="s">
        <v>897</v>
      </c>
      <c r="AI46" s="96"/>
      <c r="AJ46" s="97">
        <v>62.21</v>
      </c>
      <c r="AK46" s="96"/>
      <c r="AL46" s="96"/>
      <c r="AM46" s="96"/>
      <c r="AN46" s="96"/>
      <c r="AO46" s="98">
        <v>2.3657000000000001E-2</v>
      </c>
      <c r="AP46" s="98">
        <v>-2.0699999999999999E-4</v>
      </c>
      <c r="AQ46" s="106"/>
    </row>
    <row r="47" spans="1:43" ht="15" customHeight="1">
      <c r="A47" s="106"/>
      <c r="B47" s="96">
        <v>286</v>
      </c>
      <c r="C47" s="96">
        <v>1446</v>
      </c>
      <c r="D47" s="96" t="s">
        <v>1021</v>
      </c>
      <c r="E47" s="96">
        <v>85124472</v>
      </c>
      <c r="F47" s="96" t="s">
        <v>1201</v>
      </c>
      <c r="G47" s="97">
        <v>3.7589999999999999</v>
      </c>
      <c r="H47" s="97">
        <v>1745.5963220000001</v>
      </c>
      <c r="I47" s="97">
        <v>243.02191999999999</v>
      </c>
      <c r="J47" s="98">
        <v>-26.605589999999999</v>
      </c>
      <c r="K47" s="98">
        <v>1.4689000000000001E-2</v>
      </c>
      <c r="L47" s="96">
        <v>85124473</v>
      </c>
      <c r="M47" s="96" t="s">
        <v>1201</v>
      </c>
      <c r="N47" s="97">
        <v>3.7589999999999999</v>
      </c>
      <c r="O47" s="97">
        <v>-249899.569564</v>
      </c>
      <c r="P47" s="97">
        <v>-252.15616199999999</v>
      </c>
      <c r="Q47" s="98">
        <v>27.605589999999999</v>
      </c>
      <c r="R47" s="98">
        <v>-1.5240999999999999E-2</v>
      </c>
      <c r="S47" s="97">
        <v>-34.335617999999997</v>
      </c>
      <c r="T47" s="96" t="s">
        <v>204</v>
      </c>
      <c r="U47" s="96" t="s">
        <v>223</v>
      </c>
      <c r="V47" s="96" t="s">
        <v>746</v>
      </c>
      <c r="W47" s="96" t="s">
        <v>915</v>
      </c>
      <c r="X47" s="96" t="s">
        <v>232</v>
      </c>
      <c r="Y47" s="96" t="s">
        <v>3670</v>
      </c>
      <c r="Z47" s="96" t="s">
        <v>338</v>
      </c>
      <c r="AA47" s="100">
        <v>45419</v>
      </c>
      <c r="AB47" s="100">
        <v>45603</v>
      </c>
      <c r="AC47" s="96" t="s">
        <v>896</v>
      </c>
      <c r="AD47" s="96" t="s">
        <v>899</v>
      </c>
      <c r="AE47" s="96" t="s">
        <v>911</v>
      </c>
      <c r="AF47" s="96" t="s">
        <v>914</v>
      </c>
      <c r="AG47" s="96" t="s">
        <v>897</v>
      </c>
      <c r="AH47" s="96" t="s">
        <v>897</v>
      </c>
      <c r="AI47" s="96"/>
      <c r="AJ47" s="97">
        <v>143.16</v>
      </c>
      <c r="AK47" s="96"/>
      <c r="AL47" s="96"/>
      <c r="AM47" s="96"/>
      <c r="AN47" s="96"/>
      <c r="AO47" s="98">
        <v>6.2815999999999997E-2</v>
      </c>
      <c r="AP47" s="98">
        <v>-5.5199999999999997E-4</v>
      </c>
      <c r="AQ47" s="106"/>
    </row>
    <row r="48" spans="1:43" ht="15" customHeight="1">
      <c r="A48" s="106"/>
      <c r="B48" s="96">
        <v>286</v>
      </c>
      <c r="C48" s="96">
        <v>1446</v>
      </c>
      <c r="D48" s="96" t="s">
        <v>1021</v>
      </c>
      <c r="E48" s="96">
        <v>85124452</v>
      </c>
      <c r="F48" s="96" t="s">
        <v>1201</v>
      </c>
      <c r="G48" s="97">
        <v>3.7589999999999999</v>
      </c>
      <c r="H48" s="97">
        <v>1715.459795</v>
      </c>
      <c r="I48" s="97">
        <v>217.81192999999999</v>
      </c>
      <c r="J48" s="98">
        <v>-12.668316000000001</v>
      </c>
      <c r="K48" s="98">
        <v>1.3165E-2</v>
      </c>
      <c r="L48" s="96">
        <v>85124453</v>
      </c>
      <c r="M48" s="96" t="s">
        <v>1201</v>
      </c>
      <c r="N48" s="97">
        <v>3.7589999999999999</v>
      </c>
      <c r="O48" s="97">
        <v>-231621.38163799999</v>
      </c>
      <c r="P48" s="97">
        <v>-235.00537</v>
      </c>
      <c r="Q48" s="98">
        <v>13.668316000000001</v>
      </c>
      <c r="R48" s="98">
        <v>-1.4205000000000001E-2</v>
      </c>
      <c r="S48" s="97">
        <v>-64.630139999999997</v>
      </c>
      <c r="T48" s="96" t="s">
        <v>204</v>
      </c>
      <c r="U48" s="96" t="s">
        <v>223</v>
      </c>
      <c r="V48" s="96" t="s">
        <v>746</v>
      </c>
      <c r="W48" s="96" t="s">
        <v>915</v>
      </c>
      <c r="X48" s="96" t="s">
        <v>223</v>
      </c>
      <c r="Y48" s="96" t="s">
        <v>3671</v>
      </c>
      <c r="Z48" s="96" t="s">
        <v>338</v>
      </c>
      <c r="AA48" s="100">
        <v>45379</v>
      </c>
      <c r="AB48" s="100">
        <v>45565</v>
      </c>
      <c r="AC48" s="96" t="s">
        <v>895</v>
      </c>
      <c r="AD48" s="96" t="s">
        <v>899</v>
      </c>
      <c r="AE48" s="96" t="s">
        <v>911</v>
      </c>
      <c r="AF48" s="96" t="s">
        <v>914</v>
      </c>
      <c r="AG48" s="96" t="s">
        <v>897</v>
      </c>
      <c r="AH48" s="96" t="s">
        <v>897</v>
      </c>
      <c r="AI48" s="96"/>
      <c r="AJ48" s="97">
        <v>135.02000000000001</v>
      </c>
      <c r="AK48" s="96"/>
      <c r="AL48" s="96"/>
      <c r="AM48" s="96"/>
      <c r="AN48" s="96"/>
      <c r="AO48" s="98">
        <v>0.118238</v>
      </c>
      <c r="AP48" s="98">
        <v>-1.039E-3</v>
      </c>
      <c r="AQ48" s="106"/>
    </row>
    <row r="49" spans="1:43" ht="15" customHeight="1">
      <c r="A49" s="106"/>
      <c r="B49" s="96">
        <v>286</v>
      </c>
      <c r="C49" s="96">
        <v>1446</v>
      </c>
      <c r="D49" s="96" t="s">
        <v>1021</v>
      </c>
      <c r="E49" s="96">
        <v>85124420</v>
      </c>
      <c r="F49" s="96" t="s">
        <v>1201</v>
      </c>
      <c r="G49" s="97">
        <v>3.7589999999999999</v>
      </c>
      <c r="H49" s="97">
        <v>1476.3535649999999</v>
      </c>
      <c r="I49" s="97">
        <v>204.60784000000001</v>
      </c>
      <c r="J49" s="98">
        <v>12.213244</v>
      </c>
      <c r="K49" s="98">
        <v>1.2367E-2</v>
      </c>
      <c r="L49" s="96">
        <v>85124421</v>
      </c>
      <c r="M49" s="96" t="s">
        <v>1201</v>
      </c>
      <c r="N49" s="97">
        <v>3.7589999999999999</v>
      </c>
      <c r="O49" s="97">
        <v>-184012.70839099999</v>
      </c>
      <c r="P49" s="97">
        <v>-187.854893</v>
      </c>
      <c r="Q49" s="98">
        <v>-11.213244</v>
      </c>
      <c r="R49" s="98">
        <v>-1.1355000000000001E-2</v>
      </c>
      <c r="S49" s="97">
        <v>62.974327000000002</v>
      </c>
      <c r="T49" s="96" t="s">
        <v>204</v>
      </c>
      <c r="U49" s="96" t="s">
        <v>223</v>
      </c>
      <c r="V49" s="96" t="s">
        <v>746</v>
      </c>
      <c r="W49" s="96" t="s">
        <v>915</v>
      </c>
      <c r="X49" s="96" t="s">
        <v>223</v>
      </c>
      <c r="Y49" s="96" t="s">
        <v>3672</v>
      </c>
      <c r="Z49" s="96" t="s">
        <v>338</v>
      </c>
      <c r="AA49" s="100">
        <v>45331</v>
      </c>
      <c r="AB49" s="100">
        <v>45513</v>
      </c>
      <c r="AC49" s="96" t="s">
        <v>895</v>
      </c>
      <c r="AD49" s="96" t="s">
        <v>899</v>
      </c>
      <c r="AE49" s="96" t="s">
        <v>911</v>
      </c>
      <c r="AF49" s="96" t="s">
        <v>914</v>
      </c>
      <c r="AG49" s="96" t="s">
        <v>897</v>
      </c>
      <c r="AH49" s="96" t="s">
        <v>897</v>
      </c>
      <c r="AI49" s="96"/>
      <c r="AJ49" s="97">
        <v>124.64</v>
      </c>
      <c r="AK49" s="96"/>
      <c r="AL49" s="96"/>
      <c r="AM49" s="96"/>
      <c r="AN49" s="96"/>
      <c r="AO49" s="98">
        <v>-0.11520900000000001</v>
      </c>
      <c r="AP49" s="98">
        <v>1.0120000000000001E-3</v>
      </c>
      <c r="AQ49" s="106"/>
    </row>
    <row r="50" spans="1:43" ht="15" customHeight="1">
      <c r="A50" s="106"/>
      <c r="B50" s="96">
        <v>286</v>
      </c>
      <c r="C50" s="96">
        <v>1446</v>
      </c>
      <c r="D50" s="96" t="s">
        <v>1021</v>
      </c>
      <c r="E50" s="96">
        <v>85124434</v>
      </c>
      <c r="F50" s="96" t="s">
        <v>1217</v>
      </c>
      <c r="G50" s="97">
        <v>2.3359000000000001E-2</v>
      </c>
      <c r="H50" s="97">
        <v>24562.110028999999</v>
      </c>
      <c r="I50" s="97">
        <v>7176.5081840000003</v>
      </c>
      <c r="J50" s="98">
        <v>6.4321210000000004</v>
      </c>
      <c r="K50" s="98">
        <v>2.6949999999999999E-3</v>
      </c>
      <c r="L50" s="96">
        <v>85124435</v>
      </c>
      <c r="M50" s="96" t="s">
        <v>1217</v>
      </c>
      <c r="N50" s="97">
        <v>2.3359000000000001E-2</v>
      </c>
      <c r="O50" s="97">
        <v>-6061930.2762679998</v>
      </c>
      <c r="P50" s="97">
        <v>-6060.7785089999998</v>
      </c>
      <c r="Q50" s="98">
        <v>-5.4321210000000004</v>
      </c>
      <c r="R50" s="98">
        <v>-2.2759999999999998E-3</v>
      </c>
      <c r="S50" s="97">
        <v>26.062328999999998</v>
      </c>
      <c r="T50" s="96" t="s">
        <v>204</v>
      </c>
      <c r="U50" s="96" t="s">
        <v>250</v>
      </c>
      <c r="V50" s="96" t="s">
        <v>746</v>
      </c>
      <c r="W50" s="96" t="s">
        <v>915</v>
      </c>
      <c r="X50" s="96" t="s">
        <v>250</v>
      </c>
      <c r="Y50" s="96" t="s">
        <v>3673</v>
      </c>
      <c r="Z50" s="96" t="s">
        <v>338</v>
      </c>
      <c r="AA50" s="100">
        <v>45355</v>
      </c>
      <c r="AB50" s="100">
        <v>45539</v>
      </c>
      <c r="AC50" s="96" t="s">
        <v>895</v>
      </c>
      <c r="AD50" s="96" t="s">
        <v>899</v>
      </c>
      <c r="AE50" s="96" t="s">
        <v>911</v>
      </c>
      <c r="AF50" s="96" t="s">
        <v>914</v>
      </c>
      <c r="AG50" s="96" t="s">
        <v>897</v>
      </c>
      <c r="AH50" s="96" t="s">
        <v>897</v>
      </c>
      <c r="AI50" s="96"/>
      <c r="AJ50" s="97">
        <v>245.441</v>
      </c>
      <c r="AK50" s="96"/>
      <c r="AL50" s="96"/>
      <c r="AM50" s="96"/>
      <c r="AN50" s="96"/>
      <c r="AO50" s="98">
        <v>-4.768E-2</v>
      </c>
      <c r="AP50" s="98">
        <v>4.1899999999999999E-4</v>
      </c>
      <c r="AQ50" s="106"/>
    </row>
    <row r="51" spans="1:43" ht="15" customHeight="1">
      <c r="A51" s="106"/>
      <c r="B51" s="96">
        <v>286</v>
      </c>
      <c r="C51" s="96">
        <v>1446</v>
      </c>
      <c r="D51" s="96" t="s">
        <v>1021</v>
      </c>
      <c r="E51" s="96">
        <v>85124396</v>
      </c>
      <c r="F51" s="96" t="s">
        <v>1201</v>
      </c>
      <c r="G51" s="97">
        <v>3.7589999999999999</v>
      </c>
      <c r="H51" s="97">
        <v>1684.251467</v>
      </c>
      <c r="I51" s="97">
        <v>158.959653</v>
      </c>
      <c r="J51" s="98">
        <v>-38.769542000000001</v>
      </c>
      <c r="K51" s="98">
        <v>9.6080000000000002E-3</v>
      </c>
      <c r="L51" s="96">
        <v>85124403</v>
      </c>
      <c r="M51" s="96" t="s">
        <v>1201</v>
      </c>
      <c r="N51" s="97">
        <v>3.7589999999999999</v>
      </c>
      <c r="O51" s="97">
        <v>-162833.43191000001</v>
      </c>
      <c r="P51" s="97">
        <v>-163.05976999999999</v>
      </c>
      <c r="Q51" s="98">
        <v>39.769542000000001</v>
      </c>
      <c r="R51" s="98">
        <v>-9.8560000000000002E-3</v>
      </c>
      <c r="S51" s="97">
        <v>-15.412338999999999</v>
      </c>
      <c r="T51" s="96" t="s">
        <v>204</v>
      </c>
      <c r="U51" s="96" t="s">
        <v>223</v>
      </c>
      <c r="V51" s="96" t="s">
        <v>746</v>
      </c>
      <c r="W51" s="96" t="s">
        <v>915</v>
      </c>
      <c r="X51" s="96" t="s">
        <v>223</v>
      </c>
      <c r="Y51" s="96" t="s">
        <v>3674</v>
      </c>
      <c r="Z51" s="96" t="s">
        <v>338</v>
      </c>
      <c r="AA51" s="100">
        <v>45267</v>
      </c>
      <c r="AB51" s="100">
        <v>45635</v>
      </c>
      <c r="AC51" s="96" t="s">
        <v>894</v>
      </c>
      <c r="AD51" s="96" t="s">
        <v>899</v>
      </c>
      <c r="AE51" s="96" t="s">
        <v>911</v>
      </c>
      <c r="AF51" s="96" t="s">
        <v>914</v>
      </c>
      <c r="AG51" s="96" t="s">
        <v>897</v>
      </c>
      <c r="AH51" s="96" t="s">
        <v>897</v>
      </c>
      <c r="AI51" s="96"/>
      <c r="AJ51" s="97">
        <v>90.56</v>
      </c>
      <c r="AK51" s="96"/>
      <c r="AL51" s="96"/>
      <c r="AM51" s="96"/>
      <c r="AN51" s="96" t="s">
        <v>3641</v>
      </c>
      <c r="AO51" s="98">
        <v>2.8195999999999999E-2</v>
      </c>
      <c r="AP51" s="98">
        <v>-2.4699999999999999E-4</v>
      </c>
      <c r="AQ51" s="106"/>
    </row>
    <row r="52" spans="1:43" ht="15" customHeight="1">
      <c r="A52" s="106"/>
      <c r="B52" s="96">
        <v>286</v>
      </c>
      <c r="C52" s="96">
        <v>1446</v>
      </c>
      <c r="D52" s="96" t="s">
        <v>1021</v>
      </c>
      <c r="E52" s="96">
        <v>85124438</v>
      </c>
      <c r="F52" s="96" t="s">
        <v>1202</v>
      </c>
      <c r="G52" s="97">
        <v>4.0202</v>
      </c>
      <c r="H52" s="97">
        <v>382.485905</v>
      </c>
      <c r="I52" s="97">
        <v>47.898708999999997</v>
      </c>
      <c r="J52" s="98">
        <v>8.9098869999999994</v>
      </c>
      <c r="K52" s="98">
        <v>3.0959999999999998E-3</v>
      </c>
      <c r="L52" s="96">
        <v>85124439</v>
      </c>
      <c r="M52" s="96" t="s">
        <v>1202</v>
      </c>
      <c r="N52" s="97">
        <v>4.0202</v>
      </c>
      <c r="O52" s="97">
        <v>-41809.534375000003</v>
      </c>
      <c r="P52" s="97">
        <v>-42.522804999999998</v>
      </c>
      <c r="Q52" s="98">
        <v>-7.9098870000000003</v>
      </c>
      <c r="R52" s="98">
        <v>-2.748E-3</v>
      </c>
      <c r="S52" s="97">
        <v>21.612213000000001</v>
      </c>
      <c r="T52" s="96" t="s">
        <v>204</v>
      </c>
      <c r="U52" s="96" t="s">
        <v>232</v>
      </c>
      <c r="V52" s="96" t="s">
        <v>746</v>
      </c>
      <c r="W52" s="96" t="s">
        <v>915</v>
      </c>
      <c r="X52" s="96" t="s">
        <v>292</v>
      </c>
      <c r="Y52" s="96" t="s">
        <v>3675</v>
      </c>
      <c r="Z52" s="96" t="s">
        <v>338</v>
      </c>
      <c r="AA52" s="100">
        <v>45357</v>
      </c>
      <c r="AB52" s="100">
        <v>45541</v>
      </c>
      <c r="AC52" s="96" t="s">
        <v>895</v>
      </c>
      <c r="AD52" s="96" t="s">
        <v>899</v>
      </c>
      <c r="AE52" s="96" t="s">
        <v>911</v>
      </c>
      <c r="AF52" s="96" t="s">
        <v>914</v>
      </c>
      <c r="AG52" s="96" t="s">
        <v>897</v>
      </c>
      <c r="AH52" s="96" t="s">
        <v>897</v>
      </c>
      <c r="AI52" s="96"/>
      <c r="AJ52" s="97">
        <v>109.31</v>
      </c>
      <c r="AK52" s="96"/>
      <c r="AL52" s="96"/>
      <c r="AM52" s="96"/>
      <c r="AN52" s="96"/>
      <c r="AO52" s="98">
        <v>-3.9537999999999997E-2</v>
      </c>
      <c r="AP52" s="98">
        <v>3.4699999999999998E-4</v>
      </c>
      <c r="AQ52" s="106"/>
    </row>
    <row r="53" spans="1:43" ht="15" customHeight="1">
      <c r="A53" s="106"/>
      <c r="B53" s="96">
        <v>286</v>
      </c>
      <c r="C53" s="96">
        <v>1446</v>
      </c>
      <c r="D53" s="96" t="s">
        <v>1021</v>
      </c>
      <c r="E53" s="96">
        <v>85124444</v>
      </c>
      <c r="F53" s="96" t="s">
        <v>1201</v>
      </c>
      <c r="G53" s="97">
        <v>3.7589999999999999</v>
      </c>
      <c r="H53" s="97">
        <v>1882.2089390000001</v>
      </c>
      <c r="I53" s="97">
        <v>56.050243000000002</v>
      </c>
      <c r="J53" s="98">
        <v>6.4510569999999996</v>
      </c>
      <c r="K53" s="98">
        <v>3.3869999999999998E-3</v>
      </c>
      <c r="L53" s="96">
        <v>85124445</v>
      </c>
      <c r="M53" s="96" t="s">
        <v>1201</v>
      </c>
      <c r="N53" s="97">
        <v>3.7589999999999999</v>
      </c>
      <c r="O53" s="97">
        <v>-46504.627331999996</v>
      </c>
      <c r="P53" s="97">
        <v>-47.361707000000003</v>
      </c>
      <c r="Q53" s="98">
        <v>-5.4510569999999996</v>
      </c>
      <c r="R53" s="98">
        <v>-2.862E-3</v>
      </c>
      <c r="S53" s="97">
        <v>32.660207</v>
      </c>
      <c r="T53" s="96" t="s">
        <v>204</v>
      </c>
      <c r="U53" s="96" t="s">
        <v>248</v>
      </c>
      <c r="V53" s="96" t="s">
        <v>746</v>
      </c>
      <c r="W53" s="96" t="s">
        <v>915</v>
      </c>
      <c r="X53" s="96" t="s">
        <v>248</v>
      </c>
      <c r="Y53" s="96" t="s">
        <v>3676</v>
      </c>
      <c r="Z53" s="96" t="s">
        <v>338</v>
      </c>
      <c r="AA53" s="100">
        <v>45359</v>
      </c>
      <c r="AB53" s="100">
        <v>45544</v>
      </c>
      <c r="AC53" s="96" t="s">
        <v>895</v>
      </c>
      <c r="AD53" s="96" t="s">
        <v>899</v>
      </c>
      <c r="AE53" s="96" t="s">
        <v>911</v>
      </c>
      <c r="AF53" s="96" t="s">
        <v>914</v>
      </c>
      <c r="AG53" s="96" t="s">
        <v>897</v>
      </c>
      <c r="AH53" s="96" t="s">
        <v>897</v>
      </c>
      <c r="AI53" s="96"/>
      <c r="AJ53" s="97"/>
      <c r="AK53" s="96"/>
      <c r="AL53" s="96"/>
      <c r="AM53" s="96"/>
      <c r="AN53" s="96"/>
      <c r="AO53" s="98">
        <v>-5.9749999999999998E-2</v>
      </c>
      <c r="AP53" s="98">
        <v>5.2499999999999997E-4</v>
      </c>
      <c r="AQ53" s="106"/>
    </row>
    <row r="54" spans="1:43" ht="15" customHeight="1">
      <c r="A54" s="106"/>
      <c r="B54" s="96">
        <v>286</v>
      </c>
      <c r="C54" s="96">
        <v>1446</v>
      </c>
      <c r="D54" s="96" t="s">
        <v>1021</v>
      </c>
      <c r="E54" s="96">
        <v>85124390</v>
      </c>
      <c r="F54" s="96" t="s">
        <v>1202</v>
      </c>
      <c r="G54" s="97">
        <v>4.0202</v>
      </c>
      <c r="H54" s="97">
        <v>939.82251099999996</v>
      </c>
      <c r="I54" s="97">
        <v>117.693973</v>
      </c>
      <c r="J54" s="98">
        <v>-32.872492000000001</v>
      </c>
      <c r="K54" s="98">
        <v>7.6080000000000002E-3</v>
      </c>
      <c r="L54" s="96">
        <v>85124391</v>
      </c>
      <c r="M54" s="96" t="s">
        <v>1202</v>
      </c>
      <c r="N54" s="97">
        <v>4.0202</v>
      </c>
      <c r="O54" s="97">
        <v>-121049.139503</v>
      </c>
      <c r="P54" s="97">
        <v>-121.27428999999999</v>
      </c>
      <c r="Q54" s="98">
        <v>33.872492000000001</v>
      </c>
      <c r="R54" s="98">
        <v>-7.8390000000000005E-3</v>
      </c>
      <c r="S54" s="97">
        <v>-14.393594</v>
      </c>
      <c r="T54" s="96" t="s">
        <v>204</v>
      </c>
      <c r="U54" s="96" t="s">
        <v>232</v>
      </c>
      <c r="V54" s="96" t="s">
        <v>746</v>
      </c>
      <c r="W54" s="96" t="s">
        <v>915</v>
      </c>
      <c r="X54" s="96" t="s">
        <v>292</v>
      </c>
      <c r="Y54" s="96" t="s">
        <v>3675</v>
      </c>
      <c r="Z54" s="96" t="s">
        <v>338</v>
      </c>
      <c r="AA54" s="100">
        <v>45259</v>
      </c>
      <c r="AB54" s="100">
        <v>45625</v>
      </c>
      <c r="AC54" s="96" t="s">
        <v>894</v>
      </c>
      <c r="AD54" s="96" t="s">
        <v>899</v>
      </c>
      <c r="AE54" s="96" t="s">
        <v>911</v>
      </c>
      <c r="AF54" s="96" t="s">
        <v>914</v>
      </c>
      <c r="AG54" s="96" t="s">
        <v>897</v>
      </c>
      <c r="AH54" s="96" t="s">
        <v>897</v>
      </c>
      <c r="AI54" s="96"/>
      <c r="AJ54" s="97">
        <v>99.42</v>
      </c>
      <c r="AK54" s="96"/>
      <c r="AL54" s="96"/>
      <c r="AM54" s="96"/>
      <c r="AN54" s="96"/>
      <c r="AO54" s="98">
        <v>2.6332000000000001E-2</v>
      </c>
      <c r="AP54" s="98">
        <v>-2.31E-4</v>
      </c>
      <c r="AQ54" s="106"/>
    </row>
    <row r="55" spans="1:43" ht="15" customHeight="1">
      <c r="A55" s="106"/>
      <c r="B55" s="96">
        <v>286</v>
      </c>
      <c r="C55" s="96">
        <v>286</v>
      </c>
      <c r="D55" s="96" t="s">
        <v>1020</v>
      </c>
      <c r="E55" s="96">
        <v>86123332</v>
      </c>
      <c r="F55" s="96" t="s">
        <v>1201</v>
      </c>
      <c r="G55" s="97">
        <v>3.7589999999999999</v>
      </c>
      <c r="H55" s="97">
        <v>-3000000</v>
      </c>
      <c r="I55" s="97">
        <v>-2224.2291399999999</v>
      </c>
      <c r="J55" s="98">
        <v>24.360378000000001</v>
      </c>
      <c r="K55" s="98">
        <v>-4.3530000000000001E-3</v>
      </c>
      <c r="L55" s="96">
        <v>86123333</v>
      </c>
      <c r="M55" s="96" t="s">
        <v>1200</v>
      </c>
      <c r="N55" s="97">
        <v>1</v>
      </c>
      <c r="O55" s="97">
        <v>11067000</v>
      </c>
      <c r="P55" s="97">
        <v>8017.6611000000003</v>
      </c>
      <c r="Q55" s="98">
        <v>-23.360378000000001</v>
      </c>
      <c r="R55" s="98">
        <v>4.1749999999999999E-3</v>
      </c>
      <c r="S55" s="97">
        <v>-343.21623</v>
      </c>
      <c r="T55" s="96" t="s">
        <v>203</v>
      </c>
      <c r="U55" s="96" t="s">
        <v>223</v>
      </c>
      <c r="V55" s="96" t="s">
        <v>745</v>
      </c>
      <c r="W55" s="96" t="s">
        <v>916</v>
      </c>
      <c r="X55" s="96" t="s">
        <v>929</v>
      </c>
      <c r="Y55" s="96" t="s">
        <v>3662</v>
      </c>
      <c r="Z55" s="96" t="s">
        <v>338</v>
      </c>
      <c r="AA55" s="100">
        <v>45330</v>
      </c>
      <c r="AB55" s="100">
        <v>48252</v>
      </c>
      <c r="AC55" s="96" t="s">
        <v>896</v>
      </c>
      <c r="AD55" s="96" t="s">
        <v>898</v>
      </c>
      <c r="AE55" s="96" t="s">
        <v>911</v>
      </c>
      <c r="AF55" s="96" t="s">
        <v>914</v>
      </c>
      <c r="AG55" s="96" t="s">
        <v>897</v>
      </c>
      <c r="AH55" s="96" t="s">
        <v>897</v>
      </c>
      <c r="AI55" s="96"/>
      <c r="AJ55" s="97">
        <v>3.6669999999999998</v>
      </c>
      <c r="AK55" s="96"/>
      <c r="AL55" s="96"/>
      <c r="AM55" s="96"/>
      <c r="AN55" s="96" t="s">
        <v>3641</v>
      </c>
      <c r="AO55" s="98">
        <v>1.8863999999999999E-2</v>
      </c>
      <c r="AP55" s="98">
        <v>-1.7799999999999999E-4</v>
      </c>
      <c r="AQ55" s="106"/>
    </row>
    <row r="56" spans="1:43" ht="15" customHeight="1">
      <c r="A56" s="106"/>
      <c r="B56" s="96">
        <v>286</v>
      </c>
      <c r="C56" s="96">
        <v>286</v>
      </c>
      <c r="D56" s="96" t="s">
        <v>1019</v>
      </c>
      <c r="E56" s="96">
        <v>86123184</v>
      </c>
      <c r="F56" s="96" t="s">
        <v>1201</v>
      </c>
      <c r="G56" s="97">
        <v>3.7589999999999999</v>
      </c>
      <c r="H56" s="97">
        <v>-1051244.299111</v>
      </c>
      <c r="I56" s="97">
        <v>-1059.490405</v>
      </c>
      <c r="J56" s="98">
        <v>5.765307</v>
      </c>
      <c r="K56" s="98">
        <v>-2.0730000000000002E-3</v>
      </c>
      <c r="L56" s="96">
        <v>86123185</v>
      </c>
      <c r="M56" s="96" t="s">
        <v>1201</v>
      </c>
      <c r="N56" s="97">
        <v>3.7589999999999999</v>
      </c>
      <c r="O56" s="97">
        <v>1051244.299111</v>
      </c>
      <c r="P56" s="97">
        <v>875.720417</v>
      </c>
      <c r="Q56" s="98">
        <v>-4.765307</v>
      </c>
      <c r="R56" s="98">
        <v>1.714E-3</v>
      </c>
      <c r="S56" s="97">
        <v>-690.79138499999999</v>
      </c>
      <c r="T56" s="96" t="s">
        <v>203</v>
      </c>
      <c r="U56" s="96" t="s">
        <v>223</v>
      </c>
      <c r="V56" s="96" t="s">
        <v>750</v>
      </c>
      <c r="W56" s="96" t="s">
        <v>916</v>
      </c>
      <c r="X56" s="96" t="s">
        <v>928</v>
      </c>
      <c r="Y56" s="96" t="s">
        <v>3643</v>
      </c>
      <c r="Z56" s="96" t="s">
        <v>338</v>
      </c>
      <c r="AA56" s="100">
        <v>44571</v>
      </c>
      <c r="AB56" s="100">
        <v>48223</v>
      </c>
      <c r="AC56" s="96" t="s">
        <v>896</v>
      </c>
      <c r="AD56" s="96" t="s">
        <v>899</v>
      </c>
      <c r="AE56" s="96" t="s">
        <v>911</v>
      </c>
      <c r="AF56" s="96" t="s">
        <v>914</v>
      </c>
      <c r="AG56" s="96" t="s">
        <v>906</v>
      </c>
      <c r="AH56" s="96" t="s">
        <v>896</v>
      </c>
      <c r="AI56" s="96"/>
      <c r="AJ56" s="97">
        <v>100</v>
      </c>
      <c r="AK56" s="96"/>
      <c r="AL56" s="96"/>
      <c r="AM56" s="96"/>
      <c r="AN56" s="96" t="s">
        <v>3641</v>
      </c>
      <c r="AO56" s="98">
        <v>3.7967000000000001E-2</v>
      </c>
      <c r="AP56" s="98">
        <v>-3.59E-4</v>
      </c>
      <c r="AQ56" s="106"/>
    </row>
    <row r="57" spans="1:43" ht="15" customHeight="1">
      <c r="A57" s="106"/>
      <c r="B57" s="96">
        <v>286</v>
      </c>
      <c r="C57" s="96">
        <v>286</v>
      </c>
      <c r="D57" s="96" t="s">
        <v>1020</v>
      </c>
      <c r="E57" s="96">
        <v>86123386</v>
      </c>
      <c r="F57" s="96" t="s">
        <v>1202</v>
      </c>
      <c r="G57" s="97">
        <v>4.0202</v>
      </c>
      <c r="H57" s="97">
        <v>-189223.97383999999</v>
      </c>
      <c r="I57" s="97">
        <v>-191.32399599999999</v>
      </c>
      <c r="J57" s="98">
        <v>-490.340732</v>
      </c>
      <c r="K57" s="98">
        <v>-4.0000000000000002E-4</v>
      </c>
      <c r="L57" s="96">
        <v>86123387</v>
      </c>
      <c r="M57" s="96" t="s">
        <v>1201</v>
      </c>
      <c r="N57" s="97">
        <v>3.7589999999999999</v>
      </c>
      <c r="O57" s="97">
        <v>203006.57503400001</v>
      </c>
      <c r="P57" s="97">
        <v>205.035742</v>
      </c>
      <c r="Q57" s="98">
        <v>491.340732</v>
      </c>
      <c r="R57" s="98">
        <v>4.0099999999999999E-4</v>
      </c>
      <c r="S57" s="97">
        <v>1.5686249999999999</v>
      </c>
      <c r="T57" s="96" t="s">
        <v>203</v>
      </c>
      <c r="U57" s="96" t="s">
        <v>203</v>
      </c>
      <c r="V57" s="96" t="s">
        <v>745</v>
      </c>
      <c r="W57" s="96" t="s">
        <v>916</v>
      </c>
      <c r="X57" s="96" t="s">
        <v>929</v>
      </c>
      <c r="Y57" s="96" t="s">
        <v>3631</v>
      </c>
      <c r="Z57" s="96" t="s">
        <v>338</v>
      </c>
      <c r="AA57" s="100">
        <v>45467</v>
      </c>
      <c r="AB57" s="100">
        <v>47296</v>
      </c>
      <c r="AC57" s="96" t="s">
        <v>894</v>
      </c>
      <c r="AD57" s="96" t="s">
        <v>898</v>
      </c>
      <c r="AE57" s="96" t="s">
        <v>911</v>
      </c>
      <c r="AF57" s="96" t="s">
        <v>914</v>
      </c>
      <c r="AG57" s="96" t="s">
        <v>905</v>
      </c>
      <c r="AH57" s="96"/>
      <c r="AI57" s="96"/>
      <c r="AJ57" s="97">
        <v>3.9950000000000001</v>
      </c>
      <c r="AK57" s="96"/>
      <c r="AL57" s="96"/>
      <c r="AM57" s="96"/>
      <c r="AN57" s="96" t="s">
        <v>3632</v>
      </c>
      <c r="AO57" s="98">
        <v>-8.6000000000000003E-5</v>
      </c>
      <c r="AP57" s="98">
        <v>0</v>
      </c>
      <c r="AQ57" s="106"/>
    </row>
    <row r="58" spans="1:43" ht="15" customHeight="1">
      <c r="A58" s="106"/>
      <c r="B58" s="96">
        <v>286</v>
      </c>
      <c r="C58" s="96">
        <v>286</v>
      </c>
      <c r="D58" s="96" t="s">
        <v>1019</v>
      </c>
      <c r="E58" s="96">
        <v>86123192</v>
      </c>
      <c r="F58" s="96" t="s">
        <v>1201</v>
      </c>
      <c r="G58" s="97">
        <v>3.7589999999999999</v>
      </c>
      <c r="H58" s="97">
        <v>-525622.14955500001</v>
      </c>
      <c r="I58" s="97">
        <v>-525.33742400000006</v>
      </c>
      <c r="J58" s="98">
        <v>6.3637730000000001</v>
      </c>
      <c r="K58" s="98">
        <v>-1.0280000000000001E-3</v>
      </c>
      <c r="L58" s="96">
        <v>86123193</v>
      </c>
      <c r="M58" s="96" t="s">
        <v>1201</v>
      </c>
      <c r="N58" s="97">
        <v>3.7589999999999999</v>
      </c>
      <c r="O58" s="97">
        <v>525622.14955500001</v>
      </c>
      <c r="P58" s="97">
        <v>442.78618599999999</v>
      </c>
      <c r="Q58" s="98">
        <v>-5.3637730000000001</v>
      </c>
      <c r="R58" s="98">
        <v>8.6600000000000002E-4</v>
      </c>
      <c r="S58" s="97">
        <v>-310.31010700000002</v>
      </c>
      <c r="T58" s="96" t="s">
        <v>203</v>
      </c>
      <c r="U58" s="96" t="s">
        <v>223</v>
      </c>
      <c r="V58" s="96" t="s">
        <v>750</v>
      </c>
      <c r="W58" s="96" t="s">
        <v>916</v>
      </c>
      <c r="X58" s="96" t="s">
        <v>928</v>
      </c>
      <c r="Y58" s="96" t="s">
        <v>3637</v>
      </c>
      <c r="Z58" s="96" t="s">
        <v>338</v>
      </c>
      <c r="AA58" s="100">
        <v>44620</v>
      </c>
      <c r="AB58" s="100">
        <v>48275</v>
      </c>
      <c r="AC58" s="96" t="s">
        <v>896</v>
      </c>
      <c r="AD58" s="96" t="s">
        <v>899</v>
      </c>
      <c r="AE58" s="96" t="s">
        <v>911</v>
      </c>
      <c r="AF58" s="96" t="s">
        <v>914</v>
      </c>
      <c r="AG58" s="96" t="s">
        <v>906</v>
      </c>
      <c r="AH58" s="96" t="s">
        <v>896</v>
      </c>
      <c r="AI58" s="96"/>
      <c r="AJ58" s="97">
        <v>100</v>
      </c>
      <c r="AK58" s="96"/>
      <c r="AL58" s="96"/>
      <c r="AM58" s="96"/>
      <c r="AN58" s="96" t="s">
        <v>3634</v>
      </c>
      <c r="AO58" s="98">
        <v>1.7055000000000001E-2</v>
      </c>
      <c r="AP58" s="98">
        <v>-1.6100000000000001E-4</v>
      </c>
      <c r="AQ58" s="106"/>
    </row>
    <row r="59" spans="1:43" ht="15" customHeight="1">
      <c r="A59" s="106"/>
      <c r="B59" s="96">
        <v>286</v>
      </c>
      <c r="C59" s="96">
        <v>286</v>
      </c>
      <c r="D59" s="96" t="s">
        <v>1019</v>
      </c>
      <c r="E59" s="96">
        <v>86123150</v>
      </c>
      <c r="F59" s="96" t="s">
        <v>1201</v>
      </c>
      <c r="G59" s="97">
        <v>3.7589999999999999</v>
      </c>
      <c r="H59" s="97">
        <v>-525622.14955500001</v>
      </c>
      <c r="I59" s="97">
        <v>-536.68035999999995</v>
      </c>
      <c r="J59" s="98">
        <v>5.1291140000000004</v>
      </c>
      <c r="K59" s="98">
        <v>-1.0499999999999999E-3</v>
      </c>
      <c r="L59" s="96">
        <v>86123151</v>
      </c>
      <c r="M59" s="96" t="s">
        <v>1201</v>
      </c>
      <c r="N59" s="97">
        <v>3.7589999999999999</v>
      </c>
      <c r="O59" s="97">
        <v>525622.14955500001</v>
      </c>
      <c r="P59" s="97">
        <v>432.04623800000002</v>
      </c>
      <c r="Q59" s="98">
        <v>-4.1291140000000004</v>
      </c>
      <c r="R59" s="98">
        <v>8.4500000000000005E-4</v>
      </c>
      <c r="S59" s="97">
        <v>-393.31966699999998</v>
      </c>
      <c r="T59" s="96" t="s">
        <v>203</v>
      </c>
      <c r="U59" s="96" t="s">
        <v>223</v>
      </c>
      <c r="V59" s="96" t="s">
        <v>750</v>
      </c>
      <c r="W59" s="96" t="s">
        <v>916</v>
      </c>
      <c r="X59" s="96" t="s">
        <v>928</v>
      </c>
      <c r="Y59" s="96" t="s">
        <v>3639</v>
      </c>
      <c r="Z59" s="96" t="s">
        <v>338</v>
      </c>
      <c r="AA59" s="100">
        <v>44057</v>
      </c>
      <c r="AB59" s="100">
        <v>47709</v>
      </c>
      <c r="AC59" s="96" t="s">
        <v>894</v>
      </c>
      <c r="AD59" s="96" t="s">
        <v>899</v>
      </c>
      <c r="AE59" s="96" t="s">
        <v>911</v>
      </c>
      <c r="AF59" s="96" t="s">
        <v>914</v>
      </c>
      <c r="AG59" s="96" t="s">
        <v>906</v>
      </c>
      <c r="AH59" s="96" t="s">
        <v>894</v>
      </c>
      <c r="AI59" s="96"/>
      <c r="AJ59" s="97">
        <v>100</v>
      </c>
      <c r="AK59" s="96"/>
      <c r="AL59" s="96"/>
      <c r="AM59" s="96"/>
      <c r="AN59" s="96" t="s">
        <v>3634</v>
      </c>
      <c r="AO59" s="98">
        <v>2.1617000000000001E-2</v>
      </c>
      <c r="AP59" s="98">
        <v>-2.04E-4</v>
      </c>
      <c r="AQ59" s="106"/>
    </row>
    <row r="60" spans="1:43" ht="15" customHeight="1">
      <c r="A60" s="106"/>
      <c r="B60" s="96">
        <v>286</v>
      </c>
      <c r="C60" s="96">
        <v>286</v>
      </c>
      <c r="D60" s="96" t="s">
        <v>1017</v>
      </c>
      <c r="E60" s="96">
        <v>77135994</v>
      </c>
      <c r="F60" s="96" t="s">
        <v>1201</v>
      </c>
      <c r="G60" s="97">
        <v>3.7589999999999999</v>
      </c>
      <c r="H60" s="97">
        <v>-4000000</v>
      </c>
      <c r="I60" s="97">
        <v>-3944.4</v>
      </c>
      <c r="J60" s="98">
        <v>96.151598000000007</v>
      </c>
      <c r="K60" s="98">
        <v>-7.7210000000000004E-3</v>
      </c>
      <c r="L60" s="96">
        <v>77135995</v>
      </c>
      <c r="M60" s="96" t="s">
        <v>1200</v>
      </c>
      <c r="N60" s="97">
        <v>1</v>
      </c>
      <c r="O60" s="97">
        <v>14824000</v>
      </c>
      <c r="P60" s="97">
        <v>14672.7952</v>
      </c>
      <c r="Q60" s="98">
        <v>-95.151598000000007</v>
      </c>
      <c r="R60" s="98">
        <v>7.6400000000000001E-3</v>
      </c>
      <c r="S60" s="97">
        <v>-154.20439999999999</v>
      </c>
      <c r="T60" s="96" t="s">
        <v>203</v>
      </c>
      <c r="U60" s="96" t="s">
        <v>203</v>
      </c>
      <c r="V60" s="96" t="s">
        <v>745</v>
      </c>
      <c r="W60" s="96" t="s">
        <v>916</v>
      </c>
      <c r="X60" s="96" t="s">
        <v>929</v>
      </c>
      <c r="Y60" s="96" t="s">
        <v>3629</v>
      </c>
      <c r="Z60" s="96" t="s">
        <v>338</v>
      </c>
      <c r="AA60" s="100">
        <v>45468</v>
      </c>
      <c r="AB60" s="100">
        <v>45561</v>
      </c>
      <c r="AC60" s="96" t="s">
        <v>897</v>
      </c>
      <c r="AD60" s="96" t="s">
        <v>899</v>
      </c>
      <c r="AE60" s="96" t="s">
        <v>911</v>
      </c>
      <c r="AF60" s="96" t="s">
        <v>914</v>
      </c>
      <c r="AG60" s="96" t="s">
        <v>897</v>
      </c>
      <c r="AH60" s="96" t="s">
        <v>897</v>
      </c>
      <c r="AI60" s="96"/>
      <c r="AJ60" s="97">
        <v>3.7250000000000001</v>
      </c>
      <c r="AK60" s="96"/>
      <c r="AL60" s="96"/>
      <c r="AM60" s="96"/>
      <c r="AN60" s="96" t="s">
        <v>3641</v>
      </c>
      <c r="AO60" s="98">
        <v>8.4749999999999999E-3</v>
      </c>
      <c r="AP60" s="98">
        <v>-8.0000000000000007E-5</v>
      </c>
      <c r="AQ60" s="106"/>
    </row>
    <row r="61" spans="1:43" ht="15" customHeight="1">
      <c r="A61" s="106"/>
      <c r="B61" s="96">
        <v>286</v>
      </c>
      <c r="C61" s="96">
        <v>286</v>
      </c>
      <c r="D61" s="96" t="s">
        <v>1020</v>
      </c>
      <c r="E61" s="96">
        <v>86123262</v>
      </c>
      <c r="F61" s="96" t="s">
        <v>1201</v>
      </c>
      <c r="G61" s="97">
        <v>3.7589999999999999</v>
      </c>
      <c r="H61" s="97">
        <v>-8000000</v>
      </c>
      <c r="I61" s="97">
        <v>-6639.65265</v>
      </c>
      <c r="J61" s="98">
        <v>11.011361000000001</v>
      </c>
      <c r="K61" s="98">
        <v>-1.2997E-2</v>
      </c>
      <c r="L61" s="96">
        <v>86123263</v>
      </c>
      <c r="M61" s="96" t="s">
        <v>1200</v>
      </c>
      <c r="N61" s="97">
        <v>1</v>
      </c>
      <c r="O61" s="97">
        <v>27800000</v>
      </c>
      <c r="P61" s="97">
        <v>22691.8449</v>
      </c>
      <c r="Q61" s="98">
        <v>-10.011361000000001</v>
      </c>
      <c r="R61" s="98">
        <v>1.1816E-2</v>
      </c>
      <c r="S61" s="97">
        <v>-2266.6093900000001</v>
      </c>
      <c r="T61" s="96" t="s">
        <v>203</v>
      </c>
      <c r="U61" s="96" t="s">
        <v>223</v>
      </c>
      <c r="V61" s="96" t="s">
        <v>745</v>
      </c>
      <c r="W61" s="96" t="s">
        <v>916</v>
      </c>
      <c r="X61" s="96" t="s">
        <v>929</v>
      </c>
      <c r="Y61" s="96" t="s">
        <v>3677</v>
      </c>
      <c r="Z61" s="96" t="s">
        <v>338</v>
      </c>
      <c r="AA61" s="100">
        <v>44959</v>
      </c>
      <c r="AB61" s="100">
        <v>47151</v>
      </c>
      <c r="AC61" s="96" t="s">
        <v>896</v>
      </c>
      <c r="AD61" s="96" t="s">
        <v>898</v>
      </c>
      <c r="AE61" s="96" t="s">
        <v>911</v>
      </c>
      <c r="AF61" s="96" t="s">
        <v>914</v>
      </c>
      <c r="AG61" s="96" t="s">
        <v>897</v>
      </c>
      <c r="AH61" s="96" t="s">
        <v>897</v>
      </c>
      <c r="AI61" s="96"/>
      <c r="AJ61" s="97">
        <v>3.4220000000000002</v>
      </c>
      <c r="AK61" s="96"/>
      <c r="AL61" s="96"/>
      <c r="AM61" s="96"/>
      <c r="AN61" s="96" t="s">
        <v>3641</v>
      </c>
      <c r="AO61" s="98">
        <v>0.12457799999999999</v>
      </c>
      <c r="AP61" s="98">
        <v>-1.1800000000000001E-3</v>
      </c>
      <c r="AQ61" s="106"/>
    </row>
    <row r="62" spans="1:43" ht="15" customHeight="1">
      <c r="A62" s="106"/>
      <c r="B62" s="96">
        <v>286</v>
      </c>
      <c r="C62" s="96">
        <v>286</v>
      </c>
      <c r="D62" s="96" t="s">
        <v>1019</v>
      </c>
      <c r="E62" s="96">
        <v>86123158</v>
      </c>
      <c r="F62" s="96" t="s">
        <v>1201</v>
      </c>
      <c r="G62" s="97">
        <v>3.7589999999999999</v>
      </c>
      <c r="H62" s="97">
        <v>-525622.14955500001</v>
      </c>
      <c r="I62" s="97">
        <v>-540.04584199999999</v>
      </c>
      <c r="J62" s="98">
        <v>4.9871869999999996</v>
      </c>
      <c r="K62" s="98">
        <v>-1.057E-3</v>
      </c>
      <c r="L62" s="96">
        <v>86123159</v>
      </c>
      <c r="M62" s="96" t="s">
        <v>1201</v>
      </c>
      <c r="N62" s="97">
        <v>3.7589999999999999</v>
      </c>
      <c r="O62" s="97">
        <v>525622.14955500001</v>
      </c>
      <c r="P62" s="97">
        <v>431.75919499999998</v>
      </c>
      <c r="Q62" s="98">
        <v>-3.987187</v>
      </c>
      <c r="R62" s="98">
        <v>8.4500000000000005E-4</v>
      </c>
      <c r="S62" s="97">
        <v>-407.04950700000001</v>
      </c>
      <c r="T62" s="96" t="s">
        <v>203</v>
      </c>
      <c r="U62" s="96" t="s">
        <v>223</v>
      </c>
      <c r="V62" s="96" t="s">
        <v>750</v>
      </c>
      <c r="W62" s="96" t="s">
        <v>916</v>
      </c>
      <c r="X62" s="96" t="s">
        <v>928</v>
      </c>
      <c r="Y62" s="96" t="s">
        <v>3642</v>
      </c>
      <c r="Z62" s="96" t="s">
        <v>338</v>
      </c>
      <c r="AA62" s="100">
        <v>44109</v>
      </c>
      <c r="AB62" s="100">
        <v>47761</v>
      </c>
      <c r="AC62" s="96" t="s">
        <v>894</v>
      </c>
      <c r="AD62" s="96" t="s">
        <v>899</v>
      </c>
      <c r="AE62" s="96" t="s">
        <v>911</v>
      </c>
      <c r="AF62" s="96" t="s">
        <v>914</v>
      </c>
      <c r="AG62" s="96" t="s">
        <v>906</v>
      </c>
      <c r="AH62" s="96" t="s">
        <v>894</v>
      </c>
      <c r="AI62" s="96"/>
      <c r="AJ62" s="97">
        <v>100</v>
      </c>
      <c r="AK62" s="96"/>
      <c r="AL62" s="96"/>
      <c r="AM62" s="96"/>
      <c r="AN62" s="96" t="s">
        <v>3641</v>
      </c>
      <c r="AO62" s="98">
        <v>2.2372E-2</v>
      </c>
      <c r="AP62" s="98">
        <v>-2.1100000000000001E-4</v>
      </c>
      <c r="AQ62" s="106"/>
    </row>
    <row r="63" spans="1:43" ht="15" customHeight="1">
      <c r="A63" s="106"/>
      <c r="B63" s="96">
        <v>286</v>
      </c>
      <c r="C63" s="96">
        <v>286</v>
      </c>
      <c r="D63" s="96" t="s">
        <v>1019</v>
      </c>
      <c r="E63" s="96">
        <v>86123190</v>
      </c>
      <c r="F63" s="96" t="s">
        <v>1201</v>
      </c>
      <c r="G63" s="97">
        <v>3.7589999999999999</v>
      </c>
      <c r="H63" s="97">
        <v>-525622.14955500001</v>
      </c>
      <c r="I63" s="97">
        <v>-525.57646999999997</v>
      </c>
      <c r="J63" s="98">
        <v>6.461919</v>
      </c>
      <c r="K63" s="98">
        <v>-1.0280000000000001E-3</v>
      </c>
      <c r="L63" s="96">
        <v>86123191</v>
      </c>
      <c r="M63" s="96" t="s">
        <v>1201</v>
      </c>
      <c r="N63" s="97">
        <v>3.7589999999999999</v>
      </c>
      <c r="O63" s="97">
        <v>525622.14955500001</v>
      </c>
      <c r="P63" s="97">
        <v>444.24204500000002</v>
      </c>
      <c r="Q63" s="98">
        <v>-5.461919</v>
      </c>
      <c r="R63" s="98">
        <v>8.6899999999999998E-4</v>
      </c>
      <c r="S63" s="97">
        <v>-305.73610400000001</v>
      </c>
      <c r="T63" s="96" t="s">
        <v>203</v>
      </c>
      <c r="U63" s="96" t="s">
        <v>223</v>
      </c>
      <c r="V63" s="96" t="s">
        <v>750</v>
      </c>
      <c r="W63" s="96" t="s">
        <v>916</v>
      </c>
      <c r="X63" s="96" t="s">
        <v>928</v>
      </c>
      <c r="Y63" s="96" t="s">
        <v>3645</v>
      </c>
      <c r="Z63" s="96" t="s">
        <v>338</v>
      </c>
      <c r="AA63" s="100">
        <v>44617</v>
      </c>
      <c r="AB63" s="100">
        <v>48274</v>
      </c>
      <c r="AC63" s="96" t="s">
        <v>896</v>
      </c>
      <c r="AD63" s="96" t="s">
        <v>899</v>
      </c>
      <c r="AE63" s="96" t="s">
        <v>911</v>
      </c>
      <c r="AF63" s="96" t="s">
        <v>914</v>
      </c>
      <c r="AG63" s="96" t="s">
        <v>906</v>
      </c>
      <c r="AH63" s="96" t="s">
        <v>896</v>
      </c>
      <c r="AI63" s="96"/>
      <c r="AJ63" s="97">
        <v>100</v>
      </c>
      <c r="AK63" s="96"/>
      <c r="AL63" s="96"/>
      <c r="AM63" s="96"/>
      <c r="AN63" s="96" t="s">
        <v>3634</v>
      </c>
      <c r="AO63" s="98">
        <v>1.6803999999999999E-2</v>
      </c>
      <c r="AP63" s="98">
        <v>-1.5899999999999999E-4</v>
      </c>
      <c r="AQ63" s="106"/>
    </row>
    <row r="64" spans="1:43" ht="15" customHeight="1">
      <c r="A64" s="106"/>
      <c r="B64" s="96">
        <v>286</v>
      </c>
      <c r="C64" s="96">
        <v>286</v>
      </c>
      <c r="D64" s="96" t="s">
        <v>1017</v>
      </c>
      <c r="E64" s="96">
        <v>77135626</v>
      </c>
      <c r="F64" s="96" t="s">
        <v>1201</v>
      </c>
      <c r="G64" s="97">
        <v>3.7589999999999999</v>
      </c>
      <c r="H64" s="97">
        <v>417993.21401400003</v>
      </c>
      <c r="I64" s="97">
        <v>408.42116900000002</v>
      </c>
      <c r="J64" s="98">
        <v>73.172421999999997</v>
      </c>
      <c r="K64" s="98">
        <v>7.9900000000000001E-4</v>
      </c>
      <c r="L64" s="96">
        <v>77135627</v>
      </c>
      <c r="M64" s="96" t="s">
        <v>1200</v>
      </c>
      <c r="N64" s="97">
        <v>1</v>
      </c>
      <c r="O64" s="97">
        <v>-1540304.993641</v>
      </c>
      <c r="P64" s="97">
        <v>-1514.273839</v>
      </c>
      <c r="Q64" s="98">
        <v>-72.172421999999997</v>
      </c>
      <c r="R64" s="98">
        <v>-7.8799999999999996E-4</v>
      </c>
      <c r="S64" s="97">
        <v>20.981335999999999</v>
      </c>
      <c r="T64" s="96" t="s">
        <v>203</v>
      </c>
      <c r="U64" s="96" t="s">
        <v>203</v>
      </c>
      <c r="V64" s="96" t="s">
        <v>745</v>
      </c>
      <c r="W64" s="96" t="s">
        <v>916</v>
      </c>
      <c r="X64" s="96" t="s">
        <v>929</v>
      </c>
      <c r="Y64" s="96" t="s">
        <v>3629</v>
      </c>
      <c r="Z64" s="96" t="s">
        <v>338</v>
      </c>
      <c r="AA64" s="100">
        <v>45432</v>
      </c>
      <c r="AB64" s="100">
        <v>45618</v>
      </c>
      <c r="AC64" s="96" t="s">
        <v>897</v>
      </c>
      <c r="AD64" s="96" t="s">
        <v>899</v>
      </c>
      <c r="AE64" s="96" t="s">
        <v>911</v>
      </c>
      <c r="AF64" s="96" t="s">
        <v>914</v>
      </c>
      <c r="AG64" s="96" t="s">
        <v>897</v>
      </c>
      <c r="AH64" s="96" t="s">
        <v>897</v>
      </c>
      <c r="AI64" s="96"/>
      <c r="AJ64" s="97">
        <v>3.7029999999999998</v>
      </c>
      <c r="AK64" s="96"/>
      <c r="AL64" s="96"/>
      <c r="AM64" s="96"/>
      <c r="AN64" s="96" t="s">
        <v>3634</v>
      </c>
      <c r="AO64" s="98">
        <v>-1.1529999999999999E-3</v>
      </c>
      <c r="AP64" s="98">
        <v>1.0000000000000001E-5</v>
      </c>
      <c r="AQ64" s="106"/>
    </row>
    <row r="65" spans="1:43" ht="15" customHeight="1">
      <c r="A65" s="106"/>
      <c r="B65" s="96">
        <v>286</v>
      </c>
      <c r="C65" s="96">
        <v>286</v>
      </c>
      <c r="D65" s="96" t="s">
        <v>1017</v>
      </c>
      <c r="E65" s="96">
        <v>77136058</v>
      </c>
      <c r="F65" s="96" t="s">
        <v>1201</v>
      </c>
      <c r="G65" s="97">
        <v>3.7589999999999999</v>
      </c>
      <c r="H65" s="97">
        <v>-176453.106891</v>
      </c>
      <c r="I65" s="97">
        <v>-176.435461</v>
      </c>
      <c r="J65" s="98">
        <v>469.87489699999998</v>
      </c>
      <c r="K65" s="98">
        <v>-3.4499999999999998E-4</v>
      </c>
      <c r="L65" s="96">
        <v>77136059</v>
      </c>
      <c r="M65" s="96" t="s">
        <v>1200</v>
      </c>
      <c r="N65" s="97">
        <v>1</v>
      </c>
      <c r="O65" s="97">
        <v>661875.603948</v>
      </c>
      <c r="P65" s="97">
        <v>661.80941600000006</v>
      </c>
      <c r="Q65" s="98">
        <v>-468.87489699999998</v>
      </c>
      <c r="R65" s="98">
        <v>3.4400000000000001E-4</v>
      </c>
      <c r="S65" s="97">
        <v>-1.411484</v>
      </c>
      <c r="T65" s="96" t="s">
        <v>203</v>
      </c>
      <c r="U65" s="96" t="s">
        <v>203</v>
      </c>
      <c r="V65" s="96" t="s">
        <v>745</v>
      </c>
      <c r="W65" s="96" t="s">
        <v>916</v>
      </c>
      <c r="X65" s="96" t="s">
        <v>929</v>
      </c>
      <c r="Y65" s="96" t="s">
        <v>3629</v>
      </c>
      <c r="Z65" s="96" t="s">
        <v>338</v>
      </c>
      <c r="AA65" s="100">
        <v>45470</v>
      </c>
      <c r="AB65" s="100">
        <v>45474</v>
      </c>
      <c r="AC65" s="96" t="s">
        <v>897</v>
      </c>
      <c r="AD65" s="96" t="s">
        <v>899</v>
      </c>
      <c r="AE65" s="96" t="s">
        <v>911</v>
      </c>
      <c r="AF65" s="96" t="s">
        <v>914</v>
      </c>
      <c r="AG65" s="96" t="s">
        <v>897</v>
      </c>
      <c r="AH65" s="96" t="s">
        <v>897</v>
      </c>
      <c r="AI65" s="96"/>
      <c r="AJ65" s="97">
        <v>3.7549999999999999</v>
      </c>
      <c r="AK65" s="96"/>
      <c r="AL65" s="96"/>
      <c r="AM65" s="96"/>
      <c r="AN65" s="96" t="s">
        <v>3630</v>
      </c>
      <c r="AO65" s="98">
        <v>7.7000000000000001E-5</v>
      </c>
      <c r="AP65" s="98">
        <v>0</v>
      </c>
      <c r="AQ65" s="106"/>
    </row>
    <row r="66" spans="1:43" ht="15" customHeight="1">
      <c r="A66" s="106"/>
      <c r="B66" s="96">
        <v>286</v>
      </c>
      <c r="C66" s="96">
        <v>286</v>
      </c>
      <c r="D66" s="96" t="s">
        <v>1020</v>
      </c>
      <c r="E66" s="96">
        <v>86123230</v>
      </c>
      <c r="F66" s="96" t="s">
        <v>1201</v>
      </c>
      <c r="G66" s="97">
        <v>3.7589999999999999</v>
      </c>
      <c r="H66" s="97">
        <v>-12000000</v>
      </c>
      <c r="I66" s="97">
        <v>-9388.9861099999998</v>
      </c>
      <c r="J66" s="98">
        <v>7.6956049999999996</v>
      </c>
      <c r="K66" s="98">
        <v>-1.8379E-2</v>
      </c>
      <c r="L66" s="96">
        <v>86123231</v>
      </c>
      <c r="M66" s="96" t="s">
        <v>1200</v>
      </c>
      <c r="N66" s="97">
        <v>1</v>
      </c>
      <c r="O66" s="97">
        <v>40200000</v>
      </c>
      <c r="P66" s="97">
        <v>30707.049200000001</v>
      </c>
      <c r="Q66" s="98">
        <v>-6.6956049999999996</v>
      </c>
      <c r="R66" s="98">
        <v>1.5990000000000001E-2</v>
      </c>
      <c r="S66" s="97">
        <v>-4586.1495800000002</v>
      </c>
      <c r="T66" s="96" t="s">
        <v>203</v>
      </c>
      <c r="U66" s="96" t="s">
        <v>223</v>
      </c>
      <c r="V66" s="96" t="s">
        <v>745</v>
      </c>
      <c r="W66" s="96" t="s">
        <v>916</v>
      </c>
      <c r="X66" s="96" t="s">
        <v>929</v>
      </c>
      <c r="Y66" s="96" t="s">
        <v>3664</v>
      </c>
      <c r="Z66" s="96" t="s">
        <v>338</v>
      </c>
      <c r="AA66" s="100">
        <v>44810</v>
      </c>
      <c r="AB66" s="100">
        <v>47732</v>
      </c>
      <c r="AC66" s="96" t="s">
        <v>896</v>
      </c>
      <c r="AD66" s="96" t="s">
        <v>898</v>
      </c>
      <c r="AE66" s="96" t="s">
        <v>911</v>
      </c>
      <c r="AF66" s="96" t="s">
        <v>914</v>
      </c>
      <c r="AG66" s="96" t="s">
        <v>897</v>
      </c>
      <c r="AH66" s="96" t="s">
        <v>897</v>
      </c>
      <c r="AI66" s="96"/>
      <c r="AJ66" s="97">
        <v>3.4159999999999999</v>
      </c>
      <c r="AK66" s="96"/>
      <c r="AL66" s="96"/>
      <c r="AM66" s="96"/>
      <c r="AN66" s="96" t="s">
        <v>3641</v>
      </c>
      <c r="AO66" s="98">
        <v>0.25206600000000001</v>
      </c>
      <c r="AP66" s="98">
        <v>-2.3879999999999999E-3</v>
      </c>
      <c r="AQ66" s="106"/>
    </row>
    <row r="67" spans="1:43" ht="15" customHeight="1">
      <c r="A67" s="106"/>
      <c r="B67" s="96">
        <v>286</v>
      </c>
      <c r="C67" s="96">
        <v>286</v>
      </c>
      <c r="D67" s="96" t="s">
        <v>1019</v>
      </c>
      <c r="E67" s="96">
        <v>86123162</v>
      </c>
      <c r="F67" s="96" t="s">
        <v>1201</v>
      </c>
      <c r="G67" s="97">
        <v>3.7589999999999999</v>
      </c>
      <c r="H67" s="97">
        <v>-525622.14955500001</v>
      </c>
      <c r="I67" s="97">
        <v>-537.24550399999998</v>
      </c>
      <c r="J67" s="98">
        <v>5.3352040000000001</v>
      </c>
      <c r="K67" s="98">
        <v>-1.0510000000000001E-3</v>
      </c>
      <c r="L67" s="96">
        <v>86123163</v>
      </c>
      <c r="M67" s="96" t="s">
        <v>1201</v>
      </c>
      <c r="N67" s="97">
        <v>3.7589999999999999</v>
      </c>
      <c r="O67" s="97">
        <v>525622.14955500001</v>
      </c>
      <c r="P67" s="97">
        <v>436.54730000000001</v>
      </c>
      <c r="Q67" s="98">
        <v>-4.3352040000000001</v>
      </c>
      <c r="R67" s="98">
        <v>8.5400000000000005E-4</v>
      </c>
      <c r="S67" s="97">
        <v>-378.52454799999998</v>
      </c>
      <c r="T67" s="96" t="s">
        <v>203</v>
      </c>
      <c r="U67" s="96" t="s">
        <v>223</v>
      </c>
      <c r="V67" s="96" t="s">
        <v>750</v>
      </c>
      <c r="W67" s="96" t="s">
        <v>916</v>
      </c>
      <c r="X67" s="96" t="s">
        <v>928</v>
      </c>
      <c r="Y67" s="96" t="s">
        <v>3646</v>
      </c>
      <c r="Z67" s="96" t="s">
        <v>338</v>
      </c>
      <c r="AA67" s="100">
        <v>44147</v>
      </c>
      <c r="AB67" s="100">
        <v>47799</v>
      </c>
      <c r="AC67" s="96" t="s">
        <v>894</v>
      </c>
      <c r="AD67" s="96" t="s">
        <v>899</v>
      </c>
      <c r="AE67" s="96" t="s">
        <v>911</v>
      </c>
      <c r="AF67" s="96" t="s">
        <v>914</v>
      </c>
      <c r="AG67" s="96" t="s">
        <v>906</v>
      </c>
      <c r="AH67" s="96" t="s">
        <v>894</v>
      </c>
      <c r="AI67" s="96"/>
      <c r="AJ67" s="97">
        <v>100</v>
      </c>
      <c r="AK67" s="96"/>
      <c r="AL67" s="96"/>
      <c r="AM67" s="96"/>
      <c r="AN67" s="96" t="s">
        <v>3641</v>
      </c>
      <c r="AO67" s="98">
        <v>2.0804E-2</v>
      </c>
      <c r="AP67" s="98">
        <v>-1.9699999999999999E-4</v>
      </c>
      <c r="AQ67" s="106"/>
    </row>
    <row r="68" spans="1:43" ht="15" customHeight="1">
      <c r="A68" s="106"/>
      <c r="B68" s="96">
        <v>286</v>
      </c>
      <c r="C68" s="96">
        <v>286</v>
      </c>
      <c r="D68" s="96" t="s">
        <v>1020</v>
      </c>
      <c r="E68" s="96">
        <v>86123140</v>
      </c>
      <c r="F68" s="96" t="s">
        <v>1202</v>
      </c>
      <c r="G68" s="97">
        <v>4.0202</v>
      </c>
      <c r="H68" s="97">
        <v>-486852.25980399997</v>
      </c>
      <c r="I68" s="97">
        <v>-498.28461299999998</v>
      </c>
      <c r="J68" s="98">
        <v>31.878147999999999</v>
      </c>
      <c r="K68" s="98">
        <v>-1.0430000000000001E-3</v>
      </c>
      <c r="L68" s="96">
        <v>86123141</v>
      </c>
      <c r="M68" s="96" t="s">
        <v>1201</v>
      </c>
      <c r="N68" s="97">
        <v>3.7589999999999999</v>
      </c>
      <c r="O68" s="97">
        <v>527942.592634</v>
      </c>
      <c r="P68" s="97">
        <v>516.19164599999999</v>
      </c>
      <c r="Q68" s="98">
        <v>-30.878147999999999</v>
      </c>
      <c r="R68" s="98">
        <v>1.01E-3</v>
      </c>
      <c r="S68" s="97">
        <v>-62.839402999999997</v>
      </c>
      <c r="T68" s="96" t="s">
        <v>203</v>
      </c>
      <c r="U68" s="96" t="s">
        <v>203</v>
      </c>
      <c r="V68" s="96" t="s">
        <v>745</v>
      </c>
      <c r="W68" s="96" t="s">
        <v>916</v>
      </c>
      <c r="X68" s="96" t="s">
        <v>930</v>
      </c>
      <c r="Y68" s="96" t="s">
        <v>3636</v>
      </c>
      <c r="Z68" s="96" t="s">
        <v>338</v>
      </c>
      <c r="AA68" s="100">
        <v>43950</v>
      </c>
      <c r="AB68" s="100">
        <v>45802</v>
      </c>
      <c r="AC68" s="96" t="s">
        <v>894</v>
      </c>
      <c r="AD68" s="96" t="s">
        <v>898</v>
      </c>
      <c r="AE68" s="96" t="s">
        <v>911</v>
      </c>
      <c r="AF68" s="96" t="s">
        <v>914</v>
      </c>
      <c r="AG68" s="96" t="s">
        <v>897</v>
      </c>
      <c r="AH68" s="96" t="s">
        <v>897</v>
      </c>
      <c r="AI68" s="96"/>
      <c r="AJ68" s="97">
        <v>3.8111000000000002</v>
      </c>
      <c r="AK68" s="96"/>
      <c r="AL68" s="96"/>
      <c r="AM68" s="96"/>
      <c r="AN68" s="96" t="s">
        <v>3632</v>
      </c>
      <c r="AO68" s="98">
        <v>3.4529999999999999E-3</v>
      </c>
      <c r="AP68" s="98">
        <v>-3.1999999999999999E-5</v>
      </c>
      <c r="AQ68" s="106"/>
    </row>
    <row r="69" spans="1:43" ht="15" customHeight="1">
      <c r="A69" s="106"/>
      <c r="B69" s="96">
        <v>286</v>
      </c>
      <c r="C69" s="96">
        <v>286</v>
      </c>
      <c r="D69" s="96" t="s">
        <v>1020</v>
      </c>
      <c r="E69" s="96">
        <v>86123164</v>
      </c>
      <c r="F69" s="96" t="s">
        <v>1202</v>
      </c>
      <c r="G69" s="97">
        <v>4.0202</v>
      </c>
      <c r="H69" s="97">
        <v>-476435.00824699999</v>
      </c>
      <c r="I69" s="97">
        <v>-472.949455</v>
      </c>
      <c r="J69" s="98">
        <v>23.173705999999999</v>
      </c>
      <c r="K69" s="98">
        <v>-9.8999999999999999E-4</v>
      </c>
      <c r="L69" s="96">
        <v>86123165</v>
      </c>
      <c r="M69" s="96" t="s">
        <v>1200</v>
      </c>
      <c r="N69" s="97">
        <v>1</v>
      </c>
      <c r="O69" s="97">
        <v>1886682.6326210001</v>
      </c>
      <c r="P69" s="97">
        <v>1819.3036099999999</v>
      </c>
      <c r="Q69" s="98">
        <v>-22.173705999999999</v>
      </c>
      <c r="R69" s="98">
        <v>9.4700000000000003E-4</v>
      </c>
      <c r="S69" s="97">
        <v>-82.047791000000004</v>
      </c>
      <c r="T69" s="96" t="s">
        <v>203</v>
      </c>
      <c r="U69" s="96" t="s">
        <v>203</v>
      </c>
      <c r="V69" s="96" t="s">
        <v>745</v>
      </c>
      <c r="W69" s="96" t="s">
        <v>916</v>
      </c>
      <c r="X69" s="96" t="s">
        <v>929</v>
      </c>
      <c r="Y69" s="96" t="s">
        <v>3644</v>
      </c>
      <c r="Z69" s="96" t="s">
        <v>338</v>
      </c>
      <c r="AA69" s="100">
        <v>44167</v>
      </c>
      <c r="AB69" s="100">
        <v>51316</v>
      </c>
      <c r="AC69" s="96" t="s">
        <v>894</v>
      </c>
      <c r="AD69" s="96" t="s">
        <v>898</v>
      </c>
      <c r="AE69" s="96" t="s">
        <v>911</v>
      </c>
      <c r="AF69" s="96" t="s">
        <v>914</v>
      </c>
      <c r="AG69" s="96" t="s">
        <v>897</v>
      </c>
      <c r="AH69" s="96" t="s">
        <v>897</v>
      </c>
      <c r="AI69" s="96"/>
      <c r="AJ69" s="97">
        <v>3.9639000000000002</v>
      </c>
      <c r="AK69" s="96"/>
      <c r="AL69" s="96"/>
      <c r="AM69" s="96"/>
      <c r="AN69" s="96" t="s">
        <v>3634</v>
      </c>
      <c r="AO69" s="98">
        <v>4.509E-3</v>
      </c>
      <c r="AP69" s="98">
        <v>-4.1999999999999998E-5</v>
      </c>
      <c r="AQ69" s="106"/>
    </row>
    <row r="70" spans="1:43" ht="15" customHeight="1">
      <c r="A70" s="106"/>
      <c r="B70" s="96">
        <v>286</v>
      </c>
      <c r="C70" s="96">
        <v>286</v>
      </c>
      <c r="D70" s="96" t="s">
        <v>1021</v>
      </c>
      <c r="E70" s="96">
        <v>85124366</v>
      </c>
      <c r="F70" s="96" t="s">
        <v>1201</v>
      </c>
      <c r="G70" s="97">
        <v>3.7589999999999999</v>
      </c>
      <c r="H70" s="97">
        <v>14225.981045</v>
      </c>
      <c r="I70" s="97">
        <v>2112.8427040000001</v>
      </c>
      <c r="J70" s="98">
        <v>12.526731</v>
      </c>
      <c r="K70" s="98">
        <v>4.1349999999999998E-3</v>
      </c>
      <c r="L70" s="96">
        <v>85124419</v>
      </c>
      <c r="M70" s="96" t="s">
        <v>1201</v>
      </c>
      <c r="N70" s="97">
        <v>3.7589999999999999</v>
      </c>
      <c r="O70" s="97">
        <v>-1901171.487739</v>
      </c>
      <c r="P70" s="97">
        <v>-1944.175986</v>
      </c>
      <c r="Q70" s="98">
        <v>-11.526731</v>
      </c>
      <c r="R70" s="98">
        <v>-3.8049999999999998E-3</v>
      </c>
      <c r="S70" s="97">
        <v>634.018193</v>
      </c>
      <c r="T70" s="96" t="s">
        <v>203</v>
      </c>
      <c r="U70" s="96" t="s">
        <v>223</v>
      </c>
      <c r="V70" s="96" t="s">
        <v>746</v>
      </c>
      <c r="W70" s="96" t="s">
        <v>915</v>
      </c>
      <c r="X70" s="96" t="s">
        <v>223</v>
      </c>
      <c r="Y70" s="96" t="s">
        <v>3665</v>
      </c>
      <c r="Z70" s="96" t="s">
        <v>338</v>
      </c>
      <c r="AA70" s="100">
        <v>45198</v>
      </c>
      <c r="AB70" s="100">
        <v>45561</v>
      </c>
      <c r="AC70" s="96" t="s">
        <v>896</v>
      </c>
      <c r="AD70" s="96" t="s">
        <v>899</v>
      </c>
      <c r="AE70" s="96" t="s">
        <v>911</v>
      </c>
      <c r="AF70" s="96" t="s">
        <v>914</v>
      </c>
      <c r="AG70" s="96" t="s">
        <v>897</v>
      </c>
      <c r="AH70" s="96" t="s">
        <v>897</v>
      </c>
      <c r="AI70" s="96"/>
      <c r="AJ70" s="97">
        <v>124.65</v>
      </c>
      <c r="AK70" s="96"/>
      <c r="AL70" s="96"/>
      <c r="AM70" s="96"/>
      <c r="AN70" s="96" t="s">
        <v>3641</v>
      </c>
      <c r="AO70" s="98">
        <v>-3.4847000000000003E-2</v>
      </c>
      <c r="AP70" s="98">
        <v>3.3E-4</v>
      </c>
      <c r="AQ70" s="106"/>
    </row>
    <row r="71" spans="1:43" ht="15" customHeight="1">
      <c r="A71" s="106"/>
      <c r="B71" s="96">
        <v>286</v>
      </c>
      <c r="C71" s="96">
        <v>286</v>
      </c>
      <c r="D71" s="96" t="s">
        <v>1019</v>
      </c>
      <c r="E71" s="96">
        <v>86123188</v>
      </c>
      <c r="F71" s="96" t="s">
        <v>1201</v>
      </c>
      <c r="G71" s="97">
        <v>3.7589999999999999</v>
      </c>
      <c r="H71" s="97">
        <v>-525622.14955500001</v>
      </c>
      <c r="I71" s="97">
        <v>-527.04877299999998</v>
      </c>
      <c r="J71" s="98">
        <v>6.3268129999999996</v>
      </c>
      <c r="K71" s="98">
        <v>-1.031E-3</v>
      </c>
      <c r="L71" s="96">
        <v>86123189</v>
      </c>
      <c r="M71" s="96" t="s">
        <v>1201</v>
      </c>
      <c r="N71" s="97">
        <v>3.7589999999999999</v>
      </c>
      <c r="O71" s="97">
        <v>525622.14955500001</v>
      </c>
      <c r="P71" s="97">
        <v>443.74479000000002</v>
      </c>
      <c r="Q71" s="98">
        <v>-5.3268129999999996</v>
      </c>
      <c r="R71" s="98">
        <v>8.6799999999999996E-4</v>
      </c>
      <c r="S71" s="97">
        <v>-313.13967100000002</v>
      </c>
      <c r="T71" s="96" t="s">
        <v>203</v>
      </c>
      <c r="U71" s="96" t="s">
        <v>223</v>
      </c>
      <c r="V71" s="96" t="s">
        <v>750</v>
      </c>
      <c r="W71" s="96" t="s">
        <v>916</v>
      </c>
      <c r="X71" s="96" t="s">
        <v>928</v>
      </c>
      <c r="Y71" s="96" t="s">
        <v>3640</v>
      </c>
      <c r="Z71" s="96" t="s">
        <v>338</v>
      </c>
      <c r="AA71" s="100">
        <v>44601</v>
      </c>
      <c r="AB71" s="100">
        <v>48255</v>
      </c>
      <c r="AC71" s="96" t="s">
        <v>896</v>
      </c>
      <c r="AD71" s="96" t="s">
        <v>899</v>
      </c>
      <c r="AE71" s="96" t="s">
        <v>911</v>
      </c>
      <c r="AF71" s="96" t="s">
        <v>914</v>
      </c>
      <c r="AG71" s="96" t="s">
        <v>906</v>
      </c>
      <c r="AH71" s="96" t="s">
        <v>896</v>
      </c>
      <c r="AI71" s="96"/>
      <c r="AJ71" s="97">
        <v>100</v>
      </c>
      <c r="AK71" s="96"/>
      <c r="AL71" s="96"/>
      <c r="AM71" s="96"/>
      <c r="AN71" s="96" t="s">
        <v>3641</v>
      </c>
      <c r="AO71" s="98">
        <v>1.721E-2</v>
      </c>
      <c r="AP71" s="98">
        <v>-1.63E-4</v>
      </c>
      <c r="AQ71" s="106"/>
    </row>
    <row r="72" spans="1:43" ht="15" customHeight="1">
      <c r="A72" s="106"/>
      <c r="B72" s="96">
        <v>286</v>
      </c>
      <c r="C72" s="96">
        <v>286</v>
      </c>
      <c r="D72" s="96" t="s">
        <v>1019</v>
      </c>
      <c r="E72" s="96">
        <v>86123160</v>
      </c>
      <c r="F72" s="96" t="s">
        <v>1201</v>
      </c>
      <c r="G72" s="97">
        <v>3.7589999999999999</v>
      </c>
      <c r="H72" s="97">
        <v>-525622.14955500001</v>
      </c>
      <c r="I72" s="97">
        <v>-538.69405099999994</v>
      </c>
      <c r="J72" s="98">
        <v>5.1318530000000004</v>
      </c>
      <c r="K72" s="98">
        <v>-1.054E-3</v>
      </c>
      <c r="L72" s="96">
        <v>86123161</v>
      </c>
      <c r="M72" s="96" t="s">
        <v>1201</v>
      </c>
      <c r="N72" s="97">
        <v>3.7589999999999999</v>
      </c>
      <c r="O72" s="97">
        <v>525622.14955500001</v>
      </c>
      <c r="P72" s="97">
        <v>433.72338200000002</v>
      </c>
      <c r="Q72" s="98">
        <v>-4.1318530000000004</v>
      </c>
      <c r="R72" s="98">
        <v>8.4900000000000004E-4</v>
      </c>
      <c r="S72" s="97">
        <v>-394.584743</v>
      </c>
      <c r="T72" s="96" t="s">
        <v>203</v>
      </c>
      <c r="U72" s="96" t="s">
        <v>223</v>
      </c>
      <c r="V72" s="96" t="s">
        <v>750</v>
      </c>
      <c r="W72" s="96" t="s">
        <v>916</v>
      </c>
      <c r="X72" s="96" t="s">
        <v>928</v>
      </c>
      <c r="Y72" s="96" t="s">
        <v>3647</v>
      </c>
      <c r="Z72" s="96" t="s">
        <v>338</v>
      </c>
      <c r="AA72" s="100">
        <v>44125</v>
      </c>
      <c r="AB72" s="100">
        <v>47777</v>
      </c>
      <c r="AC72" s="96" t="s">
        <v>894</v>
      </c>
      <c r="AD72" s="96" t="s">
        <v>899</v>
      </c>
      <c r="AE72" s="96" t="s">
        <v>911</v>
      </c>
      <c r="AF72" s="96" t="s">
        <v>914</v>
      </c>
      <c r="AG72" s="96" t="s">
        <v>906</v>
      </c>
      <c r="AH72" s="96" t="s">
        <v>894</v>
      </c>
      <c r="AI72" s="96"/>
      <c r="AJ72" s="97">
        <v>100</v>
      </c>
      <c r="AK72" s="96"/>
      <c r="AL72" s="96"/>
      <c r="AM72" s="96"/>
      <c r="AN72" s="96" t="s">
        <v>3641</v>
      </c>
      <c r="AO72" s="98">
        <v>2.1687000000000001E-2</v>
      </c>
      <c r="AP72" s="98">
        <v>-2.05E-4</v>
      </c>
      <c r="AQ72" s="106"/>
    </row>
    <row r="73" spans="1:43" ht="15" customHeight="1">
      <c r="A73" s="106"/>
      <c r="B73" s="96">
        <v>286</v>
      </c>
      <c r="C73" s="96">
        <v>286</v>
      </c>
      <c r="D73" s="96" t="s">
        <v>1017</v>
      </c>
      <c r="E73" s="96">
        <v>77135562</v>
      </c>
      <c r="F73" s="96" t="s">
        <v>1202</v>
      </c>
      <c r="G73" s="97">
        <v>4.0202</v>
      </c>
      <c r="H73" s="97">
        <v>-11000000</v>
      </c>
      <c r="I73" s="97">
        <v>-10948.3</v>
      </c>
      <c r="J73" s="98">
        <v>114.200774</v>
      </c>
      <c r="K73" s="98">
        <v>-2.2919999999999999E-2</v>
      </c>
      <c r="L73" s="96">
        <v>77135563</v>
      </c>
      <c r="M73" s="96" t="s">
        <v>1200</v>
      </c>
      <c r="N73" s="97">
        <v>1</v>
      </c>
      <c r="O73" s="97">
        <v>43857000</v>
      </c>
      <c r="P73" s="97">
        <v>43628.943599999999</v>
      </c>
      <c r="Q73" s="98">
        <v>-113.200774</v>
      </c>
      <c r="R73" s="98">
        <v>2.2720000000000001E-2</v>
      </c>
      <c r="S73" s="97">
        <v>-385.41206</v>
      </c>
      <c r="T73" s="96" t="s">
        <v>203</v>
      </c>
      <c r="U73" s="96" t="s">
        <v>203</v>
      </c>
      <c r="V73" s="96" t="s">
        <v>745</v>
      </c>
      <c r="W73" s="96" t="s">
        <v>916</v>
      </c>
      <c r="X73" s="96" t="s">
        <v>929</v>
      </c>
      <c r="Y73" s="96" t="s">
        <v>3667</v>
      </c>
      <c r="Z73" s="96" t="s">
        <v>338</v>
      </c>
      <c r="AA73" s="100">
        <v>45420</v>
      </c>
      <c r="AB73" s="100">
        <v>45516</v>
      </c>
      <c r="AC73" s="96" t="s">
        <v>897</v>
      </c>
      <c r="AD73" s="96" t="s">
        <v>899</v>
      </c>
      <c r="AE73" s="96" t="s">
        <v>911</v>
      </c>
      <c r="AF73" s="96" t="s">
        <v>914</v>
      </c>
      <c r="AG73" s="96" t="s">
        <v>897</v>
      </c>
      <c r="AH73" s="96" t="s">
        <v>897</v>
      </c>
      <c r="AI73" s="96"/>
      <c r="AJ73" s="97">
        <v>3.988</v>
      </c>
      <c r="AK73" s="96"/>
      <c r="AL73" s="96"/>
      <c r="AM73" s="96"/>
      <c r="AN73" s="96" t="s">
        <v>3641</v>
      </c>
      <c r="AO73" s="98">
        <v>2.1183E-2</v>
      </c>
      <c r="AP73" s="98">
        <v>-2.0000000000000001E-4</v>
      </c>
      <c r="AQ73" s="106"/>
    </row>
    <row r="74" spans="1:43" ht="15" customHeight="1">
      <c r="A74" s="106"/>
      <c r="B74" s="96">
        <v>286</v>
      </c>
      <c r="C74" s="96">
        <v>286</v>
      </c>
      <c r="D74" s="96" t="s">
        <v>1021</v>
      </c>
      <c r="E74" s="96">
        <v>85124426</v>
      </c>
      <c r="F74" s="96" t="s">
        <v>1201</v>
      </c>
      <c r="G74" s="97">
        <v>3.7589999999999999</v>
      </c>
      <c r="H74" s="97">
        <v>20869.147196000002</v>
      </c>
      <c r="I74" s="97">
        <v>3585.1107959999999</v>
      </c>
      <c r="J74" s="98">
        <v>622.19604000000004</v>
      </c>
      <c r="K74" s="98">
        <v>7.0169999999999998E-3</v>
      </c>
      <c r="L74" s="96">
        <v>85124481</v>
      </c>
      <c r="M74" s="96" t="s">
        <v>1201</v>
      </c>
      <c r="N74" s="97">
        <v>3.7589999999999999</v>
      </c>
      <c r="O74" s="97">
        <v>-3560088.6893259999</v>
      </c>
      <c r="P74" s="97">
        <v>-3579.3487690000002</v>
      </c>
      <c r="Q74" s="98">
        <v>-621.19604000000004</v>
      </c>
      <c r="R74" s="98">
        <v>-7.0060000000000001E-3</v>
      </c>
      <c r="S74" s="97">
        <v>21.659462000000001</v>
      </c>
      <c r="T74" s="96" t="s">
        <v>203</v>
      </c>
      <c r="U74" s="96" t="s">
        <v>223</v>
      </c>
      <c r="V74" s="96" t="s">
        <v>746</v>
      </c>
      <c r="W74" s="96" t="s">
        <v>915</v>
      </c>
      <c r="X74" s="96" t="s">
        <v>223</v>
      </c>
      <c r="Y74" s="96" t="s">
        <v>3658</v>
      </c>
      <c r="Z74" s="96" t="s">
        <v>338</v>
      </c>
      <c r="AA74" s="100">
        <v>45345</v>
      </c>
      <c r="AB74" s="100">
        <v>45527</v>
      </c>
      <c r="AC74" s="96" t="s">
        <v>894</v>
      </c>
      <c r="AD74" s="96" t="s">
        <v>899</v>
      </c>
      <c r="AE74" s="96" t="s">
        <v>911</v>
      </c>
      <c r="AF74" s="96" t="s">
        <v>914</v>
      </c>
      <c r="AG74" s="96" t="s">
        <v>897</v>
      </c>
      <c r="AH74" s="96" t="s">
        <v>897</v>
      </c>
      <c r="AI74" s="96"/>
      <c r="AJ74" s="97"/>
      <c r="AK74" s="96"/>
      <c r="AL74" s="96"/>
      <c r="AM74" s="96"/>
      <c r="AN74" s="96" t="s">
        <v>3634</v>
      </c>
      <c r="AO74" s="98">
        <v>-1.1900000000000001E-3</v>
      </c>
      <c r="AP74" s="98">
        <v>1.1E-5</v>
      </c>
      <c r="AQ74" s="106"/>
    </row>
    <row r="75" spans="1:43" ht="15" customHeight="1">
      <c r="A75" s="106"/>
      <c r="B75" s="96">
        <v>286</v>
      </c>
      <c r="C75" s="96">
        <v>286</v>
      </c>
      <c r="D75" s="96" t="s">
        <v>1017</v>
      </c>
      <c r="E75" s="96">
        <v>77135686</v>
      </c>
      <c r="F75" s="96" t="s">
        <v>1201</v>
      </c>
      <c r="G75" s="97">
        <v>3.7589999999999999</v>
      </c>
      <c r="H75" s="97">
        <v>-57000000</v>
      </c>
      <c r="I75" s="97">
        <v>-56469.9</v>
      </c>
      <c r="J75" s="98">
        <v>40.797328</v>
      </c>
      <c r="K75" s="98">
        <v>-0.110541</v>
      </c>
      <c r="L75" s="96">
        <v>77135687</v>
      </c>
      <c r="M75" s="96" t="s">
        <v>1200</v>
      </c>
      <c r="N75" s="97">
        <v>1</v>
      </c>
      <c r="O75" s="97">
        <v>208506000</v>
      </c>
      <c r="P75" s="97">
        <v>207067.30859999999</v>
      </c>
      <c r="Q75" s="98">
        <v>-39.797328</v>
      </c>
      <c r="R75" s="98">
        <v>0.107832</v>
      </c>
      <c r="S75" s="97">
        <v>-5203.0455000000002</v>
      </c>
      <c r="T75" s="96" t="s">
        <v>203</v>
      </c>
      <c r="U75" s="96" t="s">
        <v>203</v>
      </c>
      <c r="V75" s="96" t="s">
        <v>745</v>
      </c>
      <c r="W75" s="96" t="s">
        <v>916</v>
      </c>
      <c r="X75" s="96" t="s">
        <v>929</v>
      </c>
      <c r="Y75" s="96" t="s">
        <v>3629</v>
      </c>
      <c r="Z75" s="96" t="s">
        <v>338</v>
      </c>
      <c r="AA75" s="100">
        <v>45435</v>
      </c>
      <c r="AB75" s="100">
        <v>45532</v>
      </c>
      <c r="AC75" s="96" t="s">
        <v>897</v>
      </c>
      <c r="AD75" s="96" t="s">
        <v>899</v>
      </c>
      <c r="AE75" s="96" t="s">
        <v>911</v>
      </c>
      <c r="AF75" s="96" t="s">
        <v>914</v>
      </c>
      <c r="AG75" s="96" t="s">
        <v>897</v>
      </c>
      <c r="AH75" s="96" t="s">
        <v>897</v>
      </c>
      <c r="AI75" s="96"/>
      <c r="AJ75" s="97">
        <v>3.6720000000000002</v>
      </c>
      <c r="AK75" s="96"/>
      <c r="AL75" s="96"/>
      <c r="AM75" s="96"/>
      <c r="AN75" s="96" t="s">
        <v>3641</v>
      </c>
      <c r="AO75" s="98">
        <v>0.285972</v>
      </c>
      <c r="AP75" s="98">
        <v>-2.709E-3</v>
      </c>
      <c r="AQ75" s="106"/>
    </row>
    <row r="76" spans="1:43" ht="15" customHeight="1">
      <c r="A76" s="106"/>
      <c r="B76" s="96">
        <v>286</v>
      </c>
      <c r="C76" s="96">
        <v>286</v>
      </c>
      <c r="D76" s="96" t="s">
        <v>1021</v>
      </c>
      <c r="E76" s="96">
        <v>85124456</v>
      </c>
      <c r="F76" s="96" t="s">
        <v>1200</v>
      </c>
      <c r="G76" s="97">
        <v>1</v>
      </c>
      <c r="H76" s="97">
        <v>150148.900601</v>
      </c>
      <c r="I76" s="97">
        <v>636.03074200000003</v>
      </c>
      <c r="J76" s="98">
        <v>-7.1534269999999998</v>
      </c>
      <c r="K76" s="98">
        <v>3.3100000000000002E-4</v>
      </c>
      <c r="L76" s="96">
        <v>85124457</v>
      </c>
      <c r="M76" s="96" t="s">
        <v>1200</v>
      </c>
      <c r="N76" s="97">
        <v>1</v>
      </c>
      <c r="O76" s="97">
        <v>-713548.11549999996</v>
      </c>
      <c r="P76" s="97">
        <v>-724.94347100000005</v>
      </c>
      <c r="Q76" s="98">
        <v>8.1534270000000006</v>
      </c>
      <c r="R76" s="98">
        <v>-3.77E-4</v>
      </c>
      <c r="S76" s="97">
        <v>-88.912728999999999</v>
      </c>
      <c r="T76" s="96" t="s">
        <v>203</v>
      </c>
      <c r="U76" s="96" t="s">
        <v>203</v>
      </c>
      <c r="V76" s="96" t="s">
        <v>746</v>
      </c>
      <c r="W76" s="96" t="s">
        <v>915</v>
      </c>
      <c r="X76" s="96" t="s">
        <v>483</v>
      </c>
      <c r="Y76" s="96" t="s">
        <v>3663</v>
      </c>
      <c r="Z76" s="96" t="s">
        <v>338</v>
      </c>
      <c r="AA76" s="100">
        <v>45378</v>
      </c>
      <c r="AB76" s="100">
        <v>45743</v>
      </c>
      <c r="AC76" s="96" t="s">
        <v>896</v>
      </c>
      <c r="AD76" s="96" t="s">
        <v>899</v>
      </c>
      <c r="AE76" s="96" t="s">
        <v>911</v>
      </c>
      <c r="AF76" s="96" t="s">
        <v>914</v>
      </c>
      <c r="AG76" s="96" t="s">
        <v>897</v>
      </c>
      <c r="AH76" s="96" t="s">
        <v>897</v>
      </c>
      <c r="AI76" s="96"/>
      <c r="AJ76" s="97"/>
      <c r="AK76" s="96"/>
      <c r="AL76" s="96"/>
      <c r="AM76" s="96"/>
      <c r="AN76" s="96" t="s">
        <v>3634</v>
      </c>
      <c r="AO76" s="98">
        <v>4.8859999999999997E-3</v>
      </c>
      <c r="AP76" s="98">
        <v>-4.6E-5</v>
      </c>
      <c r="AQ76" s="106"/>
    </row>
    <row r="77" spans="1:43" ht="15" customHeight="1">
      <c r="A77" s="106"/>
      <c r="B77" s="96">
        <v>286</v>
      </c>
      <c r="C77" s="96">
        <v>286</v>
      </c>
      <c r="D77" s="96" t="s">
        <v>1017</v>
      </c>
      <c r="E77" s="96">
        <v>77131842</v>
      </c>
      <c r="F77" s="96" t="s">
        <v>1201</v>
      </c>
      <c r="G77" s="97">
        <v>3.7589999999999999</v>
      </c>
      <c r="H77" s="97">
        <v>-7000000</v>
      </c>
      <c r="I77" s="97">
        <v>-6683.6</v>
      </c>
      <c r="J77" s="98">
        <v>20.860368000000001</v>
      </c>
      <c r="K77" s="98">
        <v>-1.3082999999999999E-2</v>
      </c>
      <c r="L77" s="96">
        <v>77131843</v>
      </c>
      <c r="M77" s="96" t="s">
        <v>1200</v>
      </c>
      <c r="N77" s="97">
        <v>1</v>
      </c>
      <c r="O77" s="97">
        <v>24710000</v>
      </c>
      <c r="P77" s="97">
        <v>23919.279999999999</v>
      </c>
      <c r="Q77" s="98">
        <v>-19.860368000000001</v>
      </c>
      <c r="R77" s="98">
        <v>1.2456E-2</v>
      </c>
      <c r="S77" s="97">
        <v>-1204.3724</v>
      </c>
      <c r="T77" s="96" t="s">
        <v>203</v>
      </c>
      <c r="U77" s="96" t="s">
        <v>203</v>
      </c>
      <c r="V77" s="96" t="s">
        <v>745</v>
      </c>
      <c r="W77" s="96" t="s">
        <v>916</v>
      </c>
      <c r="X77" s="96" t="s">
        <v>929</v>
      </c>
      <c r="Y77" s="96" t="s">
        <v>3629</v>
      </c>
      <c r="Z77" s="96" t="s">
        <v>338</v>
      </c>
      <c r="AA77" s="100">
        <v>44998</v>
      </c>
      <c r="AB77" s="100">
        <v>45734</v>
      </c>
      <c r="AC77" s="96" t="s">
        <v>897</v>
      </c>
      <c r="AD77" s="96" t="s">
        <v>899</v>
      </c>
      <c r="AE77" s="96" t="s">
        <v>911</v>
      </c>
      <c r="AF77" s="96" t="s">
        <v>914</v>
      </c>
      <c r="AG77" s="96" t="s">
        <v>897</v>
      </c>
      <c r="AH77" s="96" t="s">
        <v>897</v>
      </c>
      <c r="AI77" s="96"/>
      <c r="AJ77" s="97">
        <v>3.6259999999999999</v>
      </c>
      <c r="AK77" s="96"/>
      <c r="AL77" s="96"/>
      <c r="AM77" s="96"/>
      <c r="AN77" s="96" t="s">
        <v>3641</v>
      </c>
      <c r="AO77" s="98">
        <v>6.6195000000000004E-2</v>
      </c>
      <c r="AP77" s="98">
        <v>-6.2699999999999995E-4</v>
      </c>
      <c r="AQ77" s="106"/>
    </row>
    <row r="78" spans="1:43" ht="15" customHeight="1">
      <c r="A78" s="106"/>
      <c r="B78" s="96">
        <v>286</v>
      </c>
      <c r="C78" s="96">
        <v>286</v>
      </c>
      <c r="D78" s="96" t="s">
        <v>1021</v>
      </c>
      <c r="E78" s="96">
        <v>85124450</v>
      </c>
      <c r="F78" s="96" t="s">
        <v>1201</v>
      </c>
      <c r="G78" s="97">
        <v>3.7589999999999999</v>
      </c>
      <c r="H78" s="97">
        <v>30898.058378999998</v>
      </c>
      <c r="I78" s="97">
        <v>920.11235299999998</v>
      </c>
      <c r="J78" s="98">
        <v>64.104440999999994</v>
      </c>
      <c r="K78" s="98">
        <v>1.8010000000000001E-3</v>
      </c>
      <c r="L78" s="96">
        <v>85124451</v>
      </c>
      <c r="M78" s="96" t="s">
        <v>1201</v>
      </c>
      <c r="N78" s="97">
        <v>3.7589999999999999</v>
      </c>
      <c r="O78" s="97">
        <v>-903256.99948700005</v>
      </c>
      <c r="P78" s="97">
        <v>-905.75902099999996</v>
      </c>
      <c r="Q78" s="98">
        <v>-63.104441000000001</v>
      </c>
      <c r="R78" s="98">
        <v>-1.7730000000000001E-3</v>
      </c>
      <c r="S78" s="97">
        <v>53.954175999999997</v>
      </c>
      <c r="T78" s="96" t="s">
        <v>203</v>
      </c>
      <c r="U78" s="96" t="s">
        <v>248</v>
      </c>
      <c r="V78" s="96" t="s">
        <v>746</v>
      </c>
      <c r="W78" s="96" t="s">
        <v>915</v>
      </c>
      <c r="X78" s="96" t="s">
        <v>248</v>
      </c>
      <c r="Y78" s="96" t="s">
        <v>3656</v>
      </c>
      <c r="Z78" s="96" t="s">
        <v>338</v>
      </c>
      <c r="AA78" s="100">
        <v>45369</v>
      </c>
      <c r="AB78" s="100">
        <v>45733</v>
      </c>
      <c r="AC78" s="96" t="s">
        <v>894</v>
      </c>
      <c r="AD78" s="96" t="s">
        <v>899</v>
      </c>
      <c r="AE78" s="96" t="s">
        <v>911</v>
      </c>
      <c r="AF78" s="96" t="s">
        <v>914</v>
      </c>
      <c r="AG78" s="96" t="s">
        <v>897</v>
      </c>
      <c r="AH78" s="96" t="s">
        <v>897</v>
      </c>
      <c r="AI78" s="96"/>
      <c r="AJ78" s="97"/>
      <c r="AK78" s="96"/>
      <c r="AL78" s="96"/>
      <c r="AM78" s="96"/>
      <c r="AN78" s="96" t="s">
        <v>3641</v>
      </c>
      <c r="AO78" s="98">
        <v>-2.9650000000000002E-3</v>
      </c>
      <c r="AP78" s="98">
        <v>2.8E-5</v>
      </c>
      <c r="AQ78" s="106"/>
    </row>
    <row r="79" spans="1:43" ht="15" customHeight="1">
      <c r="A79" s="106"/>
      <c r="B79" s="96">
        <v>286</v>
      </c>
      <c r="C79" s="96">
        <v>286</v>
      </c>
      <c r="D79" s="96" t="s">
        <v>1019</v>
      </c>
      <c r="E79" s="96">
        <v>86123304</v>
      </c>
      <c r="F79" s="96" t="s">
        <v>1201</v>
      </c>
      <c r="G79" s="97">
        <v>3.7589999999999999</v>
      </c>
      <c r="H79" s="97">
        <v>-525622.14955500001</v>
      </c>
      <c r="I79" s="97">
        <v>-538.13568599999996</v>
      </c>
      <c r="J79" s="98">
        <v>70.239427000000006</v>
      </c>
      <c r="K79" s="98">
        <v>-1.0529999999999999E-3</v>
      </c>
      <c r="L79" s="96">
        <v>86123305</v>
      </c>
      <c r="M79" s="96" t="s">
        <v>1201</v>
      </c>
      <c r="N79" s="97">
        <v>3.7589999999999999</v>
      </c>
      <c r="O79" s="97">
        <v>525622.14955500001</v>
      </c>
      <c r="P79" s="97">
        <v>530.47423900000001</v>
      </c>
      <c r="Q79" s="98">
        <v>-69.239427000000006</v>
      </c>
      <c r="R79" s="98">
        <v>1.0380000000000001E-3</v>
      </c>
      <c r="S79" s="97">
        <v>-28.799381</v>
      </c>
      <c r="T79" s="96" t="s">
        <v>203</v>
      </c>
      <c r="U79" s="96" t="s">
        <v>223</v>
      </c>
      <c r="V79" s="96" t="s">
        <v>750</v>
      </c>
      <c r="W79" s="96" t="s">
        <v>916</v>
      </c>
      <c r="X79" s="96" t="s">
        <v>928</v>
      </c>
      <c r="Y79" s="96" t="s">
        <v>3655</v>
      </c>
      <c r="Z79" s="96" t="s">
        <v>338</v>
      </c>
      <c r="AA79" s="100">
        <v>45174</v>
      </c>
      <c r="AB79" s="100">
        <v>48829</v>
      </c>
      <c r="AC79" s="96" t="s">
        <v>896</v>
      </c>
      <c r="AD79" s="96" t="s">
        <v>899</v>
      </c>
      <c r="AE79" s="96" t="s">
        <v>911</v>
      </c>
      <c r="AF79" s="96" t="s">
        <v>914</v>
      </c>
      <c r="AG79" s="96" t="s">
        <v>906</v>
      </c>
      <c r="AH79" s="96" t="s">
        <v>896</v>
      </c>
      <c r="AI79" s="96"/>
      <c r="AJ79" s="97">
        <v>100</v>
      </c>
      <c r="AK79" s="96"/>
      <c r="AL79" s="96"/>
      <c r="AM79" s="96"/>
      <c r="AN79" s="96" t="s">
        <v>3641</v>
      </c>
      <c r="AO79" s="98">
        <v>1.5820000000000001E-3</v>
      </c>
      <c r="AP79" s="98">
        <v>-1.4E-5</v>
      </c>
      <c r="AQ79" s="106"/>
    </row>
    <row r="80" spans="1:43" ht="15" customHeight="1">
      <c r="A80" s="106"/>
      <c r="B80" s="96">
        <v>286</v>
      </c>
      <c r="C80" s="96">
        <v>286</v>
      </c>
      <c r="D80" s="96" t="s">
        <v>1019</v>
      </c>
      <c r="E80" s="96">
        <v>86123302</v>
      </c>
      <c r="F80" s="96" t="s">
        <v>1201</v>
      </c>
      <c r="G80" s="97">
        <v>3.7589999999999999</v>
      </c>
      <c r="H80" s="97">
        <v>-893557.65424399998</v>
      </c>
      <c r="I80" s="97">
        <v>-919.22529499999996</v>
      </c>
      <c r="J80" s="98">
        <v>46.787315999999997</v>
      </c>
      <c r="K80" s="98">
        <v>-1.799E-3</v>
      </c>
      <c r="L80" s="96">
        <v>86123303</v>
      </c>
      <c r="M80" s="96" t="s">
        <v>1201</v>
      </c>
      <c r="N80" s="97">
        <v>3.7589999999999999</v>
      </c>
      <c r="O80" s="97">
        <v>893557.65424399998</v>
      </c>
      <c r="P80" s="97">
        <v>899.57840499999998</v>
      </c>
      <c r="Q80" s="98">
        <v>-45.787315999999997</v>
      </c>
      <c r="R80" s="98">
        <v>1.7600000000000001E-3</v>
      </c>
      <c r="S80" s="97">
        <v>-73.852661999999995</v>
      </c>
      <c r="T80" s="96" t="s">
        <v>203</v>
      </c>
      <c r="U80" s="96" t="s">
        <v>223</v>
      </c>
      <c r="V80" s="96" t="s">
        <v>750</v>
      </c>
      <c r="W80" s="96" t="s">
        <v>916</v>
      </c>
      <c r="X80" s="96" t="s">
        <v>928</v>
      </c>
      <c r="Y80" s="96" t="s">
        <v>3648</v>
      </c>
      <c r="Z80" s="96" t="s">
        <v>338</v>
      </c>
      <c r="AA80" s="100">
        <v>45141</v>
      </c>
      <c r="AB80" s="100">
        <v>48798</v>
      </c>
      <c r="AC80" s="96" t="s">
        <v>896</v>
      </c>
      <c r="AD80" s="96" t="s">
        <v>899</v>
      </c>
      <c r="AE80" s="96" t="s">
        <v>911</v>
      </c>
      <c r="AF80" s="96" t="s">
        <v>914</v>
      </c>
      <c r="AG80" s="96" t="s">
        <v>906</v>
      </c>
      <c r="AH80" s="96" t="s">
        <v>896</v>
      </c>
      <c r="AI80" s="96"/>
      <c r="AJ80" s="97">
        <v>100</v>
      </c>
      <c r="AK80" s="96"/>
      <c r="AL80" s="96"/>
      <c r="AM80" s="96"/>
      <c r="AN80" s="96" t="s">
        <v>3634</v>
      </c>
      <c r="AO80" s="98">
        <v>4.0590000000000001E-3</v>
      </c>
      <c r="AP80" s="98">
        <v>-3.8000000000000002E-5</v>
      </c>
      <c r="AQ80" s="106"/>
    </row>
    <row r="81" spans="1:43" ht="15" customHeight="1">
      <c r="A81" s="106"/>
      <c r="B81" s="96">
        <v>286</v>
      </c>
      <c r="C81" s="96">
        <v>286</v>
      </c>
      <c r="D81" s="96" t="s">
        <v>1021</v>
      </c>
      <c r="E81" s="96">
        <v>85124464</v>
      </c>
      <c r="F81" s="96" t="s">
        <v>1200</v>
      </c>
      <c r="G81" s="97">
        <v>1</v>
      </c>
      <c r="H81" s="97">
        <v>42119.191480000001</v>
      </c>
      <c r="I81" s="97">
        <v>1417.3107930000001</v>
      </c>
      <c r="J81" s="98">
        <v>63.907127000000003</v>
      </c>
      <c r="K81" s="98">
        <v>7.3800000000000005E-4</v>
      </c>
      <c r="L81" s="96">
        <v>85124465</v>
      </c>
      <c r="M81" s="96" t="s">
        <v>1200</v>
      </c>
      <c r="N81" s="97">
        <v>1</v>
      </c>
      <c r="O81" s="97">
        <v>-1376413.900782</v>
      </c>
      <c r="P81" s="97">
        <v>-1395.1331290000001</v>
      </c>
      <c r="Q81" s="98">
        <v>-62.907127000000003</v>
      </c>
      <c r="R81" s="98">
        <v>-7.2599999999999997E-4</v>
      </c>
      <c r="S81" s="97">
        <v>22.177664</v>
      </c>
      <c r="T81" s="96" t="s">
        <v>203</v>
      </c>
      <c r="U81" s="96" t="s">
        <v>203</v>
      </c>
      <c r="V81" s="96" t="s">
        <v>746</v>
      </c>
      <c r="W81" s="96" t="s">
        <v>915</v>
      </c>
      <c r="X81" s="96" t="s">
        <v>203</v>
      </c>
      <c r="Y81" s="96" t="s">
        <v>3659</v>
      </c>
      <c r="Z81" s="96" t="s">
        <v>338</v>
      </c>
      <c r="AA81" s="100">
        <v>45400</v>
      </c>
      <c r="AB81" s="100">
        <v>45771</v>
      </c>
      <c r="AC81" s="96" t="s">
        <v>896</v>
      </c>
      <c r="AD81" s="96" t="s">
        <v>899</v>
      </c>
      <c r="AE81" s="96" t="s">
        <v>911</v>
      </c>
      <c r="AF81" s="96" t="s">
        <v>914</v>
      </c>
      <c r="AG81" s="96" t="s">
        <v>897</v>
      </c>
      <c r="AH81" s="96" t="s">
        <v>897</v>
      </c>
      <c r="AI81" s="96"/>
      <c r="AJ81" s="97">
        <v>32.619999999999997</v>
      </c>
      <c r="AK81" s="96"/>
      <c r="AL81" s="96"/>
      <c r="AM81" s="96"/>
      <c r="AN81" s="96" t="s">
        <v>3641</v>
      </c>
      <c r="AO81" s="98">
        <v>-1.2179999999999999E-3</v>
      </c>
      <c r="AP81" s="98">
        <v>1.1E-5</v>
      </c>
      <c r="AQ81" s="106"/>
    </row>
    <row r="82" spans="1:43" ht="15" customHeight="1">
      <c r="A82" s="106"/>
      <c r="B82" s="96">
        <v>286</v>
      </c>
      <c r="C82" s="96">
        <v>286</v>
      </c>
      <c r="D82" s="96" t="s">
        <v>1017</v>
      </c>
      <c r="E82" s="96">
        <v>77132658</v>
      </c>
      <c r="F82" s="96" t="s">
        <v>1202</v>
      </c>
      <c r="G82" s="97">
        <v>4.0202</v>
      </c>
      <c r="H82" s="97">
        <v>-271746.65132</v>
      </c>
      <c r="I82" s="97">
        <v>-265.65952600000003</v>
      </c>
      <c r="J82" s="98">
        <v>-22.397399</v>
      </c>
      <c r="K82" s="98">
        <v>-5.5599999999999996E-4</v>
      </c>
      <c r="L82" s="96">
        <v>77132659</v>
      </c>
      <c r="M82" s="96" t="s">
        <v>1201</v>
      </c>
      <c r="N82" s="97">
        <v>3.7589999999999999</v>
      </c>
      <c r="O82" s="97">
        <v>303698.62258199998</v>
      </c>
      <c r="P82" s="97">
        <v>296.80466300000001</v>
      </c>
      <c r="Q82" s="98">
        <v>23.397399</v>
      </c>
      <c r="R82" s="98">
        <v>5.8100000000000003E-4</v>
      </c>
      <c r="S82" s="97">
        <v>47.684303999999997</v>
      </c>
      <c r="T82" s="96" t="s">
        <v>203</v>
      </c>
      <c r="U82" s="96" t="s">
        <v>203</v>
      </c>
      <c r="V82" s="96" t="s">
        <v>745</v>
      </c>
      <c r="W82" s="96" t="s">
        <v>916</v>
      </c>
      <c r="X82" s="96" t="s">
        <v>929</v>
      </c>
      <c r="Y82" s="96" t="s">
        <v>3654</v>
      </c>
      <c r="Z82" s="96" t="s">
        <v>338</v>
      </c>
      <c r="AA82" s="100">
        <v>45097</v>
      </c>
      <c r="AB82" s="100">
        <v>45656</v>
      </c>
      <c r="AC82" s="96" t="s">
        <v>897</v>
      </c>
      <c r="AD82" s="96" t="s">
        <v>899</v>
      </c>
      <c r="AE82" s="96" t="s">
        <v>911</v>
      </c>
      <c r="AF82" s="96" t="s">
        <v>914</v>
      </c>
      <c r="AG82" s="96" t="s">
        <v>897</v>
      </c>
      <c r="AH82" s="96" t="s">
        <v>897</v>
      </c>
      <c r="AI82" s="96"/>
      <c r="AJ82" s="97">
        <v>3.9430000000000001</v>
      </c>
      <c r="AK82" s="96"/>
      <c r="AL82" s="96"/>
      <c r="AM82" s="96"/>
      <c r="AN82" s="96" t="s">
        <v>3634</v>
      </c>
      <c r="AO82" s="98">
        <v>-2.6199999999999999E-3</v>
      </c>
      <c r="AP82" s="98">
        <v>2.4000000000000001E-5</v>
      </c>
      <c r="AQ82" s="106"/>
    </row>
    <row r="83" spans="1:43" ht="15" customHeight="1">
      <c r="A83" s="106"/>
      <c r="B83" s="96">
        <v>286</v>
      </c>
      <c r="C83" s="96">
        <v>286</v>
      </c>
      <c r="D83" s="96" t="s">
        <v>1021</v>
      </c>
      <c r="E83" s="96">
        <v>85124468</v>
      </c>
      <c r="F83" s="96" t="s">
        <v>1201</v>
      </c>
      <c r="G83" s="97">
        <v>3.7589999999999999</v>
      </c>
      <c r="H83" s="97">
        <v>723.964246</v>
      </c>
      <c r="I83" s="97">
        <v>581.67223000000001</v>
      </c>
      <c r="J83" s="98">
        <v>-20.795634</v>
      </c>
      <c r="K83" s="98">
        <v>1.1379999999999999E-3</v>
      </c>
      <c r="L83" s="96">
        <v>85124469</v>
      </c>
      <c r="M83" s="96" t="s">
        <v>1201</v>
      </c>
      <c r="N83" s="97">
        <v>3.7589999999999999</v>
      </c>
      <c r="O83" s="97">
        <v>-619329.42482900003</v>
      </c>
      <c r="P83" s="97">
        <v>-609.64311199999997</v>
      </c>
      <c r="Q83" s="98">
        <v>21.795634</v>
      </c>
      <c r="R83" s="98">
        <v>-1.193E-3</v>
      </c>
      <c r="S83" s="97">
        <v>-105.142546</v>
      </c>
      <c r="T83" s="96" t="s">
        <v>203</v>
      </c>
      <c r="U83" s="96" t="s">
        <v>223</v>
      </c>
      <c r="V83" s="96" t="s">
        <v>746</v>
      </c>
      <c r="W83" s="96" t="s">
        <v>915</v>
      </c>
      <c r="X83" s="96" t="s">
        <v>203</v>
      </c>
      <c r="Y83" s="96" t="s">
        <v>3657</v>
      </c>
      <c r="Z83" s="96" t="s">
        <v>338</v>
      </c>
      <c r="AA83" s="100">
        <v>45401</v>
      </c>
      <c r="AB83" s="100">
        <v>45583</v>
      </c>
      <c r="AC83" s="96" t="s">
        <v>895</v>
      </c>
      <c r="AD83" s="96" t="s">
        <v>899</v>
      </c>
      <c r="AE83" s="96" t="s">
        <v>911</v>
      </c>
      <c r="AF83" s="96" t="s">
        <v>914</v>
      </c>
      <c r="AG83" s="96" t="s">
        <v>897</v>
      </c>
      <c r="AH83" s="96" t="s">
        <v>897</v>
      </c>
      <c r="AI83" s="96"/>
      <c r="AJ83" s="97">
        <v>857.03044</v>
      </c>
      <c r="AK83" s="96"/>
      <c r="AL83" s="96"/>
      <c r="AM83" s="96"/>
      <c r="AN83" s="96" t="s">
        <v>3641</v>
      </c>
      <c r="AO83" s="98">
        <v>5.7780000000000001E-3</v>
      </c>
      <c r="AP83" s="98">
        <v>-5.3999999999999998E-5</v>
      </c>
      <c r="AQ83" s="106"/>
    </row>
    <row r="84" spans="1:43" ht="15" customHeight="1">
      <c r="A84" s="106"/>
      <c r="B84" s="96">
        <v>286</v>
      </c>
      <c r="C84" s="96">
        <v>286</v>
      </c>
      <c r="D84" s="96" t="s">
        <v>1020</v>
      </c>
      <c r="E84" s="96">
        <v>86123136</v>
      </c>
      <c r="F84" s="96" t="s">
        <v>1202</v>
      </c>
      <c r="G84" s="97">
        <v>4.0202</v>
      </c>
      <c r="H84" s="97">
        <v>-262811.074777</v>
      </c>
      <c r="I84" s="97">
        <v>-269.27879999999999</v>
      </c>
      <c r="J84" s="98">
        <v>28.317314</v>
      </c>
      <c r="K84" s="98">
        <v>-5.6300000000000002E-4</v>
      </c>
      <c r="L84" s="96">
        <v>86123137</v>
      </c>
      <c r="M84" s="96" t="s">
        <v>1201</v>
      </c>
      <c r="N84" s="97">
        <v>3.7589999999999999</v>
      </c>
      <c r="O84" s="97">
        <v>283336.619718</v>
      </c>
      <c r="P84" s="97">
        <v>277.81995499999999</v>
      </c>
      <c r="Q84" s="98">
        <v>-27.317314</v>
      </c>
      <c r="R84" s="98">
        <v>5.4299999999999997E-4</v>
      </c>
      <c r="S84" s="97">
        <v>-38.229424000000002</v>
      </c>
      <c r="T84" s="96" t="s">
        <v>203</v>
      </c>
      <c r="U84" s="96" t="s">
        <v>203</v>
      </c>
      <c r="V84" s="96" t="s">
        <v>745</v>
      </c>
      <c r="W84" s="96" t="s">
        <v>916</v>
      </c>
      <c r="X84" s="96" t="s">
        <v>930</v>
      </c>
      <c r="Y84" s="96" t="s">
        <v>3635</v>
      </c>
      <c r="Z84" s="96" t="s">
        <v>338</v>
      </c>
      <c r="AA84" s="100">
        <v>43928</v>
      </c>
      <c r="AB84" s="100">
        <v>45762</v>
      </c>
      <c r="AC84" s="96" t="s">
        <v>894</v>
      </c>
      <c r="AD84" s="96" t="s">
        <v>898</v>
      </c>
      <c r="AE84" s="96" t="s">
        <v>911</v>
      </c>
      <c r="AF84" s="96" t="s">
        <v>914</v>
      </c>
      <c r="AG84" s="96" t="s">
        <v>897</v>
      </c>
      <c r="AH84" s="96" t="s">
        <v>897</v>
      </c>
      <c r="AI84" s="96"/>
      <c r="AJ84" s="97">
        <v>3.9195000000000002</v>
      </c>
      <c r="AK84" s="96"/>
      <c r="AL84" s="96"/>
      <c r="AM84" s="96"/>
      <c r="AN84" s="96" t="s">
        <v>3632</v>
      </c>
      <c r="AO84" s="98">
        <v>2.101E-3</v>
      </c>
      <c r="AP84" s="98">
        <v>-1.9000000000000001E-5</v>
      </c>
      <c r="AQ84" s="106"/>
    </row>
    <row r="85" spans="1:43" ht="15" customHeight="1">
      <c r="A85" s="106"/>
      <c r="B85" s="96">
        <v>286</v>
      </c>
      <c r="C85" s="96">
        <v>286</v>
      </c>
      <c r="D85" s="96" t="s">
        <v>1020</v>
      </c>
      <c r="E85" s="96">
        <v>86123312</v>
      </c>
      <c r="F85" s="96" t="s">
        <v>1202</v>
      </c>
      <c r="G85" s="97">
        <v>4.0202</v>
      </c>
      <c r="H85" s="97">
        <v>-486200.48833899997</v>
      </c>
      <c r="I85" s="97">
        <v>-490.70137199999999</v>
      </c>
      <c r="J85" s="98">
        <v>-21.297139000000001</v>
      </c>
      <c r="K85" s="98">
        <v>-1.0269999999999999E-3</v>
      </c>
      <c r="L85" s="96">
        <v>86123313</v>
      </c>
      <c r="M85" s="96" t="s">
        <v>1201</v>
      </c>
      <c r="N85" s="97">
        <v>3.7589999999999999</v>
      </c>
      <c r="O85" s="97">
        <v>531222.653559</v>
      </c>
      <c r="P85" s="97">
        <v>549.44026299999996</v>
      </c>
      <c r="Q85" s="98">
        <v>22.297139000000001</v>
      </c>
      <c r="R85" s="98">
        <v>1.075E-3</v>
      </c>
      <c r="S85" s="97">
        <v>92.628291000000004</v>
      </c>
      <c r="T85" s="96" t="s">
        <v>203</v>
      </c>
      <c r="U85" s="96" t="s">
        <v>203</v>
      </c>
      <c r="V85" s="96" t="s">
        <v>745</v>
      </c>
      <c r="W85" s="96" t="s">
        <v>916</v>
      </c>
      <c r="X85" s="96" t="s">
        <v>930</v>
      </c>
      <c r="Y85" s="96" t="s">
        <v>3653</v>
      </c>
      <c r="Z85" s="96" t="s">
        <v>338</v>
      </c>
      <c r="AA85" s="100">
        <v>45252</v>
      </c>
      <c r="AB85" s="100">
        <v>46348</v>
      </c>
      <c r="AC85" s="96" t="s">
        <v>894</v>
      </c>
      <c r="AD85" s="96" t="s">
        <v>898</v>
      </c>
      <c r="AE85" s="96" t="s">
        <v>911</v>
      </c>
      <c r="AF85" s="96" t="s">
        <v>914</v>
      </c>
      <c r="AG85" s="96" t="s">
        <v>897</v>
      </c>
      <c r="AH85" s="96" t="s">
        <v>897</v>
      </c>
      <c r="AI85" s="96"/>
      <c r="AJ85" s="97">
        <v>4.0643000000000002</v>
      </c>
      <c r="AK85" s="96"/>
      <c r="AL85" s="96"/>
      <c r="AM85" s="96"/>
      <c r="AN85" s="96" t="s">
        <v>3634</v>
      </c>
      <c r="AO85" s="98">
        <v>-5.091E-3</v>
      </c>
      <c r="AP85" s="98">
        <v>4.8000000000000001E-5</v>
      </c>
      <c r="AQ85" s="106"/>
    </row>
    <row r="86" spans="1:43" ht="15" customHeight="1">
      <c r="A86" s="106"/>
      <c r="B86" s="96">
        <v>286</v>
      </c>
      <c r="C86" s="96">
        <v>286</v>
      </c>
      <c r="D86" s="96" t="s">
        <v>1019</v>
      </c>
      <c r="E86" s="96">
        <v>86123298</v>
      </c>
      <c r="F86" s="96" t="s">
        <v>1201</v>
      </c>
      <c r="G86" s="97">
        <v>3.7589999999999999</v>
      </c>
      <c r="H86" s="97">
        <v>-1051244.299111</v>
      </c>
      <c r="I86" s="97">
        <v>-1031.1298939999999</v>
      </c>
      <c r="J86" s="98">
        <v>30.735520999999999</v>
      </c>
      <c r="K86" s="98">
        <v>-2.0179999999999998E-3</v>
      </c>
      <c r="L86" s="96">
        <v>86123299</v>
      </c>
      <c r="M86" s="96" t="s">
        <v>1201</v>
      </c>
      <c r="N86" s="97">
        <v>3.7589999999999999</v>
      </c>
      <c r="O86" s="97">
        <v>1051244.299111</v>
      </c>
      <c r="P86" s="97">
        <v>997.58141899999998</v>
      </c>
      <c r="Q86" s="98">
        <v>-29.735520999999999</v>
      </c>
      <c r="R86" s="98">
        <v>1.952E-3</v>
      </c>
      <c r="S86" s="97">
        <v>-126.108718</v>
      </c>
      <c r="T86" s="96" t="s">
        <v>203</v>
      </c>
      <c r="U86" s="96" t="s">
        <v>223</v>
      </c>
      <c r="V86" s="96" t="s">
        <v>750</v>
      </c>
      <c r="W86" s="96" t="s">
        <v>916</v>
      </c>
      <c r="X86" s="96" t="s">
        <v>928</v>
      </c>
      <c r="Y86" s="96" t="s">
        <v>3650</v>
      </c>
      <c r="Z86" s="96" t="s">
        <v>338</v>
      </c>
      <c r="AA86" s="100">
        <v>45092</v>
      </c>
      <c r="AB86" s="100">
        <v>48750</v>
      </c>
      <c r="AC86" s="96" t="s">
        <v>896</v>
      </c>
      <c r="AD86" s="96" t="s">
        <v>899</v>
      </c>
      <c r="AE86" s="96" t="s">
        <v>911</v>
      </c>
      <c r="AF86" s="96" t="s">
        <v>914</v>
      </c>
      <c r="AG86" s="96" t="s">
        <v>906</v>
      </c>
      <c r="AH86" s="96" t="s">
        <v>896</v>
      </c>
      <c r="AI86" s="96"/>
      <c r="AJ86" s="97">
        <v>100</v>
      </c>
      <c r="AK86" s="96"/>
      <c r="AL86" s="96"/>
      <c r="AM86" s="96"/>
      <c r="AN86" s="96" t="s">
        <v>3634</v>
      </c>
      <c r="AO86" s="98">
        <v>6.9309999999999997E-3</v>
      </c>
      <c r="AP86" s="98">
        <v>-6.4999999999999994E-5</v>
      </c>
      <c r="AQ86" s="106"/>
    </row>
    <row r="87" spans="1:43" ht="15" customHeight="1">
      <c r="A87" s="106"/>
      <c r="B87" s="96">
        <v>286</v>
      </c>
      <c r="C87" s="96">
        <v>286</v>
      </c>
      <c r="D87" s="96" t="s">
        <v>1021</v>
      </c>
      <c r="E87" s="96">
        <v>85124474</v>
      </c>
      <c r="F87" s="96" t="s">
        <v>1200</v>
      </c>
      <c r="G87" s="97">
        <v>1</v>
      </c>
      <c r="H87" s="97">
        <v>137.92831799999999</v>
      </c>
      <c r="I87" s="97">
        <v>520.41595700000005</v>
      </c>
      <c r="J87" s="98">
        <v>157.39093399999999</v>
      </c>
      <c r="K87" s="98">
        <v>2.7099999999999997E-4</v>
      </c>
      <c r="L87" s="96">
        <v>85124475</v>
      </c>
      <c r="M87" s="96" t="s">
        <v>1200</v>
      </c>
      <c r="N87" s="97">
        <v>1</v>
      </c>
      <c r="O87" s="97">
        <v>-512632.22847500001</v>
      </c>
      <c r="P87" s="97">
        <v>-517.10943899999995</v>
      </c>
      <c r="Q87" s="98">
        <v>-156.39093399999999</v>
      </c>
      <c r="R87" s="98">
        <v>-2.6899999999999998E-4</v>
      </c>
      <c r="S87" s="97">
        <v>3.3065180000000001</v>
      </c>
      <c r="T87" s="96" t="s">
        <v>203</v>
      </c>
      <c r="U87" s="96" t="s">
        <v>203</v>
      </c>
      <c r="V87" s="96" t="s">
        <v>746</v>
      </c>
      <c r="W87" s="96" t="s">
        <v>915</v>
      </c>
      <c r="X87" s="96" t="s">
        <v>203</v>
      </c>
      <c r="Y87" s="96" t="s">
        <v>3660</v>
      </c>
      <c r="Z87" s="96" t="s">
        <v>338</v>
      </c>
      <c r="AA87" s="100">
        <v>45433</v>
      </c>
      <c r="AB87" s="100">
        <v>45798</v>
      </c>
      <c r="AC87" s="96" t="s">
        <v>896</v>
      </c>
      <c r="AD87" s="96" t="s">
        <v>899</v>
      </c>
      <c r="AE87" s="96" t="s">
        <v>911</v>
      </c>
      <c r="AF87" s="96" t="s">
        <v>914</v>
      </c>
      <c r="AG87" s="96" t="s">
        <v>897</v>
      </c>
      <c r="AH87" s="96" t="s">
        <v>897</v>
      </c>
      <c r="AI87" s="96"/>
      <c r="AJ87" s="97">
        <v>3625.46</v>
      </c>
      <c r="AK87" s="96"/>
      <c r="AL87" s="96"/>
      <c r="AM87" s="96"/>
      <c r="AN87" s="96" t="s">
        <v>3634</v>
      </c>
      <c r="AO87" s="98">
        <v>-1.8100000000000001E-4</v>
      </c>
      <c r="AP87" s="98">
        <v>9.9999999999999995E-7</v>
      </c>
      <c r="AQ87" s="106"/>
    </row>
    <row r="88" spans="1:43" ht="15" customHeight="1">
      <c r="A88" s="106"/>
      <c r="B88" s="96">
        <v>286</v>
      </c>
      <c r="C88" s="96">
        <v>286</v>
      </c>
      <c r="D88" s="96" t="s">
        <v>1017</v>
      </c>
      <c r="E88" s="96">
        <v>77135306</v>
      </c>
      <c r="F88" s="96" t="s">
        <v>1205</v>
      </c>
      <c r="G88" s="97">
        <v>4.7504999999999997</v>
      </c>
      <c r="H88" s="97">
        <v>-977657.19817300001</v>
      </c>
      <c r="I88" s="97">
        <v>-839.70976700000006</v>
      </c>
      <c r="J88" s="98">
        <v>-208.437816</v>
      </c>
      <c r="K88" s="98">
        <v>-2.0769999999999999E-3</v>
      </c>
      <c r="L88" s="96">
        <v>77135307</v>
      </c>
      <c r="M88" s="96" t="s">
        <v>1201</v>
      </c>
      <c r="N88" s="97">
        <v>3.7589999999999999</v>
      </c>
      <c r="O88" s="97">
        <v>1241458.4399570001</v>
      </c>
      <c r="P88" s="97">
        <v>1066.288654</v>
      </c>
      <c r="Q88" s="98">
        <v>209.437816</v>
      </c>
      <c r="R88" s="98">
        <v>2.0869999999999999E-3</v>
      </c>
      <c r="S88" s="97">
        <v>19.137799999999999</v>
      </c>
      <c r="T88" s="96" t="s">
        <v>203</v>
      </c>
      <c r="U88" s="96" t="s">
        <v>203</v>
      </c>
      <c r="V88" s="96" t="s">
        <v>745</v>
      </c>
      <c r="W88" s="96" t="s">
        <v>916</v>
      </c>
      <c r="X88" s="96" t="s">
        <v>929</v>
      </c>
      <c r="Y88" s="96" t="s">
        <v>3651</v>
      </c>
      <c r="Z88" s="96" t="s">
        <v>338</v>
      </c>
      <c r="AA88" s="100">
        <v>45386</v>
      </c>
      <c r="AB88" s="100">
        <v>45755</v>
      </c>
      <c r="AC88" s="96" t="s">
        <v>897</v>
      </c>
      <c r="AD88" s="96" t="s">
        <v>899</v>
      </c>
      <c r="AE88" s="96" t="s">
        <v>911</v>
      </c>
      <c r="AF88" s="96" t="s">
        <v>914</v>
      </c>
      <c r="AG88" s="96" t="s">
        <v>897</v>
      </c>
      <c r="AH88" s="96" t="s">
        <v>897</v>
      </c>
      <c r="AI88" s="96"/>
      <c r="AJ88" s="97">
        <v>4.7030000000000003</v>
      </c>
      <c r="AK88" s="96"/>
      <c r="AL88" s="96"/>
      <c r="AM88" s="96"/>
      <c r="AN88" s="96" t="s">
        <v>3634</v>
      </c>
      <c r="AO88" s="98">
        <v>-1.0510000000000001E-3</v>
      </c>
      <c r="AP88" s="98">
        <v>9.0000000000000002E-6</v>
      </c>
      <c r="AQ88" s="106"/>
    </row>
    <row r="89" spans="1:43" ht="15" customHeight="1">
      <c r="A89" s="106"/>
      <c r="B89" s="96">
        <v>286</v>
      </c>
      <c r="C89" s="96">
        <v>286</v>
      </c>
      <c r="D89" s="96" t="s">
        <v>1019</v>
      </c>
      <c r="E89" s="96">
        <v>86123294</v>
      </c>
      <c r="F89" s="96" t="s">
        <v>1201</v>
      </c>
      <c r="G89" s="97">
        <v>3.7589999999999999</v>
      </c>
      <c r="H89" s="97">
        <v>-1051244.299111</v>
      </c>
      <c r="I89" s="97">
        <v>-1033.897344</v>
      </c>
      <c r="J89" s="98">
        <v>24.938655000000001</v>
      </c>
      <c r="K89" s="98">
        <v>-2.0230000000000001E-3</v>
      </c>
      <c r="L89" s="96">
        <v>86123295</v>
      </c>
      <c r="M89" s="96" t="s">
        <v>1201</v>
      </c>
      <c r="N89" s="97">
        <v>3.7589999999999999</v>
      </c>
      <c r="O89" s="97">
        <v>1051244.299111</v>
      </c>
      <c r="P89" s="97">
        <v>992.43972299999996</v>
      </c>
      <c r="Q89" s="98">
        <v>-23.938655000000001</v>
      </c>
      <c r="R89" s="98">
        <v>1.9419999999999999E-3</v>
      </c>
      <c r="S89" s="97">
        <v>-155.83919900000001</v>
      </c>
      <c r="T89" s="96" t="s">
        <v>203</v>
      </c>
      <c r="U89" s="96" t="s">
        <v>223</v>
      </c>
      <c r="V89" s="96" t="s">
        <v>750</v>
      </c>
      <c r="W89" s="96" t="s">
        <v>916</v>
      </c>
      <c r="X89" s="96" t="s">
        <v>928</v>
      </c>
      <c r="Y89" s="96" t="s">
        <v>3649</v>
      </c>
      <c r="Z89" s="96" t="s">
        <v>338</v>
      </c>
      <c r="AA89" s="100">
        <v>45076</v>
      </c>
      <c r="AB89" s="100">
        <v>48731</v>
      </c>
      <c r="AC89" s="96" t="s">
        <v>896</v>
      </c>
      <c r="AD89" s="96" t="s">
        <v>899</v>
      </c>
      <c r="AE89" s="96" t="s">
        <v>911</v>
      </c>
      <c r="AF89" s="96" t="s">
        <v>914</v>
      </c>
      <c r="AG89" s="96" t="s">
        <v>906</v>
      </c>
      <c r="AH89" s="96" t="s">
        <v>896</v>
      </c>
      <c r="AI89" s="96"/>
      <c r="AJ89" s="97">
        <v>100</v>
      </c>
      <c r="AK89" s="96"/>
      <c r="AL89" s="96"/>
      <c r="AM89" s="96"/>
      <c r="AN89" s="96" t="s">
        <v>3634</v>
      </c>
      <c r="AO89" s="98">
        <v>8.5649999999999997E-3</v>
      </c>
      <c r="AP89" s="98">
        <v>-8.1000000000000004E-5</v>
      </c>
      <c r="AQ89" s="106"/>
    </row>
    <row r="90" spans="1:43" ht="15" customHeight="1">
      <c r="A90" s="106"/>
      <c r="B90" s="96">
        <v>286</v>
      </c>
      <c r="C90" s="96">
        <v>286</v>
      </c>
      <c r="D90" s="96" t="s">
        <v>1017</v>
      </c>
      <c r="E90" s="96">
        <v>77135524</v>
      </c>
      <c r="F90" s="96" t="s">
        <v>1201</v>
      </c>
      <c r="G90" s="97">
        <v>3.7589999999999999</v>
      </c>
      <c r="H90" s="97">
        <v>-1000000</v>
      </c>
      <c r="I90" s="97">
        <v>-998.8</v>
      </c>
      <c r="J90" s="98">
        <v>123.73106300000001</v>
      </c>
      <c r="K90" s="98">
        <v>-1.9550000000000001E-3</v>
      </c>
      <c r="L90" s="96">
        <v>77135525</v>
      </c>
      <c r="M90" s="96" t="s">
        <v>1200</v>
      </c>
      <c r="N90" s="97">
        <v>1</v>
      </c>
      <c r="O90" s="97">
        <v>3727500</v>
      </c>
      <c r="P90" s="97">
        <v>3724.14525</v>
      </c>
      <c r="Q90" s="98">
        <v>-122.73106300000001</v>
      </c>
      <c r="R90" s="98">
        <v>1.939E-3</v>
      </c>
      <c r="S90" s="97">
        <v>-30.34395</v>
      </c>
      <c r="T90" s="96" t="s">
        <v>203</v>
      </c>
      <c r="U90" s="96" t="s">
        <v>203</v>
      </c>
      <c r="V90" s="96" t="s">
        <v>745</v>
      </c>
      <c r="W90" s="96" t="s">
        <v>916</v>
      </c>
      <c r="X90" s="96" t="s">
        <v>929</v>
      </c>
      <c r="Y90" s="96" t="s">
        <v>3629</v>
      </c>
      <c r="Z90" s="96" t="s">
        <v>338</v>
      </c>
      <c r="AA90" s="100">
        <v>45418</v>
      </c>
      <c r="AB90" s="100">
        <v>45481</v>
      </c>
      <c r="AC90" s="96" t="s">
        <v>897</v>
      </c>
      <c r="AD90" s="96" t="s">
        <v>899</v>
      </c>
      <c r="AE90" s="96" t="s">
        <v>911</v>
      </c>
      <c r="AF90" s="96" t="s">
        <v>914</v>
      </c>
      <c r="AG90" s="96" t="s">
        <v>897</v>
      </c>
      <c r="AH90" s="96" t="s">
        <v>897</v>
      </c>
      <c r="AI90" s="96"/>
      <c r="AJ90" s="97">
        <v>3.7410000000000001</v>
      </c>
      <c r="AK90" s="96"/>
      <c r="AL90" s="96"/>
      <c r="AM90" s="96"/>
      <c r="AN90" s="96" t="s">
        <v>3641</v>
      </c>
      <c r="AO90" s="98">
        <v>1.6670000000000001E-3</v>
      </c>
      <c r="AP90" s="98">
        <v>-1.5E-5</v>
      </c>
      <c r="AQ90" s="106"/>
    </row>
    <row r="91" spans="1:43" ht="15" customHeight="1">
      <c r="A91" s="106"/>
      <c r="B91" s="96">
        <v>286</v>
      </c>
      <c r="C91" s="96">
        <v>286</v>
      </c>
      <c r="D91" s="96" t="s">
        <v>1021</v>
      </c>
      <c r="E91" s="96">
        <v>85124490</v>
      </c>
      <c r="F91" s="96" t="s">
        <v>1201</v>
      </c>
      <c r="G91" s="97">
        <v>3.7589999999999999</v>
      </c>
      <c r="H91" s="97">
        <v>7440.2792090000003</v>
      </c>
      <c r="I91" s="97">
        <v>2513.5495249999999</v>
      </c>
      <c r="J91" s="98">
        <v>33.119022999999999</v>
      </c>
      <c r="K91" s="98">
        <v>4.9199999999999999E-3</v>
      </c>
      <c r="L91" s="96">
        <v>85124499</v>
      </c>
      <c r="M91" s="96" t="s">
        <v>1201</v>
      </c>
      <c r="N91" s="97">
        <v>3.7589999999999999</v>
      </c>
      <c r="O91" s="97">
        <v>-2420589.932858</v>
      </c>
      <c r="P91" s="97">
        <v>-2437.6550910000001</v>
      </c>
      <c r="Q91" s="98">
        <v>-32.119022999999999</v>
      </c>
      <c r="R91" s="98">
        <v>-4.7710000000000001E-3</v>
      </c>
      <c r="S91" s="97">
        <v>285.28717499999999</v>
      </c>
      <c r="T91" s="96" t="s">
        <v>203</v>
      </c>
      <c r="U91" s="96" t="s">
        <v>223</v>
      </c>
      <c r="V91" s="96" t="s">
        <v>746</v>
      </c>
      <c r="W91" s="96" t="s">
        <v>915</v>
      </c>
      <c r="X91" s="96" t="s">
        <v>232</v>
      </c>
      <c r="Y91" s="96" t="s">
        <v>3661</v>
      </c>
      <c r="Z91" s="96" t="s">
        <v>338</v>
      </c>
      <c r="AA91" s="100">
        <v>45450</v>
      </c>
      <c r="AB91" s="100">
        <v>45817</v>
      </c>
      <c r="AC91" s="96" t="s">
        <v>894</v>
      </c>
      <c r="AD91" s="96" t="s">
        <v>899</v>
      </c>
      <c r="AE91" s="96" t="s">
        <v>911</v>
      </c>
      <c r="AF91" s="96" t="s">
        <v>914</v>
      </c>
      <c r="AG91" s="96" t="s">
        <v>897</v>
      </c>
      <c r="AH91" s="96" t="s">
        <v>897</v>
      </c>
      <c r="AI91" s="96"/>
      <c r="AJ91" s="97">
        <v>308.66000000000003</v>
      </c>
      <c r="AK91" s="96"/>
      <c r="AL91" s="96"/>
      <c r="AM91" s="96"/>
      <c r="AN91" s="96" t="s">
        <v>3634</v>
      </c>
      <c r="AO91" s="98">
        <v>-1.5679999999999999E-2</v>
      </c>
      <c r="AP91" s="98">
        <v>1.4799999999999999E-4</v>
      </c>
      <c r="AQ91" s="106"/>
    </row>
    <row r="92" spans="1:43" ht="15" customHeight="1">
      <c r="A92" s="106"/>
      <c r="B92" s="96">
        <v>286</v>
      </c>
      <c r="C92" s="96">
        <v>286</v>
      </c>
      <c r="D92" s="96" t="s">
        <v>1020</v>
      </c>
      <c r="E92" s="96">
        <v>86123130</v>
      </c>
      <c r="F92" s="96" t="s">
        <v>1201</v>
      </c>
      <c r="G92" s="97">
        <v>3.7589999999999999</v>
      </c>
      <c r="H92" s="97">
        <v>-367610.639356</v>
      </c>
      <c r="I92" s="97">
        <v>-347.95099699999997</v>
      </c>
      <c r="J92" s="98">
        <v>19.832488000000001</v>
      </c>
      <c r="K92" s="98">
        <v>-6.8099999999999996E-4</v>
      </c>
      <c r="L92" s="96">
        <v>86123131</v>
      </c>
      <c r="M92" s="96" t="s">
        <v>1200</v>
      </c>
      <c r="N92" s="97">
        <v>1</v>
      </c>
      <c r="O92" s="97">
        <v>1309796.7080260001</v>
      </c>
      <c r="P92" s="97">
        <v>1241.9980430000001</v>
      </c>
      <c r="Q92" s="98">
        <v>-18.832488000000001</v>
      </c>
      <c r="R92" s="98">
        <v>6.4599999999999998E-4</v>
      </c>
      <c r="S92" s="97">
        <v>-65.949757000000005</v>
      </c>
      <c r="T92" s="96" t="s">
        <v>203</v>
      </c>
      <c r="U92" s="96" t="s">
        <v>203</v>
      </c>
      <c r="V92" s="96" t="s">
        <v>745</v>
      </c>
      <c r="W92" s="96" t="s">
        <v>916</v>
      </c>
      <c r="X92" s="96" t="s">
        <v>929</v>
      </c>
      <c r="Y92" s="96" t="s">
        <v>3638</v>
      </c>
      <c r="Z92" s="96" t="s">
        <v>338</v>
      </c>
      <c r="AA92" s="100">
        <v>43924</v>
      </c>
      <c r="AB92" s="100">
        <v>47667</v>
      </c>
      <c r="AC92" s="96" t="s">
        <v>895</v>
      </c>
      <c r="AD92" s="96" t="s">
        <v>898</v>
      </c>
      <c r="AE92" s="96" t="s">
        <v>911</v>
      </c>
      <c r="AF92" s="96" t="s">
        <v>914</v>
      </c>
      <c r="AG92" s="96" t="s">
        <v>897</v>
      </c>
      <c r="AH92" s="96" t="s">
        <v>897</v>
      </c>
      <c r="AI92" s="96"/>
      <c r="AJ92" s="97">
        <v>3.63</v>
      </c>
      <c r="AK92" s="96"/>
      <c r="AL92" s="96"/>
      <c r="AM92" s="96"/>
      <c r="AN92" s="96" t="s">
        <v>3634</v>
      </c>
      <c r="AO92" s="98">
        <v>3.6240000000000001E-3</v>
      </c>
      <c r="AP92" s="98">
        <v>-3.4E-5</v>
      </c>
      <c r="AQ92" s="106"/>
    </row>
    <row r="93" spans="1:43" ht="15" customHeight="1">
      <c r="A93" s="106"/>
      <c r="B93" s="96">
        <v>286</v>
      </c>
      <c r="C93" s="96">
        <v>286</v>
      </c>
      <c r="D93" s="96" t="s">
        <v>1020</v>
      </c>
      <c r="E93" s="96">
        <v>86123270</v>
      </c>
      <c r="F93" s="96" t="s">
        <v>1201</v>
      </c>
      <c r="G93" s="97">
        <v>3.7589999999999999</v>
      </c>
      <c r="H93" s="97">
        <v>-4000000</v>
      </c>
      <c r="I93" s="97">
        <v>-3311.20649</v>
      </c>
      <c r="J93" s="98">
        <v>12.647525999999999</v>
      </c>
      <c r="K93" s="98">
        <v>-6.4809999999999998E-3</v>
      </c>
      <c r="L93" s="96">
        <v>86123271</v>
      </c>
      <c r="M93" s="96" t="s">
        <v>1200</v>
      </c>
      <c r="N93" s="97">
        <v>1</v>
      </c>
      <c r="O93" s="97">
        <v>14112000</v>
      </c>
      <c r="P93" s="97">
        <v>11462.694009999999</v>
      </c>
      <c r="Q93" s="98">
        <v>-11.647525999999999</v>
      </c>
      <c r="R93" s="98">
        <v>5.9690000000000003E-3</v>
      </c>
      <c r="S93" s="97">
        <v>-984.13118999999995</v>
      </c>
      <c r="T93" s="96" t="s">
        <v>203</v>
      </c>
      <c r="U93" s="96" t="s">
        <v>223</v>
      </c>
      <c r="V93" s="96" t="s">
        <v>745</v>
      </c>
      <c r="W93" s="96" t="s">
        <v>916</v>
      </c>
      <c r="X93" s="96" t="s">
        <v>929</v>
      </c>
      <c r="Y93" s="96" t="s">
        <v>3666</v>
      </c>
      <c r="Z93" s="96" t="s">
        <v>338</v>
      </c>
      <c r="AA93" s="100">
        <v>44985</v>
      </c>
      <c r="AB93" s="100">
        <v>47177</v>
      </c>
      <c r="AC93" s="96" t="s">
        <v>896</v>
      </c>
      <c r="AD93" s="96" t="s">
        <v>898</v>
      </c>
      <c r="AE93" s="96" t="s">
        <v>911</v>
      </c>
      <c r="AF93" s="96" t="s">
        <v>914</v>
      </c>
      <c r="AG93" s="96" t="s">
        <v>897</v>
      </c>
      <c r="AH93" s="96" t="s">
        <v>897</v>
      </c>
      <c r="AI93" s="96"/>
      <c r="AJ93" s="97">
        <v>3.6680000000000001</v>
      </c>
      <c r="AK93" s="96"/>
      <c r="AL93" s="96"/>
      <c r="AM93" s="96"/>
      <c r="AN93" s="96" t="s">
        <v>3641</v>
      </c>
      <c r="AO93" s="98">
        <v>5.4089999999999999E-2</v>
      </c>
      <c r="AP93" s="98">
        <v>-5.1199999999999998E-4</v>
      </c>
      <c r="AQ93" s="106"/>
    </row>
    <row r="94" spans="1:43" ht="15" customHeight="1">
      <c r="A94" s="106"/>
      <c r="B94" s="96">
        <v>286</v>
      </c>
      <c r="C94" s="96">
        <v>286</v>
      </c>
      <c r="D94" s="96" t="s">
        <v>1019</v>
      </c>
      <c r="E94" s="96">
        <v>86123300</v>
      </c>
      <c r="F94" s="96" t="s">
        <v>1201</v>
      </c>
      <c r="G94" s="97">
        <v>3.7589999999999999</v>
      </c>
      <c r="H94" s="97">
        <v>-893557.65424399998</v>
      </c>
      <c r="I94" s="97">
        <v>-923.68467199999998</v>
      </c>
      <c r="J94" s="98">
        <v>22.148486999999999</v>
      </c>
      <c r="K94" s="98">
        <v>-1.8079999999999999E-3</v>
      </c>
      <c r="L94" s="96">
        <v>86123301</v>
      </c>
      <c r="M94" s="96" t="s">
        <v>1201</v>
      </c>
      <c r="N94" s="97">
        <v>3.7589999999999999</v>
      </c>
      <c r="O94" s="97">
        <v>893557.65424399998</v>
      </c>
      <c r="P94" s="97">
        <v>881.98048400000005</v>
      </c>
      <c r="Q94" s="98">
        <v>-21.148486999999999</v>
      </c>
      <c r="R94" s="98">
        <v>1.7260000000000001E-3</v>
      </c>
      <c r="S94" s="97">
        <v>-156.766042</v>
      </c>
      <c r="T94" s="96" t="s">
        <v>203</v>
      </c>
      <c r="U94" s="96" t="s">
        <v>223</v>
      </c>
      <c r="V94" s="96" t="s">
        <v>750</v>
      </c>
      <c r="W94" s="96" t="s">
        <v>916</v>
      </c>
      <c r="X94" s="96" t="s">
        <v>928</v>
      </c>
      <c r="Y94" s="96" t="s">
        <v>3652</v>
      </c>
      <c r="Z94" s="96" t="s">
        <v>338</v>
      </c>
      <c r="AA94" s="100">
        <v>45110</v>
      </c>
      <c r="AB94" s="100">
        <v>48766</v>
      </c>
      <c r="AC94" s="96" t="s">
        <v>896</v>
      </c>
      <c r="AD94" s="96" t="s">
        <v>899</v>
      </c>
      <c r="AE94" s="96" t="s">
        <v>911</v>
      </c>
      <c r="AF94" s="96" t="s">
        <v>914</v>
      </c>
      <c r="AG94" s="96" t="s">
        <v>906</v>
      </c>
      <c r="AH94" s="96" t="s">
        <v>896</v>
      </c>
      <c r="AI94" s="96"/>
      <c r="AJ94" s="97">
        <v>100</v>
      </c>
      <c r="AK94" s="96"/>
      <c r="AL94" s="96"/>
      <c r="AM94" s="96"/>
      <c r="AN94" s="96" t="s">
        <v>3634</v>
      </c>
      <c r="AO94" s="98">
        <v>8.6160000000000004E-3</v>
      </c>
      <c r="AP94" s="98">
        <v>-8.1000000000000004E-5</v>
      </c>
      <c r="AQ94" s="106"/>
    </row>
    <row r="95" spans="1:43" ht="15" customHeight="1">
      <c r="A95" s="106"/>
      <c r="B95" s="96">
        <v>286</v>
      </c>
      <c r="C95" s="96">
        <v>286</v>
      </c>
      <c r="D95" s="96" t="s">
        <v>1019</v>
      </c>
      <c r="E95" s="96">
        <v>86123216</v>
      </c>
      <c r="F95" s="96" t="s">
        <v>1200</v>
      </c>
      <c r="G95" s="97">
        <v>1</v>
      </c>
      <c r="H95" s="97">
        <v>-1838053.1967809999</v>
      </c>
      <c r="I95" s="97">
        <v>-1918.942933</v>
      </c>
      <c r="J95" s="98">
        <v>53.818094000000002</v>
      </c>
      <c r="K95" s="98">
        <v>-9.990000000000001E-4</v>
      </c>
      <c r="L95" s="96">
        <v>86123217</v>
      </c>
      <c r="M95" s="96" t="s">
        <v>1200</v>
      </c>
      <c r="N95" s="97">
        <v>1</v>
      </c>
      <c r="O95" s="97">
        <v>1838053.1967809999</v>
      </c>
      <c r="P95" s="97">
        <v>1883.2868410000001</v>
      </c>
      <c r="Q95" s="98">
        <v>-52.818094000000002</v>
      </c>
      <c r="R95" s="98">
        <v>9.7999999999999997E-4</v>
      </c>
      <c r="S95" s="97">
        <v>-35.656092000000001</v>
      </c>
      <c r="T95" s="96" t="s">
        <v>203</v>
      </c>
      <c r="U95" s="96" t="s">
        <v>203</v>
      </c>
      <c r="V95" s="96" t="s">
        <v>750</v>
      </c>
      <c r="W95" s="96" t="s">
        <v>916</v>
      </c>
      <c r="X95" s="96" t="s">
        <v>928</v>
      </c>
      <c r="Y95" s="96" t="s">
        <v>3633</v>
      </c>
      <c r="Z95" s="96" t="s">
        <v>338</v>
      </c>
      <c r="AA95" s="100">
        <v>44762</v>
      </c>
      <c r="AB95" s="100">
        <v>45495</v>
      </c>
      <c r="AC95" s="96" t="s">
        <v>896</v>
      </c>
      <c r="AD95" s="96" t="s">
        <v>899</v>
      </c>
      <c r="AE95" s="96" t="s">
        <v>911</v>
      </c>
      <c r="AF95" s="96" t="s">
        <v>914</v>
      </c>
      <c r="AG95" s="96" t="s">
        <v>900</v>
      </c>
      <c r="AH95" s="96" t="s">
        <v>896</v>
      </c>
      <c r="AI95" s="96"/>
      <c r="AJ95" s="97">
        <v>100</v>
      </c>
      <c r="AK95" s="96"/>
      <c r="AL95" s="96"/>
      <c r="AM95" s="96"/>
      <c r="AN95" s="96" t="s">
        <v>3634</v>
      </c>
      <c r="AO95" s="98">
        <v>1.9589999999999998E-3</v>
      </c>
      <c r="AP95" s="98">
        <v>-1.8E-5</v>
      </c>
      <c r="AQ95" s="106"/>
    </row>
    <row r="96" spans="1:43" ht="15" customHeight="1">
      <c r="A96" s="106"/>
      <c r="B96" s="96">
        <v>286</v>
      </c>
      <c r="C96" s="96">
        <v>286</v>
      </c>
      <c r="D96" s="96" t="s">
        <v>1021</v>
      </c>
      <c r="E96" s="96">
        <v>85124390</v>
      </c>
      <c r="F96" s="96" t="s">
        <v>1202</v>
      </c>
      <c r="G96" s="97">
        <v>4.0202</v>
      </c>
      <c r="H96" s="97">
        <v>14954.125223999999</v>
      </c>
      <c r="I96" s="97">
        <v>1872.705101</v>
      </c>
      <c r="J96" s="98">
        <v>-32.872492999999999</v>
      </c>
      <c r="K96" s="98">
        <v>3.9199999999999999E-3</v>
      </c>
      <c r="L96" s="96">
        <v>85124391</v>
      </c>
      <c r="M96" s="96" t="s">
        <v>1202</v>
      </c>
      <c r="N96" s="97">
        <v>4.0202</v>
      </c>
      <c r="O96" s="97">
        <v>-1926091.328924</v>
      </c>
      <c r="P96" s="97">
        <v>-1929.6738580000001</v>
      </c>
      <c r="Q96" s="98">
        <v>33.872492999999999</v>
      </c>
      <c r="R96" s="98">
        <v>-4.0390000000000001E-3</v>
      </c>
      <c r="S96" s="97">
        <v>-229.02579700000001</v>
      </c>
      <c r="T96" s="96" t="s">
        <v>204</v>
      </c>
      <c r="U96" s="96" t="s">
        <v>232</v>
      </c>
      <c r="V96" s="96" t="s">
        <v>746</v>
      </c>
      <c r="W96" s="96" t="s">
        <v>915</v>
      </c>
      <c r="X96" s="96" t="s">
        <v>292</v>
      </c>
      <c r="Y96" s="96" t="s">
        <v>3675</v>
      </c>
      <c r="Z96" s="96" t="s">
        <v>338</v>
      </c>
      <c r="AA96" s="100">
        <v>45259</v>
      </c>
      <c r="AB96" s="100">
        <v>45625</v>
      </c>
      <c r="AC96" s="96" t="s">
        <v>894</v>
      </c>
      <c r="AD96" s="96" t="s">
        <v>899</v>
      </c>
      <c r="AE96" s="96" t="s">
        <v>911</v>
      </c>
      <c r="AF96" s="96" t="s">
        <v>914</v>
      </c>
      <c r="AG96" s="96" t="s">
        <v>897</v>
      </c>
      <c r="AH96" s="96" t="s">
        <v>897</v>
      </c>
      <c r="AI96" s="96"/>
      <c r="AJ96" s="97">
        <v>99.42</v>
      </c>
      <c r="AK96" s="96"/>
      <c r="AL96" s="96"/>
      <c r="AM96" s="96"/>
      <c r="AN96" s="96"/>
      <c r="AO96" s="98">
        <v>1.2586999999999999E-2</v>
      </c>
      <c r="AP96" s="98">
        <v>-1.1900000000000001E-4</v>
      </c>
      <c r="AQ96" s="106"/>
    </row>
    <row r="97" spans="1:43" ht="15" customHeight="1">
      <c r="A97" s="106"/>
      <c r="B97" s="96">
        <v>286</v>
      </c>
      <c r="C97" s="96">
        <v>286</v>
      </c>
      <c r="D97" s="96" t="s">
        <v>1021</v>
      </c>
      <c r="E97" s="96">
        <v>85124438</v>
      </c>
      <c r="F97" s="96" t="s">
        <v>1202</v>
      </c>
      <c r="G97" s="97">
        <v>4.0202</v>
      </c>
      <c r="H97" s="97">
        <v>6085.9811959999997</v>
      </c>
      <c r="I97" s="97">
        <v>762.147425</v>
      </c>
      <c r="J97" s="98">
        <v>8.9098869999999994</v>
      </c>
      <c r="K97" s="98">
        <v>1.5950000000000001E-3</v>
      </c>
      <c r="L97" s="96">
        <v>85124439</v>
      </c>
      <c r="M97" s="96" t="s">
        <v>1202</v>
      </c>
      <c r="N97" s="97">
        <v>4.0202</v>
      </c>
      <c r="O97" s="97">
        <v>-665258.60453899996</v>
      </c>
      <c r="P97" s="97">
        <v>-676.60791600000005</v>
      </c>
      <c r="Q97" s="98">
        <v>-7.9098870000000003</v>
      </c>
      <c r="R97" s="98">
        <v>-1.4159999999999999E-3</v>
      </c>
      <c r="S97" s="97">
        <v>343.88593300000002</v>
      </c>
      <c r="T97" s="96" t="s">
        <v>204</v>
      </c>
      <c r="U97" s="96" t="s">
        <v>232</v>
      </c>
      <c r="V97" s="96" t="s">
        <v>746</v>
      </c>
      <c r="W97" s="96" t="s">
        <v>915</v>
      </c>
      <c r="X97" s="96" t="s">
        <v>292</v>
      </c>
      <c r="Y97" s="96" t="s">
        <v>3675</v>
      </c>
      <c r="Z97" s="96" t="s">
        <v>338</v>
      </c>
      <c r="AA97" s="100">
        <v>45357</v>
      </c>
      <c r="AB97" s="100">
        <v>45541</v>
      </c>
      <c r="AC97" s="96" t="s">
        <v>895</v>
      </c>
      <c r="AD97" s="96" t="s">
        <v>899</v>
      </c>
      <c r="AE97" s="96" t="s">
        <v>911</v>
      </c>
      <c r="AF97" s="96" t="s">
        <v>914</v>
      </c>
      <c r="AG97" s="96" t="s">
        <v>897</v>
      </c>
      <c r="AH97" s="96" t="s">
        <v>897</v>
      </c>
      <c r="AI97" s="96"/>
      <c r="AJ97" s="97">
        <v>109.31</v>
      </c>
      <c r="AK97" s="96"/>
      <c r="AL97" s="96"/>
      <c r="AM97" s="96"/>
      <c r="AN97" s="96"/>
      <c r="AO97" s="98">
        <v>-1.89E-2</v>
      </c>
      <c r="AP97" s="98">
        <v>1.7899999999999999E-4</v>
      </c>
      <c r="AQ97" s="106"/>
    </row>
    <row r="98" spans="1:43" ht="15" customHeight="1">
      <c r="A98" s="106"/>
      <c r="B98" s="96">
        <v>286</v>
      </c>
      <c r="C98" s="96">
        <v>286</v>
      </c>
      <c r="D98" s="96" t="s">
        <v>1021</v>
      </c>
      <c r="E98" s="96">
        <v>85124452</v>
      </c>
      <c r="F98" s="96" t="s">
        <v>1201</v>
      </c>
      <c r="G98" s="97">
        <v>3.7589999999999999</v>
      </c>
      <c r="H98" s="97">
        <v>27295.792861000002</v>
      </c>
      <c r="I98" s="97">
        <v>3465.746819</v>
      </c>
      <c r="J98" s="98">
        <v>-12.668316000000001</v>
      </c>
      <c r="K98" s="98">
        <v>6.7840000000000001E-3</v>
      </c>
      <c r="L98" s="96">
        <v>85124453</v>
      </c>
      <c r="M98" s="96" t="s">
        <v>1201</v>
      </c>
      <c r="N98" s="97">
        <v>3.7589999999999999</v>
      </c>
      <c r="O98" s="97">
        <v>-3685477.9521659999</v>
      </c>
      <c r="P98" s="97">
        <v>-3739.3227849999998</v>
      </c>
      <c r="Q98" s="98">
        <v>13.668316000000001</v>
      </c>
      <c r="R98" s="98">
        <v>-7.319E-3</v>
      </c>
      <c r="S98" s="97">
        <v>-1028.3720539999999</v>
      </c>
      <c r="T98" s="96" t="s">
        <v>204</v>
      </c>
      <c r="U98" s="96" t="s">
        <v>223</v>
      </c>
      <c r="V98" s="96" t="s">
        <v>746</v>
      </c>
      <c r="W98" s="96" t="s">
        <v>915</v>
      </c>
      <c r="X98" s="96" t="s">
        <v>223</v>
      </c>
      <c r="Y98" s="96" t="s">
        <v>3671</v>
      </c>
      <c r="Z98" s="96" t="s">
        <v>338</v>
      </c>
      <c r="AA98" s="100">
        <v>45379</v>
      </c>
      <c r="AB98" s="100">
        <v>45565</v>
      </c>
      <c r="AC98" s="96" t="s">
        <v>895</v>
      </c>
      <c r="AD98" s="96" t="s">
        <v>899</v>
      </c>
      <c r="AE98" s="96" t="s">
        <v>911</v>
      </c>
      <c r="AF98" s="96" t="s">
        <v>914</v>
      </c>
      <c r="AG98" s="96" t="s">
        <v>897</v>
      </c>
      <c r="AH98" s="96" t="s">
        <v>897</v>
      </c>
      <c r="AI98" s="96"/>
      <c r="AJ98" s="97">
        <v>135.02000000000001</v>
      </c>
      <c r="AK98" s="96"/>
      <c r="AL98" s="96"/>
      <c r="AM98" s="96"/>
      <c r="AN98" s="96"/>
      <c r="AO98" s="98">
        <v>5.6521000000000002E-2</v>
      </c>
      <c r="AP98" s="98">
        <v>-5.3499999999999999E-4</v>
      </c>
      <c r="AQ98" s="106"/>
    </row>
    <row r="99" spans="1:43" ht="15" customHeight="1">
      <c r="A99" s="106"/>
      <c r="B99" s="96">
        <v>286</v>
      </c>
      <c r="C99" s="96">
        <v>286</v>
      </c>
      <c r="D99" s="96" t="s">
        <v>1021</v>
      </c>
      <c r="E99" s="96">
        <v>85124396</v>
      </c>
      <c r="F99" s="96" t="s">
        <v>1201</v>
      </c>
      <c r="G99" s="97">
        <v>3.7589999999999999</v>
      </c>
      <c r="H99" s="97">
        <v>26799.216923</v>
      </c>
      <c r="I99" s="97">
        <v>2529.3100930000001</v>
      </c>
      <c r="J99" s="98">
        <v>-38.769542000000001</v>
      </c>
      <c r="K99" s="98">
        <v>4.9509999999999997E-3</v>
      </c>
      <c r="L99" s="96">
        <v>85124403</v>
      </c>
      <c r="M99" s="96" t="s">
        <v>1201</v>
      </c>
      <c r="N99" s="97">
        <v>3.7589999999999999</v>
      </c>
      <c r="O99" s="97">
        <v>-2590948.2921440001</v>
      </c>
      <c r="P99" s="97">
        <v>-2594.5497099999998</v>
      </c>
      <c r="Q99" s="98">
        <v>39.769542000000001</v>
      </c>
      <c r="R99" s="98">
        <v>-5.078E-3</v>
      </c>
      <c r="S99" s="97">
        <v>-245.23571999999999</v>
      </c>
      <c r="T99" s="96" t="s">
        <v>204</v>
      </c>
      <c r="U99" s="96" t="s">
        <v>223</v>
      </c>
      <c r="V99" s="96" t="s">
        <v>746</v>
      </c>
      <c r="W99" s="96" t="s">
        <v>915</v>
      </c>
      <c r="X99" s="96" t="s">
        <v>223</v>
      </c>
      <c r="Y99" s="96" t="s">
        <v>3674</v>
      </c>
      <c r="Z99" s="96" t="s">
        <v>338</v>
      </c>
      <c r="AA99" s="100">
        <v>45267</v>
      </c>
      <c r="AB99" s="100">
        <v>45635</v>
      </c>
      <c r="AC99" s="96" t="s">
        <v>894</v>
      </c>
      <c r="AD99" s="96" t="s">
        <v>899</v>
      </c>
      <c r="AE99" s="96" t="s">
        <v>911</v>
      </c>
      <c r="AF99" s="96" t="s">
        <v>914</v>
      </c>
      <c r="AG99" s="96" t="s">
        <v>897</v>
      </c>
      <c r="AH99" s="96" t="s">
        <v>897</v>
      </c>
      <c r="AI99" s="96"/>
      <c r="AJ99" s="97">
        <v>90.56</v>
      </c>
      <c r="AK99" s="96"/>
      <c r="AL99" s="96"/>
      <c r="AM99" s="96"/>
      <c r="AN99" s="96" t="s">
        <v>3641</v>
      </c>
      <c r="AO99" s="98">
        <v>1.3478E-2</v>
      </c>
      <c r="AP99" s="98">
        <v>-1.27E-4</v>
      </c>
      <c r="AQ99" s="106"/>
    </row>
    <row r="100" spans="1:43" ht="15" customHeight="1">
      <c r="A100" s="106"/>
      <c r="B100" s="96">
        <v>286</v>
      </c>
      <c r="C100" s="96">
        <v>286</v>
      </c>
      <c r="D100" s="96" t="s">
        <v>1021</v>
      </c>
      <c r="E100" s="96">
        <v>85124420</v>
      </c>
      <c r="F100" s="96" t="s">
        <v>1201</v>
      </c>
      <c r="G100" s="97">
        <v>3.7589999999999999</v>
      </c>
      <c r="H100" s="97">
        <v>23491.218626999998</v>
      </c>
      <c r="I100" s="97">
        <v>3255.6479890000001</v>
      </c>
      <c r="J100" s="98">
        <v>12.213244</v>
      </c>
      <c r="K100" s="98">
        <v>6.3730000000000002E-3</v>
      </c>
      <c r="L100" s="96">
        <v>85124421</v>
      </c>
      <c r="M100" s="96" t="s">
        <v>1201</v>
      </c>
      <c r="N100" s="97">
        <v>3.7589999999999999</v>
      </c>
      <c r="O100" s="97">
        <v>-2927945.4897429999</v>
      </c>
      <c r="P100" s="97">
        <v>-2989.0809909999998</v>
      </c>
      <c r="Q100" s="98">
        <v>-11.213244</v>
      </c>
      <c r="R100" s="98">
        <v>-5.8510000000000003E-3</v>
      </c>
      <c r="S100" s="97">
        <v>1002.025345</v>
      </c>
      <c r="T100" s="96" t="s">
        <v>204</v>
      </c>
      <c r="U100" s="96" t="s">
        <v>223</v>
      </c>
      <c r="V100" s="96" t="s">
        <v>746</v>
      </c>
      <c r="W100" s="96" t="s">
        <v>915</v>
      </c>
      <c r="X100" s="96" t="s">
        <v>223</v>
      </c>
      <c r="Y100" s="96" t="s">
        <v>3672</v>
      </c>
      <c r="Z100" s="96" t="s">
        <v>338</v>
      </c>
      <c r="AA100" s="100">
        <v>45331</v>
      </c>
      <c r="AB100" s="100">
        <v>45513</v>
      </c>
      <c r="AC100" s="96" t="s">
        <v>895</v>
      </c>
      <c r="AD100" s="96" t="s">
        <v>899</v>
      </c>
      <c r="AE100" s="96" t="s">
        <v>911</v>
      </c>
      <c r="AF100" s="96" t="s">
        <v>914</v>
      </c>
      <c r="AG100" s="96" t="s">
        <v>897</v>
      </c>
      <c r="AH100" s="96" t="s">
        <v>897</v>
      </c>
      <c r="AI100" s="96"/>
      <c r="AJ100" s="97">
        <v>124.64</v>
      </c>
      <c r="AK100" s="96"/>
      <c r="AL100" s="96"/>
      <c r="AM100" s="96"/>
      <c r="AN100" s="96"/>
      <c r="AO100" s="98">
        <v>-5.5072999999999997E-2</v>
      </c>
      <c r="AP100" s="98">
        <v>5.2099999999999998E-4</v>
      </c>
      <c r="AQ100" s="106"/>
    </row>
    <row r="101" spans="1:43" ht="15" customHeight="1">
      <c r="A101" s="106"/>
      <c r="B101" s="96">
        <v>286</v>
      </c>
      <c r="C101" s="96">
        <v>286</v>
      </c>
      <c r="D101" s="96" t="s">
        <v>1021</v>
      </c>
      <c r="E101" s="96">
        <v>85124434</v>
      </c>
      <c r="F101" s="96" t="s">
        <v>1217</v>
      </c>
      <c r="G101" s="97">
        <v>2.3359000000000001E-2</v>
      </c>
      <c r="H101" s="97">
        <v>390823.655103</v>
      </c>
      <c r="I101" s="97">
        <v>114190.0739</v>
      </c>
      <c r="J101" s="98">
        <v>6.4321200000000003</v>
      </c>
      <c r="K101" s="98">
        <v>1.389E-3</v>
      </c>
      <c r="L101" s="96">
        <v>85124435</v>
      </c>
      <c r="M101" s="96" t="s">
        <v>1217</v>
      </c>
      <c r="N101" s="97">
        <v>2.3359000000000001E-2</v>
      </c>
      <c r="O101" s="97">
        <v>-96455302.281271994</v>
      </c>
      <c r="P101" s="97">
        <v>-96436.975772999998</v>
      </c>
      <c r="Q101" s="98">
        <v>-5.4321200000000003</v>
      </c>
      <c r="R101" s="98">
        <v>-1.173E-3</v>
      </c>
      <c r="S101" s="97">
        <v>414.69461899999999</v>
      </c>
      <c r="T101" s="96" t="s">
        <v>204</v>
      </c>
      <c r="U101" s="96" t="s">
        <v>250</v>
      </c>
      <c r="V101" s="96" t="s">
        <v>746</v>
      </c>
      <c r="W101" s="96" t="s">
        <v>915</v>
      </c>
      <c r="X101" s="96" t="s">
        <v>250</v>
      </c>
      <c r="Y101" s="96" t="s">
        <v>3673</v>
      </c>
      <c r="Z101" s="96" t="s">
        <v>338</v>
      </c>
      <c r="AA101" s="100">
        <v>45355</v>
      </c>
      <c r="AB101" s="100">
        <v>45539</v>
      </c>
      <c r="AC101" s="96" t="s">
        <v>895</v>
      </c>
      <c r="AD101" s="96" t="s">
        <v>899</v>
      </c>
      <c r="AE101" s="96" t="s">
        <v>911</v>
      </c>
      <c r="AF101" s="96" t="s">
        <v>914</v>
      </c>
      <c r="AG101" s="96" t="s">
        <v>897</v>
      </c>
      <c r="AH101" s="96" t="s">
        <v>897</v>
      </c>
      <c r="AI101" s="96"/>
      <c r="AJ101" s="97">
        <v>245.441</v>
      </c>
      <c r="AK101" s="96"/>
      <c r="AL101" s="96"/>
      <c r="AM101" s="96"/>
      <c r="AN101" s="96"/>
      <c r="AO101" s="98">
        <v>-2.2792E-2</v>
      </c>
      <c r="AP101" s="98">
        <v>2.1499999999999999E-4</v>
      </c>
      <c r="AQ101" s="106"/>
    </row>
    <row r="102" spans="1:43" ht="15" customHeight="1">
      <c r="A102" s="106"/>
      <c r="B102" s="96">
        <v>286</v>
      </c>
      <c r="C102" s="96">
        <v>286</v>
      </c>
      <c r="D102" s="96" t="s">
        <v>1021</v>
      </c>
      <c r="E102" s="96">
        <v>85124486</v>
      </c>
      <c r="F102" s="96" t="s">
        <v>1201</v>
      </c>
      <c r="G102" s="97">
        <v>3.7589999999999999</v>
      </c>
      <c r="H102" s="97">
        <v>16803.076407</v>
      </c>
      <c r="I102" s="97">
        <v>2046.950767</v>
      </c>
      <c r="J102" s="98">
        <v>-154.86169200000001</v>
      </c>
      <c r="K102" s="98">
        <v>4.006E-3</v>
      </c>
      <c r="L102" s="96">
        <v>85124487</v>
      </c>
      <c r="M102" s="96" t="s">
        <v>1201</v>
      </c>
      <c r="N102" s="97">
        <v>3.7589999999999999</v>
      </c>
      <c r="O102" s="97">
        <v>-2046782.73719</v>
      </c>
      <c r="P102" s="97">
        <v>-2060.1686960000002</v>
      </c>
      <c r="Q102" s="98">
        <v>155.86169200000001</v>
      </c>
      <c r="R102" s="98">
        <v>-4.032E-3</v>
      </c>
      <c r="S102" s="97">
        <v>-49.686193000000003</v>
      </c>
      <c r="T102" s="96" t="s">
        <v>204</v>
      </c>
      <c r="U102" s="96" t="s">
        <v>223</v>
      </c>
      <c r="V102" s="96" t="s">
        <v>746</v>
      </c>
      <c r="W102" s="96" t="s">
        <v>915</v>
      </c>
      <c r="X102" s="96" t="s">
        <v>237</v>
      </c>
      <c r="Y102" s="96" t="s">
        <v>3668</v>
      </c>
      <c r="Z102" s="96" t="s">
        <v>338</v>
      </c>
      <c r="AA102" s="100">
        <v>45443</v>
      </c>
      <c r="AB102" s="100">
        <v>45628</v>
      </c>
      <c r="AC102" s="96" t="s">
        <v>894</v>
      </c>
      <c r="AD102" s="96" t="s">
        <v>899</v>
      </c>
      <c r="AE102" s="96" t="s">
        <v>911</v>
      </c>
      <c r="AF102" s="96" t="s">
        <v>914</v>
      </c>
      <c r="AG102" s="96" t="s">
        <v>897</v>
      </c>
      <c r="AH102" s="96" t="s">
        <v>897</v>
      </c>
      <c r="AI102" s="96"/>
      <c r="AJ102" s="97">
        <v>121.81</v>
      </c>
      <c r="AK102" s="96"/>
      <c r="AL102" s="96"/>
      <c r="AM102" s="96"/>
      <c r="AN102" s="96"/>
      <c r="AO102" s="98">
        <v>2.7299999999999998E-3</v>
      </c>
      <c r="AP102" s="98">
        <v>-2.5000000000000001E-5</v>
      </c>
      <c r="AQ102" s="106"/>
    </row>
    <row r="103" spans="1:43" ht="15" customHeight="1">
      <c r="A103" s="106"/>
      <c r="B103" s="96">
        <v>286</v>
      </c>
      <c r="C103" s="96">
        <v>286</v>
      </c>
      <c r="D103" s="96" t="s">
        <v>1021</v>
      </c>
      <c r="E103" s="96">
        <v>85124462</v>
      </c>
      <c r="F103" s="96" t="s">
        <v>1201</v>
      </c>
      <c r="G103" s="97">
        <v>3.7589999999999999</v>
      </c>
      <c r="H103" s="97">
        <v>28195.732251000001</v>
      </c>
      <c r="I103" s="97">
        <v>1721.349453</v>
      </c>
      <c r="J103" s="98">
        <v>-31.447064999999998</v>
      </c>
      <c r="K103" s="98">
        <v>3.369E-3</v>
      </c>
      <c r="L103" s="96">
        <v>85124463</v>
      </c>
      <c r="M103" s="96" t="s">
        <v>1201</v>
      </c>
      <c r="N103" s="97">
        <v>3.7589999999999999</v>
      </c>
      <c r="O103" s="97">
        <v>-1754056.5033539999</v>
      </c>
      <c r="P103" s="97">
        <v>-1776.0874530000001</v>
      </c>
      <c r="Q103" s="98">
        <v>32.447065000000002</v>
      </c>
      <c r="R103" s="98">
        <v>-3.4759999999999999E-3</v>
      </c>
      <c r="S103" s="97">
        <v>-205.76013800000001</v>
      </c>
      <c r="T103" s="96" t="s">
        <v>204</v>
      </c>
      <c r="U103" s="96" t="s">
        <v>223</v>
      </c>
      <c r="V103" s="96" t="s">
        <v>746</v>
      </c>
      <c r="W103" s="96" t="s">
        <v>915</v>
      </c>
      <c r="X103" s="96" t="s">
        <v>237</v>
      </c>
      <c r="Y103" s="96" t="s">
        <v>3669</v>
      </c>
      <c r="Z103" s="96" t="s">
        <v>338</v>
      </c>
      <c r="AA103" s="100">
        <v>45398</v>
      </c>
      <c r="AB103" s="100">
        <v>45581</v>
      </c>
      <c r="AC103" s="96" t="s">
        <v>895</v>
      </c>
      <c r="AD103" s="96" t="s">
        <v>899</v>
      </c>
      <c r="AE103" s="96" t="s">
        <v>911</v>
      </c>
      <c r="AF103" s="96" t="s">
        <v>914</v>
      </c>
      <c r="AG103" s="96" t="s">
        <v>897</v>
      </c>
      <c r="AH103" s="96" t="s">
        <v>897</v>
      </c>
      <c r="AI103" s="96"/>
      <c r="AJ103" s="97">
        <v>62.21</v>
      </c>
      <c r="AK103" s="96"/>
      <c r="AL103" s="96"/>
      <c r="AM103" s="96"/>
      <c r="AN103" s="96"/>
      <c r="AO103" s="98">
        <v>1.1309E-2</v>
      </c>
      <c r="AP103" s="98">
        <v>-1.07E-4</v>
      </c>
      <c r="AQ103" s="106"/>
    </row>
    <row r="104" spans="1:43" ht="15" customHeight="1">
      <c r="A104" s="106"/>
      <c r="B104" s="96">
        <v>286</v>
      </c>
      <c r="C104" s="96">
        <v>286</v>
      </c>
      <c r="D104" s="96" t="s">
        <v>1021</v>
      </c>
      <c r="E104" s="96">
        <v>85124444</v>
      </c>
      <c r="F104" s="96" t="s">
        <v>1201</v>
      </c>
      <c r="G104" s="97">
        <v>3.7589999999999999</v>
      </c>
      <c r="H104" s="97">
        <v>29949.046586</v>
      </c>
      <c r="I104" s="97">
        <v>891.85175900000002</v>
      </c>
      <c r="J104" s="98">
        <v>6.4510569999999996</v>
      </c>
      <c r="K104" s="98">
        <v>1.745E-3</v>
      </c>
      <c r="L104" s="96">
        <v>85124445</v>
      </c>
      <c r="M104" s="96" t="s">
        <v>1201</v>
      </c>
      <c r="N104" s="97">
        <v>3.7589999999999999</v>
      </c>
      <c r="O104" s="97">
        <v>-739965.27218299999</v>
      </c>
      <c r="P104" s="97">
        <v>-753.60283200000003</v>
      </c>
      <c r="Q104" s="98">
        <v>-5.4510569999999996</v>
      </c>
      <c r="R104" s="98">
        <v>-1.475E-3</v>
      </c>
      <c r="S104" s="97">
        <v>519.67771900000002</v>
      </c>
      <c r="T104" s="96" t="s">
        <v>204</v>
      </c>
      <c r="U104" s="96" t="s">
        <v>248</v>
      </c>
      <c r="V104" s="96" t="s">
        <v>746</v>
      </c>
      <c r="W104" s="96" t="s">
        <v>915</v>
      </c>
      <c r="X104" s="96" t="s">
        <v>248</v>
      </c>
      <c r="Y104" s="96" t="s">
        <v>3676</v>
      </c>
      <c r="Z104" s="96" t="s">
        <v>338</v>
      </c>
      <c r="AA104" s="100">
        <v>45359</v>
      </c>
      <c r="AB104" s="100">
        <v>45544</v>
      </c>
      <c r="AC104" s="96" t="s">
        <v>895</v>
      </c>
      <c r="AD104" s="96" t="s">
        <v>899</v>
      </c>
      <c r="AE104" s="96" t="s">
        <v>911</v>
      </c>
      <c r="AF104" s="96" t="s">
        <v>914</v>
      </c>
      <c r="AG104" s="96" t="s">
        <v>897</v>
      </c>
      <c r="AH104" s="96" t="s">
        <v>897</v>
      </c>
      <c r="AI104" s="96"/>
      <c r="AJ104" s="97"/>
      <c r="AK104" s="96"/>
      <c r="AL104" s="96"/>
      <c r="AM104" s="96"/>
      <c r="AN104" s="96"/>
      <c r="AO104" s="98">
        <v>-2.8562000000000001E-2</v>
      </c>
      <c r="AP104" s="98">
        <v>2.7E-4</v>
      </c>
      <c r="AQ104" s="106"/>
    </row>
    <row r="105" spans="1:43" ht="15" customHeight="1">
      <c r="A105" s="106"/>
      <c r="B105" s="96">
        <v>286</v>
      </c>
      <c r="C105" s="96">
        <v>286</v>
      </c>
      <c r="D105" s="96" t="s">
        <v>1021</v>
      </c>
      <c r="E105" s="96">
        <v>85124472</v>
      </c>
      <c r="F105" s="96" t="s">
        <v>1201</v>
      </c>
      <c r="G105" s="97">
        <v>3.7589999999999999</v>
      </c>
      <c r="H105" s="97">
        <v>27775.314676000002</v>
      </c>
      <c r="I105" s="97">
        <v>3866.8793089999999</v>
      </c>
      <c r="J105" s="98">
        <v>-26.605589999999999</v>
      </c>
      <c r="K105" s="98">
        <v>7.5690000000000002E-3</v>
      </c>
      <c r="L105" s="96">
        <v>85124473</v>
      </c>
      <c r="M105" s="96" t="s">
        <v>1201</v>
      </c>
      <c r="N105" s="97">
        <v>3.7589999999999999</v>
      </c>
      <c r="O105" s="97">
        <v>-3976314.0491109998</v>
      </c>
      <c r="P105" s="97">
        <v>-4012.2201639999998</v>
      </c>
      <c r="Q105" s="98">
        <v>27.605589999999999</v>
      </c>
      <c r="R105" s="98">
        <v>-7.8539999999999999E-3</v>
      </c>
      <c r="S105" s="97">
        <v>-546.336277</v>
      </c>
      <c r="T105" s="96" t="s">
        <v>204</v>
      </c>
      <c r="U105" s="96" t="s">
        <v>223</v>
      </c>
      <c r="V105" s="96" t="s">
        <v>746</v>
      </c>
      <c r="W105" s="96" t="s">
        <v>915</v>
      </c>
      <c r="X105" s="96" t="s">
        <v>232</v>
      </c>
      <c r="Y105" s="96" t="s">
        <v>3670</v>
      </c>
      <c r="Z105" s="96" t="s">
        <v>338</v>
      </c>
      <c r="AA105" s="100">
        <v>45419</v>
      </c>
      <c r="AB105" s="100">
        <v>45603</v>
      </c>
      <c r="AC105" s="96" t="s">
        <v>896</v>
      </c>
      <c r="AD105" s="96" t="s">
        <v>899</v>
      </c>
      <c r="AE105" s="96" t="s">
        <v>911</v>
      </c>
      <c r="AF105" s="96" t="s">
        <v>914</v>
      </c>
      <c r="AG105" s="96" t="s">
        <v>897</v>
      </c>
      <c r="AH105" s="96" t="s">
        <v>897</v>
      </c>
      <c r="AI105" s="96"/>
      <c r="AJ105" s="97">
        <v>143.16</v>
      </c>
      <c r="AK105" s="96"/>
      <c r="AL105" s="96"/>
      <c r="AM105" s="96"/>
      <c r="AN105" s="96"/>
      <c r="AO105" s="98">
        <v>3.0027999999999999E-2</v>
      </c>
      <c r="AP105" s="98">
        <v>-2.8400000000000002E-4</v>
      </c>
      <c r="AQ105" s="106"/>
    </row>
    <row r="106" spans="1:43" ht="15" customHeight="1">
      <c r="A106" s="106"/>
      <c r="B106" s="96">
        <v>286</v>
      </c>
      <c r="C106" s="96">
        <v>9803</v>
      </c>
      <c r="D106" s="96" t="s">
        <v>1021</v>
      </c>
      <c r="E106" s="96">
        <v>85124456</v>
      </c>
      <c r="F106" s="96" t="s">
        <v>1200</v>
      </c>
      <c r="G106" s="97">
        <v>1</v>
      </c>
      <c r="H106" s="97">
        <v>1610.0939080000001</v>
      </c>
      <c r="I106" s="97">
        <v>6.8203569999999996</v>
      </c>
      <c r="J106" s="98">
        <v>-7.1534269999999998</v>
      </c>
      <c r="K106" s="98">
        <v>4.0900000000000002E-4</v>
      </c>
      <c r="L106" s="96">
        <v>85124457</v>
      </c>
      <c r="M106" s="96" t="s">
        <v>1200</v>
      </c>
      <c r="N106" s="97">
        <v>1</v>
      </c>
      <c r="O106" s="97">
        <v>-7651.600974</v>
      </c>
      <c r="P106" s="97">
        <v>-7.7737959999999999</v>
      </c>
      <c r="Q106" s="98">
        <v>8.1534270000000006</v>
      </c>
      <c r="R106" s="98">
        <v>-4.66E-4</v>
      </c>
      <c r="S106" s="97">
        <v>-0.95343900000000004</v>
      </c>
      <c r="T106" s="96" t="s">
        <v>203</v>
      </c>
      <c r="U106" s="96" t="s">
        <v>203</v>
      </c>
      <c r="V106" s="96" t="s">
        <v>746</v>
      </c>
      <c r="W106" s="96" t="s">
        <v>915</v>
      </c>
      <c r="X106" s="96" t="s">
        <v>483</v>
      </c>
      <c r="Y106" s="96" t="s">
        <v>3663</v>
      </c>
      <c r="Z106" s="96" t="s">
        <v>338</v>
      </c>
      <c r="AA106" s="100">
        <v>45378</v>
      </c>
      <c r="AB106" s="100">
        <v>45743</v>
      </c>
      <c r="AC106" s="96" t="s">
        <v>896</v>
      </c>
      <c r="AD106" s="96" t="s">
        <v>899</v>
      </c>
      <c r="AE106" s="96" t="s">
        <v>911</v>
      </c>
      <c r="AF106" s="96" t="s">
        <v>914</v>
      </c>
      <c r="AG106" s="96" t="s">
        <v>897</v>
      </c>
      <c r="AH106" s="96" t="s">
        <v>897</v>
      </c>
      <c r="AI106" s="96"/>
      <c r="AJ106" s="97"/>
      <c r="AK106" s="96"/>
      <c r="AL106" s="96"/>
      <c r="AM106" s="96"/>
      <c r="AN106" s="96" t="s">
        <v>3634</v>
      </c>
      <c r="AO106" s="98">
        <v>5.8590999999999997E-2</v>
      </c>
      <c r="AP106" s="98">
        <v>-5.7000000000000003E-5</v>
      </c>
      <c r="AQ106" s="106"/>
    </row>
    <row r="107" spans="1:43" ht="15" customHeight="1">
      <c r="A107" s="106"/>
      <c r="B107" s="96">
        <v>286</v>
      </c>
      <c r="C107" s="96">
        <v>9803</v>
      </c>
      <c r="D107" s="96" t="s">
        <v>1017</v>
      </c>
      <c r="E107" s="96">
        <v>77131842</v>
      </c>
      <c r="F107" s="96" t="s">
        <v>1201</v>
      </c>
      <c r="G107" s="97">
        <v>3.7589999999999999</v>
      </c>
      <c r="H107" s="97">
        <v>-150000</v>
      </c>
      <c r="I107" s="97">
        <v>-143.22</v>
      </c>
      <c r="J107" s="98">
        <v>20.860368000000001</v>
      </c>
      <c r="K107" s="98">
        <v>-3.2285000000000001E-2</v>
      </c>
      <c r="L107" s="96">
        <v>77131843</v>
      </c>
      <c r="M107" s="96" t="s">
        <v>1200</v>
      </c>
      <c r="N107" s="97">
        <v>1</v>
      </c>
      <c r="O107" s="97">
        <v>529500</v>
      </c>
      <c r="P107" s="97">
        <v>512.55600000000004</v>
      </c>
      <c r="Q107" s="98">
        <v>-19.860368000000001</v>
      </c>
      <c r="R107" s="98">
        <v>3.0738000000000001E-2</v>
      </c>
      <c r="S107" s="97">
        <v>-25.807980000000001</v>
      </c>
      <c r="T107" s="96" t="s">
        <v>203</v>
      </c>
      <c r="U107" s="96" t="s">
        <v>203</v>
      </c>
      <c r="V107" s="96" t="s">
        <v>745</v>
      </c>
      <c r="W107" s="96" t="s">
        <v>916</v>
      </c>
      <c r="X107" s="96" t="s">
        <v>929</v>
      </c>
      <c r="Y107" s="96" t="s">
        <v>3629</v>
      </c>
      <c r="Z107" s="96" t="s">
        <v>338</v>
      </c>
      <c r="AA107" s="100">
        <v>44998</v>
      </c>
      <c r="AB107" s="100">
        <v>45734</v>
      </c>
      <c r="AC107" s="96" t="s">
        <v>897</v>
      </c>
      <c r="AD107" s="96" t="s">
        <v>899</v>
      </c>
      <c r="AE107" s="96" t="s">
        <v>911</v>
      </c>
      <c r="AF107" s="96" t="s">
        <v>914</v>
      </c>
      <c r="AG107" s="96" t="s">
        <v>897</v>
      </c>
      <c r="AH107" s="96" t="s">
        <v>897</v>
      </c>
      <c r="AI107" s="96"/>
      <c r="AJ107" s="97">
        <v>3.6259999999999999</v>
      </c>
      <c r="AK107" s="96"/>
      <c r="AL107" s="96"/>
      <c r="AM107" s="96"/>
      <c r="AN107" s="96" t="s">
        <v>3641</v>
      </c>
      <c r="AO107" s="98">
        <v>1.5859810000000001</v>
      </c>
      <c r="AP107" s="98">
        <v>-1.547E-3</v>
      </c>
      <c r="AQ107" s="106"/>
    </row>
    <row r="108" spans="1:43" ht="15" customHeight="1">
      <c r="A108" s="106"/>
      <c r="B108" s="96">
        <v>286</v>
      </c>
      <c r="C108" s="96">
        <v>9803</v>
      </c>
      <c r="D108" s="96" t="s">
        <v>1017</v>
      </c>
      <c r="E108" s="96">
        <v>77136058</v>
      </c>
      <c r="F108" s="96" t="s">
        <v>1201</v>
      </c>
      <c r="G108" s="97">
        <v>3.7589999999999999</v>
      </c>
      <c r="H108" s="97">
        <v>-3208.6264849999998</v>
      </c>
      <c r="I108" s="97">
        <v>-3.2083050000000002</v>
      </c>
      <c r="J108" s="98">
        <v>469.88311299999998</v>
      </c>
      <c r="K108" s="98">
        <v>-7.2300000000000001E-4</v>
      </c>
      <c r="L108" s="96">
        <v>77136059</v>
      </c>
      <c r="M108" s="96" t="s">
        <v>1200</v>
      </c>
      <c r="N108" s="97">
        <v>1</v>
      </c>
      <c r="O108" s="97">
        <v>12035.557946000001</v>
      </c>
      <c r="P108" s="97">
        <v>12.034354</v>
      </c>
      <c r="Q108" s="98">
        <v>-468.88311299999998</v>
      </c>
      <c r="R108" s="98">
        <v>7.2099999999999996E-4</v>
      </c>
      <c r="S108" s="97">
        <v>-2.5666000000000001E-2</v>
      </c>
      <c r="T108" s="96" t="s">
        <v>203</v>
      </c>
      <c r="U108" s="96" t="s">
        <v>203</v>
      </c>
      <c r="V108" s="96" t="s">
        <v>745</v>
      </c>
      <c r="W108" s="96" t="s">
        <v>916</v>
      </c>
      <c r="X108" s="96" t="s">
        <v>929</v>
      </c>
      <c r="Y108" s="96" t="s">
        <v>3629</v>
      </c>
      <c r="Z108" s="96" t="s">
        <v>338</v>
      </c>
      <c r="AA108" s="100">
        <v>45470</v>
      </c>
      <c r="AB108" s="100">
        <v>45474</v>
      </c>
      <c r="AC108" s="96" t="s">
        <v>897</v>
      </c>
      <c r="AD108" s="96" t="s">
        <v>899</v>
      </c>
      <c r="AE108" s="96" t="s">
        <v>911</v>
      </c>
      <c r="AF108" s="96" t="s">
        <v>914</v>
      </c>
      <c r="AG108" s="96" t="s">
        <v>897</v>
      </c>
      <c r="AH108" s="96" t="s">
        <v>897</v>
      </c>
      <c r="AI108" s="96"/>
      <c r="AJ108" s="97">
        <v>3.7549999999999999</v>
      </c>
      <c r="AK108" s="96"/>
      <c r="AL108" s="96"/>
      <c r="AM108" s="96"/>
      <c r="AN108" s="96" t="s">
        <v>3630</v>
      </c>
      <c r="AO108" s="98">
        <v>1.5770000000000001E-3</v>
      </c>
      <c r="AP108" s="98">
        <v>-9.9999999999999995E-7</v>
      </c>
      <c r="AQ108" s="106"/>
    </row>
    <row r="109" spans="1:43" ht="15" customHeight="1">
      <c r="A109" s="106"/>
      <c r="B109" s="96">
        <v>286</v>
      </c>
      <c r="C109" s="96">
        <v>9803</v>
      </c>
      <c r="D109" s="96" t="s">
        <v>1017</v>
      </c>
      <c r="E109" s="96">
        <v>77134398</v>
      </c>
      <c r="F109" s="96" t="s">
        <v>1201</v>
      </c>
      <c r="G109" s="97">
        <v>3.7589999999999999</v>
      </c>
      <c r="H109" s="97">
        <v>150000</v>
      </c>
      <c r="I109" s="97">
        <v>143.95500000000001</v>
      </c>
      <c r="J109" s="98">
        <v>44.762475000000002</v>
      </c>
      <c r="K109" s="98">
        <v>3.2451000000000001E-2</v>
      </c>
      <c r="L109" s="96">
        <v>77134399</v>
      </c>
      <c r="M109" s="96" t="s">
        <v>1200</v>
      </c>
      <c r="N109" s="97">
        <v>1</v>
      </c>
      <c r="O109" s="97">
        <v>-545400</v>
      </c>
      <c r="P109" s="97">
        <v>-529.03800000000001</v>
      </c>
      <c r="Q109" s="98">
        <v>-43.762475000000002</v>
      </c>
      <c r="R109" s="98">
        <v>-3.1725999999999997E-2</v>
      </c>
      <c r="S109" s="97">
        <v>12.088850000000001</v>
      </c>
      <c r="T109" s="96" t="s">
        <v>203</v>
      </c>
      <c r="U109" s="96" t="s">
        <v>203</v>
      </c>
      <c r="V109" s="96" t="s">
        <v>745</v>
      </c>
      <c r="W109" s="96" t="s">
        <v>916</v>
      </c>
      <c r="X109" s="96" t="s">
        <v>929</v>
      </c>
      <c r="Y109" s="96" t="s">
        <v>3629</v>
      </c>
      <c r="Z109" s="96" t="s">
        <v>338</v>
      </c>
      <c r="AA109" s="100">
        <v>45300</v>
      </c>
      <c r="AB109" s="100">
        <v>45734</v>
      </c>
      <c r="AC109" s="96" t="s">
        <v>897</v>
      </c>
      <c r="AD109" s="96" t="s">
        <v>899</v>
      </c>
      <c r="AE109" s="96" t="s">
        <v>911</v>
      </c>
      <c r="AF109" s="96" t="s">
        <v>914</v>
      </c>
      <c r="AG109" s="96" t="s">
        <v>897</v>
      </c>
      <c r="AH109" s="96" t="s">
        <v>897</v>
      </c>
      <c r="AI109" s="96"/>
      <c r="AJ109" s="97">
        <v>3.7170000000000001</v>
      </c>
      <c r="AK109" s="96"/>
      <c r="AL109" s="96"/>
      <c r="AM109" s="96"/>
      <c r="AN109" s="96" t="s">
        <v>3641</v>
      </c>
      <c r="AO109" s="98">
        <v>-0.74289700000000003</v>
      </c>
      <c r="AP109" s="98">
        <v>7.2400000000000003E-4</v>
      </c>
      <c r="AQ109" s="106"/>
    </row>
    <row r="110" spans="1:43" ht="15" customHeight="1">
      <c r="A110" s="106"/>
      <c r="B110" s="96">
        <v>286</v>
      </c>
      <c r="C110" s="96">
        <v>9803</v>
      </c>
      <c r="D110" s="96" t="s">
        <v>1019</v>
      </c>
      <c r="E110" s="96">
        <v>86123216</v>
      </c>
      <c r="F110" s="96" t="s">
        <v>1200</v>
      </c>
      <c r="G110" s="97">
        <v>1</v>
      </c>
      <c r="H110" s="97">
        <v>-33423.192556000002</v>
      </c>
      <c r="I110" s="97">
        <v>-34.894092000000001</v>
      </c>
      <c r="J110" s="98">
        <v>53.818094000000002</v>
      </c>
      <c r="K110" s="98">
        <v>-2.0920000000000001E-3</v>
      </c>
      <c r="L110" s="96">
        <v>86123217</v>
      </c>
      <c r="M110" s="96" t="s">
        <v>1200</v>
      </c>
      <c r="N110" s="97">
        <v>1</v>
      </c>
      <c r="O110" s="97">
        <v>33423.192556000002</v>
      </c>
      <c r="P110" s="97">
        <v>34.245721000000003</v>
      </c>
      <c r="Q110" s="98">
        <v>-52.818094000000002</v>
      </c>
      <c r="R110" s="98">
        <v>2.0530000000000001E-3</v>
      </c>
      <c r="S110" s="97">
        <v>-0.64837100000000003</v>
      </c>
      <c r="T110" s="96" t="s">
        <v>203</v>
      </c>
      <c r="U110" s="96" t="s">
        <v>203</v>
      </c>
      <c r="V110" s="96" t="s">
        <v>750</v>
      </c>
      <c r="W110" s="96" t="s">
        <v>916</v>
      </c>
      <c r="X110" s="96" t="s">
        <v>928</v>
      </c>
      <c r="Y110" s="96" t="s">
        <v>3633</v>
      </c>
      <c r="Z110" s="96" t="s">
        <v>338</v>
      </c>
      <c r="AA110" s="100">
        <v>44762</v>
      </c>
      <c r="AB110" s="100">
        <v>45495</v>
      </c>
      <c r="AC110" s="96" t="s">
        <v>896</v>
      </c>
      <c r="AD110" s="96" t="s">
        <v>899</v>
      </c>
      <c r="AE110" s="96" t="s">
        <v>911</v>
      </c>
      <c r="AF110" s="96" t="s">
        <v>914</v>
      </c>
      <c r="AG110" s="96" t="s">
        <v>900</v>
      </c>
      <c r="AH110" s="96" t="s">
        <v>896</v>
      </c>
      <c r="AI110" s="96"/>
      <c r="AJ110" s="97">
        <v>100</v>
      </c>
      <c r="AK110" s="96"/>
      <c r="AL110" s="96"/>
      <c r="AM110" s="96"/>
      <c r="AN110" s="96" t="s">
        <v>3634</v>
      </c>
      <c r="AO110" s="98">
        <v>3.9843999999999997E-2</v>
      </c>
      <c r="AP110" s="98">
        <v>-3.8000000000000002E-5</v>
      </c>
      <c r="AQ110" s="106"/>
    </row>
    <row r="111" spans="1:43" ht="15" customHeight="1">
      <c r="A111" s="106"/>
      <c r="B111" s="96">
        <v>286</v>
      </c>
      <c r="C111" s="96">
        <v>9803</v>
      </c>
      <c r="D111" s="96" t="s">
        <v>1021</v>
      </c>
      <c r="E111" s="96">
        <v>85124474</v>
      </c>
      <c r="F111" s="96" t="s">
        <v>1200</v>
      </c>
      <c r="G111" s="97">
        <v>1</v>
      </c>
      <c r="H111" s="97">
        <v>1.4790479999999999</v>
      </c>
      <c r="I111" s="97">
        <v>5.580584</v>
      </c>
      <c r="J111" s="98">
        <v>157.39018999999999</v>
      </c>
      <c r="K111" s="98">
        <v>3.3399999999999999E-4</v>
      </c>
      <c r="L111" s="96">
        <v>85124475</v>
      </c>
      <c r="M111" s="96" t="s">
        <v>1200</v>
      </c>
      <c r="N111" s="97">
        <v>1</v>
      </c>
      <c r="O111" s="97">
        <v>-5497.1166949999997</v>
      </c>
      <c r="P111" s="97">
        <v>-5.5451269999999999</v>
      </c>
      <c r="Q111" s="98">
        <v>-156.39018999999999</v>
      </c>
      <c r="R111" s="98">
        <v>-3.3199999999999999E-4</v>
      </c>
      <c r="S111" s="97">
        <v>3.5457000000000002E-2</v>
      </c>
      <c r="T111" s="96" t="s">
        <v>203</v>
      </c>
      <c r="U111" s="96" t="s">
        <v>203</v>
      </c>
      <c r="V111" s="96" t="s">
        <v>746</v>
      </c>
      <c r="W111" s="96" t="s">
        <v>915</v>
      </c>
      <c r="X111" s="96" t="s">
        <v>203</v>
      </c>
      <c r="Y111" s="96" t="s">
        <v>3660</v>
      </c>
      <c r="Z111" s="96" t="s">
        <v>338</v>
      </c>
      <c r="AA111" s="100">
        <v>45433</v>
      </c>
      <c r="AB111" s="100">
        <v>45798</v>
      </c>
      <c r="AC111" s="96" t="s">
        <v>896</v>
      </c>
      <c r="AD111" s="96" t="s">
        <v>899</v>
      </c>
      <c r="AE111" s="96" t="s">
        <v>911</v>
      </c>
      <c r="AF111" s="96" t="s">
        <v>914</v>
      </c>
      <c r="AG111" s="96" t="s">
        <v>897</v>
      </c>
      <c r="AH111" s="96" t="s">
        <v>897</v>
      </c>
      <c r="AI111" s="96"/>
      <c r="AJ111" s="97">
        <v>3625.46</v>
      </c>
      <c r="AK111" s="96"/>
      <c r="AL111" s="96"/>
      <c r="AM111" s="96"/>
      <c r="AN111" s="96" t="s">
        <v>3634</v>
      </c>
      <c r="AO111" s="98">
        <v>-2.1779999999999998E-3</v>
      </c>
      <c r="AP111" s="98">
        <v>1.9999999999999999E-6</v>
      </c>
      <c r="AQ111" s="106"/>
    </row>
    <row r="112" spans="1:43" ht="15" customHeight="1">
      <c r="A112" s="106"/>
      <c r="B112" s="96">
        <v>286</v>
      </c>
      <c r="C112" s="96">
        <v>9803</v>
      </c>
      <c r="D112" s="96" t="s">
        <v>1020</v>
      </c>
      <c r="E112" s="96">
        <v>86123130</v>
      </c>
      <c r="F112" s="96" t="s">
        <v>1201</v>
      </c>
      <c r="G112" s="97">
        <v>3.7589999999999999</v>
      </c>
      <c r="H112" s="97">
        <v>-6684.6385110000001</v>
      </c>
      <c r="I112" s="97">
        <v>-6.3271470000000001</v>
      </c>
      <c r="J112" s="98">
        <v>19.832481000000001</v>
      </c>
      <c r="K112" s="98">
        <v>-1.426E-3</v>
      </c>
      <c r="L112" s="96">
        <v>86123131</v>
      </c>
      <c r="M112" s="96" t="s">
        <v>1200</v>
      </c>
      <c r="N112" s="97">
        <v>1</v>
      </c>
      <c r="O112" s="97">
        <v>23817.367015</v>
      </c>
      <c r="P112" s="97">
        <v>22.584513999999999</v>
      </c>
      <c r="Q112" s="98">
        <v>-18.832481000000001</v>
      </c>
      <c r="R112" s="98">
        <v>1.354E-3</v>
      </c>
      <c r="S112" s="97">
        <v>-1.1992320000000001</v>
      </c>
      <c r="T112" s="96" t="s">
        <v>203</v>
      </c>
      <c r="U112" s="96" t="s">
        <v>203</v>
      </c>
      <c r="V112" s="96" t="s">
        <v>745</v>
      </c>
      <c r="W112" s="96" t="s">
        <v>916</v>
      </c>
      <c r="X112" s="96" t="s">
        <v>929</v>
      </c>
      <c r="Y112" s="96" t="s">
        <v>3638</v>
      </c>
      <c r="Z112" s="96" t="s">
        <v>338</v>
      </c>
      <c r="AA112" s="100">
        <v>43924</v>
      </c>
      <c r="AB112" s="100">
        <v>47667</v>
      </c>
      <c r="AC112" s="96" t="s">
        <v>895</v>
      </c>
      <c r="AD112" s="96" t="s">
        <v>898</v>
      </c>
      <c r="AE112" s="96" t="s">
        <v>911</v>
      </c>
      <c r="AF112" s="96" t="s">
        <v>914</v>
      </c>
      <c r="AG112" s="96" t="s">
        <v>897</v>
      </c>
      <c r="AH112" s="96" t="s">
        <v>897</v>
      </c>
      <c r="AI112" s="96"/>
      <c r="AJ112" s="97">
        <v>3.63</v>
      </c>
      <c r="AK112" s="96"/>
      <c r="AL112" s="96"/>
      <c r="AM112" s="96"/>
      <c r="AN112" s="96" t="s">
        <v>3634</v>
      </c>
      <c r="AO112" s="98">
        <v>7.3695999999999998E-2</v>
      </c>
      <c r="AP112" s="98">
        <v>-7.1000000000000005E-5</v>
      </c>
      <c r="AQ112" s="106"/>
    </row>
    <row r="113" spans="1:43" ht="15" customHeight="1">
      <c r="A113" s="106"/>
      <c r="B113" s="96">
        <v>286</v>
      </c>
      <c r="C113" s="96">
        <v>9803</v>
      </c>
      <c r="D113" s="96" t="s">
        <v>1021</v>
      </c>
      <c r="E113" s="96">
        <v>85124464</v>
      </c>
      <c r="F113" s="96" t="s">
        <v>1200</v>
      </c>
      <c r="G113" s="97">
        <v>1</v>
      </c>
      <c r="H113" s="97">
        <v>451.65734300000003</v>
      </c>
      <c r="I113" s="97">
        <v>15.198269</v>
      </c>
      <c r="J113" s="98">
        <v>63.907142999999998</v>
      </c>
      <c r="K113" s="98">
        <v>9.1100000000000003E-4</v>
      </c>
      <c r="L113" s="96">
        <v>85124465</v>
      </c>
      <c r="M113" s="96" t="s">
        <v>1200</v>
      </c>
      <c r="N113" s="97">
        <v>1</v>
      </c>
      <c r="O113" s="97">
        <v>-14759.719374</v>
      </c>
      <c r="P113" s="97">
        <v>-14.960451000000001</v>
      </c>
      <c r="Q113" s="98">
        <v>-62.907142999999998</v>
      </c>
      <c r="R113" s="98">
        <v>-8.9700000000000001E-4</v>
      </c>
      <c r="S113" s="97">
        <v>0.237818</v>
      </c>
      <c r="T113" s="96" t="s">
        <v>203</v>
      </c>
      <c r="U113" s="96" t="s">
        <v>203</v>
      </c>
      <c r="V113" s="96" t="s">
        <v>746</v>
      </c>
      <c r="W113" s="96" t="s">
        <v>915</v>
      </c>
      <c r="X113" s="96" t="s">
        <v>203</v>
      </c>
      <c r="Y113" s="96" t="s">
        <v>3659</v>
      </c>
      <c r="Z113" s="96" t="s">
        <v>338</v>
      </c>
      <c r="AA113" s="100">
        <v>45400</v>
      </c>
      <c r="AB113" s="100">
        <v>45771</v>
      </c>
      <c r="AC113" s="96" t="s">
        <v>896</v>
      </c>
      <c r="AD113" s="96" t="s">
        <v>899</v>
      </c>
      <c r="AE113" s="96" t="s">
        <v>911</v>
      </c>
      <c r="AF113" s="96" t="s">
        <v>914</v>
      </c>
      <c r="AG113" s="96" t="s">
        <v>897</v>
      </c>
      <c r="AH113" s="96" t="s">
        <v>897</v>
      </c>
      <c r="AI113" s="96"/>
      <c r="AJ113" s="97">
        <v>32.619999999999997</v>
      </c>
      <c r="AK113" s="96"/>
      <c r="AL113" s="96"/>
      <c r="AM113" s="96"/>
      <c r="AN113" s="96" t="s">
        <v>3641</v>
      </c>
      <c r="AO113" s="98">
        <v>-1.4614E-2</v>
      </c>
      <c r="AP113" s="98">
        <v>1.4E-5</v>
      </c>
      <c r="AQ113" s="106"/>
    </row>
    <row r="114" spans="1:43" ht="15" customHeight="1">
      <c r="A114" s="106"/>
      <c r="B114" s="96">
        <v>286</v>
      </c>
      <c r="C114" s="96">
        <v>14418</v>
      </c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102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  <c r="AH114" s="96"/>
      <c r="AI114" s="96"/>
      <c r="AJ114" s="96"/>
      <c r="AK114" s="96"/>
      <c r="AL114" s="96"/>
      <c r="AM114" s="96"/>
      <c r="AN114" s="96"/>
      <c r="AO114" s="96"/>
      <c r="AP114" s="98">
        <v>0</v>
      </c>
      <c r="AQ114" s="106"/>
    </row>
    <row r="115" spans="1:43" ht="15" customHeight="1">
      <c r="A115" s="106"/>
      <c r="B115" s="105" t="s">
        <v>3767</v>
      </c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6"/>
    </row>
  </sheetData>
  <mergeCells count="4">
    <mergeCell ref="B115:AP115"/>
    <mergeCell ref="A1:A115"/>
    <mergeCell ref="B1:AP1"/>
    <mergeCell ref="AQ1:AQ115"/>
  </mergeCells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C638"/>
  <sheetViews>
    <sheetView rightToLeft="1" workbookViewId="0">
      <selection sqref="A1:A63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9.375" bestFit="1" customWidth="1"/>
    <col min="5" max="5" width="8" bestFit="1" customWidth="1"/>
    <col min="6" max="6" width="8.375" bestFit="1" customWidth="1"/>
    <col min="7" max="7" width="10" bestFit="1" customWidth="1"/>
    <col min="8" max="8" width="9.875" bestFit="1" customWidth="1"/>
    <col min="9" max="9" width="56" bestFit="1" customWidth="1"/>
    <col min="10" max="10" width="8.75" bestFit="1" customWidth="1"/>
    <col min="11" max="11" width="10.75" bestFit="1" customWidth="1"/>
    <col min="12" max="12" width="35.125" bestFit="1" customWidth="1"/>
    <col min="13" max="13" width="9.625" bestFit="1" customWidth="1"/>
    <col min="14" max="15" width="9.25" bestFit="1" customWidth="1"/>
    <col min="16" max="16" width="11.125" bestFit="1" customWidth="1"/>
    <col min="17" max="17" width="6.375" bestFit="1" customWidth="1"/>
    <col min="18" max="18" width="12.25" bestFit="1" customWidth="1"/>
    <col min="19" max="19" width="11.25" bestFit="1" customWidth="1"/>
    <col min="20" max="20" width="9.875" bestFit="1" customWidth="1"/>
    <col min="21" max="21" width="7.375" bestFit="1" customWidth="1"/>
    <col min="22" max="22" width="8.5" bestFit="1" customWidth="1"/>
    <col min="23" max="23" width="9.25" bestFit="1" customWidth="1"/>
    <col min="24" max="24" width="8.375" bestFit="1" customWidth="1"/>
    <col min="25" max="25" width="7.875" bestFit="1" customWidth="1"/>
    <col min="26" max="26" width="11.25" bestFit="1" customWidth="1"/>
    <col min="27" max="27" width="10.375" bestFit="1" customWidth="1"/>
    <col min="28" max="28" width="9.875" bestFit="1" customWidth="1"/>
    <col min="29" max="29" width="10.75" bestFit="1" customWidth="1"/>
    <col min="30" max="30" width="8" bestFit="1" customWidth="1"/>
    <col min="31" max="31" width="11.125" bestFit="1" customWidth="1"/>
    <col min="32" max="32" width="7.375" bestFit="1" customWidth="1"/>
    <col min="33" max="33" width="9.875" bestFit="1" customWidth="1"/>
    <col min="34" max="34" width="7.875" bestFit="1" customWidth="1"/>
    <col min="35" max="35" width="7.625" bestFit="1" customWidth="1"/>
    <col min="36" max="36" width="8.875" bestFit="1" customWidth="1"/>
    <col min="37" max="37" width="9.125" bestFit="1" customWidth="1"/>
    <col min="38" max="38" width="9.625" bestFit="1" customWidth="1"/>
    <col min="39" max="39" width="7.25" bestFit="1" customWidth="1"/>
    <col min="40" max="40" width="10.875" bestFit="1" customWidth="1"/>
    <col min="41" max="41" width="10.625" bestFit="1" customWidth="1"/>
    <col min="42" max="42" width="10.125" bestFit="1" customWidth="1"/>
    <col min="43" max="43" width="9.75" bestFit="1" customWidth="1"/>
    <col min="44" max="44" width="14.5" bestFit="1" customWidth="1"/>
    <col min="45" max="45" width="9.125" bestFit="1" customWidth="1"/>
    <col min="46" max="46" width="8.625" bestFit="1" customWidth="1"/>
    <col min="47" max="48" width="10.875" bestFit="1" customWidth="1"/>
    <col min="49" max="50" width="11.375" bestFit="1" customWidth="1"/>
    <col min="51" max="51" width="11.25" bestFit="1" customWidth="1"/>
    <col min="52" max="52" width="10.625" bestFit="1" customWidth="1"/>
    <col min="53" max="53" width="11" bestFit="1" customWidth="1"/>
    <col min="54" max="54" width="10.375" bestFit="1" customWidth="1"/>
    <col min="55" max="55" width="3.125" customWidth="1"/>
  </cols>
  <sheetData>
    <row r="1" spans="1:55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6" t="s">
        <v>3766</v>
      </c>
    </row>
    <row r="2" spans="1:55" ht="66.75" customHeight="1">
      <c r="A2" s="106"/>
      <c r="B2" s="21" t="s">
        <v>49</v>
      </c>
      <c r="C2" s="21" t="s">
        <v>50</v>
      </c>
      <c r="D2" s="21" t="s">
        <v>150</v>
      </c>
      <c r="E2" s="21" t="s">
        <v>151</v>
      </c>
      <c r="F2" s="21" t="s">
        <v>152</v>
      </c>
      <c r="G2" s="21" t="s">
        <v>153</v>
      </c>
      <c r="H2" s="21" t="s">
        <v>54</v>
      </c>
      <c r="I2" s="21" t="s">
        <v>154</v>
      </c>
      <c r="J2" s="21" t="s">
        <v>55</v>
      </c>
      <c r="K2" s="21" t="s">
        <v>69</v>
      </c>
      <c r="L2" s="21" t="s">
        <v>83</v>
      </c>
      <c r="M2" s="21" t="s">
        <v>56</v>
      </c>
      <c r="N2" s="21" t="s">
        <v>155</v>
      </c>
      <c r="O2" s="21" t="s">
        <v>156</v>
      </c>
      <c r="P2" s="21" t="s">
        <v>157</v>
      </c>
      <c r="Q2" s="21" t="s">
        <v>71</v>
      </c>
      <c r="R2" s="21" t="s">
        <v>58</v>
      </c>
      <c r="S2" s="21" t="s">
        <v>158</v>
      </c>
      <c r="T2" s="21" t="s">
        <v>59</v>
      </c>
      <c r="U2" s="21" t="s">
        <v>72</v>
      </c>
      <c r="V2" s="21" t="s">
        <v>159</v>
      </c>
      <c r="W2" s="21" t="s">
        <v>62</v>
      </c>
      <c r="X2" s="21" t="s">
        <v>98</v>
      </c>
      <c r="Y2" s="21" t="s">
        <v>85</v>
      </c>
      <c r="Z2" s="95" t="s">
        <v>160</v>
      </c>
      <c r="AA2" s="21" t="s">
        <v>74</v>
      </c>
      <c r="AB2" s="21" t="s">
        <v>73</v>
      </c>
      <c r="AC2" s="21" t="s">
        <v>86</v>
      </c>
      <c r="AD2" s="21" t="s">
        <v>161</v>
      </c>
      <c r="AE2" s="99" t="s">
        <v>162</v>
      </c>
      <c r="AF2" s="95" t="s">
        <v>163</v>
      </c>
      <c r="AG2" s="21" t="s">
        <v>164</v>
      </c>
      <c r="AH2" s="21" t="s">
        <v>165</v>
      </c>
      <c r="AI2" s="21" t="s">
        <v>166</v>
      </c>
      <c r="AJ2" s="21" t="s">
        <v>167</v>
      </c>
      <c r="AK2" s="21" t="s">
        <v>168</v>
      </c>
      <c r="AL2" s="21" t="s">
        <v>103</v>
      </c>
      <c r="AM2" s="21" t="s">
        <v>105</v>
      </c>
      <c r="AN2" s="21" t="s">
        <v>104</v>
      </c>
      <c r="AO2" s="21" t="s">
        <v>106</v>
      </c>
      <c r="AP2" s="21" t="s">
        <v>107</v>
      </c>
      <c r="AQ2" s="95" t="s">
        <v>169</v>
      </c>
      <c r="AR2" s="21" t="s">
        <v>170</v>
      </c>
      <c r="AS2" s="21" t="s">
        <v>171</v>
      </c>
      <c r="AT2" s="21" t="s">
        <v>61</v>
      </c>
      <c r="AU2" s="21" t="s">
        <v>63</v>
      </c>
      <c r="AV2" s="21" t="s">
        <v>172</v>
      </c>
      <c r="AW2" s="99" t="s">
        <v>78</v>
      </c>
      <c r="AX2" s="99" t="s">
        <v>88</v>
      </c>
      <c r="AY2" s="21" t="s">
        <v>87</v>
      </c>
      <c r="AZ2" s="21" t="s">
        <v>17</v>
      </c>
      <c r="BA2" s="21" t="s">
        <v>64</v>
      </c>
      <c r="BB2" s="21" t="s">
        <v>65</v>
      </c>
      <c r="BC2" s="106"/>
    </row>
    <row r="3" spans="1:55" ht="15" customHeight="1">
      <c r="A3" s="106"/>
      <c r="B3" s="96">
        <v>286</v>
      </c>
      <c r="C3" s="96">
        <v>1445</v>
      </c>
      <c r="D3" s="96"/>
      <c r="E3" s="96"/>
      <c r="F3" s="96"/>
      <c r="G3" s="96">
        <v>25000903</v>
      </c>
      <c r="H3" s="96" t="s">
        <v>1013</v>
      </c>
      <c r="I3" s="96"/>
      <c r="J3" s="96" t="s">
        <v>203</v>
      </c>
      <c r="K3" s="96"/>
      <c r="L3" s="96" t="s">
        <v>477</v>
      </c>
      <c r="M3" s="96" t="s">
        <v>338</v>
      </c>
      <c r="N3" s="96" t="s">
        <v>337</v>
      </c>
      <c r="O3" s="96"/>
      <c r="P3" s="100">
        <v>45372</v>
      </c>
      <c r="Q3" s="96" t="s">
        <v>409</v>
      </c>
      <c r="R3" s="96" t="s">
        <v>409</v>
      </c>
      <c r="S3" s="96" t="s">
        <v>409</v>
      </c>
      <c r="T3" s="96" t="s">
        <v>1200</v>
      </c>
      <c r="U3" s="97">
        <v>4.24</v>
      </c>
      <c r="V3" s="96" t="s">
        <v>3678</v>
      </c>
      <c r="W3" s="98">
        <v>4.5842000000000001E-2</v>
      </c>
      <c r="X3" s="96"/>
      <c r="Y3" s="96"/>
      <c r="Z3" s="98"/>
      <c r="AA3" s="98">
        <v>5.33E-2</v>
      </c>
      <c r="AB3" s="100">
        <v>47197</v>
      </c>
      <c r="AC3" s="96" t="s">
        <v>411</v>
      </c>
      <c r="AD3" s="96"/>
      <c r="AE3" s="97"/>
      <c r="AF3" s="98"/>
      <c r="AG3" s="100">
        <v>45382</v>
      </c>
      <c r="AH3" s="96"/>
      <c r="AI3" s="96"/>
      <c r="AJ3" s="96"/>
      <c r="AK3" s="96" t="s">
        <v>337</v>
      </c>
      <c r="AL3" s="96" t="s">
        <v>887</v>
      </c>
      <c r="AM3" s="96"/>
      <c r="AN3" s="96" t="s">
        <v>890</v>
      </c>
      <c r="AO3" s="100">
        <v>45473</v>
      </c>
      <c r="AP3" s="100">
        <v>45473</v>
      </c>
      <c r="AQ3" s="98"/>
      <c r="AR3" s="97">
        <v>134.32910899999999</v>
      </c>
      <c r="AS3" s="97">
        <v>99.1</v>
      </c>
      <c r="AT3" s="97">
        <v>1</v>
      </c>
      <c r="AU3" s="97">
        <v>0.13311999999999999</v>
      </c>
      <c r="AV3" s="97">
        <v>0.13311999999999999</v>
      </c>
      <c r="AW3" s="97"/>
      <c r="AX3" s="97"/>
      <c r="AY3" s="96"/>
      <c r="AZ3" s="96"/>
      <c r="BA3" s="98">
        <v>7.3999999999999996E-5</v>
      </c>
      <c r="BB3" s="98">
        <v>1.9999999999999999E-6</v>
      </c>
      <c r="BC3" s="106"/>
    </row>
    <row r="4" spans="1:55" ht="15" customHeight="1">
      <c r="A4" s="106"/>
      <c r="B4" s="96">
        <v>286</v>
      </c>
      <c r="C4" s="96">
        <v>1445</v>
      </c>
      <c r="D4" s="96"/>
      <c r="E4" s="96"/>
      <c r="F4" s="96"/>
      <c r="G4" s="96">
        <v>25000821</v>
      </c>
      <c r="H4" s="96" t="s">
        <v>1013</v>
      </c>
      <c r="I4" s="96" t="s">
        <v>812</v>
      </c>
      <c r="J4" s="96" t="s">
        <v>203</v>
      </c>
      <c r="K4" s="96"/>
      <c r="L4" s="96" t="s">
        <v>446</v>
      </c>
      <c r="M4" s="96" t="s">
        <v>338</v>
      </c>
      <c r="N4" s="96" t="s">
        <v>337</v>
      </c>
      <c r="O4" s="96"/>
      <c r="P4" s="100">
        <v>45232</v>
      </c>
      <c r="Q4" s="96" t="s">
        <v>1357</v>
      </c>
      <c r="R4" s="96" t="s">
        <v>414</v>
      </c>
      <c r="S4" s="96" t="s">
        <v>407</v>
      </c>
      <c r="T4" s="96" t="s">
        <v>1200</v>
      </c>
      <c r="U4" s="97">
        <v>1.59</v>
      </c>
      <c r="V4" s="96" t="s">
        <v>824</v>
      </c>
      <c r="W4" s="98">
        <v>6.6000000000000003E-2</v>
      </c>
      <c r="X4" s="96"/>
      <c r="Y4" s="96"/>
      <c r="Z4" s="96"/>
      <c r="AA4" s="98">
        <v>5.67E-2</v>
      </c>
      <c r="AB4" s="100">
        <v>46081</v>
      </c>
      <c r="AC4" s="96" t="s">
        <v>411</v>
      </c>
      <c r="AD4" s="96"/>
      <c r="AE4" s="96"/>
      <c r="AF4" s="96"/>
      <c r="AG4" s="100">
        <v>45291</v>
      </c>
      <c r="AH4" s="96"/>
      <c r="AI4" s="96"/>
      <c r="AJ4" s="96"/>
      <c r="AK4" s="96" t="s">
        <v>337</v>
      </c>
      <c r="AL4" s="96" t="s">
        <v>887</v>
      </c>
      <c r="AM4" s="96"/>
      <c r="AN4" s="96" t="s">
        <v>890</v>
      </c>
      <c r="AO4" s="100">
        <v>45473</v>
      </c>
      <c r="AP4" s="100">
        <v>45473</v>
      </c>
      <c r="AQ4" s="96"/>
      <c r="AR4" s="97">
        <v>996.41493200000002</v>
      </c>
      <c r="AS4" s="97">
        <v>101.36</v>
      </c>
      <c r="AT4" s="97">
        <v>1</v>
      </c>
      <c r="AU4" s="97">
        <v>1.0099659999999999</v>
      </c>
      <c r="AV4" s="97">
        <v>1.0099659999999999</v>
      </c>
      <c r="AW4" s="96"/>
      <c r="AX4" s="96"/>
      <c r="AY4" s="96"/>
      <c r="AZ4" s="96"/>
      <c r="BA4" s="98">
        <v>5.62E-4</v>
      </c>
      <c r="BB4" s="98">
        <v>1.9000000000000001E-5</v>
      </c>
      <c r="BC4" s="106"/>
    </row>
    <row r="5" spans="1:55" ht="15" customHeight="1">
      <c r="A5" s="106"/>
      <c r="B5" s="96">
        <v>286</v>
      </c>
      <c r="C5" s="96">
        <v>1445</v>
      </c>
      <c r="D5" s="96"/>
      <c r="E5" s="96"/>
      <c r="F5" s="96"/>
      <c r="G5" s="96">
        <v>25000820</v>
      </c>
      <c r="H5" s="96" t="s">
        <v>1013</v>
      </c>
      <c r="I5" s="96" t="s">
        <v>797</v>
      </c>
      <c r="J5" s="96" t="s">
        <v>203</v>
      </c>
      <c r="K5" s="96"/>
      <c r="L5" s="96" t="s">
        <v>463</v>
      </c>
      <c r="M5" s="96" t="s">
        <v>338</v>
      </c>
      <c r="N5" s="96" t="s">
        <v>338</v>
      </c>
      <c r="O5" s="96"/>
      <c r="P5" s="100">
        <v>45232</v>
      </c>
      <c r="Q5" s="96" t="s">
        <v>3679</v>
      </c>
      <c r="R5" s="96" t="s">
        <v>311</v>
      </c>
      <c r="S5" s="96" t="s">
        <v>407</v>
      </c>
      <c r="T5" s="96" t="s">
        <v>1200</v>
      </c>
      <c r="U5" s="97">
        <v>1.34</v>
      </c>
      <c r="V5" s="96" t="s">
        <v>824</v>
      </c>
      <c r="W5" s="98">
        <v>6.5000000000000002E-2</v>
      </c>
      <c r="X5" s="96"/>
      <c r="Y5" s="96"/>
      <c r="Z5" s="96"/>
      <c r="AA5" s="98">
        <v>5.5599999999999997E-2</v>
      </c>
      <c r="AB5" s="100">
        <v>45978</v>
      </c>
      <c r="AC5" s="96" t="s">
        <v>411</v>
      </c>
      <c r="AD5" s="96"/>
      <c r="AE5" s="96"/>
      <c r="AF5" s="96"/>
      <c r="AG5" s="100">
        <v>45361</v>
      </c>
      <c r="AH5" s="96"/>
      <c r="AI5" s="96"/>
      <c r="AJ5" s="96"/>
      <c r="AK5" s="96" t="s">
        <v>337</v>
      </c>
      <c r="AL5" s="96" t="s">
        <v>887</v>
      </c>
      <c r="AM5" s="96"/>
      <c r="AN5" s="96" t="s">
        <v>890</v>
      </c>
      <c r="AO5" s="100">
        <v>45473</v>
      </c>
      <c r="AP5" s="100">
        <v>45473</v>
      </c>
      <c r="AQ5" s="96"/>
      <c r="AR5" s="97">
        <v>2056.7260609999998</v>
      </c>
      <c r="AS5" s="97">
        <v>101.8</v>
      </c>
      <c r="AT5" s="97">
        <v>1</v>
      </c>
      <c r="AU5" s="97">
        <v>2.093747</v>
      </c>
      <c r="AV5" s="97">
        <v>2.093747</v>
      </c>
      <c r="AW5" s="96"/>
      <c r="AX5" s="96"/>
      <c r="AY5" s="96"/>
      <c r="AZ5" s="96"/>
      <c r="BA5" s="98">
        <v>1.165E-3</v>
      </c>
      <c r="BB5" s="98">
        <v>3.8999999999999999E-5</v>
      </c>
      <c r="BC5" s="106"/>
    </row>
    <row r="6" spans="1:55" ht="15" customHeight="1">
      <c r="A6" s="106"/>
      <c r="B6" s="96">
        <v>286</v>
      </c>
      <c r="C6" s="96">
        <v>1445</v>
      </c>
      <c r="D6" s="96"/>
      <c r="E6" s="96"/>
      <c r="F6" s="96"/>
      <c r="G6" s="96">
        <v>25000818</v>
      </c>
      <c r="H6" s="96" t="s">
        <v>1013</v>
      </c>
      <c r="I6" s="96"/>
      <c r="J6" s="96" t="s">
        <v>203</v>
      </c>
      <c r="K6" s="96"/>
      <c r="L6" s="96" t="s">
        <v>477</v>
      </c>
      <c r="M6" s="96" t="s">
        <v>337</v>
      </c>
      <c r="N6" s="96" t="s">
        <v>338</v>
      </c>
      <c r="O6" s="96"/>
      <c r="P6" s="100">
        <v>45228</v>
      </c>
      <c r="Q6" s="96" t="s">
        <v>1309</v>
      </c>
      <c r="R6" s="96" t="s">
        <v>414</v>
      </c>
      <c r="S6" s="96" t="s">
        <v>407</v>
      </c>
      <c r="T6" s="96" t="s">
        <v>1200</v>
      </c>
      <c r="U6" s="97">
        <v>5.32</v>
      </c>
      <c r="V6" s="96" t="s">
        <v>3678</v>
      </c>
      <c r="W6" s="98">
        <v>4.6399999999999997E-2</v>
      </c>
      <c r="X6" s="96"/>
      <c r="Y6" s="96"/>
      <c r="Z6" s="96"/>
      <c r="AA6" s="98">
        <v>3.6200000000000003E-2</v>
      </c>
      <c r="AB6" s="100">
        <v>49979</v>
      </c>
      <c r="AC6" s="96" t="s">
        <v>411</v>
      </c>
      <c r="AD6" s="96"/>
      <c r="AE6" s="96"/>
      <c r="AF6" s="96"/>
      <c r="AG6" s="100"/>
      <c r="AH6" s="96"/>
      <c r="AI6" s="96"/>
      <c r="AJ6" s="96"/>
      <c r="AK6" s="96" t="s">
        <v>337</v>
      </c>
      <c r="AL6" s="96" t="s">
        <v>887</v>
      </c>
      <c r="AM6" s="96"/>
      <c r="AN6" s="96" t="s">
        <v>890</v>
      </c>
      <c r="AO6" s="100">
        <v>45473</v>
      </c>
      <c r="AP6" s="100">
        <v>45473</v>
      </c>
      <c r="AQ6" s="96"/>
      <c r="AR6" s="97">
        <v>9500.6252220000006</v>
      </c>
      <c r="AS6" s="97">
        <v>107.99</v>
      </c>
      <c r="AT6" s="97">
        <v>1</v>
      </c>
      <c r="AU6" s="97">
        <v>10.259725</v>
      </c>
      <c r="AV6" s="97">
        <v>10.259725</v>
      </c>
      <c r="AW6" s="96"/>
      <c r="AX6" s="96"/>
      <c r="AY6" s="96"/>
      <c r="AZ6" s="96"/>
      <c r="BA6" s="98">
        <v>5.7099999999999998E-3</v>
      </c>
      <c r="BB6" s="98">
        <v>1.95E-4</v>
      </c>
      <c r="BC6" s="106"/>
    </row>
    <row r="7" spans="1:55" ht="15" customHeight="1">
      <c r="A7" s="106"/>
      <c r="B7" s="96">
        <v>286</v>
      </c>
      <c r="C7" s="96">
        <v>1445</v>
      </c>
      <c r="D7" s="96"/>
      <c r="E7" s="96"/>
      <c r="F7" s="96"/>
      <c r="G7" s="96">
        <v>25000817</v>
      </c>
      <c r="H7" s="96" t="s">
        <v>1013</v>
      </c>
      <c r="I7" s="96" t="s">
        <v>812</v>
      </c>
      <c r="J7" s="96" t="s">
        <v>203</v>
      </c>
      <c r="K7" s="96"/>
      <c r="L7" s="96" t="s">
        <v>470</v>
      </c>
      <c r="M7" s="96" t="s">
        <v>338</v>
      </c>
      <c r="N7" s="96" t="s">
        <v>337</v>
      </c>
      <c r="O7" s="96"/>
      <c r="P7" s="100">
        <v>45222</v>
      </c>
      <c r="Q7" s="96" t="s">
        <v>1309</v>
      </c>
      <c r="R7" s="96" t="s">
        <v>414</v>
      </c>
      <c r="S7" s="96" t="s">
        <v>407</v>
      </c>
      <c r="T7" s="96" t="s">
        <v>1200</v>
      </c>
      <c r="U7" s="97">
        <v>7.46</v>
      </c>
      <c r="V7" s="96" t="s">
        <v>3678</v>
      </c>
      <c r="W7" s="98">
        <v>4.1009999999999998E-2</v>
      </c>
      <c r="X7" s="96"/>
      <c r="Y7" s="96"/>
      <c r="Z7" s="96"/>
      <c r="AA7" s="98">
        <v>4.2500000000000003E-2</v>
      </c>
      <c r="AB7" s="100">
        <v>49303</v>
      </c>
      <c r="AC7" s="96" t="s">
        <v>411</v>
      </c>
      <c r="AD7" s="96"/>
      <c r="AE7" s="96"/>
      <c r="AF7" s="96"/>
      <c r="AG7" s="100">
        <v>45291</v>
      </c>
      <c r="AH7" s="96"/>
      <c r="AI7" s="96"/>
      <c r="AJ7" s="96"/>
      <c r="AK7" s="96" t="s">
        <v>337</v>
      </c>
      <c r="AL7" s="96" t="s">
        <v>887</v>
      </c>
      <c r="AM7" s="96"/>
      <c r="AN7" s="96" t="s">
        <v>890</v>
      </c>
      <c r="AO7" s="100">
        <v>45473</v>
      </c>
      <c r="AP7" s="100">
        <v>45473</v>
      </c>
      <c r="AQ7" s="96"/>
      <c r="AR7" s="97">
        <v>1467.5937449999999</v>
      </c>
      <c r="AS7" s="97">
        <v>103.71</v>
      </c>
      <c r="AT7" s="97">
        <v>1</v>
      </c>
      <c r="AU7" s="97">
        <v>1.522041</v>
      </c>
      <c r="AV7" s="97">
        <v>1.522041</v>
      </c>
      <c r="AW7" s="96"/>
      <c r="AX7" s="96"/>
      <c r="AY7" s="96"/>
      <c r="AZ7" s="96"/>
      <c r="BA7" s="98">
        <v>8.4699999999999999E-4</v>
      </c>
      <c r="BB7" s="98">
        <v>2.8E-5</v>
      </c>
      <c r="BC7" s="106"/>
    </row>
    <row r="8" spans="1:55" ht="15" customHeight="1">
      <c r="A8" s="106"/>
      <c r="B8" s="96">
        <v>286</v>
      </c>
      <c r="C8" s="96">
        <v>1445</v>
      </c>
      <c r="D8" s="96"/>
      <c r="E8" s="96"/>
      <c r="F8" s="96"/>
      <c r="G8" s="96">
        <v>25000816</v>
      </c>
      <c r="H8" s="96" t="s">
        <v>1013</v>
      </c>
      <c r="I8" s="96" t="s">
        <v>812</v>
      </c>
      <c r="J8" s="96" t="s">
        <v>203</v>
      </c>
      <c r="K8" s="96"/>
      <c r="L8" s="96" t="s">
        <v>470</v>
      </c>
      <c r="M8" s="96" t="s">
        <v>338</v>
      </c>
      <c r="N8" s="96" t="s">
        <v>337</v>
      </c>
      <c r="O8" s="96"/>
      <c r="P8" s="100">
        <v>45222</v>
      </c>
      <c r="Q8" s="96" t="s">
        <v>1309</v>
      </c>
      <c r="R8" s="96" t="s">
        <v>414</v>
      </c>
      <c r="S8" s="96" t="s">
        <v>407</v>
      </c>
      <c r="T8" s="96" t="s">
        <v>1200</v>
      </c>
      <c r="U8" s="97">
        <v>7.45</v>
      </c>
      <c r="V8" s="96" t="s">
        <v>3678</v>
      </c>
      <c r="W8" s="98">
        <v>4.1079999999999998E-2</v>
      </c>
      <c r="X8" s="96"/>
      <c r="Y8" s="96"/>
      <c r="Z8" s="96"/>
      <c r="AA8" s="98">
        <v>4.3900000000000002E-2</v>
      </c>
      <c r="AB8" s="100">
        <v>49303</v>
      </c>
      <c r="AC8" s="96" t="s">
        <v>411</v>
      </c>
      <c r="AD8" s="96"/>
      <c r="AE8" s="96"/>
      <c r="AF8" s="96"/>
      <c r="AG8" s="100">
        <v>45291</v>
      </c>
      <c r="AH8" s="96"/>
      <c r="AI8" s="96"/>
      <c r="AJ8" s="96"/>
      <c r="AK8" s="96" t="s">
        <v>337</v>
      </c>
      <c r="AL8" s="96" t="s">
        <v>887</v>
      </c>
      <c r="AM8" s="96"/>
      <c r="AN8" s="96" t="s">
        <v>890</v>
      </c>
      <c r="AO8" s="100">
        <v>45473</v>
      </c>
      <c r="AP8" s="100">
        <v>45473</v>
      </c>
      <c r="AQ8" s="96"/>
      <c r="AR8" s="97">
        <v>2057.2999559999998</v>
      </c>
      <c r="AS8" s="97">
        <v>102.76</v>
      </c>
      <c r="AT8" s="97">
        <v>1</v>
      </c>
      <c r="AU8" s="97">
        <v>2.1140810000000001</v>
      </c>
      <c r="AV8" s="97">
        <v>2.1140810000000001</v>
      </c>
      <c r="AW8" s="96"/>
      <c r="AX8" s="96"/>
      <c r="AY8" s="96"/>
      <c r="AZ8" s="96"/>
      <c r="BA8" s="98">
        <v>1.176E-3</v>
      </c>
      <c r="BB8" s="98">
        <v>4.0000000000000003E-5</v>
      </c>
      <c r="BC8" s="106"/>
    </row>
    <row r="9" spans="1:55" ht="15" customHeight="1">
      <c r="A9" s="106"/>
      <c r="B9" s="96">
        <v>286</v>
      </c>
      <c r="C9" s="96">
        <v>1445</v>
      </c>
      <c r="D9" s="96"/>
      <c r="E9" s="96"/>
      <c r="F9" s="96"/>
      <c r="G9" s="96">
        <v>25000822</v>
      </c>
      <c r="H9" s="96" t="s">
        <v>1013</v>
      </c>
      <c r="I9" s="96"/>
      <c r="J9" s="96" t="s">
        <v>203</v>
      </c>
      <c r="K9" s="96"/>
      <c r="L9" s="96" t="s">
        <v>477</v>
      </c>
      <c r="M9" s="96" t="s">
        <v>338</v>
      </c>
      <c r="N9" s="96" t="s">
        <v>337</v>
      </c>
      <c r="O9" s="96"/>
      <c r="P9" s="100">
        <v>45237</v>
      </c>
      <c r="Q9" s="96" t="s">
        <v>409</v>
      </c>
      <c r="R9" s="96" t="s">
        <v>409</v>
      </c>
      <c r="S9" s="96" t="s">
        <v>409</v>
      </c>
      <c r="T9" s="96" t="s">
        <v>1200</v>
      </c>
      <c r="U9" s="97">
        <v>3.91</v>
      </c>
      <c r="V9" s="96" t="s">
        <v>3678</v>
      </c>
      <c r="W9" s="98">
        <v>4.8259999999999997E-2</v>
      </c>
      <c r="X9" s="96"/>
      <c r="Y9" s="96"/>
      <c r="Z9" s="96"/>
      <c r="AA9" s="98">
        <v>3.85E-2</v>
      </c>
      <c r="AB9" s="100">
        <v>47046</v>
      </c>
      <c r="AC9" s="96" t="s">
        <v>411</v>
      </c>
      <c r="AD9" s="96"/>
      <c r="AE9" s="96"/>
      <c r="AF9" s="96"/>
      <c r="AG9" s="100">
        <v>45190</v>
      </c>
      <c r="AH9" s="96"/>
      <c r="AI9" s="96"/>
      <c r="AJ9" s="96"/>
      <c r="AK9" s="96" t="s">
        <v>337</v>
      </c>
      <c r="AL9" s="96" t="s">
        <v>887</v>
      </c>
      <c r="AM9" s="96"/>
      <c r="AN9" s="96" t="s">
        <v>890</v>
      </c>
      <c r="AO9" s="100">
        <v>45473</v>
      </c>
      <c r="AP9" s="100">
        <v>45473</v>
      </c>
      <c r="AQ9" s="96"/>
      <c r="AR9" s="97">
        <v>219.92057700000001</v>
      </c>
      <c r="AS9" s="97">
        <v>106.46</v>
      </c>
      <c r="AT9" s="97">
        <v>1</v>
      </c>
      <c r="AU9" s="97">
        <v>0.234127</v>
      </c>
      <c r="AV9" s="97">
        <v>0.234127</v>
      </c>
      <c r="AW9" s="96"/>
      <c r="AX9" s="96"/>
      <c r="AY9" s="96"/>
      <c r="AZ9" s="96"/>
      <c r="BA9" s="98">
        <v>1.2999999999999999E-4</v>
      </c>
      <c r="BB9" s="98">
        <v>3.9999999999999998E-6</v>
      </c>
      <c r="BC9" s="106"/>
    </row>
    <row r="10" spans="1:55" ht="15" customHeight="1">
      <c r="A10" s="106"/>
      <c r="B10" s="96">
        <v>286</v>
      </c>
      <c r="C10" s="96">
        <v>1445</v>
      </c>
      <c r="D10" s="96"/>
      <c r="E10" s="96"/>
      <c r="F10" s="96"/>
      <c r="G10" s="96">
        <v>25000813</v>
      </c>
      <c r="H10" s="96" t="s">
        <v>1013</v>
      </c>
      <c r="I10" s="96" t="s">
        <v>795</v>
      </c>
      <c r="J10" s="96" t="s">
        <v>203</v>
      </c>
      <c r="K10" s="96"/>
      <c r="L10" s="96" t="s">
        <v>446</v>
      </c>
      <c r="M10" s="96" t="s">
        <v>338</v>
      </c>
      <c r="N10" s="96" t="s">
        <v>338</v>
      </c>
      <c r="O10" s="96"/>
      <c r="P10" s="100">
        <v>45201</v>
      </c>
      <c r="Q10" s="96" t="s">
        <v>2074</v>
      </c>
      <c r="R10" s="96" t="s">
        <v>311</v>
      </c>
      <c r="S10" s="96" t="s">
        <v>407</v>
      </c>
      <c r="T10" s="96" t="s">
        <v>1200</v>
      </c>
      <c r="U10" s="97">
        <v>3.55</v>
      </c>
      <c r="V10" s="96" t="s">
        <v>824</v>
      </c>
      <c r="W10" s="98">
        <v>0.1</v>
      </c>
      <c r="X10" s="96"/>
      <c r="Y10" s="96"/>
      <c r="Z10" s="96"/>
      <c r="AA10" s="98">
        <v>8.5800000000000001E-2</v>
      </c>
      <c r="AB10" s="100">
        <v>47028</v>
      </c>
      <c r="AC10" s="96" t="s">
        <v>410</v>
      </c>
      <c r="AD10" s="96"/>
      <c r="AE10" s="96"/>
      <c r="AF10" s="96"/>
      <c r="AG10" s="100">
        <v>45271</v>
      </c>
      <c r="AH10" s="96"/>
      <c r="AI10" s="96"/>
      <c r="AJ10" s="96"/>
      <c r="AK10" s="96" t="s">
        <v>337</v>
      </c>
      <c r="AL10" s="96" t="s">
        <v>887</v>
      </c>
      <c r="AM10" s="96"/>
      <c r="AN10" s="96" t="s">
        <v>890</v>
      </c>
      <c r="AO10" s="100">
        <v>45473</v>
      </c>
      <c r="AP10" s="100">
        <v>45473</v>
      </c>
      <c r="AQ10" s="96"/>
      <c r="AR10" s="97">
        <v>5007.086303</v>
      </c>
      <c r="AS10" s="97">
        <v>106.59</v>
      </c>
      <c r="AT10" s="97">
        <v>1</v>
      </c>
      <c r="AU10" s="97">
        <v>5.337053</v>
      </c>
      <c r="AV10" s="97">
        <v>5.337053</v>
      </c>
      <c r="AW10" s="96"/>
      <c r="AX10" s="96"/>
      <c r="AY10" s="96"/>
      <c r="AZ10" s="96"/>
      <c r="BA10" s="98">
        <v>2.97E-3</v>
      </c>
      <c r="BB10" s="98">
        <v>1.01E-4</v>
      </c>
      <c r="BC10" s="106"/>
    </row>
    <row r="11" spans="1:55" ht="15" customHeight="1">
      <c r="A11" s="106"/>
      <c r="B11" s="96">
        <v>286</v>
      </c>
      <c r="C11" s="96">
        <v>1445</v>
      </c>
      <c r="D11" s="96"/>
      <c r="E11" s="96"/>
      <c r="F11" s="96"/>
      <c r="G11" s="96">
        <v>25000811</v>
      </c>
      <c r="H11" s="96" t="s">
        <v>1013</v>
      </c>
      <c r="I11" s="96" t="s">
        <v>3680</v>
      </c>
      <c r="J11" s="96" t="s">
        <v>203</v>
      </c>
      <c r="K11" s="96"/>
      <c r="L11" s="96" t="s">
        <v>463</v>
      </c>
      <c r="M11" s="96" t="s">
        <v>338</v>
      </c>
      <c r="N11" s="96" t="s">
        <v>337</v>
      </c>
      <c r="O11" s="96"/>
      <c r="P11" s="100">
        <v>45189</v>
      </c>
      <c r="Q11" s="96" t="s">
        <v>3681</v>
      </c>
      <c r="R11" s="96" t="s">
        <v>311</v>
      </c>
      <c r="S11" s="96" t="s">
        <v>407</v>
      </c>
      <c r="T11" s="96" t="s">
        <v>1200</v>
      </c>
      <c r="U11" s="97">
        <v>3.4</v>
      </c>
      <c r="V11" s="96" t="s">
        <v>824</v>
      </c>
      <c r="W11" s="98">
        <v>6.6500000000000004E-2</v>
      </c>
      <c r="X11" s="96"/>
      <c r="Y11" s="96"/>
      <c r="Z11" s="96"/>
      <c r="AA11" s="98">
        <v>6.2799999999999995E-2</v>
      </c>
      <c r="AB11" s="100">
        <v>46924</v>
      </c>
      <c r="AC11" s="96" t="s">
        <v>411</v>
      </c>
      <c r="AD11" s="96"/>
      <c r="AE11" s="96"/>
      <c r="AF11" s="96"/>
      <c r="AG11" s="100">
        <v>45382</v>
      </c>
      <c r="AH11" s="96"/>
      <c r="AI11" s="96"/>
      <c r="AJ11" s="96"/>
      <c r="AK11" s="96" t="s">
        <v>337</v>
      </c>
      <c r="AL11" s="96" t="s">
        <v>887</v>
      </c>
      <c r="AM11" s="96"/>
      <c r="AN11" s="96" t="s">
        <v>890</v>
      </c>
      <c r="AO11" s="100">
        <v>45473</v>
      </c>
      <c r="AP11" s="100">
        <v>45473</v>
      </c>
      <c r="AQ11" s="96"/>
      <c r="AR11" s="97">
        <v>945.39658799999995</v>
      </c>
      <c r="AS11" s="97">
        <v>101.92</v>
      </c>
      <c r="AT11" s="97">
        <v>1</v>
      </c>
      <c r="AU11" s="97">
        <v>0.96354799999999996</v>
      </c>
      <c r="AV11" s="97">
        <v>0.96354799999999996</v>
      </c>
      <c r="AW11" s="96"/>
      <c r="AX11" s="96"/>
      <c r="AY11" s="96"/>
      <c r="AZ11" s="96"/>
      <c r="BA11" s="98">
        <v>5.3600000000000002E-4</v>
      </c>
      <c r="BB11" s="98">
        <v>1.8E-5</v>
      </c>
      <c r="BC11" s="106"/>
    </row>
    <row r="12" spans="1:55" ht="15" customHeight="1">
      <c r="A12" s="106"/>
      <c r="B12" s="96">
        <v>286</v>
      </c>
      <c r="C12" s="96">
        <v>1445</v>
      </c>
      <c r="D12" s="96"/>
      <c r="E12" s="96"/>
      <c r="F12" s="96"/>
      <c r="G12" s="96">
        <v>25000810</v>
      </c>
      <c r="H12" s="96" t="s">
        <v>1013</v>
      </c>
      <c r="I12" s="96" t="s">
        <v>812</v>
      </c>
      <c r="J12" s="96" t="s">
        <v>203</v>
      </c>
      <c r="K12" s="96"/>
      <c r="L12" s="96" t="s">
        <v>470</v>
      </c>
      <c r="M12" s="96" t="s">
        <v>338</v>
      </c>
      <c r="N12" s="96" t="s">
        <v>337</v>
      </c>
      <c r="O12" s="96"/>
      <c r="P12" s="100">
        <v>45190</v>
      </c>
      <c r="Q12" s="96" t="s">
        <v>409</v>
      </c>
      <c r="R12" s="96" t="s">
        <v>409</v>
      </c>
      <c r="S12" s="96" t="s">
        <v>409</v>
      </c>
      <c r="T12" s="96" t="s">
        <v>1200</v>
      </c>
      <c r="U12" s="97">
        <v>9.3699999999999992</v>
      </c>
      <c r="V12" s="96" t="s">
        <v>3678</v>
      </c>
      <c r="W12" s="98">
        <v>3.7400000000000003E-2</v>
      </c>
      <c r="X12" s="96"/>
      <c r="Y12" s="96"/>
      <c r="Z12" s="96"/>
      <c r="AA12" s="98">
        <v>4.3900000000000002E-2</v>
      </c>
      <c r="AB12" s="100">
        <v>53417</v>
      </c>
      <c r="AC12" s="96" t="s">
        <v>411</v>
      </c>
      <c r="AD12" s="96"/>
      <c r="AE12" s="96"/>
      <c r="AF12" s="96"/>
      <c r="AG12" s="100">
        <v>45291</v>
      </c>
      <c r="AH12" s="96"/>
      <c r="AI12" s="96"/>
      <c r="AJ12" s="96"/>
      <c r="AK12" s="96" t="s">
        <v>337</v>
      </c>
      <c r="AL12" s="96" t="s">
        <v>887</v>
      </c>
      <c r="AM12" s="96"/>
      <c r="AN12" s="96" t="s">
        <v>890</v>
      </c>
      <c r="AO12" s="100">
        <v>45473</v>
      </c>
      <c r="AP12" s="100">
        <v>45473</v>
      </c>
      <c r="AQ12" s="96"/>
      <c r="AR12" s="97">
        <v>1212.649821</v>
      </c>
      <c r="AS12" s="97">
        <v>96.58</v>
      </c>
      <c r="AT12" s="97">
        <v>1</v>
      </c>
      <c r="AU12" s="97">
        <v>1.1711769999999999</v>
      </c>
      <c r="AV12" s="97">
        <v>1.1711769999999999</v>
      </c>
      <c r="AW12" s="96"/>
      <c r="AX12" s="96"/>
      <c r="AY12" s="96"/>
      <c r="AZ12" s="96"/>
      <c r="BA12" s="98">
        <v>6.5099999999999999E-4</v>
      </c>
      <c r="BB12" s="98">
        <v>2.1999999999999999E-5</v>
      </c>
      <c r="BC12" s="106"/>
    </row>
    <row r="13" spans="1:55" ht="15" customHeight="1">
      <c r="A13" s="106"/>
      <c r="B13" s="96">
        <v>286</v>
      </c>
      <c r="C13" s="96">
        <v>1445</v>
      </c>
      <c r="D13" s="96"/>
      <c r="E13" s="96"/>
      <c r="F13" s="96"/>
      <c r="G13" s="96">
        <v>25000809</v>
      </c>
      <c r="H13" s="96" t="s">
        <v>1013</v>
      </c>
      <c r="I13" s="96" t="s">
        <v>812</v>
      </c>
      <c r="J13" s="96" t="s">
        <v>203</v>
      </c>
      <c r="K13" s="96"/>
      <c r="L13" s="96" t="s">
        <v>470</v>
      </c>
      <c r="M13" s="96" t="s">
        <v>338</v>
      </c>
      <c r="N13" s="96" t="s">
        <v>337</v>
      </c>
      <c r="O13" s="96"/>
      <c r="P13" s="100">
        <v>45190</v>
      </c>
      <c r="Q13" s="96" t="s">
        <v>409</v>
      </c>
      <c r="R13" s="96" t="s">
        <v>409</v>
      </c>
      <c r="S13" s="96" t="s">
        <v>409</v>
      </c>
      <c r="T13" s="96" t="s">
        <v>1200</v>
      </c>
      <c r="U13" s="97">
        <v>9.17</v>
      </c>
      <c r="V13" s="96" t="s">
        <v>3678</v>
      </c>
      <c r="W13" s="98">
        <v>3.9300000000000002E-2</v>
      </c>
      <c r="X13" s="96"/>
      <c r="Y13" s="96"/>
      <c r="Z13" s="96"/>
      <c r="AA13" s="98">
        <v>4.3900000000000002E-2</v>
      </c>
      <c r="AB13" s="100">
        <v>53327</v>
      </c>
      <c r="AC13" s="96" t="s">
        <v>411</v>
      </c>
      <c r="AD13" s="96"/>
      <c r="AE13" s="96"/>
      <c r="AF13" s="96"/>
      <c r="AG13" s="100">
        <v>45291</v>
      </c>
      <c r="AH13" s="96"/>
      <c r="AI13" s="96"/>
      <c r="AJ13" s="96"/>
      <c r="AK13" s="96" t="s">
        <v>337</v>
      </c>
      <c r="AL13" s="96" t="s">
        <v>887</v>
      </c>
      <c r="AM13" s="96"/>
      <c r="AN13" s="96" t="s">
        <v>890</v>
      </c>
      <c r="AO13" s="100">
        <v>45473</v>
      </c>
      <c r="AP13" s="100">
        <v>45473</v>
      </c>
      <c r="AQ13" s="96"/>
      <c r="AR13" s="97">
        <v>1611.4207730000001</v>
      </c>
      <c r="AS13" s="97">
        <v>96.63</v>
      </c>
      <c r="AT13" s="97">
        <v>1</v>
      </c>
      <c r="AU13" s="97">
        <v>1.557115</v>
      </c>
      <c r="AV13" s="97">
        <v>1.557115</v>
      </c>
      <c r="AW13" s="96"/>
      <c r="AX13" s="96"/>
      <c r="AY13" s="96"/>
      <c r="AZ13" s="96"/>
      <c r="BA13" s="98">
        <v>8.6600000000000002E-4</v>
      </c>
      <c r="BB13" s="98">
        <v>2.9E-5</v>
      </c>
      <c r="BC13" s="106"/>
    </row>
    <row r="14" spans="1:55" ht="15" customHeight="1">
      <c r="A14" s="106"/>
      <c r="B14" s="96">
        <v>286</v>
      </c>
      <c r="C14" s="96">
        <v>1445</v>
      </c>
      <c r="D14" s="96"/>
      <c r="E14" s="96"/>
      <c r="F14" s="96"/>
      <c r="G14" s="96">
        <v>25000808</v>
      </c>
      <c r="H14" s="96" t="s">
        <v>1013</v>
      </c>
      <c r="I14" s="96" t="s">
        <v>812</v>
      </c>
      <c r="J14" s="96" t="s">
        <v>203</v>
      </c>
      <c r="K14" s="96"/>
      <c r="L14" s="96" t="s">
        <v>470</v>
      </c>
      <c r="M14" s="96" t="s">
        <v>338</v>
      </c>
      <c r="N14" s="96" t="s">
        <v>337</v>
      </c>
      <c r="O14" s="96"/>
      <c r="P14" s="100">
        <v>45190</v>
      </c>
      <c r="Q14" s="96" t="s">
        <v>409</v>
      </c>
      <c r="R14" s="96" t="s">
        <v>409</v>
      </c>
      <c r="S14" s="96" t="s">
        <v>409</v>
      </c>
      <c r="T14" s="96" t="s">
        <v>1200</v>
      </c>
      <c r="U14" s="97">
        <v>9</v>
      </c>
      <c r="V14" s="96" t="s">
        <v>3678</v>
      </c>
      <c r="W14" s="98">
        <v>3.7400000000000003E-2</v>
      </c>
      <c r="X14" s="96"/>
      <c r="Y14" s="96"/>
      <c r="Z14" s="96"/>
      <c r="AA14" s="98">
        <v>4.3900000000000002E-2</v>
      </c>
      <c r="AB14" s="100">
        <v>53143</v>
      </c>
      <c r="AC14" s="96" t="s">
        <v>411</v>
      </c>
      <c r="AD14" s="96"/>
      <c r="AE14" s="96"/>
      <c r="AF14" s="96"/>
      <c r="AG14" s="100">
        <v>45291</v>
      </c>
      <c r="AH14" s="96"/>
      <c r="AI14" s="96"/>
      <c r="AJ14" s="96"/>
      <c r="AK14" s="96" t="s">
        <v>337</v>
      </c>
      <c r="AL14" s="96" t="s">
        <v>887</v>
      </c>
      <c r="AM14" s="96"/>
      <c r="AN14" s="96" t="s">
        <v>890</v>
      </c>
      <c r="AO14" s="100">
        <v>45473</v>
      </c>
      <c r="AP14" s="100">
        <v>45473</v>
      </c>
      <c r="AQ14" s="96"/>
      <c r="AR14" s="97">
        <v>525.83056799999997</v>
      </c>
      <c r="AS14" s="97">
        <v>96.82</v>
      </c>
      <c r="AT14" s="97">
        <v>1</v>
      </c>
      <c r="AU14" s="97">
        <v>0.50910900000000003</v>
      </c>
      <c r="AV14" s="97">
        <v>0.50910900000000003</v>
      </c>
      <c r="AW14" s="96"/>
      <c r="AX14" s="96"/>
      <c r="AY14" s="96"/>
      <c r="AZ14" s="96"/>
      <c r="BA14" s="98">
        <v>2.8299999999999999E-4</v>
      </c>
      <c r="BB14" s="98">
        <v>9.0000000000000002E-6</v>
      </c>
      <c r="BC14" s="106"/>
    </row>
    <row r="15" spans="1:55" ht="15" customHeight="1">
      <c r="A15" s="106"/>
      <c r="B15" s="96">
        <v>286</v>
      </c>
      <c r="C15" s="96">
        <v>1445</v>
      </c>
      <c r="D15" s="96"/>
      <c r="E15" s="96"/>
      <c r="F15" s="96"/>
      <c r="G15" s="96">
        <v>25000807</v>
      </c>
      <c r="H15" s="96" t="s">
        <v>1013</v>
      </c>
      <c r="I15" s="96" t="s">
        <v>3682</v>
      </c>
      <c r="J15" s="96" t="s">
        <v>203</v>
      </c>
      <c r="K15" s="96"/>
      <c r="L15" s="96" t="s">
        <v>477</v>
      </c>
      <c r="M15" s="96" t="s">
        <v>338</v>
      </c>
      <c r="N15" s="96" t="s">
        <v>337</v>
      </c>
      <c r="O15" s="96"/>
      <c r="P15" s="100">
        <v>45187</v>
      </c>
      <c r="Q15" s="96" t="s">
        <v>409</v>
      </c>
      <c r="R15" s="96" t="s">
        <v>409</v>
      </c>
      <c r="S15" s="96" t="s">
        <v>409</v>
      </c>
      <c r="T15" s="96" t="s">
        <v>1200</v>
      </c>
      <c r="U15" s="97">
        <v>2.11</v>
      </c>
      <c r="V15" s="96" t="s">
        <v>3678</v>
      </c>
      <c r="W15" s="98">
        <v>4.7500000000000001E-2</v>
      </c>
      <c r="X15" s="96"/>
      <c r="Y15" s="96"/>
      <c r="Z15" s="96"/>
      <c r="AA15" s="98">
        <v>4.0800000000000003E-2</v>
      </c>
      <c r="AB15" s="100">
        <v>46283</v>
      </c>
      <c r="AC15" s="96" t="s">
        <v>411</v>
      </c>
      <c r="AD15" s="96"/>
      <c r="AE15" s="96"/>
      <c r="AF15" s="96"/>
      <c r="AG15" s="100">
        <v>45473</v>
      </c>
      <c r="AH15" s="96"/>
      <c r="AI15" s="96"/>
      <c r="AJ15" s="96"/>
      <c r="AK15" s="96" t="s">
        <v>337</v>
      </c>
      <c r="AL15" s="96" t="s">
        <v>887</v>
      </c>
      <c r="AM15" s="96"/>
      <c r="AN15" s="96" t="s">
        <v>890</v>
      </c>
      <c r="AO15" s="100">
        <v>45473</v>
      </c>
      <c r="AP15" s="100">
        <v>45473</v>
      </c>
      <c r="AQ15" s="96"/>
      <c r="AR15" s="97">
        <v>6954.2865320000001</v>
      </c>
      <c r="AS15" s="97">
        <v>104.3</v>
      </c>
      <c r="AT15" s="97">
        <v>1</v>
      </c>
      <c r="AU15" s="97">
        <v>7.2533200000000004</v>
      </c>
      <c r="AV15" s="97">
        <v>7.2533200000000004</v>
      </c>
      <c r="AW15" s="96"/>
      <c r="AX15" s="96"/>
      <c r="AY15" s="96"/>
      <c r="AZ15" s="96"/>
      <c r="BA15" s="98">
        <v>4.0369999999999998E-3</v>
      </c>
      <c r="BB15" s="98">
        <v>1.3799999999999999E-4</v>
      </c>
      <c r="BC15" s="106"/>
    </row>
    <row r="16" spans="1:55" ht="15" customHeight="1">
      <c r="A16" s="106"/>
      <c r="B16" s="96">
        <v>286</v>
      </c>
      <c r="C16" s="96">
        <v>1445</v>
      </c>
      <c r="D16" s="96"/>
      <c r="E16" s="96"/>
      <c r="F16" s="96"/>
      <c r="G16" s="96">
        <v>25000812</v>
      </c>
      <c r="H16" s="96" t="s">
        <v>1013</v>
      </c>
      <c r="I16" s="96" t="s">
        <v>795</v>
      </c>
      <c r="J16" s="96" t="s">
        <v>203</v>
      </c>
      <c r="K16" s="96"/>
      <c r="L16" s="96" t="s">
        <v>446</v>
      </c>
      <c r="M16" s="96" t="s">
        <v>337</v>
      </c>
      <c r="N16" s="96" t="s">
        <v>338</v>
      </c>
      <c r="O16" s="96"/>
      <c r="P16" s="100">
        <v>45202</v>
      </c>
      <c r="Q16" s="96" t="s">
        <v>2102</v>
      </c>
      <c r="R16" s="96" t="s">
        <v>311</v>
      </c>
      <c r="S16" s="96" t="s">
        <v>407</v>
      </c>
      <c r="T16" s="96" t="s">
        <v>1200</v>
      </c>
      <c r="U16" s="97">
        <v>3.32</v>
      </c>
      <c r="V16" s="96" t="s">
        <v>3678</v>
      </c>
      <c r="W16" s="98">
        <v>0.05</v>
      </c>
      <c r="X16" s="96"/>
      <c r="Y16" s="96"/>
      <c r="Z16" s="96"/>
      <c r="AA16" s="98">
        <v>5.5300000000000002E-2</v>
      </c>
      <c r="AB16" s="100">
        <v>45491</v>
      </c>
      <c r="AC16" s="96" t="s">
        <v>410</v>
      </c>
      <c r="AD16" s="96"/>
      <c r="AE16" s="96"/>
      <c r="AF16" s="96"/>
      <c r="AG16" s="100">
        <v>45382</v>
      </c>
      <c r="AH16" s="96"/>
      <c r="AI16" s="96"/>
      <c r="AJ16" s="96"/>
      <c r="AK16" s="96" t="s">
        <v>337</v>
      </c>
      <c r="AL16" s="96" t="s">
        <v>887</v>
      </c>
      <c r="AM16" s="96"/>
      <c r="AN16" s="96" t="s">
        <v>890</v>
      </c>
      <c r="AO16" s="100">
        <v>45473</v>
      </c>
      <c r="AP16" s="100">
        <v>45473</v>
      </c>
      <c r="AQ16" s="96"/>
      <c r="AR16" s="97">
        <v>208.62859499999999</v>
      </c>
      <c r="AS16" s="97">
        <v>98.63</v>
      </c>
      <c r="AT16" s="97">
        <v>1</v>
      </c>
      <c r="AU16" s="97">
        <v>0.20577000000000001</v>
      </c>
      <c r="AV16" s="97">
        <v>0.20577000000000001</v>
      </c>
      <c r="AW16" s="96"/>
      <c r="AX16" s="96"/>
      <c r="AY16" s="96"/>
      <c r="AZ16" s="96"/>
      <c r="BA16" s="98">
        <v>1.1400000000000001E-4</v>
      </c>
      <c r="BB16" s="98">
        <v>3.0000000000000001E-6</v>
      </c>
      <c r="BC16" s="106"/>
    </row>
    <row r="17" spans="1:55" ht="15" customHeight="1">
      <c r="A17" s="106"/>
      <c r="B17" s="96">
        <v>286</v>
      </c>
      <c r="C17" s="96">
        <v>1445</v>
      </c>
      <c r="D17" s="96"/>
      <c r="E17" s="96"/>
      <c r="F17" s="96"/>
      <c r="G17" s="96">
        <v>25000823</v>
      </c>
      <c r="H17" s="96" t="s">
        <v>1013</v>
      </c>
      <c r="I17" s="96" t="s">
        <v>813</v>
      </c>
      <c r="J17" s="96" t="s">
        <v>203</v>
      </c>
      <c r="K17" s="96"/>
      <c r="L17" s="96" t="s">
        <v>454</v>
      </c>
      <c r="M17" s="96" t="s">
        <v>338</v>
      </c>
      <c r="N17" s="96" t="s">
        <v>337</v>
      </c>
      <c r="O17" s="96"/>
      <c r="P17" s="100">
        <v>44878</v>
      </c>
      <c r="Q17" s="96" t="s">
        <v>1324</v>
      </c>
      <c r="R17" s="96" t="s">
        <v>412</v>
      </c>
      <c r="S17" s="96" t="s">
        <v>407</v>
      </c>
      <c r="T17" s="96" t="s">
        <v>1200</v>
      </c>
      <c r="U17" s="97">
        <v>6.41</v>
      </c>
      <c r="V17" s="96" t="s">
        <v>3678</v>
      </c>
      <c r="W17" s="98">
        <v>3.0700000000000002E-2</v>
      </c>
      <c r="X17" s="96"/>
      <c r="Y17" s="96"/>
      <c r="Z17" s="96"/>
      <c r="AA17" s="98">
        <v>4.2999999999999997E-2</v>
      </c>
      <c r="AB17" s="100">
        <v>51038</v>
      </c>
      <c r="AC17" s="96" t="s">
        <v>411</v>
      </c>
      <c r="AD17" s="96"/>
      <c r="AE17" s="96"/>
      <c r="AF17" s="96"/>
      <c r="AG17" s="100">
        <v>45291</v>
      </c>
      <c r="AH17" s="96"/>
      <c r="AI17" s="96"/>
      <c r="AJ17" s="96"/>
      <c r="AK17" s="96" t="s">
        <v>337</v>
      </c>
      <c r="AL17" s="96" t="s">
        <v>887</v>
      </c>
      <c r="AM17" s="96"/>
      <c r="AN17" s="96" t="s">
        <v>890</v>
      </c>
      <c r="AO17" s="100">
        <v>45473</v>
      </c>
      <c r="AP17" s="100">
        <v>45473</v>
      </c>
      <c r="AQ17" s="96"/>
      <c r="AR17" s="97">
        <v>12648.132471999999</v>
      </c>
      <c r="AS17" s="97">
        <v>98.34</v>
      </c>
      <c r="AT17" s="97">
        <v>1</v>
      </c>
      <c r="AU17" s="97">
        <v>12.438173000000001</v>
      </c>
      <c r="AV17" s="97">
        <v>12.438173000000001</v>
      </c>
      <c r="AW17" s="96"/>
      <c r="AX17" s="96"/>
      <c r="AY17" s="96"/>
      <c r="AZ17" s="96"/>
      <c r="BA17" s="98">
        <v>6.9230000000000003E-3</v>
      </c>
      <c r="BB17" s="98">
        <v>2.3599999999999999E-4</v>
      </c>
      <c r="BC17" s="106"/>
    </row>
    <row r="18" spans="1:55" ht="15" customHeight="1">
      <c r="A18" s="106"/>
      <c r="B18" s="96">
        <v>286</v>
      </c>
      <c r="C18" s="96">
        <v>1445</v>
      </c>
      <c r="D18" s="96"/>
      <c r="E18" s="96"/>
      <c r="F18" s="96"/>
      <c r="G18" s="96">
        <v>25000824</v>
      </c>
      <c r="H18" s="96" t="s">
        <v>1013</v>
      </c>
      <c r="I18" s="96" t="s">
        <v>813</v>
      </c>
      <c r="J18" s="96" t="s">
        <v>203</v>
      </c>
      <c r="K18" s="96"/>
      <c r="L18" s="96" t="s">
        <v>454</v>
      </c>
      <c r="M18" s="96" t="s">
        <v>338</v>
      </c>
      <c r="N18" s="96" t="s">
        <v>337</v>
      </c>
      <c r="O18" s="96"/>
      <c r="P18" s="100">
        <v>44878</v>
      </c>
      <c r="Q18" s="96" t="s">
        <v>1324</v>
      </c>
      <c r="R18" s="96" t="s">
        <v>412</v>
      </c>
      <c r="S18" s="96" t="s">
        <v>407</v>
      </c>
      <c r="T18" s="96" t="s">
        <v>1200</v>
      </c>
      <c r="U18" s="97">
        <v>6.37</v>
      </c>
      <c r="V18" s="96" t="s">
        <v>3678</v>
      </c>
      <c r="W18" s="98">
        <v>3.0700000000000002E-2</v>
      </c>
      <c r="X18" s="96"/>
      <c r="Y18" s="96"/>
      <c r="Z18" s="96"/>
      <c r="AA18" s="98">
        <v>4.3099999999999999E-2</v>
      </c>
      <c r="AB18" s="100">
        <v>51038</v>
      </c>
      <c r="AC18" s="96" t="s">
        <v>411</v>
      </c>
      <c r="AD18" s="96"/>
      <c r="AE18" s="96"/>
      <c r="AF18" s="96"/>
      <c r="AG18" s="100">
        <v>45291</v>
      </c>
      <c r="AH18" s="96"/>
      <c r="AI18" s="96"/>
      <c r="AJ18" s="96"/>
      <c r="AK18" s="96" t="s">
        <v>337</v>
      </c>
      <c r="AL18" s="96" t="s">
        <v>887</v>
      </c>
      <c r="AM18" s="96"/>
      <c r="AN18" s="96" t="s">
        <v>890</v>
      </c>
      <c r="AO18" s="100">
        <v>45473</v>
      </c>
      <c r="AP18" s="100">
        <v>45473</v>
      </c>
      <c r="AQ18" s="96"/>
      <c r="AR18" s="97">
        <v>12318.502452999999</v>
      </c>
      <c r="AS18" s="97">
        <v>98.29</v>
      </c>
      <c r="AT18" s="97">
        <v>1</v>
      </c>
      <c r="AU18" s="97">
        <v>12.107856</v>
      </c>
      <c r="AV18" s="97">
        <v>12.107856</v>
      </c>
      <c r="AW18" s="96"/>
      <c r="AX18" s="96"/>
      <c r="AY18" s="96"/>
      <c r="AZ18" s="96"/>
      <c r="BA18" s="98">
        <v>6.7390000000000002E-3</v>
      </c>
      <c r="BB18" s="98">
        <v>2.3000000000000001E-4</v>
      </c>
      <c r="BC18" s="106"/>
    </row>
    <row r="19" spans="1:55" ht="15" customHeight="1">
      <c r="A19" s="106"/>
      <c r="B19" s="96">
        <v>286</v>
      </c>
      <c r="C19" s="96">
        <v>1445</v>
      </c>
      <c r="D19" s="96"/>
      <c r="E19" s="96"/>
      <c r="F19" s="96"/>
      <c r="G19" s="96">
        <v>25000825</v>
      </c>
      <c r="H19" s="96" t="s">
        <v>1013</v>
      </c>
      <c r="I19" s="96"/>
      <c r="J19" s="96" t="s">
        <v>203</v>
      </c>
      <c r="K19" s="96"/>
      <c r="L19" s="96" t="s">
        <v>477</v>
      </c>
      <c r="M19" s="96" t="s">
        <v>338</v>
      </c>
      <c r="N19" s="96" t="s">
        <v>338</v>
      </c>
      <c r="O19" s="96"/>
      <c r="P19" s="100">
        <v>45244</v>
      </c>
      <c r="Q19" s="96" t="s">
        <v>409</v>
      </c>
      <c r="R19" s="96" t="s">
        <v>409</v>
      </c>
      <c r="S19" s="96" t="s">
        <v>409</v>
      </c>
      <c r="T19" s="96" t="s">
        <v>1200</v>
      </c>
      <c r="U19" s="97">
        <v>2.17</v>
      </c>
      <c r="V19" s="96" t="s">
        <v>824</v>
      </c>
      <c r="W19" s="98">
        <v>7.4999999999999997E-2</v>
      </c>
      <c r="X19" s="96"/>
      <c r="Y19" s="96"/>
      <c r="Z19" s="96"/>
      <c r="AA19" s="98">
        <v>6.3899999999999998E-2</v>
      </c>
      <c r="AB19" s="100">
        <v>47071</v>
      </c>
      <c r="AC19" s="96" t="s">
        <v>411</v>
      </c>
      <c r="AD19" s="96"/>
      <c r="AE19" s="96"/>
      <c r="AF19" s="96"/>
      <c r="AG19" s="100">
        <v>45097</v>
      </c>
      <c r="AH19" s="96"/>
      <c r="AI19" s="96"/>
      <c r="AJ19" s="96"/>
      <c r="AK19" s="96" t="s">
        <v>337</v>
      </c>
      <c r="AL19" s="96" t="s">
        <v>887</v>
      </c>
      <c r="AM19" s="96"/>
      <c r="AN19" s="96" t="s">
        <v>890</v>
      </c>
      <c r="AO19" s="100">
        <v>45473</v>
      </c>
      <c r="AP19" s="100">
        <v>45473</v>
      </c>
      <c r="AQ19" s="96"/>
      <c r="AR19" s="97">
        <v>453.02208999999999</v>
      </c>
      <c r="AS19" s="97">
        <v>104.28</v>
      </c>
      <c r="AT19" s="97">
        <v>1</v>
      </c>
      <c r="AU19" s="97">
        <v>0.47241100000000003</v>
      </c>
      <c r="AV19" s="97">
        <v>0.47241100000000003</v>
      </c>
      <c r="AW19" s="96"/>
      <c r="AX19" s="96"/>
      <c r="AY19" s="96"/>
      <c r="AZ19" s="96"/>
      <c r="BA19" s="98">
        <v>2.6200000000000003E-4</v>
      </c>
      <c r="BB19" s="98">
        <v>7.9999999999999996E-6</v>
      </c>
      <c r="BC19" s="106"/>
    </row>
    <row r="20" spans="1:55" ht="15" customHeight="1">
      <c r="A20" s="106"/>
      <c r="B20" s="96">
        <v>286</v>
      </c>
      <c r="C20" s="96">
        <v>1445</v>
      </c>
      <c r="D20" s="96"/>
      <c r="E20" s="96"/>
      <c r="F20" s="96"/>
      <c r="G20" s="96">
        <v>25000878</v>
      </c>
      <c r="H20" s="96" t="s">
        <v>1013</v>
      </c>
      <c r="I20" s="96" t="s">
        <v>813</v>
      </c>
      <c r="J20" s="96" t="s">
        <v>203</v>
      </c>
      <c r="K20" s="96"/>
      <c r="L20" s="96" t="s">
        <v>454</v>
      </c>
      <c r="M20" s="96" t="s">
        <v>338</v>
      </c>
      <c r="N20" s="96" t="s">
        <v>337</v>
      </c>
      <c r="O20" s="96"/>
      <c r="P20" s="100">
        <v>45292</v>
      </c>
      <c r="Q20" s="96" t="s">
        <v>3683</v>
      </c>
      <c r="R20" s="96" t="s">
        <v>412</v>
      </c>
      <c r="S20" s="96" t="s">
        <v>407</v>
      </c>
      <c r="T20" s="96" t="s">
        <v>1200</v>
      </c>
      <c r="U20" s="97">
        <v>7.29</v>
      </c>
      <c r="V20" s="96" t="s">
        <v>3678</v>
      </c>
      <c r="W20" s="98">
        <v>4.0368000000000001E-2</v>
      </c>
      <c r="X20" s="96"/>
      <c r="Y20" s="96"/>
      <c r="Z20" s="96"/>
      <c r="AA20" s="98">
        <v>6.5100000000000005E-2</v>
      </c>
      <c r="AB20" s="100">
        <v>52768</v>
      </c>
      <c r="AC20" s="96" t="s">
        <v>411</v>
      </c>
      <c r="AD20" s="96"/>
      <c r="AE20" s="96"/>
      <c r="AF20" s="96"/>
      <c r="AG20" s="100">
        <v>45291</v>
      </c>
      <c r="AH20" s="96"/>
      <c r="AI20" s="96"/>
      <c r="AJ20" s="96"/>
      <c r="AK20" s="96" t="s">
        <v>337</v>
      </c>
      <c r="AL20" s="96" t="s">
        <v>887</v>
      </c>
      <c r="AM20" s="96"/>
      <c r="AN20" s="96" t="s">
        <v>890</v>
      </c>
      <c r="AO20" s="100">
        <v>45473</v>
      </c>
      <c r="AP20" s="100">
        <v>45473</v>
      </c>
      <c r="AQ20" s="96"/>
      <c r="AR20" s="97">
        <v>2546.753721</v>
      </c>
      <c r="AS20" s="97">
        <v>85.68</v>
      </c>
      <c r="AT20" s="97">
        <v>1</v>
      </c>
      <c r="AU20" s="97">
        <v>2.1820580000000001</v>
      </c>
      <c r="AV20" s="97">
        <v>2.1820580000000001</v>
      </c>
      <c r="AW20" s="96"/>
      <c r="AX20" s="96"/>
      <c r="AY20" s="96"/>
      <c r="AZ20" s="96"/>
      <c r="BA20" s="98">
        <v>1.214E-3</v>
      </c>
      <c r="BB20" s="98">
        <v>4.1E-5</v>
      </c>
      <c r="BC20" s="106"/>
    </row>
    <row r="21" spans="1:55" ht="15" customHeight="1">
      <c r="A21" s="106"/>
      <c r="B21" s="96">
        <v>286</v>
      </c>
      <c r="C21" s="96">
        <v>1445</v>
      </c>
      <c r="D21" s="96"/>
      <c r="E21" s="96"/>
      <c r="F21" s="96"/>
      <c r="G21" s="96">
        <v>25000838</v>
      </c>
      <c r="H21" s="96" t="s">
        <v>1013</v>
      </c>
      <c r="I21" s="96"/>
      <c r="J21" s="96" t="s">
        <v>203</v>
      </c>
      <c r="K21" s="96"/>
      <c r="L21" s="96" t="s">
        <v>477</v>
      </c>
      <c r="M21" s="96" t="s">
        <v>337</v>
      </c>
      <c r="N21" s="96" t="s">
        <v>338</v>
      </c>
      <c r="O21" s="96"/>
      <c r="P21" s="100">
        <v>45286</v>
      </c>
      <c r="Q21" s="96" t="s">
        <v>1309</v>
      </c>
      <c r="R21" s="96" t="s">
        <v>414</v>
      </c>
      <c r="S21" s="96" t="s">
        <v>407</v>
      </c>
      <c r="T21" s="96" t="s">
        <v>1200</v>
      </c>
      <c r="U21" s="97">
        <v>4.93</v>
      </c>
      <c r="V21" s="96" t="s">
        <v>824</v>
      </c>
      <c r="W21" s="98">
        <v>6.7000000000000004E-2</v>
      </c>
      <c r="X21" s="96"/>
      <c r="Y21" s="96"/>
      <c r="Z21" s="96"/>
      <c r="AA21" s="98">
        <v>6.6199999999999995E-2</v>
      </c>
      <c r="AB21" s="100">
        <v>50040</v>
      </c>
      <c r="AC21" s="96" t="s">
        <v>411</v>
      </c>
      <c r="AD21" s="96"/>
      <c r="AE21" s="96"/>
      <c r="AF21" s="96"/>
      <c r="AG21" s="100"/>
      <c r="AH21" s="96"/>
      <c r="AI21" s="96"/>
      <c r="AJ21" s="96"/>
      <c r="AK21" s="96" t="s">
        <v>337</v>
      </c>
      <c r="AL21" s="96" t="s">
        <v>887</v>
      </c>
      <c r="AM21" s="96"/>
      <c r="AN21" s="96" t="s">
        <v>890</v>
      </c>
      <c r="AO21" s="100">
        <v>45473</v>
      </c>
      <c r="AP21" s="100">
        <v>45473</v>
      </c>
      <c r="AQ21" s="96"/>
      <c r="AR21" s="97">
        <v>5581.1470509999999</v>
      </c>
      <c r="AS21" s="97">
        <v>102.58</v>
      </c>
      <c r="AT21" s="97">
        <v>1</v>
      </c>
      <c r="AU21" s="97">
        <v>5.7251399999999997</v>
      </c>
      <c r="AV21" s="97">
        <v>5.7251399999999997</v>
      </c>
      <c r="AW21" s="96"/>
      <c r="AX21" s="96"/>
      <c r="AY21" s="96"/>
      <c r="AZ21" s="96"/>
      <c r="BA21" s="98">
        <v>3.186E-3</v>
      </c>
      <c r="BB21" s="98">
        <v>1.0900000000000001E-4</v>
      </c>
      <c r="BC21" s="106"/>
    </row>
    <row r="22" spans="1:55" ht="15" customHeight="1">
      <c r="A22" s="106"/>
      <c r="B22" s="96">
        <v>286</v>
      </c>
      <c r="C22" s="96">
        <v>1445</v>
      </c>
      <c r="D22" s="96"/>
      <c r="E22" s="96"/>
      <c r="F22" s="96"/>
      <c r="G22" s="96">
        <v>25000837</v>
      </c>
      <c r="H22" s="96" t="s">
        <v>1013</v>
      </c>
      <c r="I22" s="96"/>
      <c r="J22" s="96" t="s">
        <v>203</v>
      </c>
      <c r="K22" s="96"/>
      <c r="L22" s="96" t="s">
        <v>476</v>
      </c>
      <c r="M22" s="96" t="s">
        <v>338</v>
      </c>
      <c r="N22" s="96" t="s">
        <v>338</v>
      </c>
      <c r="O22" s="96"/>
      <c r="P22" s="100">
        <v>45284</v>
      </c>
      <c r="Q22" s="96" t="s">
        <v>3681</v>
      </c>
      <c r="R22" s="96" t="s">
        <v>311</v>
      </c>
      <c r="S22" s="96" t="s">
        <v>407</v>
      </c>
      <c r="T22" s="96" t="s">
        <v>1200</v>
      </c>
      <c r="U22" s="97">
        <v>1.8</v>
      </c>
      <c r="V22" s="96" t="s">
        <v>3678</v>
      </c>
      <c r="W22" s="98">
        <v>3.73E-2</v>
      </c>
      <c r="X22" s="96"/>
      <c r="Y22" s="96"/>
      <c r="Z22" s="96"/>
      <c r="AA22" s="98">
        <v>3.5999999999999997E-2</v>
      </c>
      <c r="AB22" s="100">
        <v>46501</v>
      </c>
      <c r="AC22" s="96" t="s">
        <v>411</v>
      </c>
      <c r="AD22" s="96"/>
      <c r="AE22" s="96"/>
      <c r="AF22" s="96"/>
      <c r="AG22" s="100">
        <v>45333</v>
      </c>
      <c r="AH22" s="96"/>
      <c r="AI22" s="96"/>
      <c r="AJ22" s="96"/>
      <c r="AK22" s="96" t="s">
        <v>337</v>
      </c>
      <c r="AL22" s="96" t="s">
        <v>887</v>
      </c>
      <c r="AM22" s="96"/>
      <c r="AN22" s="96" t="s">
        <v>890</v>
      </c>
      <c r="AO22" s="100">
        <v>45473</v>
      </c>
      <c r="AP22" s="100">
        <v>45473</v>
      </c>
      <c r="AQ22" s="96"/>
      <c r="AR22" s="97">
        <v>2471.8580590000001</v>
      </c>
      <c r="AS22" s="97">
        <v>102.28</v>
      </c>
      <c r="AT22" s="97">
        <v>1</v>
      </c>
      <c r="AU22" s="97">
        <v>2.528216</v>
      </c>
      <c r="AV22" s="97">
        <v>2.528216</v>
      </c>
      <c r="AW22" s="96"/>
      <c r="AX22" s="96"/>
      <c r="AY22" s="96"/>
      <c r="AZ22" s="96"/>
      <c r="BA22" s="98">
        <v>1.407E-3</v>
      </c>
      <c r="BB22" s="98">
        <v>4.8000000000000001E-5</v>
      </c>
      <c r="BC22" s="106"/>
    </row>
    <row r="23" spans="1:55" ht="15" customHeight="1">
      <c r="A23" s="106"/>
      <c r="B23" s="96">
        <v>286</v>
      </c>
      <c r="C23" s="96">
        <v>1445</v>
      </c>
      <c r="D23" s="96"/>
      <c r="E23" s="96"/>
      <c r="F23" s="96"/>
      <c r="G23" s="96">
        <v>25000836</v>
      </c>
      <c r="H23" s="96" t="s">
        <v>1013</v>
      </c>
      <c r="I23" s="96" t="s">
        <v>813</v>
      </c>
      <c r="J23" s="96" t="s">
        <v>203</v>
      </c>
      <c r="K23" s="96"/>
      <c r="L23" s="96" t="s">
        <v>454</v>
      </c>
      <c r="M23" s="96" t="s">
        <v>338</v>
      </c>
      <c r="N23" s="96" t="s">
        <v>337</v>
      </c>
      <c r="O23" s="96"/>
      <c r="P23" s="100">
        <v>45284</v>
      </c>
      <c r="Q23" s="96" t="s">
        <v>1357</v>
      </c>
      <c r="R23" s="96" t="s">
        <v>414</v>
      </c>
      <c r="S23" s="96" t="s">
        <v>407</v>
      </c>
      <c r="T23" s="96" t="s">
        <v>1200</v>
      </c>
      <c r="U23" s="97">
        <v>7.06</v>
      </c>
      <c r="V23" s="96" t="s">
        <v>3678</v>
      </c>
      <c r="W23" s="98">
        <v>4.4499999999999998E-2</v>
      </c>
      <c r="X23" s="96"/>
      <c r="Y23" s="96"/>
      <c r="Z23" s="96"/>
      <c r="AA23" s="98">
        <v>4.5499999999999999E-2</v>
      </c>
      <c r="AB23" s="100">
        <v>51677</v>
      </c>
      <c r="AC23" s="96" t="s">
        <v>411</v>
      </c>
      <c r="AD23" s="96"/>
      <c r="AE23" s="96"/>
      <c r="AF23" s="96"/>
      <c r="AG23" s="100">
        <v>45291</v>
      </c>
      <c r="AH23" s="96"/>
      <c r="AI23" s="96"/>
      <c r="AJ23" s="96"/>
      <c r="AK23" s="96" t="s">
        <v>337</v>
      </c>
      <c r="AL23" s="96" t="s">
        <v>887</v>
      </c>
      <c r="AM23" s="96"/>
      <c r="AN23" s="96" t="s">
        <v>890</v>
      </c>
      <c r="AO23" s="100">
        <v>45473</v>
      </c>
      <c r="AP23" s="100">
        <v>45473</v>
      </c>
      <c r="AQ23" s="96"/>
      <c r="AR23" s="97">
        <v>5882.34</v>
      </c>
      <c r="AS23" s="97">
        <v>101.8</v>
      </c>
      <c r="AT23" s="97">
        <v>1</v>
      </c>
      <c r="AU23" s="97">
        <v>5.9882200000000001</v>
      </c>
      <c r="AV23" s="97">
        <v>5.9882200000000001</v>
      </c>
      <c r="AW23" s="96"/>
      <c r="AX23" s="96"/>
      <c r="AY23" s="96"/>
      <c r="AZ23" s="96"/>
      <c r="BA23" s="98">
        <v>3.333E-3</v>
      </c>
      <c r="BB23" s="98">
        <v>1.1400000000000001E-4</v>
      </c>
      <c r="BC23" s="106"/>
    </row>
    <row r="24" spans="1:55" ht="15" customHeight="1">
      <c r="A24" s="106"/>
      <c r="B24" s="96">
        <v>286</v>
      </c>
      <c r="C24" s="96">
        <v>1445</v>
      </c>
      <c r="D24" s="96"/>
      <c r="E24" s="96"/>
      <c r="F24" s="96"/>
      <c r="G24" s="96">
        <v>25000835</v>
      </c>
      <c r="H24" s="96" t="s">
        <v>1013</v>
      </c>
      <c r="I24" s="96" t="s">
        <v>813</v>
      </c>
      <c r="J24" s="96" t="s">
        <v>203</v>
      </c>
      <c r="K24" s="96"/>
      <c r="L24" s="96" t="s">
        <v>470</v>
      </c>
      <c r="M24" s="96" t="s">
        <v>338</v>
      </c>
      <c r="N24" s="96" t="s">
        <v>337</v>
      </c>
      <c r="O24" s="96"/>
      <c r="P24" s="100">
        <v>45280</v>
      </c>
      <c r="Q24" s="96" t="s">
        <v>1309</v>
      </c>
      <c r="R24" s="96" t="s">
        <v>414</v>
      </c>
      <c r="S24" s="96" t="s">
        <v>407</v>
      </c>
      <c r="T24" s="96" t="s">
        <v>1200</v>
      </c>
      <c r="U24" s="97">
        <v>6.85</v>
      </c>
      <c r="V24" s="96" t="s">
        <v>3678</v>
      </c>
      <c r="W24" s="98">
        <v>4.0719999999999999E-2</v>
      </c>
      <c r="X24" s="96"/>
      <c r="Y24" s="96"/>
      <c r="Z24" s="96"/>
      <c r="AA24" s="98">
        <v>5.2299999999999999E-2</v>
      </c>
      <c r="AB24" s="100">
        <v>49303</v>
      </c>
      <c r="AC24" s="96" t="s">
        <v>411</v>
      </c>
      <c r="AD24" s="96"/>
      <c r="AE24" s="96"/>
      <c r="AF24" s="96"/>
      <c r="AG24" s="100">
        <v>45291</v>
      </c>
      <c r="AH24" s="96"/>
      <c r="AI24" s="96"/>
      <c r="AJ24" s="96"/>
      <c r="AK24" s="96" t="s">
        <v>337</v>
      </c>
      <c r="AL24" s="96" t="s">
        <v>887</v>
      </c>
      <c r="AM24" s="96"/>
      <c r="AN24" s="96" t="s">
        <v>890</v>
      </c>
      <c r="AO24" s="100">
        <v>45473</v>
      </c>
      <c r="AP24" s="100">
        <v>45473</v>
      </c>
      <c r="AQ24" s="96"/>
      <c r="AR24" s="97">
        <v>1336.30477</v>
      </c>
      <c r="AS24" s="97">
        <v>96.74</v>
      </c>
      <c r="AT24" s="97">
        <v>1</v>
      </c>
      <c r="AU24" s="97">
        <v>1.2927409999999999</v>
      </c>
      <c r="AV24" s="97">
        <v>1.2927409999999999</v>
      </c>
      <c r="AW24" s="96"/>
      <c r="AX24" s="96"/>
      <c r="AY24" s="96"/>
      <c r="AZ24" s="96"/>
      <c r="BA24" s="98">
        <v>7.1900000000000002E-4</v>
      </c>
      <c r="BB24" s="98">
        <v>2.4000000000000001E-5</v>
      </c>
      <c r="BC24" s="106"/>
    </row>
    <row r="25" spans="1:55" ht="15" customHeight="1">
      <c r="A25" s="106"/>
      <c r="B25" s="96">
        <v>286</v>
      </c>
      <c r="C25" s="96">
        <v>1445</v>
      </c>
      <c r="D25" s="96"/>
      <c r="E25" s="96"/>
      <c r="F25" s="96"/>
      <c r="G25" s="96">
        <v>25000834</v>
      </c>
      <c r="H25" s="96" t="s">
        <v>1013</v>
      </c>
      <c r="I25" s="96" t="s">
        <v>813</v>
      </c>
      <c r="J25" s="96" t="s">
        <v>203</v>
      </c>
      <c r="K25" s="96"/>
      <c r="L25" s="96" t="s">
        <v>470</v>
      </c>
      <c r="M25" s="96" t="s">
        <v>338</v>
      </c>
      <c r="N25" s="96" t="s">
        <v>337</v>
      </c>
      <c r="O25" s="96"/>
      <c r="P25" s="100">
        <v>45280</v>
      </c>
      <c r="Q25" s="96" t="s">
        <v>1309</v>
      </c>
      <c r="R25" s="96" t="s">
        <v>414</v>
      </c>
      <c r="S25" s="96" t="s">
        <v>407</v>
      </c>
      <c r="T25" s="96" t="s">
        <v>1200</v>
      </c>
      <c r="U25" s="97">
        <v>7.46</v>
      </c>
      <c r="V25" s="96" t="s">
        <v>3678</v>
      </c>
      <c r="W25" s="98">
        <v>4.086E-2</v>
      </c>
      <c r="X25" s="96"/>
      <c r="Y25" s="96"/>
      <c r="Z25" s="96"/>
      <c r="AA25" s="98">
        <v>4.3900000000000002E-2</v>
      </c>
      <c r="AB25" s="100">
        <v>49303</v>
      </c>
      <c r="AC25" s="96" t="s">
        <v>411</v>
      </c>
      <c r="AD25" s="96"/>
      <c r="AE25" s="96"/>
      <c r="AF25" s="96"/>
      <c r="AG25" s="100">
        <v>45291</v>
      </c>
      <c r="AH25" s="96"/>
      <c r="AI25" s="96"/>
      <c r="AJ25" s="96"/>
      <c r="AK25" s="96" t="s">
        <v>337</v>
      </c>
      <c r="AL25" s="96" t="s">
        <v>887</v>
      </c>
      <c r="AM25" s="96"/>
      <c r="AN25" s="96" t="s">
        <v>890</v>
      </c>
      <c r="AO25" s="100">
        <v>45473</v>
      </c>
      <c r="AP25" s="100">
        <v>45473</v>
      </c>
      <c r="AQ25" s="96"/>
      <c r="AR25" s="97">
        <v>306.70520399999998</v>
      </c>
      <c r="AS25" s="97">
        <v>102.39</v>
      </c>
      <c r="AT25" s="97">
        <v>1</v>
      </c>
      <c r="AU25" s="97">
        <v>0.31403500000000001</v>
      </c>
      <c r="AV25" s="97">
        <v>0.31403500000000001</v>
      </c>
      <c r="AW25" s="96"/>
      <c r="AX25" s="96"/>
      <c r="AY25" s="96"/>
      <c r="AZ25" s="96"/>
      <c r="BA25" s="98">
        <v>1.74E-4</v>
      </c>
      <c r="BB25" s="98">
        <v>5.0000000000000004E-6</v>
      </c>
      <c r="BC25" s="106"/>
    </row>
    <row r="26" spans="1:55" ht="15" customHeight="1">
      <c r="A26" s="106"/>
      <c r="B26" s="96">
        <v>286</v>
      </c>
      <c r="C26" s="96">
        <v>1445</v>
      </c>
      <c r="D26" s="96"/>
      <c r="E26" s="96"/>
      <c r="F26" s="96"/>
      <c r="G26" s="96">
        <v>25000832</v>
      </c>
      <c r="H26" s="96" t="s">
        <v>1013</v>
      </c>
      <c r="I26" s="96" t="s">
        <v>813</v>
      </c>
      <c r="J26" s="96" t="s">
        <v>203</v>
      </c>
      <c r="K26" s="96"/>
      <c r="L26" s="96" t="s">
        <v>470</v>
      </c>
      <c r="M26" s="96" t="s">
        <v>338</v>
      </c>
      <c r="N26" s="96" t="s">
        <v>337</v>
      </c>
      <c r="O26" s="96"/>
      <c r="P26" s="100">
        <v>45278</v>
      </c>
      <c r="Q26" s="96" t="s">
        <v>1520</v>
      </c>
      <c r="R26" s="96" t="s">
        <v>414</v>
      </c>
      <c r="S26" s="96" t="s">
        <v>407</v>
      </c>
      <c r="T26" s="96" t="s">
        <v>1200</v>
      </c>
      <c r="U26" s="97">
        <v>7.1</v>
      </c>
      <c r="V26" s="96" t="s">
        <v>3678</v>
      </c>
      <c r="W26" s="98">
        <v>3.8157000000000003E-2</v>
      </c>
      <c r="X26" s="96"/>
      <c r="Y26" s="96"/>
      <c r="Z26" s="96"/>
      <c r="AA26" s="98">
        <v>4.4200000000000003E-2</v>
      </c>
      <c r="AB26" s="100">
        <v>49583</v>
      </c>
      <c r="AC26" s="96" t="s">
        <v>411</v>
      </c>
      <c r="AD26" s="96"/>
      <c r="AE26" s="96"/>
      <c r="AF26" s="96"/>
      <c r="AG26" s="100">
        <v>45291</v>
      </c>
      <c r="AH26" s="96"/>
      <c r="AI26" s="96"/>
      <c r="AJ26" s="96"/>
      <c r="AK26" s="96" t="s">
        <v>337</v>
      </c>
      <c r="AL26" s="96" t="s">
        <v>887</v>
      </c>
      <c r="AM26" s="96"/>
      <c r="AN26" s="96" t="s">
        <v>890</v>
      </c>
      <c r="AO26" s="100">
        <v>45473</v>
      </c>
      <c r="AP26" s="100">
        <v>45473</v>
      </c>
      <c r="AQ26" s="96"/>
      <c r="AR26" s="97">
        <v>311.14031999999997</v>
      </c>
      <c r="AS26" s="97">
        <v>100.51</v>
      </c>
      <c r="AT26" s="97">
        <v>1</v>
      </c>
      <c r="AU26" s="97">
        <v>0.31272699999999998</v>
      </c>
      <c r="AV26" s="97">
        <v>0.31272699999999998</v>
      </c>
      <c r="AW26" s="96"/>
      <c r="AX26" s="96"/>
      <c r="AY26" s="96"/>
      <c r="AZ26" s="96"/>
      <c r="BA26" s="98">
        <v>1.74E-4</v>
      </c>
      <c r="BB26" s="98">
        <v>5.0000000000000004E-6</v>
      </c>
      <c r="BC26" s="106"/>
    </row>
    <row r="27" spans="1:55" ht="15" customHeight="1">
      <c r="A27" s="106"/>
      <c r="B27" s="96">
        <v>286</v>
      </c>
      <c r="C27" s="96">
        <v>1445</v>
      </c>
      <c r="D27" s="96"/>
      <c r="E27" s="96"/>
      <c r="F27" s="96"/>
      <c r="G27" s="96">
        <v>25000831</v>
      </c>
      <c r="H27" s="96" t="s">
        <v>1013</v>
      </c>
      <c r="I27" s="96" t="s">
        <v>804</v>
      </c>
      <c r="J27" s="96" t="s">
        <v>203</v>
      </c>
      <c r="K27" s="96"/>
      <c r="L27" s="96" t="s">
        <v>463</v>
      </c>
      <c r="M27" s="96" t="s">
        <v>338</v>
      </c>
      <c r="N27" s="96" t="s">
        <v>337</v>
      </c>
      <c r="O27" s="96"/>
      <c r="P27" s="100">
        <v>45275</v>
      </c>
      <c r="Q27" s="96" t="s">
        <v>1208</v>
      </c>
      <c r="R27" s="96" t="s">
        <v>311</v>
      </c>
      <c r="S27" s="96" t="s">
        <v>407</v>
      </c>
      <c r="T27" s="96" t="s">
        <v>1200</v>
      </c>
      <c r="U27" s="97">
        <v>2.29</v>
      </c>
      <c r="V27" s="96" t="s">
        <v>824</v>
      </c>
      <c r="W27" s="98">
        <v>6.5000000000000002E-2</v>
      </c>
      <c r="X27" s="96"/>
      <c r="Y27" s="96"/>
      <c r="Z27" s="96"/>
      <c r="AA27" s="98">
        <v>6.0400000000000002E-2</v>
      </c>
      <c r="AB27" s="100">
        <v>46371</v>
      </c>
      <c r="AC27" s="96" t="s">
        <v>411</v>
      </c>
      <c r="AD27" s="96"/>
      <c r="AE27" s="96"/>
      <c r="AF27" s="96"/>
      <c r="AG27" s="100">
        <v>44986</v>
      </c>
      <c r="AH27" s="96"/>
      <c r="AI27" s="96"/>
      <c r="AJ27" s="96"/>
      <c r="AK27" s="96" t="s">
        <v>337</v>
      </c>
      <c r="AL27" s="96" t="s">
        <v>887</v>
      </c>
      <c r="AM27" s="96"/>
      <c r="AN27" s="96" t="s">
        <v>890</v>
      </c>
      <c r="AO27" s="100">
        <v>45473</v>
      </c>
      <c r="AP27" s="100">
        <v>45473</v>
      </c>
      <c r="AQ27" s="96"/>
      <c r="AR27" s="97">
        <v>3477.143266</v>
      </c>
      <c r="AS27" s="97">
        <v>101.31</v>
      </c>
      <c r="AT27" s="97">
        <v>1</v>
      </c>
      <c r="AU27" s="97">
        <v>3.5226929999999999</v>
      </c>
      <c r="AV27" s="97">
        <v>3.5226929999999999</v>
      </c>
      <c r="AW27" s="96"/>
      <c r="AX27" s="96"/>
      <c r="AY27" s="96"/>
      <c r="AZ27" s="96"/>
      <c r="BA27" s="98">
        <v>1.9599999999999999E-3</v>
      </c>
      <c r="BB27" s="98">
        <v>6.7000000000000002E-5</v>
      </c>
      <c r="BC27" s="106"/>
    </row>
    <row r="28" spans="1:55" ht="15" customHeight="1">
      <c r="A28" s="106"/>
      <c r="B28" s="96">
        <v>286</v>
      </c>
      <c r="C28" s="96">
        <v>1445</v>
      </c>
      <c r="D28" s="96"/>
      <c r="E28" s="96"/>
      <c r="F28" s="96"/>
      <c r="G28" s="96">
        <v>25000830</v>
      </c>
      <c r="H28" s="96" t="s">
        <v>1013</v>
      </c>
      <c r="I28" s="96" t="s">
        <v>813</v>
      </c>
      <c r="J28" s="96" t="s">
        <v>203</v>
      </c>
      <c r="K28" s="96"/>
      <c r="L28" s="96" t="s">
        <v>476</v>
      </c>
      <c r="M28" s="96" t="s">
        <v>338</v>
      </c>
      <c r="N28" s="96" t="s">
        <v>337</v>
      </c>
      <c r="O28" s="96"/>
      <c r="P28" s="100">
        <v>45273</v>
      </c>
      <c r="Q28" s="96" t="s">
        <v>1357</v>
      </c>
      <c r="R28" s="96" t="s">
        <v>414</v>
      </c>
      <c r="S28" s="96" t="s">
        <v>407</v>
      </c>
      <c r="T28" s="96" t="s">
        <v>1200</v>
      </c>
      <c r="U28" s="97">
        <v>3.16</v>
      </c>
      <c r="V28" s="96" t="s">
        <v>824</v>
      </c>
      <c r="W28" s="98">
        <v>6.7000000000000004E-2</v>
      </c>
      <c r="X28" s="96"/>
      <c r="Y28" s="96"/>
      <c r="Z28" s="96"/>
      <c r="AA28" s="98">
        <v>6.6799999999999998E-2</v>
      </c>
      <c r="AB28" s="100">
        <v>46753</v>
      </c>
      <c r="AC28" s="96" t="s">
        <v>411</v>
      </c>
      <c r="AD28" s="96"/>
      <c r="AE28" s="96"/>
      <c r="AF28" s="96"/>
      <c r="AG28" s="100">
        <v>45291</v>
      </c>
      <c r="AH28" s="96"/>
      <c r="AI28" s="96"/>
      <c r="AJ28" s="96"/>
      <c r="AK28" s="96" t="s">
        <v>337</v>
      </c>
      <c r="AL28" s="96" t="s">
        <v>887</v>
      </c>
      <c r="AM28" s="96"/>
      <c r="AN28" s="96" t="s">
        <v>890</v>
      </c>
      <c r="AO28" s="100">
        <v>45473</v>
      </c>
      <c r="AP28" s="100">
        <v>45473</v>
      </c>
      <c r="AQ28" s="96"/>
      <c r="AR28" s="97">
        <v>2172.1467339999999</v>
      </c>
      <c r="AS28" s="97">
        <v>100.51</v>
      </c>
      <c r="AT28" s="97">
        <v>1</v>
      </c>
      <c r="AU28" s="97">
        <v>2.1832240000000001</v>
      </c>
      <c r="AV28" s="97">
        <v>2.1832240000000001</v>
      </c>
      <c r="AW28" s="96"/>
      <c r="AX28" s="96"/>
      <c r="AY28" s="96"/>
      <c r="AZ28" s="96"/>
      <c r="BA28" s="98">
        <v>1.2149999999999999E-3</v>
      </c>
      <c r="BB28" s="98">
        <v>4.1E-5</v>
      </c>
      <c r="BC28" s="106"/>
    </row>
    <row r="29" spans="1:55" ht="15" customHeight="1">
      <c r="A29" s="106"/>
      <c r="B29" s="96">
        <v>286</v>
      </c>
      <c r="C29" s="96">
        <v>1445</v>
      </c>
      <c r="D29" s="96"/>
      <c r="E29" s="96"/>
      <c r="F29" s="96"/>
      <c r="G29" s="96">
        <v>25000829</v>
      </c>
      <c r="H29" s="96" t="s">
        <v>1013</v>
      </c>
      <c r="I29" s="96" t="s">
        <v>813</v>
      </c>
      <c r="J29" s="96" t="s">
        <v>203</v>
      </c>
      <c r="K29" s="96"/>
      <c r="L29" s="96" t="s">
        <v>476</v>
      </c>
      <c r="M29" s="96" t="s">
        <v>338</v>
      </c>
      <c r="N29" s="96" t="s">
        <v>337</v>
      </c>
      <c r="O29" s="96"/>
      <c r="P29" s="100">
        <v>45273</v>
      </c>
      <c r="Q29" s="96" t="s">
        <v>1357</v>
      </c>
      <c r="R29" s="96" t="s">
        <v>414</v>
      </c>
      <c r="S29" s="96" t="s">
        <v>407</v>
      </c>
      <c r="T29" s="96" t="s">
        <v>1200</v>
      </c>
      <c r="U29" s="97">
        <v>9.31</v>
      </c>
      <c r="V29" s="96" t="s">
        <v>824</v>
      </c>
      <c r="W29" s="98">
        <v>6.7000000000000004E-2</v>
      </c>
      <c r="X29" s="96"/>
      <c r="Y29" s="96"/>
      <c r="Z29" s="96"/>
      <c r="AA29" s="98">
        <v>6.6400000000000001E-2</v>
      </c>
      <c r="AB29" s="100">
        <v>54057</v>
      </c>
      <c r="AC29" s="96" t="s">
        <v>411</v>
      </c>
      <c r="AD29" s="96"/>
      <c r="AE29" s="96"/>
      <c r="AF29" s="96"/>
      <c r="AG29" s="100">
        <v>45291</v>
      </c>
      <c r="AH29" s="96"/>
      <c r="AI29" s="96"/>
      <c r="AJ29" s="96"/>
      <c r="AK29" s="96" t="s">
        <v>337</v>
      </c>
      <c r="AL29" s="96" t="s">
        <v>887</v>
      </c>
      <c r="AM29" s="96"/>
      <c r="AN29" s="96" t="s">
        <v>890</v>
      </c>
      <c r="AO29" s="100">
        <v>45473</v>
      </c>
      <c r="AP29" s="100">
        <v>45473</v>
      </c>
      <c r="AQ29" s="96"/>
      <c r="AR29" s="97">
        <v>1192.008384</v>
      </c>
      <c r="AS29" s="97">
        <v>94.95</v>
      </c>
      <c r="AT29" s="97">
        <v>1</v>
      </c>
      <c r="AU29" s="97">
        <v>1.1318109999999999</v>
      </c>
      <c r="AV29" s="97">
        <v>1.1318109999999999</v>
      </c>
      <c r="AW29" s="96"/>
      <c r="AX29" s="96"/>
      <c r="AY29" s="96"/>
      <c r="AZ29" s="96"/>
      <c r="BA29" s="98">
        <v>6.3000000000000003E-4</v>
      </c>
      <c r="BB29" s="98">
        <v>2.0999999999999999E-5</v>
      </c>
      <c r="BC29" s="106"/>
    </row>
    <row r="30" spans="1:55" ht="15" customHeight="1">
      <c r="A30" s="106"/>
      <c r="B30" s="96">
        <v>286</v>
      </c>
      <c r="C30" s="96">
        <v>1445</v>
      </c>
      <c r="D30" s="96"/>
      <c r="E30" s="96"/>
      <c r="F30" s="96"/>
      <c r="G30" s="96">
        <v>25000828</v>
      </c>
      <c r="H30" s="96" t="s">
        <v>1013</v>
      </c>
      <c r="I30" s="96"/>
      <c r="J30" s="96" t="s">
        <v>203</v>
      </c>
      <c r="K30" s="96"/>
      <c r="L30" s="96" t="s">
        <v>477</v>
      </c>
      <c r="M30" s="96" t="s">
        <v>337</v>
      </c>
      <c r="N30" s="96" t="s">
        <v>338</v>
      </c>
      <c r="O30" s="96"/>
      <c r="P30" s="100">
        <v>45258</v>
      </c>
      <c r="Q30" s="96" t="s">
        <v>1309</v>
      </c>
      <c r="R30" s="96" t="s">
        <v>414</v>
      </c>
      <c r="S30" s="96" t="s">
        <v>407</v>
      </c>
      <c r="T30" s="96" t="s">
        <v>1200</v>
      </c>
      <c r="U30" s="97">
        <v>4.9000000000000004</v>
      </c>
      <c r="V30" s="96" t="s">
        <v>3678</v>
      </c>
      <c r="W30" s="98">
        <v>4.6420000000000003E-2</v>
      </c>
      <c r="X30" s="96"/>
      <c r="Y30" s="96"/>
      <c r="Z30" s="96"/>
      <c r="AA30" s="98">
        <v>4.07E-2</v>
      </c>
      <c r="AB30" s="100">
        <v>49613</v>
      </c>
      <c r="AC30" s="96" t="s">
        <v>411</v>
      </c>
      <c r="AD30" s="96"/>
      <c r="AE30" s="96"/>
      <c r="AF30" s="96"/>
      <c r="AG30" s="100"/>
      <c r="AH30" s="96"/>
      <c r="AI30" s="96"/>
      <c r="AJ30" s="96"/>
      <c r="AK30" s="96" t="s">
        <v>337</v>
      </c>
      <c r="AL30" s="96" t="s">
        <v>887</v>
      </c>
      <c r="AM30" s="96"/>
      <c r="AN30" s="96" t="s">
        <v>890</v>
      </c>
      <c r="AO30" s="100">
        <v>45473</v>
      </c>
      <c r="AP30" s="100">
        <v>45473</v>
      </c>
      <c r="AQ30" s="96"/>
      <c r="AR30" s="97">
        <v>4761.9840700000004</v>
      </c>
      <c r="AS30" s="97">
        <v>104.82</v>
      </c>
      <c r="AT30" s="97">
        <v>1</v>
      </c>
      <c r="AU30" s="97">
        <v>4.991511</v>
      </c>
      <c r="AV30" s="97">
        <v>4.991511</v>
      </c>
      <c r="AW30" s="96"/>
      <c r="AX30" s="96"/>
      <c r="AY30" s="96"/>
      <c r="AZ30" s="96"/>
      <c r="BA30" s="98">
        <v>2.7780000000000001E-3</v>
      </c>
      <c r="BB30" s="98">
        <v>9.5000000000000005E-5</v>
      </c>
      <c r="BC30" s="106"/>
    </row>
    <row r="31" spans="1:55" ht="15" customHeight="1">
      <c r="A31" s="106"/>
      <c r="B31" s="96">
        <v>286</v>
      </c>
      <c r="C31" s="96">
        <v>1445</v>
      </c>
      <c r="D31" s="96"/>
      <c r="E31" s="96"/>
      <c r="F31" s="96"/>
      <c r="G31" s="96">
        <v>25000827</v>
      </c>
      <c r="H31" s="96" t="s">
        <v>1013</v>
      </c>
      <c r="I31" s="96" t="s">
        <v>812</v>
      </c>
      <c r="J31" s="96" t="s">
        <v>203</v>
      </c>
      <c r="K31" s="96"/>
      <c r="L31" s="96" t="s">
        <v>446</v>
      </c>
      <c r="M31" s="96" t="s">
        <v>338</v>
      </c>
      <c r="N31" s="96" t="s">
        <v>337</v>
      </c>
      <c r="O31" s="96"/>
      <c r="P31" s="100">
        <v>45258</v>
      </c>
      <c r="Q31" s="96" t="s">
        <v>1357</v>
      </c>
      <c r="R31" s="96" t="s">
        <v>414</v>
      </c>
      <c r="S31" s="96" t="s">
        <v>407</v>
      </c>
      <c r="T31" s="96" t="s">
        <v>1200</v>
      </c>
      <c r="U31" s="97">
        <v>2.04</v>
      </c>
      <c r="V31" s="96" t="s">
        <v>824</v>
      </c>
      <c r="W31" s="98">
        <v>6.6000000000000003E-2</v>
      </c>
      <c r="X31" s="96"/>
      <c r="Y31" s="96"/>
      <c r="Z31" s="96"/>
      <c r="AA31" s="98">
        <v>0.06</v>
      </c>
      <c r="AB31" s="100">
        <v>46262</v>
      </c>
      <c r="AC31" s="96" t="s">
        <v>411</v>
      </c>
      <c r="AD31" s="96"/>
      <c r="AE31" s="96"/>
      <c r="AF31" s="96"/>
      <c r="AG31" s="100">
        <v>45291</v>
      </c>
      <c r="AH31" s="96"/>
      <c r="AI31" s="96"/>
      <c r="AJ31" s="96"/>
      <c r="AK31" s="96" t="s">
        <v>337</v>
      </c>
      <c r="AL31" s="96" t="s">
        <v>887</v>
      </c>
      <c r="AM31" s="96"/>
      <c r="AN31" s="96" t="s">
        <v>890</v>
      </c>
      <c r="AO31" s="100">
        <v>45473</v>
      </c>
      <c r="AP31" s="100">
        <v>45473</v>
      </c>
      <c r="AQ31" s="96"/>
      <c r="AR31" s="97">
        <v>873.00743</v>
      </c>
      <c r="AS31" s="97">
        <v>101.21</v>
      </c>
      <c r="AT31" s="97">
        <v>1</v>
      </c>
      <c r="AU31" s="97">
        <v>0.88356999999999997</v>
      </c>
      <c r="AV31" s="97">
        <v>0.88356999999999997</v>
      </c>
      <c r="AW31" s="96"/>
      <c r="AX31" s="96"/>
      <c r="AY31" s="96"/>
      <c r="AZ31" s="96"/>
      <c r="BA31" s="98">
        <v>4.9100000000000001E-4</v>
      </c>
      <c r="BB31" s="98">
        <v>1.5999999999999999E-5</v>
      </c>
      <c r="BC31" s="106"/>
    </row>
    <row r="32" spans="1:55" ht="15" customHeight="1">
      <c r="A32" s="106"/>
      <c r="B32" s="96">
        <v>286</v>
      </c>
      <c r="C32" s="96">
        <v>1445</v>
      </c>
      <c r="D32" s="96"/>
      <c r="E32" s="96"/>
      <c r="F32" s="96"/>
      <c r="G32" s="96">
        <v>25000826</v>
      </c>
      <c r="H32" s="96" t="s">
        <v>1013</v>
      </c>
      <c r="I32" s="96"/>
      <c r="J32" s="96" t="s">
        <v>203</v>
      </c>
      <c r="K32" s="96"/>
      <c r="L32" s="96" t="s">
        <v>477</v>
      </c>
      <c r="M32" s="96" t="s">
        <v>338</v>
      </c>
      <c r="N32" s="96" t="s">
        <v>338</v>
      </c>
      <c r="O32" s="96"/>
      <c r="P32" s="100">
        <v>45244</v>
      </c>
      <c r="Q32" s="96" t="s">
        <v>409</v>
      </c>
      <c r="R32" s="96" t="s">
        <v>409</v>
      </c>
      <c r="S32" s="96" t="s">
        <v>409</v>
      </c>
      <c r="T32" s="96" t="s">
        <v>1200</v>
      </c>
      <c r="U32" s="97">
        <v>3.79</v>
      </c>
      <c r="V32" s="96" t="s">
        <v>824</v>
      </c>
      <c r="W32" s="98">
        <v>7.4999999999999997E-2</v>
      </c>
      <c r="X32" s="96"/>
      <c r="Y32" s="96"/>
      <c r="Z32" s="96"/>
      <c r="AA32" s="98">
        <v>6.5100000000000005E-2</v>
      </c>
      <c r="AB32" s="100">
        <v>47071</v>
      </c>
      <c r="AC32" s="96" t="s">
        <v>411</v>
      </c>
      <c r="AD32" s="96"/>
      <c r="AE32" s="96"/>
      <c r="AF32" s="96"/>
      <c r="AG32" s="100">
        <v>45097</v>
      </c>
      <c r="AH32" s="96"/>
      <c r="AI32" s="96"/>
      <c r="AJ32" s="96"/>
      <c r="AK32" s="96" t="s">
        <v>337</v>
      </c>
      <c r="AL32" s="96" t="s">
        <v>887</v>
      </c>
      <c r="AM32" s="96"/>
      <c r="AN32" s="96" t="s">
        <v>890</v>
      </c>
      <c r="AO32" s="100">
        <v>45473</v>
      </c>
      <c r="AP32" s="100">
        <v>45473</v>
      </c>
      <c r="AQ32" s="96"/>
      <c r="AR32" s="97">
        <v>333.80575299999998</v>
      </c>
      <c r="AS32" s="97">
        <v>106.4</v>
      </c>
      <c r="AT32" s="97">
        <v>1</v>
      </c>
      <c r="AU32" s="97">
        <v>0.35516900000000001</v>
      </c>
      <c r="AV32" s="97">
        <v>0.35516900000000001</v>
      </c>
      <c r="AW32" s="96"/>
      <c r="AX32" s="96"/>
      <c r="AY32" s="96"/>
      <c r="AZ32" s="96"/>
      <c r="BA32" s="98">
        <v>1.9699999999999999E-4</v>
      </c>
      <c r="BB32" s="98">
        <v>6.0000000000000002E-6</v>
      </c>
      <c r="BC32" s="106"/>
    </row>
    <row r="33" spans="1:55" ht="15" customHeight="1">
      <c r="A33" s="106"/>
      <c r="B33" s="96">
        <v>286</v>
      </c>
      <c r="C33" s="96">
        <v>1445</v>
      </c>
      <c r="D33" s="96"/>
      <c r="E33" s="96"/>
      <c r="F33" s="96"/>
      <c r="G33" s="96">
        <v>25000806</v>
      </c>
      <c r="H33" s="96" t="s">
        <v>1013</v>
      </c>
      <c r="I33" s="96" t="s">
        <v>3684</v>
      </c>
      <c r="J33" s="96" t="s">
        <v>203</v>
      </c>
      <c r="K33" s="96"/>
      <c r="L33" s="96" t="s">
        <v>463</v>
      </c>
      <c r="M33" s="96" t="s">
        <v>338</v>
      </c>
      <c r="N33" s="96" t="s">
        <v>337</v>
      </c>
      <c r="O33" s="96"/>
      <c r="P33" s="100">
        <v>45183</v>
      </c>
      <c r="Q33" s="96" t="s">
        <v>3681</v>
      </c>
      <c r="R33" s="96" t="s">
        <v>311</v>
      </c>
      <c r="S33" s="96" t="s">
        <v>407</v>
      </c>
      <c r="T33" s="96" t="s">
        <v>1200</v>
      </c>
      <c r="U33" s="97">
        <v>0.56999999999999995</v>
      </c>
      <c r="V33" s="96" t="s">
        <v>3678</v>
      </c>
      <c r="W33" s="98">
        <v>0.05</v>
      </c>
      <c r="X33" s="96"/>
      <c r="Y33" s="96"/>
      <c r="Z33" s="96"/>
      <c r="AA33" s="98">
        <v>3.5099999999999999E-2</v>
      </c>
      <c r="AB33" s="100">
        <v>45688</v>
      </c>
      <c r="AC33" s="96" t="s">
        <v>411</v>
      </c>
      <c r="AD33" s="96"/>
      <c r="AE33" s="96"/>
      <c r="AF33" s="96"/>
      <c r="AG33" s="100">
        <v>45075</v>
      </c>
      <c r="AH33" s="96"/>
      <c r="AI33" s="96"/>
      <c r="AJ33" s="96"/>
      <c r="AK33" s="96" t="s">
        <v>337</v>
      </c>
      <c r="AL33" s="96" t="s">
        <v>887</v>
      </c>
      <c r="AM33" s="96"/>
      <c r="AN33" s="96" t="s">
        <v>890</v>
      </c>
      <c r="AO33" s="100">
        <v>45473</v>
      </c>
      <c r="AP33" s="100">
        <v>45473</v>
      </c>
      <c r="AQ33" s="96"/>
      <c r="AR33" s="97">
        <v>1493.0389560000001</v>
      </c>
      <c r="AS33" s="97">
        <v>104.31</v>
      </c>
      <c r="AT33" s="97">
        <v>1</v>
      </c>
      <c r="AU33" s="97">
        <v>1.557388</v>
      </c>
      <c r="AV33" s="97">
        <v>1.557388</v>
      </c>
      <c r="AW33" s="96"/>
      <c r="AX33" s="96"/>
      <c r="AY33" s="96"/>
      <c r="AZ33" s="96"/>
      <c r="BA33" s="98">
        <v>8.6600000000000002E-4</v>
      </c>
      <c r="BB33" s="98">
        <v>2.9E-5</v>
      </c>
      <c r="BC33" s="106"/>
    </row>
    <row r="34" spans="1:55" ht="15" customHeight="1">
      <c r="A34" s="106"/>
      <c r="B34" s="96">
        <v>286</v>
      </c>
      <c r="C34" s="96">
        <v>1445</v>
      </c>
      <c r="D34" s="96"/>
      <c r="E34" s="96"/>
      <c r="F34" s="96"/>
      <c r="G34" s="96">
        <v>25000805</v>
      </c>
      <c r="H34" s="96" t="s">
        <v>1013</v>
      </c>
      <c r="I34" s="96" t="s">
        <v>3684</v>
      </c>
      <c r="J34" s="96" t="s">
        <v>203</v>
      </c>
      <c r="K34" s="96"/>
      <c r="L34" s="96" t="s">
        <v>463</v>
      </c>
      <c r="M34" s="96" t="s">
        <v>338</v>
      </c>
      <c r="N34" s="96" t="s">
        <v>337</v>
      </c>
      <c r="O34" s="96"/>
      <c r="P34" s="100">
        <v>45183</v>
      </c>
      <c r="Q34" s="96" t="s">
        <v>3681</v>
      </c>
      <c r="R34" s="96" t="s">
        <v>311</v>
      </c>
      <c r="S34" s="96" t="s">
        <v>407</v>
      </c>
      <c r="T34" s="96" t="s">
        <v>1200</v>
      </c>
      <c r="U34" s="97">
        <v>0.21</v>
      </c>
      <c r="V34" s="96" t="s">
        <v>824</v>
      </c>
      <c r="W34" s="98">
        <v>7.8E-2</v>
      </c>
      <c r="X34" s="96"/>
      <c r="Y34" s="96"/>
      <c r="Z34" s="96"/>
      <c r="AA34" s="98">
        <v>7.1900000000000006E-2</v>
      </c>
      <c r="AB34" s="100">
        <v>45549</v>
      </c>
      <c r="AC34" s="96" t="s">
        <v>411</v>
      </c>
      <c r="AD34" s="96"/>
      <c r="AE34" s="96"/>
      <c r="AF34" s="96"/>
      <c r="AG34" s="100">
        <v>45075</v>
      </c>
      <c r="AH34" s="96"/>
      <c r="AI34" s="96"/>
      <c r="AJ34" s="96"/>
      <c r="AK34" s="96" t="s">
        <v>337</v>
      </c>
      <c r="AL34" s="96" t="s">
        <v>887</v>
      </c>
      <c r="AM34" s="96"/>
      <c r="AN34" s="96" t="s">
        <v>890</v>
      </c>
      <c r="AO34" s="100">
        <v>45473</v>
      </c>
      <c r="AP34" s="100">
        <v>45473</v>
      </c>
      <c r="AQ34" s="96"/>
      <c r="AR34" s="97">
        <v>177.80287000000001</v>
      </c>
      <c r="AS34" s="97">
        <v>100.34</v>
      </c>
      <c r="AT34" s="97">
        <v>1</v>
      </c>
      <c r="AU34" s="97">
        <v>0.17840700000000001</v>
      </c>
      <c r="AV34" s="97">
        <v>0.17840700000000001</v>
      </c>
      <c r="AW34" s="96"/>
      <c r="AX34" s="96"/>
      <c r="AY34" s="96"/>
      <c r="AZ34" s="96"/>
      <c r="BA34" s="98">
        <v>9.8999999999999994E-5</v>
      </c>
      <c r="BB34" s="98">
        <v>3.0000000000000001E-6</v>
      </c>
      <c r="BC34" s="106"/>
    </row>
    <row r="35" spans="1:55" ht="15" customHeight="1">
      <c r="A35" s="106"/>
      <c r="B35" s="96">
        <v>286</v>
      </c>
      <c r="C35" s="96">
        <v>1445</v>
      </c>
      <c r="D35" s="96"/>
      <c r="E35" s="96"/>
      <c r="F35" s="96"/>
      <c r="G35" s="96">
        <v>25000804</v>
      </c>
      <c r="H35" s="96" t="s">
        <v>1013</v>
      </c>
      <c r="I35" s="96"/>
      <c r="J35" s="96" t="s">
        <v>203</v>
      </c>
      <c r="K35" s="96"/>
      <c r="L35" s="96" t="s">
        <v>477</v>
      </c>
      <c r="M35" s="96" t="s">
        <v>338</v>
      </c>
      <c r="N35" s="96" t="s">
        <v>337</v>
      </c>
      <c r="O35" s="96"/>
      <c r="P35" s="100">
        <v>45166</v>
      </c>
      <c r="Q35" s="96" t="s">
        <v>409</v>
      </c>
      <c r="R35" s="96" t="s">
        <v>409</v>
      </c>
      <c r="S35" s="96" t="s">
        <v>409</v>
      </c>
      <c r="T35" s="96" t="s">
        <v>1200</v>
      </c>
      <c r="U35" s="97">
        <v>3.79</v>
      </c>
      <c r="V35" s="96" t="s">
        <v>3678</v>
      </c>
      <c r="W35" s="98">
        <v>4.4816000000000002E-2</v>
      </c>
      <c r="X35" s="96"/>
      <c r="Y35" s="96"/>
      <c r="Z35" s="96"/>
      <c r="AA35" s="98">
        <v>4.2900000000000001E-2</v>
      </c>
      <c r="AB35" s="100">
        <v>46985</v>
      </c>
      <c r="AC35" s="96" t="s">
        <v>411</v>
      </c>
      <c r="AD35" s="96"/>
      <c r="AE35" s="96"/>
      <c r="AF35" s="96"/>
      <c r="AG35" s="100">
        <v>45190</v>
      </c>
      <c r="AH35" s="96"/>
      <c r="AI35" s="96"/>
      <c r="AJ35" s="96"/>
      <c r="AK35" s="96" t="s">
        <v>337</v>
      </c>
      <c r="AL35" s="96" t="s">
        <v>887</v>
      </c>
      <c r="AM35" s="96"/>
      <c r="AN35" s="96" t="s">
        <v>890</v>
      </c>
      <c r="AO35" s="100">
        <v>45473</v>
      </c>
      <c r="AP35" s="100">
        <v>45473</v>
      </c>
      <c r="AQ35" s="96"/>
      <c r="AR35" s="97">
        <v>450.41597100000001</v>
      </c>
      <c r="AS35" s="97">
        <v>103.67</v>
      </c>
      <c r="AT35" s="97">
        <v>1</v>
      </c>
      <c r="AU35" s="97">
        <v>0.46694600000000003</v>
      </c>
      <c r="AV35" s="97">
        <v>0.46694600000000003</v>
      </c>
      <c r="AW35" s="96"/>
      <c r="AX35" s="96"/>
      <c r="AY35" s="96"/>
      <c r="AZ35" s="96"/>
      <c r="BA35" s="98">
        <v>2.5900000000000001E-4</v>
      </c>
      <c r="BB35" s="98">
        <v>7.9999999999999996E-6</v>
      </c>
      <c r="BC35" s="106"/>
    </row>
    <row r="36" spans="1:55" ht="15" customHeight="1">
      <c r="A36" s="106"/>
      <c r="B36" s="96">
        <v>286</v>
      </c>
      <c r="C36" s="96">
        <v>1445</v>
      </c>
      <c r="D36" s="96"/>
      <c r="E36" s="96"/>
      <c r="F36" s="96"/>
      <c r="G36" s="96">
        <v>25000803</v>
      </c>
      <c r="H36" s="96" t="s">
        <v>1013</v>
      </c>
      <c r="I36" s="96" t="s">
        <v>795</v>
      </c>
      <c r="J36" s="96" t="s">
        <v>203</v>
      </c>
      <c r="K36" s="96"/>
      <c r="L36" s="96" t="s">
        <v>446</v>
      </c>
      <c r="M36" s="96" t="s">
        <v>337</v>
      </c>
      <c r="N36" s="96" t="s">
        <v>338</v>
      </c>
      <c r="O36" s="96"/>
      <c r="P36" s="100">
        <v>45161</v>
      </c>
      <c r="Q36" s="96" t="s">
        <v>2102</v>
      </c>
      <c r="R36" s="96" t="s">
        <v>311</v>
      </c>
      <c r="S36" s="96" t="s">
        <v>407</v>
      </c>
      <c r="T36" s="96" t="s">
        <v>1200</v>
      </c>
      <c r="U36" s="97">
        <v>3.32</v>
      </c>
      <c r="V36" s="96" t="s">
        <v>3678</v>
      </c>
      <c r="W36" s="98">
        <v>0.05</v>
      </c>
      <c r="X36" s="96"/>
      <c r="Y36" s="96"/>
      <c r="Z36" s="96"/>
      <c r="AA36" s="98">
        <v>5.5E-2</v>
      </c>
      <c r="AB36" s="100">
        <v>46790</v>
      </c>
      <c r="AC36" s="96" t="s">
        <v>410</v>
      </c>
      <c r="AD36" s="96"/>
      <c r="AE36" s="96"/>
      <c r="AF36" s="96"/>
      <c r="AG36" s="100">
        <v>45382</v>
      </c>
      <c r="AH36" s="96"/>
      <c r="AI36" s="96"/>
      <c r="AJ36" s="96"/>
      <c r="AK36" s="96" t="s">
        <v>337</v>
      </c>
      <c r="AL36" s="96" t="s">
        <v>887</v>
      </c>
      <c r="AM36" s="96"/>
      <c r="AN36" s="96" t="s">
        <v>890</v>
      </c>
      <c r="AO36" s="100">
        <v>45473</v>
      </c>
      <c r="AP36" s="100">
        <v>45473</v>
      </c>
      <c r="AQ36" s="96"/>
      <c r="AR36" s="97">
        <v>1043.142979</v>
      </c>
      <c r="AS36" s="97">
        <v>98.71</v>
      </c>
      <c r="AT36" s="97">
        <v>1</v>
      </c>
      <c r="AU36" s="97">
        <v>1.0296860000000001</v>
      </c>
      <c r="AV36" s="97">
        <v>1.0296860000000001</v>
      </c>
      <c r="AW36" s="96"/>
      <c r="AX36" s="96"/>
      <c r="AY36" s="96"/>
      <c r="AZ36" s="96"/>
      <c r="BA36" s="98">
        <v>5.7300000000000005E-4</v>
      </c>
      <c r="BB36" s="98">
        <v>1.9000000000000001E-5</v>
      </c>
      <c r="BC36" s="106"/>
    </row>
    <row r="37" spans="1:55" ht="15" customHeight="1">
      <c r="A37" s="106"/>
      <c r="B37" s="96">
        <v>286</v>
      </c>
      <c r="C37" s="96">
        <v>1445</v>
      </c>
      <c r="D37" s="96"/>
      <c r="E37" s="96"/>
      <c r="F37" s="96"/>
      <c r="G37" s="96">
        <v>25000781</v>
      </c>
      <c r="H37" s="96" t="s">
        <v>1013</v>
      </c>
      <c r="I37" s="96" t="s">
        <v>3684</v>
      </c>
      <c r="J37" s="96" t="s">
        <v>203</v>
      </c>
      <c r="K37" s="96"/>
      <c r="L37" s="96" t="s">
        <v>463</v>
      </c>
      <c r="M37" s="96" t="s">
        <v>338</v>
      </c>
      <c r="N37" s="96" t="s">
        <v>337</v>
      </c>
      <c r="O37" s="96"/>
      <c r="P37" s="100">
        <v>45047</v>
      </c>
      <c r="Q37" s="96" t="s">
        <v>3681</v>
      </c>
      <c r="R37" s="96" t="s">
        <v>311</v>
      </c>
      <c r="S37" s="96" t="s">
        <v>407</v>
      </c>
      <c r="T37" s="96" t="s">
        <v>1200</v>
      </c>
      <c r="U37" s="97">
        <v>0.67</v>
      </c>
      <c r="V37" s="96" t="s">
        <v>824</v>
      </c>
      <c r="W37" s="98">
        <v>7.8E-2</v>
      </c>
      <c r="X37" s="96"/>
      <c r="Y37" s="96"/>
      <c r="Z37" s="96"/>
      <c r="AA37" s="98">
        <v>7.8E-2</v>
      </c>
      <c r="AB37" s="100">
        <v>45722</v>
      </c>
      <c r="AC37" s="96" t="s">
        <v>411</v>
      </c>
      <c r="AD37" s="96"/>
      <c r="AE37" s="96"/>
      <c r="AF37" s="96"/>
      <c r="AG37" s="100">
        <v>45075</v>
      </c>
      <c r="AH37" s="96"/>
      <c r="AI37" s="96"/>
      <c r="AJ37" s="96"/>
      <c r="AK37" s="96" t="s">
        <v>337</v>
      </c>
      <c r="AL37" s="96" t="s">
        <v>887</v>
      </c>
      <c r="AM37" s="96"/>
      <c r="AN37" s="96" t="s">
        <v>890</v>
      </c>
      <c r="AO37" s="100">
        <v>45473</v>
      </c>
      <c r="AP37" s="100">
        <v>45473</v>
      </c>
      <c r="AQ37" s="96"/>
      <c r="AR37" s="97">
        <v>294.69903799999997</v>
      </c>
      <c r="AS37" s="97">
        <v>100.2</v>
      </c>
      <c r="AT37" s="97">
        <v>1</v>
      </c>
      <c r="AU37" s="97">
        <v>0.29528799999999999</v>
      </c>
      <c r="AV37" s="97">
        <v>0.29528799999999999</v>
      </c>
      <c r="AW37" s="96"/>
      <c r="AX37" s="96"/>
      <c r="AY37" s="96"/>
      <c r="AZ37" s="96"/>
      <c r="BA37" s="98">
        <v>1.64E-4</v>
      </c>
      <c r="BB37" s="98">
        <v>5.0000000000000004E-6</v>
      </c>
      <c r="BC37" s="106"/>
    </row>
    <row r="38" spans="1:55" ht="15" customHeight="1">
      <c r="A38" s="106"/>
      <c r="B38" s="96">
        <v>286</v>
      </c>
      <c r="C38" s="96">
        <v>1445</v>
      </c>
      <c r="D38" s="96"/>
      <c r="E38" s="96"/>
      <c r="F38" s="96"/>
      <c r="G38" s="96">
        <v>25000780</v>
      </c>
      <c r="H38" s="96" t="s">
        <v>1013</v>
      </c>
      <c r="I38" s="96" t="s">
        <v>813</v>
      </c>
      <c r="J38" s="96" t="s">
        <v>203</v>
      </c>
      <c r="K38" s="96"/>
      <c r="L38" s="96" t="s">
        <v>470</v>
      </c>
      <c r="M38" s="96" t="s">
        <v>338</v>
      </c>
      <c r="N38" s="96" t="s">
        <v>337</v>
      </c>
      <c r="O38" s="96"/>
      <c r="P38" s="100">
        <v>45036</v>
      </c>
      <c r="Q38" s="96" t="s">
        <v>1520</v>
      </c>
      <c r="R38" s="96" t="s">
        <v>414</v>
      </c>
      <c r="S38" s="96" t="s">
        <v>407</v>
      </c>
      <c r="T38" s="96" t="s">
        <v>1200</v>
      </c>
      <c r="U38" s="97">
        <v>5.13</v>
      </c>
      <c r="V38" s="96" t="s">
        <v>3678</v>
      </c>
      <c r="W38" s="98">
        <v>3.3447999999999999E-2</v>
      </c>
      <c r="X38" s="96"/>
      <c r="Y38" s="96"/>
      <c r="Z38" s="96"/>
      <c r="AA38" s="98">
        <v>3.7600000000000001E-2</v>
      </c>
      <c r="AB38" s="100">
        <v>49583</v>
      </c>
      <c r="AC38" s="96" t="s">
        <v>411</v>
      </c>
      <c r="AD38" s="96"/>
      <c r="AE38" s="96"/>
      <c r="AF38" s="96"/>
      <c r="AG38" s="100">
        <v>45291</v>
      </c>
      <c r="AH38" s="96"/>
      <c r="AI38" s="96"/>
      <c r="AJ38" s="96"/>
      <c r="AK38" s="96" t="s">
        <v>337</v>
      </c>
      <c r="AL38" s="96" t="s">
        <v>887</v>
      </c>
      <c r="AM38" s="96"/>
      <c r="AN38" s="96" t="s">
        <v>890</v>
      </c>
      <c r="AO38" s="100">
        <v>45473</v>
      </c>
      <c r="AP38" s="100">
        <v>45473</v>
      </c>
      <c r="AQ38" s="96"/>
      <c r="AR38" s="97">
        <v>354.62811099999999</v>
      </c>
      <c r="AS38" s="97">
        <v>102.7</v>
      </c>
      <c r="AT38" s="97">
        <v>1</v>
      </c>
      <c r="AU38" s="97">
        <v>0.364203</v>
      </c>
      <c r="AV38" s="97">
        <v>0.364203</v>
      </c>
      <c r="AW38" s="96"/>
      <c r="AX38" s="96"/>
      <c r="AY38" s="96"/>
      <c r="AZ38" s="96"/>
      <c r="BA38" s="98">
        <v>2.02E-4</v>
      </c>
      <c r="BB38" s="98">
        <v>6.0000000000000002E-6</v>
      </c>
      <c r="BC38" s="106"/>
    </row>
    <row r="39" spans="1:55" ht="15" customHeight="1">
      <c r="A39" s="106"/>
      <c r="B39" s="96">
        <v>286</v>
      </c>
      <c r="C39" s="96">
        <v>1445</v>
      </c>
      <c r="D39" s="96"/>
      <c r="E39" s="96"/>
      <c r="F39" s="96"/>
      <c r="G39" s="96">
        <v>25000779</v>
      </c>
      <c r="H39" s="96" t="s">
        <v>1013</v>
      </c>
      <c r="I39" s="96" t="s">
        <v>813</v>
      </c>
      <c r="J39" s="96" t="s">
        <v>203</v>
      </c>
      <c r="K39" s="96"/>
      <c r="L39" s="96" t="s">
        <v>470</v>
      </c>
      <c r="M39" s="96" t="s">
        <v>338</v>
      </c>
      <c r="N39" s="96" t="s">
        <v>337</v>
      </c>
      <c r="O39" s="96"/>
      <c r="P39" s="100">
        <v>45036</v>
      </c>
      <c r="Q39" s="96" t="s">
        <v>1520</v>
      </c>
      <c r="R39" s="96" t="s">
        <v>414</v>
      </c>
      <c r="S39" s="96" t="s">
        <v>407</v>
      </c>
      <c r="T39" s="96" t="s">
        <v>1200</v>
      </c>
      <c r="U39" s="97">
        <v>7.25</v>
      </c>
      <c r="V39" s="96" t="s">
        <v>3678</v>
      </c>
      <c r="W39" s="98">
        <v>3.3956E-2</v>
      </c>
      <c r="X39" s="96"/>
      <c r="Y39" s="96"/>
      <c r="Z39" s="96"/>
      <c r="AA39" s="98">
        <v>3.9399999999999998E-2</v>
      </c>
      <c r="AB39" s="100">
        <v>49583</v>
      </c>
      <c r="AC39" s="96" t="s">
        <v>411</v>
      </c>
      <c r="AD39" s="96"/>
      <c r="AE39" s="96"/>
      <c r="AF39" s="96"/>
      <c r="AG39" s="100">
        <v>45291</v>
      </c>
      <c r="AH39" s="96"/>
      <c r="AI39" s="96"/>
      <c r="AJ39" s="96"/>
      <c r="AK39" s="96" t="s">
        <v>337</v>
      </c>
      <c r="AL39" s="96" t="s">
        <v>887</v>
      </c>
      <c r="AM39" s="96"/>
      <c r="AN39" s="96" t="s">
        <v>890</v>
      </c>
      <c r="AO39" s="100">
        <v>45473</v>
      </c>
      <c r="AP39" s="100">
        <v>45473</v>
      </c>
      <c r="AQ39" s="96"/>
      <c r="AR39" s="97">
        <v>633.81113400000004</v>
      </c>
      <c r="AS39" s="97">
        <v>102.51</v>
      </c>
      <c r="AT39" s="97">
        <v>1</v>
      </c>
      <c r="AU39" s="97">
        <v>0.64971900000000005</v>
      </c>
      <c r="AV39" s="97">
        <v>0.64971900000000005</v>
      </c>
      <c r="AW39" s="96"/>
      <c r="AX39" s="96"/>
      <c r="AY39" s="96"/>
      <c r="AZ39" s="96"/>
      <c r="BA39" s="98">
        <v>3.6099999999999999E-4</v>
      </c>
      <c r="BB39" s="98">
        <v>1.2E-5</v>
      </c>
      <c r="BC39" s="106"/>
    </row>
    <row r="40" spans="1:55" ht="15" customHeight="1">
      <c r="A40" s="106"/>
      <c r="B40" s="96">
        <v>286</v>
      </c>
      <c r="C40" s="96">
        <v>1445</v>
      </c>
      <c r="D40" s="96"/>
      <c r="E40" s="96"/>
      <c r="F40" s="96"/>
      <c r="G40" s="96">
        <v>25000777</v>
      </c>
      <c r="H40" s="96" t="s">
        <v>1013</v>
      </c>
      <c r="I40" s="96" t="s">
        <v>797</v>
      </c>
      <c r="J40" s="96" t="s">
        <v>203</v>
      </c>
      <c r="K40" s="96"/>
      <c r="L40" s="96" t="s">
        <v>463</v>
      </c>
      <c r="M40" s="96" t="s">
        <v>338</v>
      </c>
      <c r="N40" s="96" t="s">
        <v>338</v>
      </c>
      <c r="O40" s="96"/>
      <c r="P40" s="100">
        <v>45026</v>
      </c>
      <c r="Q40" s="96" t="s">
        <v>3679</v>
      </c>
      <c r="R40" s="96" t="s">
        <v>311</v>
      </c>
      <c r="S40" s="96" t="s">
        <v>407</v>
      </c>
      <c r="T40" s="96" t="s">
        <v>1200</v>
      </c>
      <c r="U40" s="97">
        <v>1.33</v>
      </c>
      <c r="V40" s="96" t="s">
        <v>824</v>
      </c>
      <c r="W40" s="98">
        <v>6.5000000000000002E-2</v>
      </c>
      <c r="X40" s="96"/>
      <c r="Y40" s="96"/>
      <c r="Z40" s="96"/>
      <c r="AA40" s="98">
        <v>5.6899999999999999E-2</v>
      </c>
      <c r="AB40" s="100">
        <v>45978</v>
      </c>
      <c r="AC40" s="96" t="s">
        <v>411</v>
      </c>
      <c r="AD40" s="96"/>
      <c r="AE40" s="96"/>
      <c r="AF40" s="96"/>
      <c r="AG40" s="100">
        <v>45351</v>
      </c>
      <c r="AH40" s="96"/>
      <c r="AI40" s="96"/>
      <c r="AJ40" s="96"/>
      <c r="AK40" s="96" t="s">
        <v>337</v>
      </c>
      <c r="AL40" s="96" t="s">
        <v>887</v>
      </c>
      <c r="AM40" s="96"/>
      <c r="AN40" s="96" t="s">
        <v>890</v>
      </c>
      <c r="AO40" s="100">
        <v>45473</v>
      </c>
      <c r="AP40" s="100">
        <v>45473</v>
      </c>
      <c r="AQ40" s="96"/>
      <c r="AR40" s="97">
        <v>1425.688157</v>
      </c>
      <c r="AS40" s="97">
        <v>102.27</v>
      </c>
      <c r="AT40" s="97">
        <v>1</v>
      </c>
      <c r="AU40" s="97">
        <v>1.458051</v>
      </c>
      <c r="AV40" s="97">
        <v>1.458051</v>
      </c>
      <c r="AW40" s="96"/>
      <c r="AX40" s="96"/>
      <c r="AY40" s="96"/>
      <c r="AZ40" s="96"/>
      <c r="BA40" s="98">
        <v>8.1099999999999998E-4</v>
      </c>
      <c r="BB40" s="98">
        <v>2.6999999999999999E-5</v>
      </c>
      <c r="BC40" s="106"/>
    </row>
    <row r="41" spans="1:55" ht="15" customHeight="1">
      <c r="A41" s="106"/>
      <c r="B41" s="96">
        <v>286</v>
      </c>
      <c r="C41" s="96">
        <v>1445</v>
      </c>
      <c r="D41" s="96"/>
      <c r="E41" s="96"/>
      <c r="F41" s="96"/>
      <c r="G41" s="96">
        <v>25000775</v>
      </c>
      <c r="H41" s="96" t="s">
        <v>1013</v>
      </c>
      <c r="I41" s="96" t="s">
        <v>3684</v>
      </c>
      <c r="J41" s="96" t="s">
        <v>203</v>
      </c>
      <c r="K41" s="96"/>
      <c r="L41" s="96" t="s">
        <v>463</v>
      </c>
      <c r="M41" s="96" t="s">
        <v>338</v>
      </c>
      <c r="N41" s="96" t="s">
        <v>337</v>
      </c>
      <c r="O41" s="96"/>
      <c r="P41" s="100">
        <v>45019</v>
      </c>
      <c r="Q41" s="96" t="s">
        <v>3681</v>
      </c>
      <c r="R41" s="96" t="s">
        <v>311</v>
      </c>
      <c r="S41" s="96" t="s">
        <v>407</v>
      </c>
      <c r="T41" s="96" t="s">
        <v>1200</v>
      </c>
      <c r="U41" s="97">
        <v>0.67</v>
      </c>
      <c r="V41" s="96" t="s">
        <v>824</v>
      </c>
      <c r="W41" s="98">
        <v>7.8E-2</v>
      </c>
      <c r="X41" s="96"/>
      <c r="Y41" s="96"/>
      <c r="Z41" s="96"/>
      <c r="AA41" s="98">
        <v>7.6399999999999996E-2</v>
      </c>
      <c r="AB41" s="100">
        <v>45722</v>
      </c>
      <c r="AC41" s="96" t="s">
        <v>411</v>
      </c>
      <c r="AD41" s="96"/>
      <c r="AE41" s="96"/>
      <c r="AF41" s="96"/>
      <c r="AG41" s="100">
        <v>45075</v>
      </c>
      <c r="AH41" s="96"/>
      <c r="AI41" s="96"/>
      <c r="AJ41" s="96"/>
      <c r="AK41" s="96" t="s">
        <v>337</v>
      </c>
      <c r="AL41" s="96" t="s">
        <v>887</v>
      </c>
      <c r="AM41" s="96"/>
      <c r="AN41" s="96" t="s">
        <v>890</v>
      </c>
      <c r="AO41" s="100">
        <v>45473</v>
      </c>
      <c r="AP41" s="100">
        <v>45473</v>
      </c>
      <c r="AQ41" s="96"/>
      <c r="AR41" s="97">
        <v>338.79142999999999</v>
      </c>
      <c r="AS41" s="97">
        <v>100.3</v>
      </c>
      <c r="AT41" s="97">
        <v>1</v>
      </c>
      <c r="AU41" s="97">
        <v>0.33980700000000003</v>
      </c>
      <c r="AV41" s="97">
        <v>0.33980700000000003</v>
      </c>
      <c r="AW41" s="96"/>
      <c r="AX41" s="96"/>
      <c r="AY41" s="96"/>
      <c r="AZ41" s="96"/>
      <c r="BA41" s="98">
        <v>1.8900000000000001E-4</v>
      </c>
      <c r="BB41" s="98">
        <v>6.0000000000000002E-6</v>
      </c>
      <c r="BC41" s="106"/>
    </row>
    <row r="42" spans="1:55" ht="15" customHeight="1">
      <c r="A42" s="106"/>
      <c r="B42" s="96">
        <v>286</v>
      </c>
      <c r="C42" s="96">
        <v>1445</v>
      </c>
      <c r="D42" s="96"/>
      <c r="E42" s="96"/>
      <c r="F42" s="96"/>
      <c r="G42" s="96">
        <v>25000774</v>
      </c>
      <c r="H42" s="96" t="s">
        <v>1013</v>
      </c>
      <c r="I42" s="96"/>
      <c r="J42" s="96" t="s">
        <v>203</v>
      </c>
      <c r="K42" s="96"/>
      <c r="L42" s="96" t="s">
        <v>477</v>
      </c>
      <c r="M42" s="96" t="s">
        <v>338</v>
      </c>
      <c r="N42" s="96" t="s">
        <v>338</v>
      </c>
      <c r="O42" s="96"/>
      <c r="P42" s="100">
        <v>45013</v>
      </c>
      <c r="Q42" s="96" t="s">
        <v>1309</v>
      </c>
      <c r="R42" s="96" t="s">
        <v>414</v>
      </c>
      <c r="S42" s="96" t="s">
        <v>407</v>
      </c>
      <c r="T42" s="96" t="s">
        <v>1200</v>
      </c>
      <c r="U42" s="97">
        <v>0.5</v>
      </c>
      <c r="V42" s="96" t="s">
        <v>824</v>
      </c>
      <c r="W42" s="98">
        <v>7.2499999999999995E-2</v>
      </c>
      <c r="X42" s="96"/>
      <c r="Y42" s="96"/>
      <c r="Z42" s="96"/>
      <c r="AA42" s="98">
        <v>0.06</v>
      </c>
      <c r="AB42" s="100">
        <v>45657</v>
      </c>
      <c r="AC42" s="96" t="s">
        <v>411</v>
      </c>
      <c r="AD42" s="96"/>
      <c r="AE42" s="96"/>
      <c r="AF42" s="96"/>
      <c r="AG42" s="100"/>
      <c r="AH42" s="96"/>
      <c r="AI42" s="96"/>
      <c r="AJ42" s="96"/>
      <c r="AK42" s="96" t="s">
        <v>337</v>
      </c>
      <c r="AL42" s="96" t="s">
        <v>887</v>
      </c>
      <c r="AM42" s="96"/>
      <c r="AN42" s="96" t="s">
        <v>890</v>
      </c>
      <c r="AO42" s="100">
        <v>45473</v>
      </c>
      <c r="AP42" s="100">
        <v>45473</v>
      </c>
      <c r="AQ42" s="96"/>
      <c r="AR42" s="97">
        <v>16690.287680000001</v>
      </c>
      <c r="AS42" s="97">
        <v>104.27</v>
      </c>
      <c r="AT42" s="97">
        <v>1</v>
      </c>
      <c r="AU42" s="97">
        <v>17.402961999999999</v>
      </c>
      <c r="AV42" s="97">
        <v>17.402961999999999</v>
      </c>
      <c r="AW42" s="96"/>
      <c r="AX42" s="96"/>
      <c r="AY42" s="96"/>
      <c r="AZ42" s="96"/>
      <c r="BA42" s="98">
        <v>9.6869999999999994E-3</v>
      </c>
      <c r="BB42" s="98">
        <v>3.3100000000000002E-4</v>
      </c>
      <c r="BC42" s="106"/>
    </row>
    <row r="43" spans="1:55" ht="15" customHeight="1">
      <c r="A43" s="106"/>
      <c r="B43" s="96">
        <v>286</v>
      </c>
      <c r="C43" s="96">
        <v>1445</v>
      </c>
      <c r="D43" s="96"/>
      <c r="E43" s="96"/>
      <c r="F43" s="96"/>
      <c r="G43" s="96">
        <v>25000773</v>
      </c>
      <c r="H43" s="96" t="s">
        <v>1013</v>
      </c>
      <c r="I43" s="96" t="s">
        <v>806</v>
      </c>
      <c r="J43" s="96" t="s">
        <v>203</v>
      </c>
      <c r="K43" s="96"/>
      <c r="L43" s="96" t="s">
        <v>446</v>
      </c>
      <c r="M43" s="96" t="s">
        <v>338</v>
      </c>
      <c r="N43" s="96" t="s">
        <v>338</v>
      </c>
      <c r="O43" s="96"/>
      <c r="P43" s="100">
        <v>45015</v>
      </c>
      <c r="Q43" s="96" t="s">
        <v>1328</v>
      </c>
      <c r="R43" s="96" t="s">
        <v>412</v>
      </c>
      <c r="S43" s="96" t="s">
        <v>407</v>
      </c>
      <c r="T43" s="96" t="s">
        <v>1200</v>
      </c>
      <c r="U43" s="97">
        <v>2.23</v>
      </c>
      <c r="V43" s="96" t="s">
        <v>3678</v>
      </c>
      <c r="W43" s="98">
        <v>3.7600000000000001E-2</v>
      </c>
      <c r="X43" s="96"/>
      <c r="Y43" s="96"/>
      <c r="Z43" s="96"/>
      <c r="AA43" s="98">
        <v>3.2099999999999997E-2</v>
      </c>
      <c r="AB43" s="100">
        <v>46316</v>
      </c>
      <c r="AC43" s="96" t="s">
        <v>411</v>
      </c>
      <c r="AD43" s="96"/>
      <c r="AE43" s="96"/>
      <c r="AF43" s="96"/>
      <c r="AG43" s="100">
        <v>44921</v>
      </c>
      <c r="AH43" s="96"/>
      <c r="AI43" s="96"/>
      <c r="AJ43" s="96"/>
      <c r="AK43" s="96" t="s">
        <v>337</v>
      </c>
      <c r="AL43" s="96" t="s">
        <v>887</v>
      </c>
      <c r="AM43" s="96"/>
      <c r="AN43" s="96" t="s">
        <v>890</v>
      </c>
      <c r="AO43" s="100">
        <v>45473</v>
      </c>
      <c r="AP43" s="100">
        <v>45473</v>
      </c>
      <c r="AQ43" s="96"/>
      <c r="AR43" s="97">
        <v>523.37700800000005</v>
      </c>
      <c r="AS43" s="97">
        <v>105.49</v>
      </c>
      <c r="AT43" s="97">
        <v>1</v>
      </c>
      <c r="AU43" s="97">
        <v>0.55210999999999999</v>
      </c>
      <c r="AV43" s="97">
        <v>0.55210999999999999</v>
      </c>
      <c r="AW43" s="96"/>
      <c r="AX43" s="96"/>
      <c r="AY43" s="96"/>
      <c r="AZ43" s="96"/>
      <c r="BA43" s="98">
        <v>3.0699999999999998E-4</v>
      </c>
      <c r="BB43" s="98">
        <v>1.0000000000000001E-5</v>
      </c>
      <c r="BC43" s="106"/>
    </row>
    <row r="44" spans="1:55" ht="15" customHeight="1">
      <c r="A44" s="106"/>
      <c r="B44" s="96">
        <v>286</v>
      </c>
      <c r="C44" s="96">
        <v>1445</v>
      </c>
      <c r="D44" s="96"/>
      <c r="E44" s="96"/>
      <c r="F44" s="96"/>
      <c r="G44" s="96">
        <v>25000772</v>
      </c>
      <c r="H44" s="96" t="s">
        <v>1013</v>
      </c>
      <c r="I44" s="96"/>
      <c r="J44" s="96" t="s">
        <v>203</v>
      </c>
      <c r="K44" s="96"/>
      <c r="L44" s="96" t="s">
        <v>476</v>
      </c>
      <c r="M44" s="96" t="s">
        <v>338</v>
      </c>
      <c r="N44" s="96" t="s">
        <v>338</v>
      </c>
      <c r="O44" s="96"/>
      <c r="P44" s="100">
        <v>45014</v>
      </c>
      <c r="Q44" s="96" t="s">
        <v>3681</v>
      </c>
      <c r="R44" s="96" t="s">
        <v>311</v>
      </c>
      <c r="S44" s="96" t="s">
        <v>407</v>
      </c>
      <c r="T44" s="96" t="s">
        <v>1200</v>
      </c>
      <c r="U44" s="97">
        <v>1.42</v>
      </c>
      <c r="V44" s="96" t="s">
        <v>3678</v>
      </c>
      <c r="W44" s="98">
        <v>3.61E-2</v>
      </c>
      <c r="X44" s="96"/>
      <c r="Y44" s="96"/>
      <c r="Z44" s="96"/>
      <c r="AA44" s="98">
        <v>3.0300000000000001E-2</v>
      </c>
      <c r="AB44" s="100">
        <v>46232</v>
      </c>
      <c r="AC44" s="96" t="s">
        <v>411</v>
      </c>
      <c r="AD44" s="96"/>
      <c r="AE44" s="96"/>
      <c r="AF44" s="96"/>
      <c r="AG44" s="100">
        <v>45173</v>
      </c>
      <c r="AH44" s="96"/>
      <c r="AI44" s="96"/>
      <c r="AJ44" s="96"/>
      <c r="AK44" s="96" t="s">
        <v>337</v>
      </c>
      <c r="AL44" s="96" t="s">
        <v>887</v>
      </c>
      <c r="AM44" s="96"/>
      <c r="AN44" s="96" t="s">
        <v>890</v>
      </c>
      <c r="AO44" s="100">
        <v>45473</v>
      </c>
      <c r="AP44" s="100">
        <v>45473</v>
      </c>
      <c r="AQ44" s="96"/>
      <c r="AR44" s="97">
        <v>1995.811721</v>
      </c>
      <c r="AS44" s="97">
        <v>105.09</v>
      </c>
      <c r="AT44" s="97">
        <v>1</v>
      </c>
      <c r="AU44" s="97">
        <v>2.0973980000000001</v>
      </c>
      <c r="AV44" s="97">
        <v>2.0973980000000001</v>
      </c>
      <c r="AW44" s="96"/>
      <c r="AX44" s="96"/>
      <c r="AY44" s="96"/>
      <c r="AZ44" s="96"/>
      <c r="BA44" s="98">
        <v>1.1670000000000001E-3</v>
      </c>
      <c r="BB44" s="98">
        <v>3.8999999999999999E-5</v>
      </c>
      <c r="BC44" s="106"/>
    </row>
    <row r="45" spans="1:55" ht="15" customHeight="1">
      <c r="A45" s="106"/>
      <c r="B45" s="96">
        <v>286</v>
      </c>
      <c r="C45" s="96">
        <v>1445</v>
      </c>
      <c r="D45" s="96"/>
      <c r="E45" s="96"/>
      <c r="F45" s="96"/>
      <c r="G45" s="96">
        <v>25000771</v>
      </c>
      <c r="H45" s="96" t="s">
        <v>1013</v>
      </c>
      <c r="I45" s="96"/>
      <c r="J45" s="96" t="s">
        <v>203</v>
      </c>
      <c r="K45" s="96"/>
      <c r="L45" s="96" t="s">
        <v>446</v>
      </c>
      <c r="M45" s="96" t="s">
        <v>338</v>
      </c>
      <c r="N45" s="96" t="s">
        <v>338</v>
      </c>
      <c r="O45" s="96"/>
      <c r="P45" s="100">
        <v>45008</v>
      </c>
      <c r="Q45" s="96" t="s">
        <v>1309</v>
      </c>
      <c r="R45" s="96" t="s">
        <v>414</v>
      </c>
      <c r="S45" s="96" t="s">
        <v>407</v>
      </c>
      <c r="T45" s="96" t="s">
        <v>1200</v>
      </c>
      <c r="U45" s="97">
        <v>2.78</v>
      </c>
      <c r="V45" s="96" t="s">
        <v>3678</v>
      </c>
      <c r="W45" s="98">
        <v>4.5699999999999998E-2</v>
      </c>
      <c r="X45" s="96"/>
      <c r="Y45" s="96"/>
      <c r="Z45" s="96"/>
      <c r="AA45" s="98">
        <v>3.5700000000000003E-2</v>
      </c>
      <c r="AB45" s="100">
        <v>47200</v>
      </c>
      <c r="AC45" s="96" t="s">
        <v>411</v>
      </c>
      <c r="AD45" s="96"/>
      <c r="AE45" s="96"/>
      <c r="AF45" s="96"/>
      <c r="AG45" s="100"/>
      <c r="AH45" s="96"/>
      <c r="AI45" s="96"/>
      <c r="AJ45" s="96"/>
      <c r="AK45" s="96" t="s">
        <v>337</v>
      </c>
      <c r="AL45" s="96" t="s">
        <v>887</v>
      </c>
      <c r="AM45" s="96"/>
      <c r="AN45" s="96" t="s">
        <v>890</v>
      </c>
      <c r="AO45" s="100">
        <v>45473</v>
      </c>
      <c r="AP45" s="100">
        <v>45473</v>
      </c>
      <c r="AQ45" s="96"/>
      <c r="AR45" s="97">
        <v>4172.571919</v>
      </c>
      <c r="AS45" s="97">
        <v>108.45</v>
      </c>
      <c r="AT45" s="97">
        <v>1</v>
      </c>
      <c r="AU45" s="97">
        <v>4.5251539999999997</v>
      </c>
      <c r="AV45" s="97">
        <v>4.5251539999999997</v>
      </c>
      <c r="AW45" s="96"/>
      <c r="AX45" s="96"/>
      <c r="AY45" s="96"/>
      <c r="AZ45" s="96"/>
      <c r="BA45" s="98">
        <v>2.5179999999999998E-3</v>
      </c>
      <c r="BB45" s="98">
        <v>8.6000000000000003E-5</v>
      </c>
      <c r="BC45" s="106"/>
    </row>
    <row r="46" spans="1:55" ht="15" customHeight="1">
      <c r="A46" s="106"/>
      <c r="B46" s="96">
        <v>286</v>
      </c>
      <c r="C46" s="96">
        <v>1445</v>
      </c>
      <c r="D46" s="96"/>
      <c r="E46" s="96"/>
      <c r="F46" s="96"/>
      <c r="G46" s="96">
        <v>25000768</v>
      </c>
      <c r="H46" s="96" t="s">
        <v>1013</v>
      </c>
      <c r="I46" s="96" t="s">
        <v>785</v>
      </c>
      <c r="J46" s="96" t="s">
        <v>203</v>
      </c>
      <c r="K46" s="96"/>
      <c r="L46" s="96" t="s">
        <v>463</v>
      </c>
      <c r="M46" s="96" t="s">
        <v>338</v>
      </c>
      <c r="N46" s="96" t="s">
        <v>338</v>
      </c>
      <c r="O46" s="96"/>
      <c r="P46" s="100">
        <v>44990</v>
      </c>
      <c r="Q46" s="96" t="s">
        <v>1208</v>
      </c>
      <c r="R46" s="96" t="s">
        <v>311</v>
      </c>
      <c r="S46" s="96" t="s">
        <v>407</v>
      </c>
      <c r="T46" s="96" t="s">
        <v>1200</v>
      </c>
      <c r="U46" s="97">
        <v>3.31</v>
      </c>
      <c r="V46" s="96" t="s">
        <v>3678</v>
      </c>
      <c r="W46" s="98">
        <v>3.9699999999999999E-2</v>
      </c>
      <c r="X46" s="96"/>
      <c r="Y46" s="96"/>
      <c r="Z46" s="96"/>
      <c r="AA46" s="98">
        <v>3.5000000000000003E-2</v>
      </c>
      <c r="AB46" s="100">
        <v>46969</v>
      </c>
      <c r="AC46" s="96" t="s">
        <v>411</v>
      </c>
      <c r="AD46" s="96"/>
      <c r="AE46" s="96"/>
      <c r="AF46" s="96"/>
      <c r="AG46" s="100">
        <v>45062</v>
      </c>
      <c r="AH46" s="96"/>
      <c r="AI46" s="96"/>
      <c r="AJ46" s="96"/>
      <c r="AK46" s="96" t="s">
        <v>337</v>
      </c>
      <c r="AL46" s="96" t="s">
        <v>887</v>
      </c>
      <c r="AM46" s="96"/>
      <c r="AN46" s="96" t="s">
        <v>890</v>
      </c>
      <c r="AO46" s="100">
        <v>45473</v>
      </c>
      <c r="AP46" s="100">
        <v>45473</v>
      </c>
      <c r="AQ46" s="96"/>
      <c r="AR46" s="97">
        <v>3388.367158</v>
      </c>
      <c r="AS46" s="97">
        <v>106.38</v>
      </c>
      <c r="AT46" s="97">
        <v>1</v>
      </c>
      <c r="AU46" s="97">
        <v>3.6045440000000002</v>
      </c>
      <c r="AV46" s="97">
        <v>3.6045440000000002</v>
      </c>
      <c r="AW46" s="96"/>
      <c r="AX46" s="96"/>
      <c r="AY46" s="96"/>
      <c r="AZ46" s="96"/>
      <c r="BA46" s="98">
        <v>2.006E-3</v>
      </c>
      <c r="BB46" s="98">
        <v>6.7999999999999999E-5</v>
      </c>
      <c r="BC46" s="106"/>
    </row>
    <row r="47" spans="1:55" ht="15" customHeight="1">
      <c r="A47" s="106"/>
      <c r="B47" s="96">
        <v>286</v>
      </c>
      <c r="C47" s="96">
        <v>1445</v>
      </c>
      <c r="D47" s="96"/>
      <c r="E47" s="96"/>
      <c r="F47" s="96"/>
      <c r="G47" s="96">
        <v>25000767</v>
      </c>
      <c r="H47" s="96" t="s">
        <v>1013</v>
      </c>
      <c r="I47" s="96" t="s">
        <v>813</v>
      </c>
      <c r="J47" s="96" t="s">
        <v>203</v>
      </c>
      <c r="K47" s="96"/>
      <c r="L47" s="96" t="s">
        <v>470</v>
      </c>
      <c r="M47" s="96" t="s">
        <v>338</v>
      </c>
      <c r="N47" s="96" t="s">
        <v>337</v>
      </c>
      <c r="O47" s="96"/>
      <c r="P47" s="100">
        <v>44985</v>
      </c>
      <c r="Q47" s="96" t="s">
        <v>1520</v>
      </c>
      <c r="R47" s="96" t="s">
        <v>414</v>
      </c>
      <c r="S47" s="96" t="s">
        <v>407</v>
      </c>
      <c r="T47" s="96" t="s">
        <v>1200</v>
      </c>
      <c r="U47" s="97">
        <v>7.32</v>
      </c>
      <c r="V47" s="96" t="s">
        <v>3678</v>
      </c>
      <c r="W47" s="98">
        <v>3.2051000000000003E-2</v>
      </c>
      <c r="X47" s="96"/>
      <c r="Y47" s="96"/>
      <c r="Z47" s="96"/>
      <c r="AA47" s="98">
        <v>3.7499999999999999E-2</v>
      </c>
      <c r="AB47" s="100">
        <v>49583</v>
      </c>
      <c r="AC47" s="96" t="s">
        <v>411</v>
      </c>
      <c r="AD47" s="96"/>
      <c r="AE47" s="96"/>
      <c r="AF47" s="96"/>
      <c r="AG47" s="100">
        <v>45291</v>
      </c>
      <c r="AH47" s="96"/>
      <c r="AI47" s="96"/>
      <c r="AJ47" s="96"/>
      <c r="AK47" s="96" t="s">
        <v>337</v>
      </c>
      <c r="AL47" s="96" t="s">
        <v>887</v>
      </c>
      <c r="AM47" s="96"/>
      <c r="AN47" s="96" t="s">
        <v>890</v>
      </c>
      <c r="AO47" s="100">
        <v>45473</v>
      </c>
      <c r="AP47" s="100">
        <v>45473</v>
      </c>
      <c r="AQ47" s="96"/>
      <c r="AR47" s="97">
        <v>1793.3347369999999</v>
      </c>
      <c r="AS47" s="97">
        <v>103.29</v>
      </c>
      <c r="AT47" s="97">
        <v>1</v>
      </c>
      <c r="AU47" s="97">
        <v>1.8523350000000001</v>
      </c>
      <c r="AV47" s="97">
        <v>1.8523350000000001</v>
      </c>
      <c r="AW47" s="96"/>
      <c r="AX47" s="96"/>
      <c r="AY47" s="96"/>
      <c r="AZ47" s="96"/>
      <c r="BA47" s="98">
        <v>1.031E-3</v>
      </c>
      <c r="BB47" s="98">
        <v>3.4999999999999997E-5</v>
      </c>
      <c r="BC47" s="106"/>
    </row>
    <row r="48" spans="1:55" ht="15" customHeight="1">
      <c r="A48" s="106"/>
      <c r="B48" s="96">
        <v>286</v>
      </c>
      <c r="C48" s="96">
        <v>1445</v>
      </c>
      <c r="D48" s="96"/>
      <c r="E48" s="96"/>
      <c r="F48" s="96"/>
      <c r="G48" s="96">
        <v>25000765</v>
      </c>
      <c r="H48" s="96" t="s">
        <v>1013</v>
      </c>
      <c r="I48" s="96" t="s">
        <v>813</v>
      </c>
      <c r="J48" s="96" t="s">
        <v>203</v>
      </c>
      <c r="K48" s="96"/>
      <c r="L48" s="96" t="s">
        <v>470</v>
      </c>
      <c r="M48" s="96" t="s">
        <v>338</v>
      </c>
      <c r="N48" s="96" t="s">
        <v>337</v>
      </c>
      <c r="O48" s="96"/>
      <c r="P48" s="100">
        <v>44985</v>
      </c>
      <c r="Q48" s="96" t="s">
        <v>1520</v>
      </c>
      <c r="R48" s="96" t="s">
        <v>414</v>
      </c>
      <c r="S48" s="96" t="s">
        <v>407</v>
      </c>
      <c r="T48" s="96" t="s">
        <v>1200</v>
      </c>
      <c r="U48" s="97">
        <v>5.17</v>
      </c>
      <c r="V48" s="96" t="s">
        <v>3678</v>
      </c>
      <c r="W48" s="98">
        <v>3.1889000000000001E-2</v>
      </c>
      <c r="X48" s="96"/>
      <c r="Y48" s="96"/>
      <c r="Z48" s="96"/>
      <c r="AA48" s="98">
        <v>3.5299999999999998E-2</v>
      </c>
      <c r="AB48" s="100">
        <v>49582</v>
      </c>
      <c r="AC48" s="96" t="s">
        <v>411</v>
      </c>
      <c r="AD48" s="96"/>
      <c r="AE48" s="96"/>
      <c r="AF48" s="96"/>
      <c r="AG48" s="100">
        <v>45291</v>
      </c>
      <c r="AH48" s="96"/>
      <c r="AI48" s="96"/>
      <c r="AJ48" s="96"/>
      <c r="AK48" s="96" t="s">
        <v>337</v>
      </c>
      <c r="AL48" s="96" t="s">
        <v>887</v>
      </c>
      <c r="AM48" s="96"/>
      <c r="AN48" s="96" t="s">
        <v>890</v>
      </c>
      <c r="AO48" s="100">
        <v>45473</v>
      </c>
      <c r="AP48" s="100">
        <v>45473</v>
      </c>
      <c r="AQ48" s="96"/>
      <c r="AR48" s="97">
        <v>1456.314337</v>
      </c>
      <c r="AS48" s="97">
        <v>103.9</v>
      </c>
      <c r="AT48" s="97">
        <v>1</v>
      </c>
      <c r="AU48" s="97">
        <v>1.51311</v>
      </c>
      <c r="AV48" s="97">
        <v>1.51311</v>
      </c>
      <c r="AW48" s="96"/>
      <c r="AX48" s="96"/>
      <c r="AY48" s="96"/>
      <c r="AZ48" s="96"/>
      <c r="BA48" s="98">
        <v>8.4199999999999998E-4</v>
      </c>
      <c r="BB48" s="98">
        <v>2.8E-5</v>
      </c>
      <c r="BC48" s="106"/>
    </row>
    <row r="49" spans="1:55" ht="15" customHeight="1">
      <c r="A49" s="106"/>
      <c r="B49" s="96">
        <v>286</v>
      </c>
      <c r="C49" s="96">
        <v>1445</v>
      </c>
      <c r="D49" s="96"/>
      <c r="E49" s="96"/>
      <c r="F49" s="96"/>
      <c r="G49" s="96">
        <v>25000764</v>
      </c>
      <c r="H49" s="96" t="s">
        <v>1013</v>
      </c>
      <c r="I49" s="96" t="s">
        <v>3684</v>
      </c>
      <c r="J49" s="96" t="s">
        <v>203</v>
      </c>
      <c r="K49" s="96"/>
      <c r="L49" s="96" t="s">
        <v>463</v>
      </c>
      <c r="M49" s="96" t="s">
        <v>338</v>
      </c>
      <c r="N49" s="96" t="s">
        <v>337</v>
      </c>
      <c r="O49" s="96"/>
      <c r="P49" s="100">
        <v>44985</v>
      </c>
      <c r="Q49" s="96" t="s">
        <v>3681</v>
      </c>
      <c r="R49" s="96" t="s">
        <v>311</v>
      </c>
      <c r="S49" s="96" t="s">
        <v>407</v>
      </c>
      <c r="T49" s="96" t="s">
        <v>1200</v>
      </c>
      <c r="U49" s="97">
        <v>0.65</v>
      </c>
      <c r="V49" s="96" t="s">
        <v>824</v>
      </c>
      <c r="W49" s="98">
        <v>7.8E-2</v>
      </c>
      <c r="X49" s="96"/>
      <c r="Y49" s="96"/>
      <c r="Z49" s="96"/>
      <c r="AA49" s="98">
        <v>6.0299999999999999E-2</v>
      </c>
      <c r="AB49" s="100">
        <v>45716</v>
      </c>
      <c r="AC49" s="96" t="s">
        <v>411</v>
      </c>
      <c r="AD49" s="96"/>
      <c r="AE49" s="96"/>
      <c r="AF49" s="96"/>
      <c r="AG49" s="100">
        <v>45075</v>
      </c>
      <c r="AH49" s="96"/>
      <c r="AI49" s="96"/>
      <c r="AJ49" s="96"/>
      <c r="AK49" s="96" t="s">
        <v>337</v>
      </c>
      <c r="AL49" s="96" t="s">
        <v>887</v>
      </c>
      <c r="AM49" s="96"/>
      <c r="AN49" s="96" t="s">
        <v>890</v>
      </c>
      <c r="AO49" s="100">
        <v>45473</v>
      </c>
      <c r="AP49" s="100">
        <v>45473</v>
      </c>
      <c r="AQ49" s="96"/>
      <c r="AR49" s="97">
        <v>341.174015</v>
      </c>
      <c r="AS49" s="97">
        <v>101.3</v>
      </c>
      <c r="AT49" s="97">
        <v>1</v>
      </c>
      <c r="AU49" s="97">
        <v>0.345609</v>
      </c>
      <c r="AV49" s="97">
        <v>0.345609</v>
      </c>
      <c r="AW49" s="96"/>
      <c r="AX49" s="96"/>
      <c r="AY49" s="96"/>
      <c r="AZ49" s="96"/>
      <c r="BA49" s="98">
        <v>1.92E-4</v>
      </c>
      <c r="BB49" s="98">
        <v>6.0000000000000002E-6</v>
      </c>
      <c r="BC49" s="106"/>
    </row>
    <row r="50" spans="1:55" ht="15" customHeight="1">
      <c r="A50" s="106"/>
      <c r="B50" s="96">
        <v>286</v>
      </c>
      <c r="C50" s="96">
        <v>1445</v>
      </c>
      <c r="D50" s="96"/>
      <c r="E50" s="96"/>
      <c r="F50" s="96"/>
      <c r="G50" s="96">
        <v>25000782</v>
      </c>
      <c r="H50" s="96" t="s">
        <v>1013</v>
      </c>
      <c r="I50" s="96" t="s">
        <v>795</v>
      </c>
      <c r="J50" s="96" t="s">
        <v>203</v>
      </c>
      <c r="K50" s="96"/>
      <c r="L50" s="96" t="s">
        <v>446</v>
      </c>
      <c r="M50" s="96" t="s">
        <v>337</v>
      </c>
      <c r="N50" s="96" t="s">
        <v>338</v>
      </c>
      <c r="O50" s="96"/>
      <c r="P50" s="100">
        <v>45057</v>
      </c>
      <c r="Q50" s="96" t="s">
        <v>2102</v>
      </c>
      <c r="R50" s="96" t="s">
        <v>311</v>
      </c>
      <c r="S50" s="96" t="s">
        <v>407</v>
      </c>
      <c r="T50" s="96" t="s">
        <v>1200</v>
      </c>
      <c r="U50" s="97">
        <v>3.32</v>
      </c>
      <c r="V50" s="96" t="s">
        <v>3678</v>
      </c>
      <c r="W50" s="98">
        <v>0.05</v>
      </c>
      <c r="X50" s="96"/>
      <c r="Y50" s="96"/>
      <c r="Z50" s="96"/>
      <c r="AA50" s="98">
        <v>5.6500000000000002E-2</v>
      </c>
      <c r="AB50" s="100">
        <v>46790</v>
      </c>
      <c r="AC50" s="96" t="s">
        <v>410</v>
      </c>
      <c r="AD50" s="96"/>
      <c r="AE50" s="96"/>
      <c r="AF50" s="96"/>
      <c r="AG50" s="100">
        <v>45291</v>
      </c>
      <c r="AH50" s="96"/>
      <c r="AI50" s="96"/>
      <c r="AJ50" s="96"/>
      <c r="AK50" s="96" t="s">
        <v>337</v>
      </c>
      <c r="AL50" s="96" t="s">
        <v>887</v>
      </c>
      <c r="AM50" s="96"/>
      <c r="AN50" s="96" t="s">
        <v>890</v>
      </c>
      <c r="AO50" s="100">
        <v>45473</v>
      </c>
      <c r="AP50" s="100">
        <v>45473</v>
      </c>
      <c r="AQ50" s="96"/>
      <c r="AR50" s="97">
        <v>834.51438299999995</v>
      </c>
      <c r="AS50" s="97">
        <v>98.25</v>
      </c>
      <c r="AT50" s="97">
        <v>1</v>
      </c>
      <c r="AU50" s="97">
        <v>0.81991000000000003</v>
      </c>
      <c r="AV50" s="97">
        <v>0.81991000000000003</v>
      </c>
      <c r="AW50" s="96"/>
      <c r="AX50" s="96"/>
      <c r="AY50" s="96"/>
      <c r="AZ50" s="96"/>
      <c r="BA50" s="98">
        <v>4.5600000000000003E-4</v>
      </c>
      <c r="BB50" s="98">
        <v>1.5E-5</v>
      </c>
      <c r="BC50" s="106"/>
    </row>
    <row r="51" spans="1:55" ht="15" customHeight="1">
      <c r="A51" s="106"/>
      <c r="B51" s="96">
        <v>286</v>
      </c>
      <c r="C51" s="96">
        <v>1445</v>
      </c>
      <c r="D51" s="96"/>
      <c r="E51" s="96"/>
      <c r="F51" s="96"/>
      <c r="G51" s="96">
        <v>25000879</v>
      </c>
      <c r="H51" s="96" t="s">
        <v>1013</v>
      </c>
      <c r="I51" s="96" t="s">
        <v>785</v>
      </c>
      <c r="J51" s="96" t="s">
        <v>203</v>
      </c>
      <c r="K51" s="96"/>
      <c r="L51" s="96" t="s">
        <v>446</v>
      </c>
      <c r="M51" s="96" t="s">
        <v>338</v>
      </c>
      <c r="N51" s="96" t="s">
        <v>337</v>
      </c>
      <c r="O51" s="96"/>
      <c r="P51" s="100">
        <v>45291</v>
      </c>
      <c r="Q51" s="96" t="s">
        <v>2074</v>
      </c>
      <c r="R51" s="96" t="s">
        <v>311</v>
      </c>
      <c r="S51" s="96" t="s">
        <v>407</v>
      </c>
      <c r="T51" s="96" t="s">
        <v>1200</v>
      </c>
      <c r="U51" s="97">
        <v>0.5</v>
      </c>
      <c r="V51" s="96" t="s">
        <v>3678</v>
      </c>
      <c r="W51" s="98">
        <v>4.1000000000000002E-2</v>
      </c>
      <c r="X51" s="96"/>
      <c r="Y51" s="96"/>
      <c r="Z51" s="96"/>
      <c r="AA51" s="98">
        <v>2.7900000000000001E-2</v>
      </c>
      <c r="AB51" s="100">
        <v>45657</v>
      </c>
      <c r="AC51" s="96" t="s">
        <v>411</v>
      </c>
      <c r="AD51" s="96"/>
      <c r="AE51" s="96"/>
      <c r="AF51" s="96"/>
      <c r="AG51" s="100">
        <v>45238</v>
      </c>
      <c r="AH51" s="96"/>
      <c r="AI51" s="96"/>
      <c r="AJ51" s="96"/>
      <c r="AK51" s="96" t="s">
        <v>337</v>
      </c>
      <c r="AL51" s="96" t="s">
        <v>887</v>
      </c>
      <c r="AM51" s="96"/>
      <c r="AN51" s="96" t="s">
        <v>890</v>
      </c>
      <c r="AO51" s="100">
        <v>45473</v>
      </c>
      <c r="AP51" s="100">
        <v>45473</v>
      </c>
      <c r="AQ51" s="96"/>
      <c r="AR51" s="97">
        <v>38001.466949000001</v>
      </c>
      <c r="AS51" s="97">
        <v>103.61</v>
      </c>
      <c r="AT51" s="97">
        <v>1</v>
      </c>
      <c r="AU51" s="97">
        <v>39.373319000000002</v>
      </c>
      <c r="AV51" s="97">
        <v>39.373319000000002</v>
      </c>
      <c r="AW51" s="96"/>
      <c r="AX51" s="96"/>
      <c r="AY51" s="96"/>
      <c r="AZ51" s="96"/>
      <c r="BA51" s="98">
        <v>2.1916000000000001E-2</v>
      </c>
      <c r="BB51" s="98">
        <v>7.4899999999999999E-4</v>
      </c>
      <c r="BC51" s="106"/>
    </row>
    <row r="52" spans="1:55" ht="15" customHeight="1">
      <c r="A52" s="106"/>
      <c r="B52" s="96">
        <v>286</v>
      </c>
      <c r="C52" s="96">
        <v>1445</v>
      </c>
      <c r="D52" s="96"/>
      <c r="E52" s="96"/>
      <c r="F52" s="96"/>
      <c r="G52" s="96">
        <v>25000783</v>
      </c>
      <c r="H52" s="96" t="s">
        <v>1013</v>
      </c>
      <c r="I52" s="96"/>
      <c r="J52" s="96" t="s">
        <v>203</v>
      </c>
      <c r="K52" s="96"/>
      <c r="L52" s="96" t="s">
        <v>476</v>
      </c>
      <c r="M52" s="96" t="s">
        <v>338</v>
      </c>
      <c r="N52" s="96" t="s">
        <v>338</v>
      </c>
      <c r="O52" s="96"/>
      <c r="P52" s="100">
        <v>45063</v>
      </c>
      <c r="Q52" s="96" t="s">
        <v>3681</v>
      </c>
      <c r="R52" s="96" t="s">
        <v>311</v>
      </c>
      <c r="S52" s="96" t="s">
        <v>407</v>
      </c>
      <c r="T52" s="96" t="s">
        <v>1200</v>
      </c>
      <c r="U52" s="97">
        <v>1.44</v>
      </c>
      <c r="V52" s="96" t="s">
        <v>3678</v>
      </c>
      <c r="W52" s="98">
        <v>3.6600000000000001E-2</v>
      </c>
      <c r="X52" s="96"/>
      <c r="Y52" s="96"/>
      <c r="Z52" s="96"/>
      <c r="AA52" s="98">
        <v>3.1399999999999997E-2</v>
      </c>
      <c r="AB52" s="100">
        <v>46282</v>
      </c>
      <c r="AC52" s="96" t="s">
        <v>411</v>
      </c>
      <c r="AD52" s="96"/>
      <c r="AE52" s="96"/>
      <c r="AF52" s="96"/>
      <c r="AG52" s="100">
        <v>45173</v>
      </c>
      <c r="AH52" s="96"/>
      <c r="AI52" s="96"/>
      <c r="AJ52" s="96"/>
      <c r="AK52" s="96" t="s">
        <v>337</v>
      </c>
      <c r="AL52" s="96" t="s">
        <v>887</v>
      </c>
      <c r="AM52" s="96"/>
      <c r="AN52" s="96" t="s">
        <v>890</v>
      </c>
      <c r="AO52" s="100">
        <v>45473</v>
      </c>
      <c r="AP52" s="100">
        <v>45473</v>
      </c>
      <c r="AQ52" s="96"/>
      <c r="AR52" s="97">
        <v>2155.8293079999999</v>
      </c>
      <c r="AS52" s="97">
        <v>104.25</v>
      </c>
      <c r="AT52" s="97">
        <v>1</v>
      </c>
      <c r="AU52" s="97">
        <v>2.247452</v>
      </c>
      <c r="AV52" s="97">
        <v>2.247452</v>
      </c>
      <c r="AW52" s="96"/>
      <c r="AX52" s="96"/>
      <c r="AY52" s="96"/>
      <c r="AZ52" s="96"/>
      <c r="BA52" s="98">
        <v>1.2509999999999999E-3</v>
      </c>
      <c r="BB52" s="98">
        <v>4.1999999999999998E-5</v>
      </c>
      <c r="BC52" s="106"/>
    </row>
    <row r="53" spans="1:55" ht="15" customHeight="1">
      <c r="A53" s="106"/>
      <c r="B53" s="96">
        <v>286</v>
      </c>
      <c r="C53" s="96">
        <v>1445</v>
      </c>
      <c r="D53" s="96"/>
      <c r="E53" s="96"/>
      <c r="F53" s="96"/>
      <c r="G53" s="96">
        <v>25000786</v>
      </c>
      <c r="H53" s="96" t="s">
        <v>1013</v>
      </c>
      <c r="I53" s="96" t="s">
        <v>3684</v>
      </c>
      <c r="J53" s="96" t="s">
        <v>203</v>
      </c>
      <c r="K53" s="96"/>
      <c r="L53" s="96" t="s">
        <v>463</v>
      </c>
      <c r="M53" s="96" t="s">
        <v>338</v>
      </c>
      <c r="N53" s="96" t="s">
        <v>337</v>
      </c>
      <c r="O53" s="96"/>
      <c r="P53" s="100">
        <v>45097</v>
      </c>
      <c r="Q53" s="96" t="s">
        <v>3681</v>
      </c>
      <c r="R53" s="96" t="s">
        <v>311</v>
      </c>
      <c r="S53" s="96" t="s">
        <v>407</v>
      </c>
      <c r="T53" s="96" t="s">
        <v>1200</v>
      </c>
      <c r="U53" s="97">
        <v>0.67</v>
      </c>
      <c r="V53" s="96" t="s">
        <v>824</v>
      </c>
      <c r="W53" s="98">
        <v>7.8E-2</v>
      </c>
      <c r="X53" s="96"/>
      <c r="Y53" s="96"/>
      <c r="Z53" s="96"/>
      <c r="AA53" s="98">
        <v>7.8E-2</v>
      </c>
      <c r="AB53" s="100">
        <v>45722</v>
      </c>
      <c r="AC53" s="96" t="s">
        <v>411</v>
      </c>
      <c r="AD53" s="96"/>
      <c r="AE53" s="96"/>
      <c r="AF53" s="96"/>
      <c r="AG53" s="100">
        <v>45075</v>
      </c>
      <c r="AH53" s="96"/>
      <c r="AI53" s="96"/>
      <c r="AJ53" s="96"/>
      <c r="AK53" s="96" t="s">
        <v>337</v>
      </c>
      <c r="AL53" s="96" t="s">
        <v>887</v>
      </c>
      <c r="AM53" s="96"/>
      <c r="AN53" s="96" t="s">
        <v>890</v>
      </c>
      <c r="AO53" s="100">
        <v>45473</v>
      </c>
      <c r="AP53" s="100">
        <v>45473</v>
      </c>
      <c r="AQ53" s="96"/>
      <c r="AR53" s="97">
        <v>374.83640400000002</v>
      </c>
      <c r="AS53" s="97">
        <v>100.2</v>
      </c>
      <c r="AT53" s="97">
        <v>1</v>
      </c>
      <c r="AU53" s="97">
        <v>0.37558599999999998</v>
      </c>
      <c r="AV53" s="97">
        <v>0.37558599999999998</v>
      </c>
      <c r="AW53" s="96"/>
      <c r="AX53" s="96"/>
      <c r="AY53" s="96"/>
      <c r="AZ53" s="96"/>
      <c r="BA53" s="98">
        <v>2.0900000000000001E-4</v>
      </c>
      <c r="BB53" s="98">
        <v>6.9999999999999999E-6</v>
      </c>
      <c r="BC53" s="106"/>
    </row>
    <row r="54" spans="1:55" ht="15" customHeight="1">
      <c r="A54" s="106"/>
      <c r="B54" s="96">
        <v>286</v>
      </c>
      <c r="C54" s="96">
        <v>1445</v>
      </c>
      <c r="D54" s="96"/>
      <c r="E54" s="96"/>
      <c r="F54" s="96"/>
      <c r="G54" s="96">
        <v>25000802</v>
      </c>
      <c r="H54" s="96" t="s">
        <v>1013</v>
      </c>
      <c r="I54" s="96"/>
      <c r="J54" s="96" t="s">
        <v>203</v>
      </c>
      <c r="K54" s="96"/>
      <c r="L54" s="96" t="s">
        <v>477</v>
      </c>
      <c r="M54" s="96" t="s">
        <v>337</v>
      </c>
      <c r="N54" s="96" t="s">
        <v>338</v>
      </c>
      <c r="O54" s="96"/>
      <c r="P54" s="100">
        <v>45152</v>
      </c>
      <c r="Q54" s="96" t="s">
        <v>1309</v>
      </c>
      <c r="R54" s="96" t="s">
        <v>414</v>
      </c>
      <c r="S54" s="96" t="s">
        <v>407</v>
      </c>
      <c r="T54" s="96" t="s">
        <v>1200</v>
      </c>
      <c r="U54" s="97">
        <v>3.87</v>
      </c>
      <c r="V54" s="96" t="s">
        <v>824</v>
      </c>
      <c r="W54" s="98">
        <v>6.7000000000000004E-2</v>
      </c>
      <c r="X54" s="96"/>
      <c r="Y54" s="96"/>
      <c r="Z54" s="96"/>
      <c r="AA54" s="98">
        <v>6.3700000000000007E-2</v>
      </c>
      <c r="AB54" s="100">
        <v>48822</v>
      </c>
      <c r="AC54" s="96" t="s">
        <v>411</v>
      </c>
      <c r="AD54" s="96"/>
      <c r="AE54" s="96"/>
      <c r="AF54" s="96"/>
      <c r="AG54" s="100"/>
      <c r="AH54" s="96"/>
      <c r="AI54" s="96"/>
      <c r="AJ54" s="96"/>
      <c r="AK54" s="96" t="s">
        <v>337</v>
      </c>
      <c r="AL54" s="96" t="s">
        <v>887</v>
      </c>
      <c r="AM54" s="96"/>
      <c r="AN54" s="96" t="s">
        <v>890</v>
      </c>
      <c r="AO54" s="100">
        <v>45473</v>
      </c>
      <c r="AP54" s="100">
        <v>45473</v>
      </c>
      <c r="AQ54" s="96"/>
      <c r="AR54" s="97">
        <v>16690.288245</v>
      </c>
      <c r="AS54" s="97">
        <v>102.47</v>
      </c>
      <c r="AT54" s="97">
        <v>1</v>
      </c>
      <c r="AU54" s="97">
        <v>17.102537999999999</v>
      </c>
      <c r="AV54" s="97">
        <v>17.102537999999999</v>
      </c>
      <c r="AW54" s="96"/>
      <c r="AX54" s="96"/>
      <c r="AY54" s="96"/>
      <c r="AZ54" s="96"/>
      <c r="BA54" s="98">
        <v>9.5189999999999997E-3</v>
      </c>
      <c r="BB54" s="98">
        <v>3.2499999999999999E-4</v>
      </c>
      <c r="BC54" s="106"/>
    </row>
    <row r="55" spans="1:55" ht="15" customHeight="1">
      <c r="A55" s="106"/>
      <c r="B55" s="96">
        <v>286</v>
      </c>
      <c r="C55" s="96">
        <v>1445</v>
      </c>
      <c r="D55" s="96"/>
      <c r="E55" s="96"/>
      <c r="F55" s="96"/>
      <c r="G55" s="96">
        <v>25000801</v>
      </c>
      <c r="H55" s="96" t="s">
        <v>1013</v>
      </c>
      <c r="I55" s="96"/>
      <c r="J55" s="96" t="s">
        <v>203</v>
      </c>
      <c r="K55" s="96"/>
      <c r="L55" s="96" t="s">
        <v>477</v>
      </c>
      <c r="M55" s="96" t="s">
        <v>337</v>
      </c>
      <c r="N55" s="96" t="s">
        <v>338</v>
      </c>
      <c r="O55" s="96"/>
      <c r="P55" s="100">
        <v>45158</v>
      </c>
      <c r="Q55" s="96" t="s">
        <v>1309</v>
      </c>
      <c r="R55" s="96" t="s">
        <v>414</v>
      </c>
      <c r="S55" s="96" t="s">
        <v>407</v>
      </c>
      <c r="T55" s="96" t="s">
        <v>1200</v>
      </c>
      <c r="U55" s="97">
        <v>5.4</v>
      </c>
      <c r="V55" s="96" t="s">
        <v>824</v>
      </c>
      <c r="W55" s="98">
        <v>6.7000000000000004E-2</v>
      </c>
      <c r="X55" s="96"/>
      <c r="Y55" s="96"/>
      <c r="Z55" s="96"/>
      <c r="AA55" s="98">
        <v>6.6199999999999995E-2</v>
      </c>
      <c r="AB55" s="100">
        <v>50617</v>
      </c>
      <c r="AC55" s="96" t="s">
        <v>411</v>
      </c>
      <c r="AD55" s="96"/>
      <c r="AE55" s="96"/>
      <c r="AF55" s="96"/>
      <c r="AG55" s="100"/>
      <c r="AH55" s="96"/>
      <c r="AI55" s="96"/>
      <c r="AJ55" s="96"/>
      <c r="AK55" s="96" t="s">
        <v>337</v>
      </c>
      <c r="AL55" s="96" t="s">
        <v>887</v>
      </c>
      <c r="AM55" s="96"/>
      <c r="AN55" s="96" t="s">
        <v>890</v>
      </c>
      <c r="AO55" s="100">
        <v>45473</v>
      </c>
      <c r="AP55" s="100">
        <v>45473</v>
      </c>
      <c r="AQ55" s="96"/>
      <c r="AR55" s="97">
        <v>7835.1627349999999</v>
      </c>
      <c r="AS55" s="97">
        <v>103.07</v>
      </c>
      <c r="AT55" s="97">
        <v>1</v>
      </c>
      <c r="AU55" s="97">
        <v>8.0757019999999997</v>
      </c>
      <c r="AV55" s="97">
        <v>8.0757019999999997</v>
      </c>
      <c r="AW55" s="96"/>
      <c r="AX55" s="96"/>
      <c r="AY55" s="96"/>
      <c r="AZ55" s="96"/>
      <c r="BA55" s="98">
        <v>4.4949999999999999E-3</v>
      </c>
      <c r="BB55" s="98">
        <v>1.5300000000000001E-4</v>
      </c>
      <c r="BC55" s="106"/>
    </row>
    <row r="56" spans="1:55" ht="15" customHeight="1">
      <c r="A56" s="106"/>
      <c r="B56" s="96">
        <v>286</v>
      </c>
      <c r="C56" s="96">
        <v>1445</v>
      </c>
      <c r="D56" s="96"/>
      <c r="E56" s="96"/>
      <c r="F56" s="96"/>
      <c r="G56" s="96">
        <v>25000800</v>
      </c>
      <c r="H56" s="96" t="s">
        <v>1013</v>
      </c>
      <c r="I56" s="96"/>
      <c r="J56" s="96" t="s">
        <v>203</v>
      </c>
      <c r="K56" s="96"/>
      <c r="L56" s="96" t="s">
        <v>477</v>
      </c>
      <c r="M56" s="96" t="s">
        <v>337</v>
      </c>
      <c r="N56" s="96" t="s">
        <v>338</v>
      </c>
      <c r="O56" s="96"/>
      <c r="P56" s="100">
        <v>45158</v>
      </c>
      <c r="Q56" s="96" t="s">
        <v>1309</v>
      </c>
      <c r="R56" s="96" t="s">
        <v>414</v>
      </c>
      <c r="S56" s="96" t="s">
        <v>407</v>
      </c>
      <c r="T56" s="96" t="s">
        <v>1200</v>
      </c>
      <c r="U56" s="97">
        <v>4.4400000000000004</v>
      </c>
      <c r="V56" s="96" t="s">
        <v>3678</v>
      </c>
      <c r="W56" s="98">
        <v>4.2299999999999997E-2</v>
      </c>
      <c r="X56" s="96"/>
      <c r="Y56" s="96"/>
      <c r="Z56" s="96"/>
      <c r="AA56" s="98">
        <v>4.3099999999999999E-2</v>
      </c>
      <c r="AB56" s="100">
        <v>49156</v>
      </c>
      <c r="AC56" s="96" t="s">
        <v>411</v>
      </c>
      <c r="AD56" s="96"/>
      <c r="AE56" s="96"/>
      <c r="AF56" s="96"/>
      <c r="AG56" s="100"/>
      <c r="AH56" s="96"/>
      <c r="AI56" s="96"/>
      <c r="AJ56" s="96"/>
      <c r="AK56" s="96" t="s">
        <v>337</v>
      </c>
      <c r="AL56" s="96" t="s">
        <v>887</v>
      </c>
      <c r="AM56" s="96"/>
      <c r="AN56" s="96" t="s">
        <v>890</v>
      </c>
      <c r="AO56" s="100">
        <v>45473</v>
      </c>
      <c r="AP56" s="100">
        <v>45473</v>
      </c>
      <c r="AQ56" s="96"/>
      <c r="AR56" s="97">
        <v>7649.7151039999999</v>
      </c>
      <c r="AS56" s="97">
        <v>102.47</v>
      </c>
      <c r="AT56" s="97">
        <v>1</v>
      </c>
      <c r="AU56" s="97">
        <v>7.8386630000000004</v>
      </c>
      <c r="AV56" s="97">
        <v>7.8386630000000004</v>
      </c>
      <c r="AW56" s="96"/>
      <c r="AX56" s="96"/>
      <c r="AY56" s="96"/>
      <c r="AZ56" s="96"/>
      <c r="BA56" s="98">
        <v>4.3629999999999997E-3</v>
      </c>
      <c r="BB56" s="98">
        <v>1.4899999999999999E-4</v>
      </c>
      <c r="BC56" s="106"/>
    </row>
    <row r="57" spans="1:55" ht="15" customHeight="1">
      <c r="A57" s="106"/>
      <c r="B57" s="96">
        <v>286</v>
      </c>
      <c r="C57" s="96">
        <v>1445</v>
      </c>
      <c r="D57" s="96"/>
      <c r="E57" s="96"/>
      <c r="F57" s="96"/>
      <c r="G57" s="96">
        <v>25000799</v>
      </c>
      <c r="H57" s="96" t="s">
        <v>1013</v>
      </c>
      <c r="I57" s="96" t="s">
        <v>812</v>
      </c>
      <c r="J57" s="96" t="s">
        <v>203</v>
      </c>
      <c r="K57" s="96"/>
      <c r="L57" s="96" t="s">
        <v>446</v>
      </c>
      <c r="M57" s="96" t="s">
        <v>338</v>
      </c>
      <c r="N57" s="96" t="s">
        <v>337</v>
      </c>
      <c r="O57" s="96"/>
      <c r="P57" s="100">
        <v>45155</v>
      </c>
      <c r="Q57" s="96" t="s">
        <v>1357</v>
      </c>
      <c r="R57" s="96" t="s">
        <v>414</v>
      </c>
      <c r="S57" s="96" t="s">
        <v>407</v>
      </c>
      <c r="T57" s="96" t="s">
        <v>1200</v>
      </c>
      <c r="U57" s="97">
        <v>1.59</v>
      </c>
      <c r="V57" s="96" t="s">
        <v>824</v>
      </c>
      <c r="W57" s="98">
        <v>6.6000000000000003E-2</v>
      </c>
      <c r="X57" s="96"/>
      <c r="Y57" s="96"/>
      <c r="Z57" s="96"/>
      <c r="AA57" s="98">
        <v>6.0199999999999997E-2</v>
      </c>
      <c r="AB57" s="100">
        <v>46081</v>
      </c>
      <c r="AC57" s="96" t="s">
        <v>411</v>
      </c>
      <c r="AD57" s="96"/>
      <c r="AE57" s="96"/>
      <c r="AF57" s="96"/>
      <c r="AG57" s="100">
        <v>45291</v>
      </c>
      <c r="AH57" s="96"/>
      <c r="AI57" s="96"/>
      <c r="AJ57" s="96"/>
      <c r="AK57" s="96" t="s">
        <v>337</v>
      </c>
      <c r="AL57" s="96" t="s">
        <v>887</v>
      </c>
      <c r="AM57" s="96"/>
      <c r="AN57" s="96" t="s">
        <v>890</v>
      </c>
      <c r="AO57" s="100">
        <v>45473</v>
      </c>
      <c r="AP57" s="100">
        <v>45473</v>
      </c>
      <c r="AQ57" s="96"/>
      <c r="AR57" s="97">
        <v>582.004953</v>
      </c>
      <c r="AS57" s="97">
        <v>100.83</v>
      </c>
      <c r="AT57" s="97">
        <v>1</v>
      </c>
      <c r="AU57" s="97">
        <v>0.586835</v>
      </c>
      <c r="AV57" s="97">
        <v>0.586835</v>
      </c>
      <c r="AW57" s="96"/>
      <c r="AX57" s="96"/>
      <c r="AY57" s="96"/>
      <c r="AZ57" s="96"/>
      <c r="BA57" s="98">
        <v>3.2600000000000001E-4</v>
      </c>
      <c r="BB57" s="98">
        <v>1.1E-5</v>
      </c>
      <c r="BC57" s="106"/>
    </row>
    <row r="58" spans="1:55" ht="15" customHeight="1">
      <c r="A58" s="106"/>
      <c r="B58" s="96">
        <v>286</v>
      </c>
      <c r="C58" s="96">
        <v>1445</v>
      </c>
      <c r="D58" s="96"/>
      <c r="E58" s="96"/>
      <c r="F58" s="96"/>
      <c r="G58" s="96">
        <v>25000798</v>
      </c>
      <c r="H58" s="96" t="s">
        <v>1013</v>
      </c>
      <c r="I58" s="96" t="s">
        <v>812</v>
      </c>
      <c r="J58" s="96" t="s">
        <v>203</v>
      </c>
      <c r="K58" s="96"/>
      <c r="L58" s="96" t="s">
        <v>454</v>
      </c>
      <c r="M58" s="96" t="s">
        <v>338</v>
      </c>
      <c r="N58" s="96" t="s">
        <v>337</v>
      </c>
      <c r="O58" s="96"/>
      <c r="P58" s="100">
        <v>45153</v>
      </c>
      <c r="Q58" s="96" t="s">
        <v>1357</v>
      </c>
      <c r="R58" s="96" t="s">
        <v>414</v>
      </c>
      <c r="S58" s="96" t="s">
        <v>407</v>
      </c>
      <c r="T58" s="96" t="s">
        <v>1200</v>
      </c>
      <c r="U58" s="97">
        <v>7.15</v>
      </c>
      <c r="V58" s="96" t="s">
        <v>3678</v>
      </c>
      <c r="W58" s="98">
        <v>4.4499999999999998E-2</v>
      </c>
      <c r="X58" s="96"/>
      <c r="Y58" s="96"/>
      <c r="Z58" s="96"/>
      <c r="AA58" s="98">
        <v>4.3400000000000001E-2</v>
      </c>
      <c r="AB58" s="100">
        <v>51677</v>
      </c>
      <c r="AC58" s="96" t="s">
        <v>411</v>
      </c>
      <c r="AD58" s="96"/>
      <c r="AE58" s="96"/>
      <c r="AF58" s="96"/>
      <c r="AG58" s="100">
        <v>45291</v>
      </c>
      <c r="AH58" s="96"/>
      <c r="AI58" s="96"/>
      <c r="AJ58" s="96"/>
      <c r="AK58" s="96" t="s">
        <v>337</v>
      </c>
      <c r="AL58" s="96" t="s">
        <v>887</v>
      </c>
      <c r="AM58" s="96"/>
      <c r="AN58" s="96" t="s">
        <v>890</v>
      </c>
      <c r="AO58" s="100">
        <v>45473</v>
      </c>
      <c r="AP58" s="100">
        <v>45473</v>
      </c>
      <c r="AQ58" s="96"/>
      <c r="AR58" s="97">
        <v>8148.47</v>
      </c>
      <c r="AS58" s="97">
        <v>100.85</v>
      </c>
      <c r="AT58" s="97">
        <v>1</v>
      </c>
      <c r="AU58" s="97">
        <v>8.2177299999999995</v>
      </c>
      <c r="AV58" s="97">
        <v>8.2177299999999995</v>
      </c>
      <c r="AW58" s="96"/>
      <c r="AX58" s="96"/>
      <c r="AY58" s="96"/>
      <c r="AZ58" s="96"/>
      <c r="BA58" s="98">
        <v>4.5739999999999999E-3</v>
      </c>
      <c r="BB58" s="98">
        <v>1.56E-4</v>
      </c>
      <c r="BC58" s="106"/>
    </row>
    <row r="59" spans="1:55" ht="15" customHeight="1">
      <c r="A59" s="106"/>
      <c r="B59" s="96">
        <v>286</v>
      </c>
      <c r="C59" s="96">
        <v>1445</v>
      </c>
      <c r="D59" s="96"/>
      <c r="E59" s="96"/>
      <c r="F59" s="96"/>
      <c r="G59" s="96">
        <v>25000797</v>
      </c>
      <c r="H59" s="96" t="s">
        <v>1013</v>
      </c>
      <c r="I59" s="96" t="s">
        <v>3684</v>
      </c>
      <c r="J59" s="96" t="s">
        <v>203</v>
      </c>
      <c r="K59" s="96"/>
      <c r="L59" s="96" t="s">
        <v>463</v>
      </c>
      <c r="M59" s="96" t="s">
        <v>338</v>
      </c>
      <c r="N59" s="96" t="s">
        <v>337</v>
      </c>
      <c r="O59" s="96"/>
      <c r="P59" s="100">
        <v>45153</v>
      </c>
      <c r="Q59" s="96" t="s">
        <v>3681</v>
      </c>
      <c r="R59" s="96" t="s">
        <v>311</v>
      </c>
      <c r="S59" s="96" t="s">
        <v>407</v>
      </c>
      <c r="T59" s="96" t="s">
        <v>1200</v>
      </c>
      <c r="U59" s="97">
        <v>0.13</v>
      </c>
      <c r="V59" s="96" t="s">
        <v>824</v>
      </c>
      <c r="W59" s="98">
        <v>7.8E-2</v>
      </c>
      <c r="X59" s="96"/>
      <c r="Y59" s="96"/>
      <c r="Z59" s="96"/>
      <c r="AA59" s="98">
        <v>6.9199999999999998E-2</v>
      </c>
      <c r="AB59" s="100">
        <v>45519</v>
      </c>
      <c r="AC59" s="96" t="s">
        <v>411</v>
      </c>
      <c r="AD59" s="96"/>
      <c r="AE59" s="96"/>
      <c r="AF59" s="96"/>
      <c r="AG59" s="100">
        <v>45075</v>
      </c>
      <c r="AH59" s="96"/>
      <c r="AI59" s="96"/>
      <c r="AJ59" s="96"/>
      <c r="AK59" s="96" t="s">
        <v>337</v>
      </c>
      <c r="AL59" s="96" t="s">
        <v>887</v>
      </c>
      <c r="AM59" s="96"/>
      <c r="AN59" s="96" t="s">
        <v>890</v>
      </c>
      <c r="AO59" s="100">
        <v>45473</v>
      </c>
      <c r="AP59" s="100">
        <v>45473</v>
      </c>
      <c r="AQ59" s="96"/>
      <c r="AR59" s="97">
        <v>193.37768700000001</v>
      </c>
      <c r="AS59" s="97">
        <v>100.31</v>
      </c>
      <c r="AT59" s="97">
        <v>1</v>
      </c>
      <c r="AU59" s="97">
        <v>0.19397700000000001</v>
      </c>
      <c r="AV59" s="97">
        <v>0.19397700000000001</v>
      </c>
      <c r="AW59" s="96"/>
      <c r="AX59" s="96"/>
      <c r="AY59" s="96"/>
      <c r="AZ59" s="96"/>
      <c r="BA59" s="98">
        <v>1.07E-4</v>
      </c>
      <c r="BB59" s="98">
        <v>3.0000000000000001E-6</v>
      </c>
      <c r="BC59" s="106"/>
    </row>
    <row r="60" spans="1:55" ht="15" customHeight="1">
      <c r="A60" s="106"/>
      <c r="B60" s="96">
        <v>286</v>
      </c>
      <c r="C60" s="96">
        <v>1445</v>
      </c>
      <c r="D60" s="96"/>
      <c r="E60" s="96"/>
      <c r="F60" s="96"/>
      <c r="G60" s="96">
        <v>25000795</v>
      </c>
      <c r="H60" s="96" t="s">
        <v>1013</v>
      </c>
      <c r="I60" s="96" t="s">
        <v>813</v>
      </c>
      <c r="J60" s="96" t="s">
        <v>203</v>
      </c>
      <c r="K60" s="96"/>
      <c r="L60" s="96" t="s">
        <v>470</v>
      </c>
      <c r="M60" s="96" t="s">
        <v>338</v>
      </c>
      <c r="N60" s="96" t="s">
        <v>337</v>
      </c>
      <c r="O60" s="96"/>
      <c r="P60" s="100">
        <v>45146</v>
      </c>
      <c r="Q60" s="96" t="s">
        <v>1520</v>
      </c>
      <c r="R60" s="96" t="s">
        <v>414</v>
      </c>
      <c r="S60" s="96" t="s">
        <v>407</v>
      </c>
      <c r="T60" s="96" t="s">
        <v>1200</v>
      </c>
      <c r="U60" s="97">
        <v>7.23</v>
      </c>
      <c r="V60" s="96" t="s">
        <v>3678</v>
      </c>
      <c r="W60" s="98">
        <v>3.3236000000000002E-2</v>
      </c>
      <c r="X60" s="96"/>
      <c r="Y60" s="96"/>
      <c r="Z60" s="96"/>
      <c r="AA60" s="98">
        <v>4.1700000000000001E-2</v>
      </c>
      <c r="AB60" s="100">
        <v>49583</v>
      </c>
      <c r="AC60" s="96" t="s">
        <v>411</v>
      </c>
      <c r="AD60" s="96"/>
      <c r="AE60" s="96"/>
      <c r="AF60" s="96"/>
      <c r="AG60" s="100">
        <v>45291</v>
      </c>
      <c r="AH60" s="96"/>
      <c r="AI60" s="96"/>
      <c r="AJ60" s="96"/>
      <c r="AK60" s="96" t="s">
        <v>337</v>
      </c>
      <c r="AL60" s="96" t="s">
        <v>887</v>
      </c>
      <c r="AM60" s="96"/>
      <c r="AN60" s="96" t="s">
        <v>890</v>
      </c>
      <c r="AO60" s="100">
        <v>45473</v>
      </c>
      <c r="AP60" s="100">
        <v>45473</v>
      </c>
      <c r="AQ60" s="96"/>
      <c r="AR60" s="97">
        <v>282.47886999999997</v>
      </c>
      <c r="AS60" s="97">
        <v>99.43</v>
      </c>
      <c r="AT60" s="97">
        <v>1</v>
      </c>
      <c r="AU60" s="97">
        <v>0.28086800000000001</v>
      </c>
      <c r="AV60" s="97">
        <v>0.28086800000000001</v>
      </c>
      <c r="AW60" s="96"/>
      <c r="AX60" s="96"/>
      <c r="AY60" s="96"/>
      <c r="AZ60" s="96"/>
      <c r="BA60" s="98">
        <v>1.56E-4</v>
      </c>
      <c r="BB60" s="98">
        <v>5.0000000000000004E-6</v>
      </c>
      <c r="BC60" s="106"/>
    </row>
    <row r="61" spans="1:55" ht="15" customHeight="1">
      <c r="A61" s="106"/>
      <c r="B61" s="96">
        <v>286</v>
      </c>
      <c r="C61" s="96">
        <v>1445</v>
      </c>
      <c r="D61" s="96"/>
      <c r="E61" s="96"/>
      <c r="F61" s="96"/>
      <c r="G61" s="96">
        <v>25000794</v>
      </c>
      <c r="H61" s="96" t="s">
        <v>1013</v>
      </c>
      <c r="I61" s="96" t="s">
        <v>797</v>
      </c>
      <c r="J61" s="96" t="s">
        <v>203</v>
      </c>
      <c r="K61" s="96"/>
      <c r="L61" s="96" t="s">
        <v>463</v>
      </c>
      <c r="M61" s="96" t="s">
        <v>338</v>
      </c>
      <c r="N61" s="96" t="s">
        <v>338</v>
      </c>
      <c r="O61" s="96"/>
      <c r="P61" s="100">
        <v>45146</v>
      </c>
      <c r="Q61" s="96" t="s">
        <v>3679</v>
      </c>
      <c r="R61" s="96" t="s">
        <v>311</v>
      </c>
      <c r="S61" s="96" t="s">
        <v>407</v>
      </c>
      <c r="T61" s="96" t="s">
        <v>1200</v>
      </c>
      <c r="U61" s="97">
        <v>1.33</v>
      </c>
      <c r="V61" s="96" t="s">
        <v>824</v>
      </c>
      <c r="W61" s="98">
        <v>6.5000000000000002E-2</v>
      </c>
      <c r="X61" s="96"/>
      <c r="Y61" s="96"/>
      <c r="Z61" s="96"/>
      <c r="AA61" s="98">
        <v>5.9200000000000003E-2</v>
      </c>
      <c r="AB61" s="100">
        <v>45978</v>
      </c>
      <c r="AC61" s="96" t="s">
        <v>411</v>
      </c>
      <c r="AD61" s="96"/>
      <c r="AE61" s="96"/>
      <c r="AF61" s="96"/>
      <c r="AG61" s="100">
        <v>45361</v>
      </c>
      <c r="AH61" s="96"/>
      <c r="AI61" s="96"/>
      <c r="AJ61" s="96"/>
      <c r="AK61" s="96" t="s">
        <v>337</v>
      </c>
      <c r="AL61" s="96" t="s">
        <v>887</v>
      </c>
      <c r="AM61" s="96"/>
      <c r="AN61" s="96" t="s">
        <v>890</v>
      </c>
      <c r="AO61" s="100">
        <v>45473</v>
      </c>
      <c r="AP61" s="100">
        <v>45473</v>
      </c>
      <c r="AQ61" s="96"/>
      <c r="AR61" s="97">
        <v>1886.5808480000001</v>
      </c>
      <c r="AS61" s="97">
        <v>101.97</v>
      </c>
      <c r="AT61" s="97">
        <v>1</v>
      </c>
      <c r="AU61" s="97">
        <v>1.923746</v>
      </c>
      <c r="AV61" s="97">
        <v>1.923746</v>
      </c>
      <c r="AW61" s="96"/>
      <c r="AX61" s="96"/>
      <c r="AY61" s="96"/>
      <c r="AZ61" s="96"/>
      <c r="BA61" s="98">
        <v>1.07E-3</v>
      </c>
      <c r="BB61" s="98">
        <v>3.6000000000000001E-5</v>
      </c>
      <c r="BC61" s="106"/>
    </row>
    <row r="62" spans="1:55" ht="15" customHeight="1">
      <c r="A62" s="106"/>
      <c r="B62" s="96">
        <v>286</v>
      </c>
      <c r="C62" s="96">
        <v>1445</v>
      </c>
      <c r="D62" s="96"/>
      <c r="E62" s="96"/>
      <c r="F62" s="96"/>
      <c r="G62" s="96">
        <v>25000792</v>
      </c>
      <c r="H62" s="96" t="s">
        <v>1013</v>
      </c>
      <c r="I62" s="96" t="s">
        <v>3684</v>
      </c>
      <c r="J62" s="96" t="s">
        <v>203</v>
      </c>
      <c r="K62" s="96"/>
      <c r="L62" s="96" t="s">
        <v>463</v>
      </c>
      <c r="M62" s="96" t="s">
        <v>338</v>
      </c>
      <c r="N62" s="96" t="s">
        <v>337</v>
      </c>
      <c r="O62" s="96"/>
      <c r="P62" s="100">
        <v>45132</v>
      </c>
      <c r="Q62" s="96" t="s">
        <v>3681</v>
      </c>
      <c r="R62" s="96" t="s">
        <v>311</v>
      </c>
      <c r="S62" s="96" t="s">
        <v>407</v>
      </c>
      <c r="T62" s="96" t="s">
        <v>1200</v>
      </c>
      <c r="U62" s="97">
        <v>7.0000000000000007E-2</v>
      </c>
      <c r="V62" s="96" t="s">
        <v>824</v>
      </c>
      <c r="W62" s="98">
        <v>7.8E-2</v>
      </c>
      <c r="X62" s="96"/>
      <c r="Y62" s="96"/>
      <c r="Z62" s="96"/>
      <c r="AA62" s="98">
        <v>6.93E-2</v>
      </c>
      <c r="AB62" s="100">
        <v>45557</v>
      </c>
      <c r="AC62" s="96" t="s">
        <v>411</v>
      </c>
      <c r="AD62" s="96"/>
      <c r="AE62" s="96"/>
      <c r="AF62" s="96"/>
      <c r="AG62" s="100">
        <v>45075</v>
      </c>
      <c r="AH62" s="96"/>
      <c r="AI62" s="96"/>
      <c r="AJ62" s="96"/>
      <c r="AK62" s="96" t="s">
        <v>337</v>
      </c>
      <c r="AL62" s="96" t="s">
        <v>887</v>
      </c>
      <c r="AM62" s="96"/>
      <c r="AN62" s="96" t="s">
        <v>890</v>
      </c>
      <c r="AO62" s="100">
        <v>45473</v>
      </c>
      <c r="AP62" s="100">
        <v>45473</v>
      </c>
      <c r="AQ62" s="96"/>
      <c r="AR62" s="97">
        <v>169.46597499999999</v>
      </c>
      <c r="AS62" s="97">
        <v>100.25</v>
      </c>
      <c r="AT62" s="97">
        <v>1</v>
      </c>
      <c r="AU62" s="97">
        <v>0.16988900000000001</v>
      </c>
      <c r="AV62" s="97">
        <v>0.16988900000000001</v>
      </c>
      <c r="AW62" s="96"/>
      <c r="AX62" s="96"/>
      <c r="AY62" s="96"/>
      <c r="AZ62" s="96"/>
      <c r="BA62" s="98">
        <v>9.3999999999999994E-5</v>
      </c>
      <c r="BB62" s="98">
        <v>3.0000000000000001E-6</v>
      </c>
      <c r="BC62" s="106"/>
    </row>
    <row r="63" spans="1:55" ht="15" customHeight="1">
      <c r="A63" s="106"/>
      <c r="B63" s="96">
        <v>286</v>
      </c>
      <c r="C63" s="96">
        <v>1445</v>
      </c>
      <c r="D63" s="96"/>
      <c r="E63" s="96"/>
      <c r="F63" s="96"/>
      <c r="G63" s="96">
        <v>25000791</v>
      </c>
      <c r="H63" s="96" t="s">
        <v>1013</v>
      </c>
      <c r="I63" s="96" t="s">
        <v>3680</v>
      </c>
      <c r="J63" s="96" t="s">
        <v>203</v>
      </c>
      <c r="K63" s="96"/>
      <c r="L63" s="96" t="s">
        <v>463</v>
      </c>
      <c r="M63" s="96" t="s">
        <v>338</v>
      </c>
      <c r="N63" s="96" t="s">
        <v>337</v>
      </c>
      <c r="O63" s="96"/>
      <c r="P63" s="100">
        <v>45116</v>
      </c>
      <c r="Q63" s="96" t="s">
        <v>3681</v>
      </c>
      <c r="R63" s="96" t="s">
        <v>311</v>
      </c>
      <c r="S63" s="96" t="s">
        <v>407</v>
      </c>
      <c r="T63" s="96" t="s">
        <v>1200</v>
      </c>
      <c r="U63" s="97">
        <v>3.4</v>
      </c>
      <c r="V63" s="96" t="s">
        <v>824</v>
      </c>
      <c r="W63" s="98">
        <v>6.6500000000000004E-2</v>
      </c>
      <c r="X63" s="96"/>
      <c r="Y63" s="96"/>
      <c r="Z63" s="96"/>
      <c r="AA63" s="98">
        <v>6.2300000000000001E-2</v>
      </c>
      <c r="AB63" s="100">
        <v>46924</v>
      </c>
      <c r="AC63" s="96" t="s">
        <v>411</v>
      </c>
      <c r="AD63" s="96"/>
      <c r="AE63" s="96"/>
      <c r="AF63" s="96"/>
      <c r="AG63" s="100">
        <v>45382</v>
      </c>
      <c r="AH63" s="96"/>
      <c r="AI63" s="96"/>
      <c r="AJ63" s="96"/>
      <c r="AK63" s="96" t="s">
        <v>337</v>
      </c>
      <c r="AL63" s="96" t="s">
        <v>887</v>
      </c>
      <c r="AM63" s="96"/>
      <c r="AN63" s="96" t="s">
        <v>890</v>
      </c>
      <c r="AO63" s="100">
        <v>45473</v>
      </c>
      <c r="AP63" s="100">
        <v>45473</v>
      </c>
      <c r="AQ63" s="96"/>
      <c r="AR63" s="97">
        <v>2942.6817970000002</v>
      </c>
      <c r="AS63" s="97">
        <v>102.07</v>
      </c>
      <c r="AT63" s="97">
        <v>1</v>
      </c>
      <c r="AU63" s="97">
        <v>3.0035949999999998</v>
      </c>
      <c r="AV63" s="97">
        <v>3.0035949999999998</v>
      </c>
      <c r="AW63" s="96"/>
      <c r="AX63" s="96"/>
      <c r="AY63" s="96"/>
      <c r="AZ63" s="96"/>
      <c r="BA63" s="98">
        <v>1.671E-3</v>
      </c>
      <c r="BB63" s="98">
        <v>5.7000000000000003E-5</v>
      </c>
      <c r="BC63" s="106"/>
    </row>
    <row r="64" spans="1:55" ht="15" customHeight="1">
      <c r="A64" s="106"/>
      <c r="B64" s="96">
        <v>286</v>
      </c>
      <c r="C64" s="96">
        <v>1445</v>
      </c>
      <c r="D64" s="96"/>
      <c r="E64" s="96"/>
      <c r="F64" s="96"/>
      <c r="G64" s="96">
        <v>25000790</v>
      </c>
      <c r="H64" s="96" t="s">
        <v>1013</v>
      </c>
      <c r="I64" s="96" t="s">
        <v>813</v>
      </c>
      <c r="J64" s="96" t="s">
        <v>203</v>
      </c>
      <c r="K64" s="96"/>
      <c r="L64" s="96" t="s">
        <v>454</v>
      </c>
      <c r="M64" s="96" t="s">
        <v>338</v>
      </c>
      <c r="N64" s="96" t="s">
        <v>337</v>
      </c>
      <c r="O64" s="96"/>
      <c r="P64" s="100">
        <v>45110</v>
      </c>
      <c r="Q64" s="96" t="s">
        <v>3683</v>
      </c>
      <c r="R64" s="96" t="s">
        <v>412</v>
      </c>
      <c r="S64" s="96" t="s">
        <v>407</v>
      </c>
      <c r="T64" s="96" t="s">
        <v>1200</v>
      </c>
      <c r="U64" s="97">
        <v>7.37</v>
      </c>
      <c r="V64" s="96" t="s">
        <v>3678</v>
      </c>
      <c r="W64" s="98">
        <v>3.5749999999999997E-2</v>
      </c>
      <c r="X64" s="96"/>
      <c r="Y64" s="96"/>
      <c r="Z64" s="96"/>
      <c r="AA64" s="98">
        <v>6.5000000000000002E-2</v>
      </c>
      <c r="AB64" s="100">
        <v>52768</v>
      </c>
      <c r="AC64" s="96" t="s">
        <v>411</v>
      </c>
      <c r="AD64" s="96"/>
      <c r="AE64" s="96"/>
      <c r="AF64" s="96"/>
      <c r="AG64" s="100">
        <v>45291</v>
      </c>
      <c r="AH64" s="96"/>
      <c r="AI64" s="96"/>
      <c r="AJ64" s="96"/>
      <c r="AK64" s="96" t="s">
        <v>337</v>
      </c>
      <c r="AL64" s="96" t="s">
        <v>887</v>
      </c>
      <c r="AM64" s="96"/>
      <c r="AN64" s="96" t="s">
        <v>890</v>
      </c>
      <c r="AO64" s="100">
        <v>45473</v>
      </c>
      <c r="AP64" s="100">
        <v>45473</v>
      </c>
      <c r="AQ64" s="96"/>
      <c r="AR64" s="97">
        <v>4814.6256009999997</v>
      </c>
      <c r="AS64" s="97">
        <v>83.18</v>
      </c>
      <c r="AT64" s="97">
        <v>1</v>
      </c>
      <c r="AU64" s="97">
        <v>4.0048050000000002</v>
      </c>
      <c r="AV64" s="97">
        <v>4.0048050000000002</v>
      </c>
      <c r="AW64" s="96"/>
      <c r="AX64" s="96"/>
      <c r="AY64" s="96"/>
      <c r="AZ64" s="96"/>
      <c r="BA64" s="98">
        <v>2.2290000000000001E-3</v>
      </c>
      <c r="BB64" s="98">
        <v>7.6000000000000004E-5</v>
      </c>
      <c r="BC64" s="106"/>
    </row>
    <row r="65" spans="1:55" ht="15" customHeight="1">
      <c r="A65" s="106"/>
      <c r="B65" s="96">
        <v>286</v>
      </c>
      <c r="C65" s="96">
        <v>1445</v>
      </c>
      <c r="D65" s="96"/>
      <c r="E65" s="96"/>
      <c r="F65" s="96"/>
      <c r="G65" s="96">
        <v>25000789</v>
      </c>
      <c r="H65" s="96" t="s">
        <v>1013</v>
      </c>
      <c r="I65" s="96" t="s">
        <v>795</v>
      </c>
      <c r="J65" s="96" t="s">
        <v>203</v>
      </c>
      <c r="K65" s="96"/>
      <c r="L65" s="96" t="s">
        <v>446</v>
      </c>
      <c r="M65" s="96" t="s">
        <v>337</v>
      </c>
      <c r="N65" s="96" t="s">
        <v>338</v>
      </c>
      <c r="O65" s="96"/>
      <c r="P65" s="100">
        <v>45102</v>
      </c>
      <c r="Q65" s="96" t="s">
        <v>2102</v>
      </c>
      <c r="R65" s="96" t="s">
        <v>311</v>
      </c>
      <c r="S65" s="96" t="s">
        <v>407</v>
      </c>
      <c r="T65" s="96" t="s">
        <v>1200</v>
      </c>
      <c r="U65" s="97">
        <v>3.32</v>
      </c>
      <c r="V65" s="96" t="s">
        <v>3678</v>
      </c>
      <c r="W65" s="98">
        <v>0.05</v>
      </c>
      <c r="X65" s="96"/>
      <c r="Y65" s="96"/>
      <c r="Z65" s="96"/>
      <c r="AA65" s="98">
        <v>5.6000000000000001E-2</v>
      </c>
      <c r="AB65" s="100">
        <v>46790</v>
      </c>
      <c r="AC65" s="96" t="s">
        <v>410</v>
      </c>
      <c r="AD65" s="96"/>
      <c r="AE65" s="96"/>
      <c r="AF65" s="96"/>
      <c r="AG65" s="100">
        <v>45291</v>
      </c>
      <c r="AH65" s="96"/>
      <c r="AI65" s="96"/>
      <c r="AJ65" s="96"/>
      <c r="AK65" s="96" t="s">
        <v>337</v>
      </c>
      <c r="AL65" s="96" t="s">
        <v>887</v>
      </c>
      <c r="AM65" s="96"/>
      <c r="AN65" s="96" t="s">
        <v>890</v>
      </c>
      <c r="AO65" s="100">
        <v>45473</v>
      </c>
      <c r="AP65" s="100">
        <v>45473</v>
      </c>
      <c r="AQ65" s="96"/>
      <c r="AR65" s="97">
        <v>2086.2859589999998</v>
      </c>
      <c r="AS65" s="97">
        <v>98.4</v>
      </c>
      <c r="AT65" s="97">
        <v>1</v>
      </c>
      <c r="AU65" s="97">
        <v>2.052905</v>
      </c>
      <c r="AV65" s="97">
        <v>2.052905</v>
      </c>
      <c r="AW65" s="96"/>
      <c r="AX65" s="96"/>
      <c r="AY65" s="96"/>
      <c r="AZ65" s="96"/>
      <c r="BA65" s="98">
        <v>1.142E-3</v>
      </c>
      <c r="BB65" s="98">
        <v>3.8999999999999999E-5</v>
      </c>
      <c r="BC65" s="106"/>
    </row>
    <row r="66" spans="1:55" ht="15" customHeight="1">
      <c r="A66" s="106"/>
      <c r="B66" s="96">
        <v>286</v>
      </c>
      <c r="C66" s="96">
        <v>1445</v>
      </c>
      <c r="D66" s="96"/>
      <c r="E66" s="96"/>
      <c r="F66" s="96"/>
      <c r="G66" s="96">
        <v>25000787</v>
      </c>
      <c r="H66" s="96" t="s">
        <v>1013</v>
      </c>
      <c r="I66" s="96"/>
      <c r="J66" s="96" t="s">
        <v>203</v>
      </c>
      <c r="K66" s="96"/>
      <c r="L66" s="96" t="s">
        <v>477</v>
      </c>
      <c r="M66" s="96" t="s">
        <v>338</v>
      </c>
      <c r="N66" s="96" t="s">
        <v>337</v>
      </c>
      <c r="O66" s="96"/>
      <c r="P66" s="100">
        <v>45099</v>
      </c>
      <c r="Q66" s="96" t="s">
        <v>409</v>
      </c>
      <c r="R66" s="96" t="s">
        <v>409</v>
      </c>
      <c r="S66" s="96" t="s">
        <v>409</v>
      </c>
      <c r="T66" s="96" t="s">
        <v>1200</v>
      </c>
      <c r="U66" s="97">
        <v>3.66</v>
      </c>
      <c r="V66" s="96" t="s">
        <v>3678</v>
      </c>
      <c r="W66" s="98">
        <v>4.3400000000000001E-2</v>
      </c>
      <c r="X66" s="96"/>
      <c r="Y66" s="96"/>
      <c r="Z66" s="96"/>
      <c r="AA66" s="98">
        <v>4.2200000000000001E-2</v>
      </c>
      <c r="AB66" s="100">
        <v>46924</v>
      </c>
      <c r="AC66" s="96" t="s">
        <v>411</v>
      </c>
      <c r="AD66" s="96"/>
      <c r="AE66" s="96"/>
      <c r="AF66" s="96"/>
      <c r="AG66" s="100">
        <v>45190</v>
      </c>
      <c r="AH66" s="96"/>
      <c r="AI66" s="96"/>
      <c r="AJ66" s="96"/>
      <c r="AK66" s="96" t="s">
        <v>337</v>
      </c>
      <c r="AL66" s="96" t="s">
        <v>887</v>
      </c>
      <c r="AM66" s="96"/>
      <c r="AN66" s="96" t="s">
        <v>890</v>
      </c>
      <c r="AO66" s="100">
        <v>45473</v>
      </c>
      <c r="AP66" s="100">
        <v>45473</v>
      </c>
      <c r="AQ66" s="96"/>
      <c r="AR66" s="97">
        <v>67.870817000000002</v>
      </c>
      <c r="AS66" s="97">
        <v>103.65</v>
      </c>
      <c r="AT66" s="97">
        <v>1</v>
      </c>
      <c r="AU66" s="97">
        <v>7.0347999999999994E-2</v>
      </c>
      <c r="AV66" s="97">
        <v>7.0347999999999994E-2</v>
      </c>
      <c r="AW66" s="96"/>
      <c r="AX66" s="96"/>
      <c r="AY66" s="96"/>
      <c r="AZ66" s="96"/>
      <c r="BA66" s="98">
        <v>3.8999999999999999E-5</v>
      </c>
      <c r="BB66" s="98">
        <v>9.9999999999999995E-7</v>
      </c>
      <c r="BC66" s="106"/>
    </row>
    <row r="67" spans="1:55" ht="15" customHeight="1">
      <c r="A67" s="106"/>
      <c r="B67" s="96">
        <v>286</v>
      </c>
      <c r="C67" s="96">
        <v>1445</v>
      </c>
      <c r="D67" s="96"/>
      <c r="E67" s="96"/>
      <c r="F67" s="96"/>
      <c r="G67" s="96">
        <v>25000784</v>
      </c>
      <c r="H67" s="96" t="s">
        <v>1013</v>
      </c>
      <c r="I67" s="96" t="s">
        <v>3684</v>
      </c>
      <c r="J67" s="96" t="s">
        <v>203</v>
      </c>
      <c r="K67" s="96"/>
      <c r="L67" s="96" t="s">
        <v>463</v>
      </c>
      <c r="M67" s="96" t="s">
        <v>338</v>
      </c>
      <c r="N67" s="96" t="s">
        <v>337</v>
      </c>
      <c r="O67" s="96"/>
      <c r="P67" s="100">
        <v>45070</v>
      </c>
      <c r="Q67" s="96" t="s">
        <v>3681</v>
      </c>
      <c r="R67" s="96" t="s">
        <v>311</v>
      </c>
      <c r="S67" s="96" t="s">
        <v>407</v>
      </c>
      <c r="T67" s="96" t="s">
        <v>1200</v>
      </c>
      <c r="U67" s="97">
        <v>0.67</v>
      </c>
      <c r="V67" s="96" t="s">
        <v>824</v>
      </c>
      <c r="W67" s="98">
        <v>7.8E-2</v>
      </c>
      <c r="X67" s="96"/>
      <c r="Y67" s="96"/>
      <c r="Z67" s="96"/>
      <c r="AA67" s="98">
        <v>8.1900000000000001E-2</v>
      </c>
      <c r="AB67" s="100">
        <v>45722</v>
      </c>
      <c r="AC67" s="96" t="s">
        <v>411</v>
      </c>
      <c r="AD67" s="96"/>
      <c r="AE67" s="96"/>
      <c r="AF67" s="96"/>
      <c r="AG67" s="100">
        <v>45075</v>
      </c>
      <c r="AH67" s="96"/>
      <c r="AI67" s="96"/>
      <c r="AJ67" s="96"/>
      <c r="AK67" s="96" t="s">
        <v>337</v>
      </c>
      <c r="AL67" s="96" t="s">
        <v>887</v>
      </c>
      <c r="AM67" s="96"/>
      <c r="AN67" s="96" t="s">
        <v>890</v>
      </c>
      <c r="AO67" s="100">
        <v>45473</v>
      </c>
      <c r="AP67" s="100">
        <v>45473</v>
      </c>
      <c r="AQ67" s="96"/>
      <c r="AR67" s="97">
        <v>293.29060099999998</v>
      </c>
      <c r="AS67" s="97">
        <v>99.96</v>
      </c>
      <c r="AT67" s="97">
        <v>1</v>
      </c>
      <c r="AU67" s="97">
        <v>0.29317300000000002</v>
      </c>
      <c r="AV67" s="97">
        <v>0.29317300000000002</v>
      </c>
      <c r="AW67" s="96"/>
      <c r="AX67" s="96"/>
      <c r="AY67" s="96"/>
      <c r="AZ67" s="96"/>
      <c r="BA67" s="98">
        <v>1.63E-4</v>
      </c>
      <c r="BB67" s="98">
        <v>5.0000000000000004E-6</v>
      </c>
      <c r="BC67" s="106"/>
    </row>
    <row r="68" spans="1:55" ht="15" customHeight="1">
      <c r="A68" s="106"/>
      <c r="B68" s="96">
        <v>286</v>
      </c>
      <c r="C68" s="96">
        <v>1445</v>
      </c>
      <c r="D68" s="96"/>
      <c r="E68" s="96"/>
      <c r="F68" s="96"/>
      <c r="G68" s="96">
        <v>25000880</v>
      </c>
      <c r="H68" s="96" t="s">
        <v>1013</v>
      </c>
      <c r="I68" s="96" t="s">
        <v>794</v>
      </c>
      <c r="J68" s="96" t="s">
        <v>203</v>
      </c>
      <c r="K68" s="96"/>
      <c r="L68" s="96" t="s">
        <v>446</v>
      </c>
      <c r="M68" s="96" t="s">
        <v>338</v>
      </c>
      <c r="N68" s="96" t="s">
        <v>337</v>
      </c>
      <c r="O68" s="96"/>
      <c r="P68" s="100">
        <v>45292</v>
      </c>
      <c r="Q68" s="96" t="s">
        <v>2074</v>
      </c>
      <c r="R68" s="96" t="s">
        <v>311</v>
      </c>
      <c r="S68" s="96" t="s">
        <v>407</v>
      </c>
      <c r="T68" s="96" t="s">
        <v>1200</v>
      </c>
      <c r="U68" s="97">
        <v>3.6</v>
      </c>
      <c r="V68" s="96" t="s">
        <v>824</v>
      </c>
      <c r="W68" s="98">
        <v>0.1</v>
      </c>
      <c r="X68" s="96"/>
      <c r="Y68" s="96"/>
      <c r="Z68" s="96"/>
      <c r="AA68" s="98">
        <v>8.4599999999999995E-2</v>
      </c>
      <c r="AB68" s="100">
        <v>47028</v>
      </c>
      <c r="AC68" s="96" t="s">
        <v>410</v>
      </c>
      <c r="AD68" s="96"/>
      <c r="AE68" s="96"/>
      <c r="AF68" s="96"/>
      <c r="AG68" s="100">
        <v>45291</v>
      </c>
      <c r="AH68" s="96"/>
      <c r="AI68" s="96"/>
      <c r="AJ68" s="96"/>
      <c r="AK68" s="96" t="s">
        <v>337</v>
      </c>
      <c r="AL68" s="96" t="s">
        <v>887</v>
      </c>
      <c r="AM68" s="96"/>
      <c r="AN68" s="96" t="s">
        <v>890</v>
      </c>
      <c r="AO68" s="100">
        <v>45473</v>
      </c>
      <c r="AP68" s="100">
        <v>45473</v>
      </c>
      <c r="AQ68" s="96"/>
      <c r="AR68" s="97">
        <v>2781.7146130000001</v>
      </c>
      <c r="AS68" s="97">
        <v>107.09</v>
      </c>
      <c r="AT68" s="97">
        <v>1</v>
      </c>
      <c r="AU68" s="97">
        <v>2.9789379999999999</v>
      </c>
      <c r="AV68" s="97">
        <v>2.9789379999999999</v>
      </c>
      <c r="AW68" s="96"/>
      <c r="AX68" s="96"/>
      <c r="AY68" s="96"/>
      <c r="AZ68" s="96"/>
      <c r="BA68" s="98">
        <v>1.658E-3</v>
      </c>
      <c r="BB68" s="98">
        <v>5.5999999999999999E-5</v>
      </c>
      <c r="BC68" s="106"/>
    </row>
    <row r="69" spans="1:55" ht="15" customHeight="1">
      <c r="A69" s="106"/>
      <c r="B69" s="96">
        <v>286</v>
      </c>
      <c r="C69" s="96">
        <v>1445</v>
      </c>
      <c r="D69" s="96"/>
      <c r="E69" s="96"/>
      <c r="F69" s="96"/>
      <c r="G69" s="96">
        <v>25000881</v>
      </c>
      <c r="H69" s="96" t="s">
        <v>1013</v>
      </c>
      <c r="I69" s="96"/>
      <c r="J69" s="96" t="s">
        <v>203</v>
      </c>
      <c r="K69" s="96"/>
      <c r="L69" s="96" t="s">
        <v>477</v>
      </c>
      <c r="M69" s="96" t="s">
        <v>338</v>
      </c>
      <c r="N69" s="96" t="s">
        <v>337</v>
      </c>
      <c r="O69" s="96"/>
      <c r="P69" s="100">
        <v>45301</v>
      </c>
      <c r="Q69" s="96" t="s">
        <v>409</v>
      </c>
      <c r="R69" s="96" t="s">
        <v>409</v>
      </c>
      <c r="S69" s="96" t="s">
        <v>409</v>
      </c>
      <c r="T69" s="96" t="s">
        <v>1200</v>
      </c>
      <c r="U69" s="97">
        <v>4.07</v>
      </c>
      <c r="V69" s="96" t="s">
        <v>3678</v>
      </c>
      <c r="W69" s="98">
        <v>4.3900000000000002E-2</v>
      </c>
      <c r="X69" s="96"/>
      <c r="Y69" s="96"/>
      <c r="Z69" s="96"/>
      <c r="AA69" s="98">
        <v>4.4400000000000002E-2</v>
      </c>
      <c r="AB69" s="100">
        <v>47107</v>
      </c>
      <c r="AC69" s="96" t="s">
        <v>411</v>
      </c>
      <c r="AD69" s="96"/>
      <c r="AE69" s="96"/>
      <c r="AF69" s="96"/>
      <c r="AG69" s="100">
        <v>45190</v>
      </c>
      <c r="AH69" s="96"/>
      <c r="AI69" s="96"/>
      <c r="AJ69" s="96"/>
      <c r="AK69" s="96" t="s">
        <v>337</v>
      </c>
      <c r="AL69" s="96" t="s">
        <v>887</v>
      </c>
      <c r="AM69" s="96"/>
      <c r="AN69" s="96" t="s">
        <v>890</v>
      </c>
      <c r="AO69" s="100">
        <v>45473</v>
      </c>
      <c r="AP69" s="100">
        <v>45473</v>
      </c>
      <c r="AQ69" s="96"/>
      <c r="AR69" s="97">
        <v>216.82853399999999</v>
      </c>
      <c r="AS69" s="97">
        <v>102.17</v>
      </c>
      <c r="AT69" s="97">
        <v>1</v>
      </c>
      <c r="AU69" s="97">
        <v>0.22153300000000001</v>
      </c>
      <c r="AV69" s="97">
        <v>0.22153300000000001</v>
      </c>
      <c r="AW69" s="96"/>
      <c r="AX69" s="96"/>
      <c r="AY69" s="96"/>
      <c r="AZ69" s="96"/>
      <c r="BA69" s="98">
        <v>1.2300000000000001E-4</v>
      </c>
      <c r="BB69" s="98">
        <v>3.9999999999999998E-6</v>
      </c>
      <c r="BC69" s="106"/>
    </row>
    <row r="70" spans="1:55" ht="15" customHeight="1">
      <c r="A70" s="106"/>
      <c r="B70" s="96">
        <v>286</v>
      </c>
      <c r="C70" s="96">
        <v>1445</v>
      </c>
      <c r="D70" s="96"/>
      <c r="E70" s="96"/>
      <c r="F70" s="96"/>
      <c r="G70" s="96">
        <v>25000882</v>
      </c>
      <c r="H70" s="96" t="s">
        <v>1013</v>
      </c>
      <c r="I70" s="96" t="s">
        <v>813</v>
      </c>
      <c r="J70" s="96" t="s">
        <v>203</v>
      </c>
      <c r="K70" s="96"/>
      <c r="L70" s="96" t="s">
        <v>446</v>
      </c>
      <c r="M70" s="96" t="s">
        <v>338</v>
      </c>
      <c r="N70" s="96" t="s">
        <v>337</v>
      </c>
      <c r="O70" s="96"/>
      <c r="P70" s="100">
        <v>45306</v>
      </c>
      <c r="Q70" s="96" t="s">
        <v>1357</v>
      </c>
      <c r="R70" s="96" t="s">
        <v>414</v>
      </c>
      <c r="S70" s="96" t="s">
        <v>407</v>
      </c>
      <c r="T70" s="96" t="s">
        <v>1200</v>
      </c>
      <c r="U70" s="97">
        <v>2.04</v>
      </c>
      <c r="V70" s="96" t="s">
        <v>824</v>
      </c>
      <c r="W70" s="98">
        <v>6.6000000000000003E-2</v>
      </c>
      <c r="X70" s="96"/>
      <c r="Y70" s="96"/>
      <c r="Z70" s="96"/>
      <c r="AA70" s="98">
        <v>6.2199999999999998E-2</v>
      </c>
      <c r="AB70" s="100">
        <v>46262</v>
      </c>
      <c r="AC70" s="96" t="s">
        <v>411</v>
      </c>
      <c r="AD70" s="96"/>
      <c r="AE70" s="96"/>
      <c r="AF70" s="96"/>
      <c r="AG70" s="100">
        <v>45291</v>
      </c>
      <c r="AH70" s="96"/>
      <c r="AI70" s="96"/>
      <c r="AJ70" s="96"/>
      <c r="AK70" s="96" t="s">
        <v>337</v>
      </c>
      <c r="AL70" s="96" t="s">
        <v>887</v>
      </c>
      <c r="AM70" s="96"/>
      <c r="AN70" s="96" t="s">
        <v>890</v>
      </c>
      <c r="AO70" s="100">
        <v>45473</v>
      </c>
      <c r="AP70" s="100">
        <v>45473</v>
      </c>
      <c r="AQ70" s="96"/>
      <c r="AR70" s="97">
        <v>582.004953</v>
      </c>
      <c r="AS70" s="97">
        <v>100.78</v>
      </c>
      <c r="AT70" s="97">
        <v>1</v>
      </c>
      <c r="AU70" s="97">
        <v>0.58654399999999995</v>
      </c>
      <c r="AV70" s="97">
        <v>0.58654399999999995</v>
      </c>
      <c r="AW70" s="96"/>
      <c r="AX70" s="96"/>
      <c r="AY70" s="96"/>
      <c r="AZ70" s="96"/>
      <c r="BA70" s="98">
        <v>3.2600000000000001E-4</v>
      </c>
      <c r="BB70" s="98">
        <v>1.1E-5</v>
      </c>
      <c r="BC70" s="106"/>
    </row>
    <row r="71" spans="1:55" ht="15" customHeight="1">
      <c r="A71" s="106"/>
      <c r="B71" s="96">
        <v>286</v>
      </c>
      <c r="C71" s="96">
        <v>1445</v>
      </c>
      <c r="D71" s="96"/>
      <c r="E71" s="96"/>
      <c r="F71" s="96"/>
      <c r="G71" s="96">
        <v>25000937</v>
      </c>
      <c r="H71" s="96" t="s">
        <v>1013</v>
      </c>
      <c r="I71" s="96"/>
      <c r="J71" s="96" t="s">
        <v>203</v>
      </c>
      <c r="K71" s="96"/>
      <c r="L71" s="96" t="s">
        <v>446</v>
      </c>
      <c r="M71" s="96" t="s">
        <v>338</v>
      </c>
      <c r="N71" s="96" t="s">
        <v>338</v>
      </c>
      <c r="O71" s="96"/>
      <c r="P71" s="100">
        <v>45473</v>
      </c>
      <c r="Q71" s="96" t="s">
        <v>409</v>
      </c>
      <c r="R71" s="96" t="s">
        <v>409</v>
      </c>
      <c r="S71" s="96" t="s">
        <v>409</v>
      </c>
      <c r="T71" s="96" t="s">
        <v>1200</v>
      </c>
      <c r="U71" s="97">
        <v>0.49</v>
      </c>
      <c r="V71" s="96" t="s">
        <v>3678</v>
      </c>
      <c r="W71" s="98">
        <v>0.1</v>
      </c>
      <c r="X71" s="96"/>
      <c r="Y71" s="96"/>
      <c r="Z71" s="96"/>
      <c r="AA71" s="98">
        <v>0.10390000000000001</v>
      </c>
      <c r="AB71" s="100">
        <v>45657</v>
      </c>
      <c r="AC71" s="96" t="s">
        <v>411</v>
      </c>
      <c r="AD71" s="96"/>
      <c r="AE71" s="96"/>
      <c r="AF71" s="96"/>
      <c r="AG71" s="100">
        <v>45292</v>
      </c>
      <c r="AH71" s="96"/>
      <c r="AI71" s="96"/>
      <c r="AJ71" s="96"/>
      <c r="AK71" s="96" t="s">
        <v>337</v>
      </c>
      <c r="AL71" s="96" t="s">
        <v>887</v>
      </c>
      <c r="AM71" s="96"/>
      <c r="AN71" s="96" t="s">
        <v>890</v>
      </c>
      <c r="AO71" s="100">
        <v>45473</v>
      </c>
      <c r="AP71" s="100">
        <v>45473</v>
      </c>
      <c r="AQ71" s="96"/>
      <c r="AR71" s="97">
        <v>5125.0419620000002</v>
      </c>
      <c r="AS71" s="97">
        <v>100</v>
      </c>
      <c r="AT71" s="97">
        <v>1</v>
      </c>
      <c r="AU71" s="97">
        <v>5.1250410000000004</v>
      </c>
      <c r="AV71" s="97">
        <v>5.1250410000000004</v>
      </c>
      <c r="AW71" s="96"/>
      <c r="AX71" s="96"/>
      <c r="AY71" s="96"/>
      <c r="AZ71" s="96"/>
      <c r="BA71" s="98">
        <v>2.8519999999999999E-3</v>
      </c>
      <c r="BB71" s="98">
        <v>9.7E-5</v>
      </c>
      <c r="BC71" s="106"/>
    </row>
    <row r="72" spans="1:55" ht="15" customHeight="1">
      <c r="A72" s="106"/>
      <c r="B72" s="96">
        <v>286</v>
      </c>
      <c r="C72" s="96">
        <v>1445</v>
      </c>
      <c r="D72" s="96"/>
      <c r="E72" s="96"/>
      <c r="F72" s="96"/>
      <c r="G72" s="96">
        <v>25000936</v>
      </c>
      <c r="H72" s="96" t="s">
        <v>1013</v>
      </c>
      <c r="I72" s="96"/>
      <c r="J72" s="96" t="s">
        <v>203</v>
      </c>
      <c r="K72" s="96"/>
      <c r="L72" s="96" t="s">
        <v>446</v>
      </c>
      <c r="M72" s="96" t="s">
        <v>338</v>
      </c>
      <c r="N72" s="96" t="s">
        <v>338</v>
      </c>
      <c r="O72" s="96"/>
      <c r="P72" s="100">
        <v>45470</v>
      </c>
      <c r="Q72" s="96" t="s">
        <v>2074</v>
      </c>
      <c r="R72" s="96" t="s">
        <v>311</v>
      </c>
      <c r="S72" s="96" t="s">
        <v>407</v>
      </c>
      <c r="T72" s="96" t="s">
        <v>1200</v>
      </c>
      <c r="U72" s="97">
        <v>3.51</v>
      </c>
      <c r="V72" s="96" t="s">
        <v>824</v>
      </c>
      <c r="W72" s="98">
        <v>0.1</v>
      </c>
      <c r="X72" s="96"/>
      <c r="Y72" s="96"/>
      <c r="Z72" s="96"/>
      <c r="AA72" s="98">
        <v>0.10580000000000001</v>
      </c>
      <c r="AB72" s="100">
        <v>47028</v>
      </c>
      <c r="AC72" s="96" t="s">
        <v>411</v>
      </c>
      <c r="AD72" s="96"/>
      <c r="AE72" s="96"/>
      <c r="AF72" s="96"/>
      <c r="AG72" s="100">
        <v>45443</v>
      </c>
      <c r="AH72" s="96"/>
      <c r="AI72" s="96"/>
      <c r="AJ72" s="96"/>
      <c r="AK72" s="96" t="s">
        <v>337</v>
      </c>
      <c r="AL72" s="96" t="s">
        <v>887</v>
      </c>
      <c r="AM72" s="96"/>
      <c r="AN72" s="96" t="s">
        <v>890</v>
      </c>
      <c r="AO72" s="100">
        <v>45473</v>
      </c>
      <c r="AP72" s="100">
        <v>45473</v>
      </c>
      <c r="AQ72" s="96"/>
      <c r="AR72" s="97">
        <v>2016.7430939999999</v>
      </c>
      <c r="AS72" s="97">
        <v>100</v>
      </c>
      <c r="AT72" s="97">
        <v>1</v>
      </c>
      <c r="AU72" s="97">
        <v>2.016743</v>
      </c>
      <c r="AV72" s="97">
        <v>2.016743</v>
      </c>
      <c r="AW72" s="96"/>
      <c r="AX72" s="96"/>
      <c r="AY72" s="96"/>
      <c r="AZ72" s="96"/>
      <c r="BA72" s="98">
        <v>1.122E-3</v>
      </c>
      <c r="BB72" s="98">
        <v>3.8000000000000002E-5</v>
      </c>
      <c r="BC72" s="106"/>
    </row>
    <row r="73" spans="1:55" ht="15" customHeight="1">
      <c r="A73" s="106"/>
      <c r="B73" s="96">
        <v>286</v>
      </c>
      <c r="C73" s="96">
        <v>1445</v>
      </c>
      <c r="D73" s="96"/>
      <c r="E73" s="96"/>
      <c r="F73" s="96"/>
      <c r="G73" s="96">
        <v>25000935</v>
      </c>
      <c r="H73" s="96" t="s">
        <v>1013</v>
      </c>
      <c r="I73" s="96" t="s">
        <v>812</v>
      </c>
      <c r="J73" s="96" t="s">
        <v>203</v>
      </c>
      <c r="K73" s="96"/>
      <c r="L73" s="96" t="s">
        <v>470</v>
      </c>
      <c r="M73" s="96" t="s">
        <v>338</v>
      </c>
      <c r="N73" s="96" t="s">
        <v>337</v>
      </c>
      <c r="O73" s="96"/>
      <c r="P73" s="100">
        <v>45469</v>
      </c>
      <c r="Q73" s="96" t="s">
        <v>409</v>
      </c>
      <c r="R73" s="96" t="s">
        <v>409</v>
      </c>
      <c r="S73" s="96" t="s">
        <v>409</v>
      </c>
      <c r="T73" s="96" t="s">
        <v>1200</v>
      </c>
      <c r="U73" s="97">
        <v>8.6999999999999993</v>
      </c>
      <c r="V73" s="96" t="s">
        <v>3678</v>
      </c>
      <c r="W73" s="98">
        <v>4.87E-2</v>
      </c>
      <c r="X73" s="96"/>
      <c r="Y73" s="96"/>
      <c r="Z73" s="96"/>
      <c r="AA73" s="98">
        <v>5.0200000000000002E-2</v>
      </c>
      <c r="AB73" s="100">
        <v>53327</v>
      </c>
      <c r="AC73" s="96" t="s">
        <v>411</v>
      </c>
      <c r="AD73" s="96"/>
      <c r="AE73" s="96"/>
      <c r="AF73" s="96"/>
      <c r="AG73" s="100">
        <v>45291</v>
      </c>
      <c r="AH73" s="96"/>
      <c r="AI73" s="96"/>
      <c r="AJ73" s="96"/>
      <c r="AK73" s="96" t="s">
        <v>337</v>
      </c>
      <c r="AL73" s="96" t="s">
        <v>887</v>
      </c>
      <c r="AM73" s="96"/>
      <c r="AN73" s="96" t="s">
        <v>890</v>
      </c>
      <c r="AO73" s="100">
        <v>45473</v>
      </c>
      <c r="AP73" s="100">
        <v>45473</v>
      </c>
      <c r="AQ73" s="96"/>
      <c r="AR73" s="97">
        <v>366.109103</v>
      </c>
      <c r="AS73" s="97">
        <v>99.55</v>
      </c>
      <c r="AT73" s="97">
        <v>1</v>
      </c>
      <c r="AU73" s="97">
        <v>0.36446099999999998</v>
      </c>
      <c r="AV73" s="97">
        <v>0.36446099999999998</v>
      </c>
      <c r="AW73" s="96"/>
      <c r="AX73" s="96"/>
      <c r="AY73" s="96"/>
      <c r="AZ73" s="96"/>
      <c r="BA73" s="98">
        <v>2.02E-4</v>
      </c>
      <c r="BB73" s="98">
        <v>6.0000000000000002E-6</v>
      </c>
      <c r="BC73" s="106"/>
    </row>
    <row r="74" spans="1:55" ht="15" customHeight="1">
      <c r="A74" s="106"/>
      <c r="B74" s="96">
        <v>286</v>
      </c>
      <c r="C74" s="96">
        <v>1445</v>
      </c>
      <c r="D74" s="96"/>
      <c r="E74" s="96"/>
      <c r="F74" s="96"/>
      <c r="G74" s="96">
        <v>25000934</v>
      </c>
      <c r="H74" s="96" t="s">
        <v>1013</v>
      </c>
      <c r="I74" s="96" t="s">
        <v>812</v>
      </c>
      <c r="J74" s="96" t="s">
        <v>203</v>
      </c>
      <c r="K74" s="96"/>
      <c r="L74" s="96" t="s">
        <v>470</v>
      </c>
      <c r="M74" s="96" t="s">
        <v>338</v>
      </c>
      <c r="N74" s="96" t="s">
        <v>337</v>
      </c>
      <c r="O74" s="96"/>
      <c r="P74" s="100">
        <v>45469</v>
      </c>
      <c r="Q74" s="96" t="s">
        <v>409</v>
      </c>
      <c r="R74" s="96" t="s">
        <v>409</v>
      </c>
      <c r="S74" s="96" t="s">
        <v>409</v>
      </c>
      <c r="T74" s="96" t="s">
        <v>1200</v>
      </c>
      <c r="U74" s="97">
        <v>8.89</v>
      </c>
      <c r="V74" s="96" t="s">
        <v>3678</v>
      </c>
      <c r="W74" s="98">
        <v>4.87E-2</v>
      </c>
      <c r="X74" s="96"/>
      <c r="Y74" s="96"/>
      <c r="Z74" s="96"/>
      <c r="AA74" s="98">
        <v>5.0200000000000002E-2</v>
      </c>
      <c r="AB74" s="100">
        <v>53417</v>
      </c>
      <c r="AC74" s="96" t="s">
        <v>411</v>
      </c>
      <c r="AD74" s="96"/>
      <c r="AE74" s="96"/>
      <c r="AF74" s="96"/>
      <c r="AG74" s="100">
        <v>45291</v>
      </c>
      <c r="AH74" s="96"/>
      <c r="AI74" s="96"/>
      <c r="AJ74" s="96"/>
      <c r="AK74" s="96" t="s">
        <v>337</v>
      </c>
      <c r="AL74" s="96" t="s">
        <v>887</v>
      </c>
      <c r="AM74" s="96"/>
      <c r="AN74" s="96" t="s">
        <v>890</v>
      </c>
      <c r="AO74" s="100">
        <v>45473</v>
      </c>
      <c r="AP74" s="100">
        <v>45473</v>
      </c>
      <c r="AQ74" s="96"/>
      <c r="AR74" s="97">
        <v>153.161419</v>
      </c>
      <c r="AS74" s="97">
        <v>99.54</v>
      </c>
      <c r="AT74" s="97">
        <v>1</v>
      </c>
      <c r="AU74" s="97">
        <v>0.15245600000000001</v>
      </c>
      <c r="AV74" s="97">
        <v>0.15245600000000001</v>
      </c>
      <c r="AW74" s="96"/>
      <c r="AX74" s="96"/>
      <c r="AY74" s="96"/>
      <c r="AZ74" s="96"/>
      <c r="BA74" s="98">
        <v>8.3999999999999995E-5</v>
      </c>
      <c r="BB74" s="98">
        <v>1.9999999999999999E-6</v>
      </c>
      <c r="BC74" s="106"/>
    </row>
    <row r="75" spans="1:55" ht="15" customHeight="1">
      <c r="A75" s="106"/>
      <c r="B75" s="96">
        <v>286</v>
      </c>
      <c r="C75" s="96">
        <v>1445</v>
      </c>
      <c r="D75" s="96"/>
      <c r="E75" s="96"/>
      <c r="F75" s="96"/>
      <c r="G75" s="96">
        <v>25000933</v>
      </c>
      <c r="H75" s="96" t="s">
        <v>1013</v>
      </c>
      <c r="I75" s="96" t="s">
        <v>812</v>
      </c>
      <c r="J75" s="96" t="s">
        <v>203</v>
      </c>
      <c r="K75" s="96"/>
      <c r="L75" s="96" t="s">
        <v>470</v>
      </c>
      <c r="M75" s="96" t="s">
        <v>338</v>
      </c>
      <c r="N75" s="96" t="s">
        <v>337</v>
      </c>
      <c r="O75" s="96"/>
      <c r="P75" s="100">
        <v>45469</v>
      </c>
      <c r="Q75" s="96" t="s">
        <v>409</v>
      </c>
      <c r="R75" s="96" t="s">
        <v>409</v>
      </c>
      <c r="S75" s="96" t="s">
        <v>409</v>
      </c>
      <c r="T75" s="96" t="s">
        <v>1200</v>
      </c>
      <c r="U75" s="97">
        <v>9.6199999999999992</v>
      </c>
      <c r="V75" s="96" t="s">
        <v>3678</v>
      </c>
      <c r="W75" s="98">
        <v>4.8800000000000003E-2</v>
      </c>
      <c r="X75" s="96"/>
      <c r="Y75" s="96"/>
      <c r="Z75" s="96"/>
      <c r="AA75" s="98">
        <v>5.0299999999999997E-2</v>
      </c>
      <c r="AB75" s="100">
        <v>53508</v>
      </c>
      <c r="AC75" s="96" t="s">
        <v>411</v>
      </c>
      <c r="AD75" s="96"/>
      <c r="AE75" s="96"/>
      <c r="AF75" s="96"/>
      <c r="AG75" s="100">
        <v>45291</v>
      </c>
      <c r="AH75" s="96"/>
      <c r="AI75" s="96"/>
      <c r="AJ75" s="96"/>
      <c r="AK75" s="96" t="s">
        <v>337</v>
      </c>
      <c r="AL75" s="96" t="s">
        <v>887</v>
      </c>
      <c r="AM75" s="96"/>
      <c r="AN75" s="96" t="s">
        <v>890</v>
      </c>
      <c r="AO75" s="100">
        <v>45473</v>
      </c>
      <c r="AP75" s="100">
        <v>45473</v>
      </c>
      <c r="AQ75" s="96"/>
      <c r="AR75" s="97">
        <v>1031.1233769999999</v>
      </c>
      <c r="AS75" s="97">
        <v>99.49</v>
      </c>
      <c r="AT75" s="97">
        <v>1</v>
      </c>
      <c r="AU75" s="97">
        <v>1.0258640000000001</v>
      </c>
      <c r="AV75" s="97">
        <v>1.0258640000000001</v>
      </c>
      <c r="AW75" s="96"/>
      <c r="AX75" s="96"/>
      <c r="AY75" s="96"/>
      <c r="AZ75" s="96"/>
      <c r="BA75" s="98">
        <v>5.71E-4</v>
      </c>
      <c r="BB75" s="98">
        <v>1.9000000000000001E-5</v>
      </c>
      <c r="BC75" s="106"/>
    </row>
    <row r="76" spans="1:55" ht="15" customHeight="1">
      <c r="A76" s="106"/>
      <c r="B76" s="96">
        <v>286</v>
      </c>
      <c r="C76" s="96">
        <v>1445</v>
      </c>
      <c r="D76" s="96"/>
      <c r="E76" s="96"/>
      <c r="F76" s="96"/>
      <c r="G76" s="96">
        <v>25000932</v>
      </c>
      <c r="H76" s="96" t="s">
        <v>1013</v>
      </c>
      <c r="I76" s="96" t="s">
        <v>812</v>
      </c>
      <c r="J76" s="96" t="s">
        <v>203</v>
      </c>
      <c r="K76" s="96"/>
      <c r="L76" s="96" t="s">
        <v>470</v>
      </c>
      <c r="M76" s="96" t="s">
        <v>338</v>
      </c>
      <c r="N76" s="96" t="s">
        <v>337</v>
      </c>
      <c r="O76" s="96"/>
      <c r="P76" s="100">
        <v>45469</v>
      </c>
      <c r="Q76" s="96" t="s">
        <v>409</v>
      </c>
      <c r="R76" s="96" t="s">
        <v>409</v>
      </c>
      <c r="S76" s="96" t="s">
        <v>409</v>
      </c>
      <c r="T76" s="96" t="s">
        <v>1200</v>
      </c>
      <c r="U76" s="97">
        <v>9.34</v>
      </c>
      <c r="V76" s="96" t="s">
        <v>3678</v>
      </c>
      <c r="W76" s="98">
        <v>4.8800000000000003E-2</v>
      </c>
      <c r="X76" s="96"/>
      <c r="Y76" s="96"/>
      <c r="Z76" s="96"/>
      <c r="AA76" s="98">
        <v>5.0200000000000002E-2</v>
      </c>
      <c r="AB76" s="100">
        <v>53417</v>
      </c>
      <c r="AC76" s="96" t="s">
        <v>411</v>
      </c>
      <c r="AD76" s="96"/>
      <c r="AE76" s="96"/>
      <c r="AF76" s="96"/>
      <c r="AG76" s="100">
        <v>45291</v>
      </c>
      <c r="AH76" s="96"/>
      <c r="AI76" s="96"/>
      <c r="AJ76" s="96"/>
      <c r="AK76" s="96" t="s">
        <v>337</v>
      </c>
      <c r="AL76" s="96" t="s">
        <v>887</v>
      </c>
      <c r="AM76" s="96"/>
      <c r="AN76" s="96" t="s">
        <v>890</v>
      </c>
      <c r="AO76" s="100">
        <v>45473</v>
      </c>
      <c r="AP76" s="100">
        <v>45473</v>
      </c>
      <c r="AQ76" s="96"/>
      <c r="AR76" s="97">
        <v>1292.407968</v>
      </c>
      <c r="AS76" s="97">
        <v>99.52</v>
      </c>
      <c r="AT76" s="97">
        <v>1</v>
      </c>
      <c r="AU76" s="97">
        <v>1.2862039999999999</v>
      </c>
      <c r="AV76" s="97">
        <v>1.2862039999999999</v>
      </c>
      <c r="AW76" s="96"/>
      <c r="AX76" s="96"/>
      <c r="AY76" s="96"/>
      <c r="AZ76" s="96"/>
      <c r="BA76" s="98">
        <v>7.1500000000000003E-4</v>
      </c>
      <c r="BB76" s="98">
        <v>2.4000000000000001E-5</v>
      </c>
      <c r="BC76" s="106"/>
    </row>
    <row r="77" spans="1:55" ht="15" customHeight="1">
      <c r="A77" s="106"/>
      <c r="B77" s="96">
        <v>286</v>
      </c>
      <c r="C77" s="96">
        <v>1445</v>
      </c>
      <c r="D77" s="96"/>
      <c r="E77" s="96"/>
      <c r="F77" s="96"/>
      <c r="G77" s="96">
        <v>25000931</v>
      </c>
      <c r="H77" s="96" t="s">
        <v>1013</v>
      </c>
      <c r="I77" s="96" t="s">
        <v>812</v>
      </c>
      <c r="J77" s="96" t="s">
        <v>203</v>
      </c>
      <c r="K77" s="96"/>
      <c r="L77" s="96" t="s">
        <v>470</v>
      </c>
      <c r="M77" s="96" t="s">
        <v>338</v>
      </c>
      <c r="N77" s="96" t="s">
        <v>337</v>
      </c>
      <c r="O77" s="96"/>
      <c r="P77" s="100">
        <v>45469</v>
      </c>
      <c r="Q77" s="96" t="s">
        <v>409</v>
      </c>
      <c r="R77" s="96" t="s">
        <v>409</v>
      </c>
      <c r="S77" s="96" t="s">
        <v>409</v>
      </c>
      <c r="T77" s="96" t="s">
        <v>1200</v>
      </c>
      <c r="U77" s="97">
        <v>9.48</v>
      </c>
      <c r="V77" s="96" t="s">
        <v>3678</v>
      </c>
      <c r="W77" s="98">
        <v>4.8800000000000003E-2</v>
      </c>
      <c r="X77" s="96"/>
      <c r="Y77" s="96"/>
      <c r="Z77" s="96"/>
      <c r="AA77" s="98">
        <v>5.0200000000000002E-2</v>
      </c>
      <c r="AB77" s="100">
        <v>53692</v>
      </c>
      <c r="AC77" s="96" t="s">
        <v>411</v>
      </c>
      <c r="AD77" s="96"/>
      <c r="AE77" s="96"/>
      <c r="AF77" s="96"/>
      <c r="AG77" s="100">
        <v>45291</v>
      </c>
      <c r="AH77" s="96"/>
      <c r="AI77" s="96"/>
      <c r="AJ77" s="96"/>
      <c r="AK77" s="96" t="s">
        <v>337</v>
      </c>
      <c r="AL77" s="96" t="s">
        <v>887</v>
      </c>
      <c r="AM77" s="96"/>
      <c r="AN77" s="96" t="s">
        <v>890</v>
      </c>
      <c r="AO77" s="100">
        <v>45473</v>
      </c>
      <c r="AP77" s="100">
        <v>45473</v>
      </c>
      <c r="AQ77" s="96"/>
      <c r="AR77" s="97">
        <v>1263.748816</v>
      </c>
      <c r="AS77" s="97">
        <v>99.52</v>
      </c>
      <c r="AT77" s="97">
        <v>1</v>
      </c>
      <c r="AU77" s="97">
        <v>1.257682</v>
      </c>
      <c r="AV77" s="97">
        <v>1.257682</v>
      </c>
      <c r="AW77" s="96"/>
      <c r="AX77" s="96"/>
      <c r="AY77" s="96"/>
      <c r="AZ77" s="96"/>
      <c r="BA77" s="98">
        <v>6.9999999999999999E-4</v>
      </c>
      <c r="BB77" s="98">
        <v>2.3E-5</v>
      </c>
      <c r="BC77" s="106"/>
    </row>
    <row r="78" spans="1:55" ht="15" customHeight="1">
      <c r="A78" s="106"/>
      <c r="B78" s="96">
        <v>286</v>
      </c>
      <c r="C78" s="96">
        <v>1445</v>
      </c>
      <c r="D78" s="96"/>
      <c r="E78" s="96"/>
      <c r="F78" s="96"/>
      <c r="G78" s="96">
        <v>25000928</v>
      </c>
      <c r="H78" s="96" t="s">
        <v>1013</v>
      </c>
      <c r="I78" s="96" t="s">
        <v>812</v>
      </c>
      <c r="J78" s="96" t="s">
        <v>203</v>
      </c>
      <c r="K78" s="96"/>
      <c r="L78" s="96" t="s">
        <v>454</v>
      </c>
      <c r="M78" s="96" t="s">
        <v>338</v>
      </c>
      <c r="N78" s="96" t="s">
        <v>337</v>
      </c>
      <c r="O78" s="96"/>
      <c r="P78" s="100">
        <v>45466</v>
      </c>
      <c r="Q78" s="96" t="s">
        <v>1357</v>
      </c>
      <c r="R78" s="96" t="s">
        <v>414</v>
      </c>
      <c r="S78" s="96" t="s">
        <v>407</v>
      </c>
      <c r="T78" s="96" t="s">
        <v>1200</v>
      </c>
      <c r="U78" s="97">
        <v>6.78</v>
      </c>
      <c r="V78" s="96" t="s">
        <v>3678</v>
      </c>
      <c r="W78" s="98">
        <v>5.2234000000000003E-2</v>
      </c>
      <c r="X78" s="96"/>
      <c r="Y78" s="96"/>
      <c r="Z78" s="96"/>
      <c r="AA78" s="98">
        <v>5.4300000000000001E-2</v>
      </c>
      <c r="AB78" s="100">
        <v>51677</v>
      </c>
      <c r="AC78" s="96" t="s">
        <v>411</v>
      </c>
      <c r="AD78" s="96"/>
      <c r="AE78" s="96"/>
      <c r="AF78" s="96"/>
      <c r="AG78" s="100">
        <v>45291</v>
      </c>
      <c r="AH78" s="96"/>
      <c r="AI78" s="96"/>
      <c r="AJ78" s="96"/>
      <c r="AK78" s="96" t="s">
        <v>337</v>
      </c>
      <c r="AL78" s="96" t="s">
        <v>887</v>
      </c>
      <c r="AM78" s="96"/>
      <c r="AN78" s="96" t="s">
        <v>890</v>
      </c>
      <c r="AO78" s="100">
        <v>45473</v>
      </c>
      <c r="AP78" s="100">
        <v>45473</v>
      </c>
      <c r="AQ78" s="96"/>
      <c r="AR78" s="97">
        <v>6201.83</v>
      </c>
      <c r="AS78" s="97">
        <v>99.37</v>
      </c>
      <c r="AT78" s="97">
        <v>1</v>
      </c>
      <c r="AU78" s="97">
        <v>6.1627599999999996</v>
      </c>
      <c r="AV78" s="97">
        <v>6.1627599999999996</v>
      </c>
      <c r="AW78" s="96"/>
      <c r="AX78" s="96"/>
      <c r="AY78" s="96"/>
      <c r="AZ78" s="96"/>
      <c r="BA78" s="98">
        <v>3.4299999999999999E-3</v>
      </c>
      <c r="BB78" s="98">
        <v>1.17E-4</v>
      </c>
      <c r="BC78" s="106"/>
    </row>
    <row r="79" spans="1:55" ht="15" customHeight="1">
      <c r="A79" s="106"/>
      <c r="B79" s="96">
        <v>286</v>
      </c>
      <c r="C79" s="96">
        <v>1445</v>
      </c>
      <c r="D79" s="96"/>
      <c r="E79" s="96"/>
      <c r="F79" s="96"/>
      <c r="G79" s="96">
        <v>25000927</v>
      </c>
      <c r="H79" s="96" t="s">
        <v>1013</v>
      </c>
      <c r="I79" s="96" t="s">
        <v>812</v>
      </c>
      <c r="J79" s="96" t="s">
        <v>203</v>
      </c>
      <c r="K79" s="96"/>
      <c r="L79" s="96" t="s">
        <v>476</v>
      </c>
      <c r="M79" s="96" t="s">
        <v>338</v>
      </c>
      <c r="N79" s="96" t="s">
        <v>337</v>
      </c>
      <c r="O79" s="96"/>
      <c r="P79" s="100">
        <v>45456</v>
      </c>
      <c r="Q79" s="96" t="s">
        <v>1357</v>
      </c>
      <c r="R79" s="96" t="s">
        <v>414</v>
      </c>
      <c r="S79" s="96" t="s">
        <v>407</v>
      </c>
      <c r="T79" s="96" t="s">
        <v>1200</v>
      </c>
      <c r="U79" s="97">
        <v>3.16</v>
      </c>
      <c r="V79" s="96" t="s">
        <v>824</v>
      </c>
      <c r="W79" s="98">
        <v>6.7000000000000004E-2</v>
      </c>
      <c r="X79" s="96"/>
      <c r="Y79" s="96"/>
      <c r="Z79" s="96"/>
      <c r="AA79" s="98">
        <v>6.9199999999999998E-2</v>
      </c>
      <c r="AB79" s="100">
        <v>46753</v>
      </c>
      <c r="AC79" s="96" t="s">
        <v>411</v>
      </c>
      <c r="AD79" s="96"/>
      <c r="AE79" s="96"/>
      <c r="AF79" s="96"/>
      <c r="AG79" s="100">
        <v>45291</v>
      </c>
      <c r="AH79" s="96"/>
      <c r="AI79" s="96"/>
      <c r="AJ79" s="96"/>
      <c r="AK79" s="96" t="s">
        <v>337</v>
      </c>
      <c r="AL79" s="96" t="s">
        <v>887</v>
      </c>
      <c r="AM79" s="96"/>
      <c r="AN79" s="96" t="s">
        <v>890</v>
      </c>
      <c r="AO79" s="100">
        <v>45473</v>
      </c>
      <c r="AP79" s="100">
        <v>45473</v>
      </c>
      <c r="AQ79" s="96"/>
      <c r="AR79" s="97">
        <v>1268.990806</v>
      </c>
      <c r="AS79" s="97">
        <v>99.79</v>
      </c>
      <c r="AT79" s="97">
        <v>1</v>
      </c>
      <c r="AU79" s="97">
        <v>1.2663249999999999</v>
      </c>
      <c r="AV79" s="97">
        <v>1.2663249999999999</v>
      </c>
      <c r="AW79" s="96"/>
      <c r="AX79" s="96"/>
      <c r="AY79" s="96"/>
      <c r="AZ79" s="96"/>
      <c r="BA79" s="98">
        <v>7.0399999999999998E-4</v>
      </c>
      <c r="BB79" s="98">
        <v>2.4000000000000001E-5</v>
      </c>
      <c r="BC79" s="106"/>
    </row>
    <row r="80" spans="1:55" ht="15" customHeight="1">
      <c r="A80" s="106"/>
      <c r="B80" s="96">
        <v>286</v>
      </c>
      <c r="C80" s="96">
        <v>1445</v>
      </c>
      <c r="D80" s="96"/>
      <c r="E80" s="96"/>
      <c r="F80" s="96"/>
      <c r="G80" s="96">
        <v>25000926</v>
      </c>
      <c r="H80" s="96" t="s">
        <v>1013</v>
      </c>
      <c r="I80" s="96" t="s">
        <v>812</v>
      </c>
      <c r="J80" s="96" t="s">
        <v>203</v>
      </c>
      <c r="K80" s="96"/>
      <c r="L80" s="96" t="s">
        <v>476</v>
      </c>
      <c r="M80" s="96" t="s">
        <v>338</v>
      </c>
      <c r="N80" s="96" t="s">
        <v>337</v>
      </c>
      <c r="O80" s="96"/>
      <c r="P80" s="100">
        <v>45456</v>
      </c>
      <c r="Q80" s="96" t="s">
        <v>1357</v>
      </c>
      <c r="R80" s="96" t="s">
        <v>414</v>
      </c>
      <c r="S80" s="96" t="s">
        <v>407</v>
      </c>
      <c r="T80" s="96" t="s">
        <v>1200</v>
      </c>
      <c r="U80" s="97">
        <v>9.51</v>
      </c>
      <c r="V80" s="96" t="s">
        <v>824</v>
      </c>
      <c r="W80" s="98">
        <v>6.7000000000000004E-2</v>
      </c>
      <c r="X80" s="96"/>
      <c r="Y80" s="96"/>
      <c r="Z80" s="96"/>
      <c r="AA80" s="98">
        <v>6.13E-2</v>
      </c>
      <c r="AB80" s="100">
        <v>54057</v>
      </c>
      <c r="AC80" s="96" t="s">
        <v>411</v>
      </c>
      <c r="AD80" s="96"/>
      <c r="AE80" s="96"/>
      <c r="AF80" s="96"/>
      <c r="AG80" s="100">
        <v>45291</v>
      </c>
      <c r="AH80" s="96"/>
      <c r="AI80" s="96"/>
      <c r="AJ80" s="96"/>
      <c r="AK80" s="96" t="s">
        <v>337</v>
      </c>
      <c r="AL80" s="96" t="s">
        <v>887</v>
      </c>
      <c r="AM80" s="96"/>
      <c r="AN80" s="96" t="s">
        <v>890</v>
      </c>
      <c r="AO80" s="100">
        <v>45473</v>
      </c>
      <c r="AP80" s="100">
        <v>45473</v>
      </c>
      <c r="AQ80" s="96"/>
      <c r="AR80" s="97">
        <v>696.38370799999996</v>
      </c>
      <c r="AS80" s="97">
        <v>99.32</v>
      </c>
      <c r="AT80" s="97">
        <v>1</v>
      </c>
      <c r="AU80" s="97">
        <v>0.69164800000000004</v>
      </c>
      <c r="AV80" s="97">
        <v>0.69164800000000004</v>
      </c>
      <c r="AW80" s="96"/>
      <c r="AX80" s="96"/>
      <c r="AY80" s="96"/>
      <c r="AZ80" s="96"/>
      <c r="BA80" s="98">
        <v>3.8400000000000001E-4</v>
      </c>
      <c r="BB80" s="98">
        <v>1.2999999999999999E-5</v>
      </c>
      <c r="BC80" s="106"/>
    </row>
    <row r="81" spans="1:55" ht="15" customHeight="1">
      <c r="A81" s="106"/>
      <c r="B81" s="96">
        <v>286</v>
      </c>
      <c r="C81" s="96">
        <v>1445</v>
      </c>
      <c r="D81" s="96"/>
      <c r="E81" s="96"/>
      <c r="F81" s="96"/>
      <c r="G81" s="96">
        <v>25000925</v>
      </c>
      <c r="H81" s="96" t="s">
        <v>1013</v>
      </c>
      <c r="I81" s="96" t="s">
        <v>812</v>
      </c>
      <c r="J81" s="96" t="s">
        <v>203</v>
      </c>
      <c r="K81" s="96"/>
      <c r="L81" s="96" t="s">
        <v>446</v>
      </c>
      <c r="M81" s="96" t="s">
        <v>338</v>
      </c>
      <c r="N81" s="96" t="s">
        <v>337</v>
      </c>
      <c r="O81" s="96"/>
      <c r="P81" s="100">
        <v>45459</v>
      </c>
      <c r="Q81" s="96" t="s">
        <v>1357</v>
      </c>
      <c r="R81" s="96" t="s">
        <v>414</v>
      </c>
      <c r="S81" s="96" t="s">
        <v>407</v>
      </c>
      <c r="T81" s="96" t="s">
        <v>1200</v>
      </c>
      <c r="U81" s="97">
        <v>2.04</v>
      </c>
      <c r="V81" s="96" t="s">
        <v>824</v>
      </c>
      <c r="W81" s="98">
        <v>6.6000000000000003E-2</v>
      </c>
      <c r="X81" s="96"/>
      <c r="Y81" s="96"/>
      <c r="Z81" s="96"/>
      <c r="AA81" s="98">
        <v>6.5699999999999995E-2</v>
      </c>
      <c r="AB81" s="100">
        <v>46262</v>
      </c>
      <c r="AC81" s="96" t="s">
        <v>411</v>
      </c>
      <c r="AD81" s="96"/>
      <c r="AE81" s="96"/>
      <c r="AF81" s="96"/>
      <c r="AG81" s="100">
        <v>45291</v>
      </c>
      <c r="AH81" s="96"/>
      <c r="AI81" s="96"/>
      <c r="AJ81" s="96"/>
      <c r="AK81" s="96" t="s">
        <v>337</v>
      </c>
      <c r="AL81" s="96" t="s">
        <v>887</v>
      </c>
      <c r="AM81" s="96"/>
      <c r="AN81" s="96" t="s">
        <v>890</v>
      </c>
      <c r="AO81" s="100">
        <v>45473</v>
      </c>
      <c r="AP81" s="100">
        <v>45473</v>
      </c>
      <c r="AQ81" s="96"/>
      <c r="AR81" s="97">
        <v>582.004953</v>
      </c>
      <c r="AS81" s="97">
        <v>100.11</v>
      </c>
      <c r="AT81" s="97">
        <v>1</v>
      </c>
      <c r="AU81" s="97">
        <v>0.58264499999999997</v>
      </c>
      <c r="AV81" s="97">
        <v>0.58264499999999997</v>
      </c>
      <c r="AW81" s="96"/>
      <c r="AX81" s="96"/>
      <c r="AY81" s="96"/>
      <c r="AZ81" s="96"/>
      <c r="BA81" s="98">
        <v>3.2400000000000001E-4</v>
      </c>
      <c r="BB81" s="98">
        <v>1.1E-5</v>
      </c>
      <c r="BC81" s="106"/>
    </row>
    <row r="82" spans="1:55" ht="15" customHeight="1">
      <c r="A82" s="106"/>
      <c r="B82" s="96">
        <v>286</v>
      </c>
      <c r="C82" s="96">
        <v>1445</v>
      </c>
      <c r="D82" s="96"/>
      <c r="E82" s="96"/>
      <c r="F82" s="96"/>
      <c r="G82" s="96">
        <v>25000924</v>
      </c>
      <c r="H82" s="96" t="s">
        <v>1013</v>
      </c>
      <c r="I82" s="96"/>
      <c r="J82" s="96" t="s">
        <v>203</v>
      </c>
      <c r="K82" s="96"/>
      <c r="L82" s="96" t="s">
        <v>477</v>
      </c>
      <c r="M82" s="96" t="s">
        <v>338</v>
      </c>
      <c r="N82" s="96" t="s">
        <v>338</v>
      </c>
      <c r="O82" s="96"/>
      <c r="P82" s="100">
        <v>45449</v>
      </c>
      <c r="Q82" s="96" t="s">
        <v>409</v>
      </c>
      <c r="R82" s="96" t="s">
        <v>409</v>
      </c>
      <c r="S82" s="96" t="s">
        <v>409</v>
      </c>
      <c r="T82" s="96" t="s">
        <v>1200</v>
      </c>
      <c r="U82" s="97">
        <v>3.56</v>
      </c>
      <c r="V82" s="96" t="s">
        <v>3678</v>
      </c>
      <c r="W82" s="98">
        <v>4.1509999999999998E-2</v>
      </c>
      <c r="X82" s="96"/>
      <c r="Y82" s="96"/>
      <c r="Z82" s="96"/>
      <c r="AA82" s="98">
        <v>4.5100000000000001E-2</v>
      </c>
      <c r="AB82" s="100">
        <v>56381</v>
      </c>
      <c r="AC82" s="96" t="s">
        <v>411</v>
      </c>
      <c r="AD82" s="96"/>
      <c r="AE82" s="96"/>
      <c r="AF82" s="96"/>
      <c r="AG82" s="100">
        <v>45473</v>
      </c>
      <c r="AH82" s="96"/>
      <c r="AI82" s="96"/>
      <c r="AJ82" s="96"/>
      <c r="AK82" s="96" t="s">
        <v>337</v>
      </c>
      <c r="AL82" s="96" t="s">
        <v>887</v>
      </c>
      <c r="AM82" s="96"/>
      <c r="AN82" s="96" t="s">
        <v>890</v>
      </c>
      <c r="AO82" s="100">
        <v>45473</v>
      </c>
      <c r="AP82" s="100">
        <v>45473</v>
      </c>
      <c r="AQ82" s="96"/>
      <c r="AR82" s="97">
        <v>1809.550391</v>
      </c>
      <c r="AS82" s="97">
        <v>99.49</v>
      </c>
      <c r="AT82" s="97">
        <v>1</v>
      </c>
      <c r="AU82" s="97">
        <v>1.8003210000000001</v>
      </c>
      <c r="AV82" s="97">
        <v>1.8003210000000001</v>
      </c>
      <c r="AW82" s="96"/>
      <c r="AX82" s="96"/>
      <c r="AY82" s="96"/>
      <c r="AZ82" s="96"/>
      <c r="BA82" s="98">
        <v>1.0020000000000001E-3</v>
      </c>
      <c r="BB82" s="98">
        <v>3.4E-5</v>
      </c>
      <c r="BC82" s="106"/>
    </row>
    <row r="83" spans="1:55" ht="15" customHeight="1">
      <c r="A83" s="106"/>
      <c r="B83" s="96">
        <v>286</v>
      </c>
      <c r="C83" s="96">
        <v>1445</v>
      </c>
      <c r="D83" s="96"/>
      <c r="E83" s="96"/>
      <c r="F83" s="96"/>
      <c r="G83" s="96">
        <v>25000923</v>
      </c>
      <c r="H83" s="96" t="s">
        <v>1013</v>
      </c>
      <c r="I83" s="96" t="s">
        <v>813</v>
      </c>
      <c r="J83" s="96" t="s">
        <v>203</v>
      </c>
      <c r="K83" s="96"/>
      <c r="L83" s="96" t="s">
        <v>454</v>
      </c>
      <c r="M83" s="96" t="s">
        <v>338</v>
      </c>
      <c r="N83" s="96" t="s">
        <v>337</v>
      </c>
      <c r="O83" s="96"/>
      <c r="P83" s="100">
        <v>45442</v>
      </c>
      <c r="Q83" s="96" t="s">
        <v>1520</v>
      </c>
      <c r="R83" s="96" t="s">
        <v>414</v>
      </c>
      <c r="S83" s="96" t="s">
        <v>407</v>
      </c>
      <c r="T83" s="96" t="s">
        <v>1200</v>
      </c>
      <c r="U83" s="97">
        <v>8</v>
      </c>
      <c r="V83" s="96" t="s">
        <v>3678</v>
      </c>
      <c r="W83" s="98">
        <v>4.4484999999999997E-2</v>
      </c>
      <c r="X83" s="96"/>
      <c r="Y83" s="96"/>
      <c r="Z83" s="96"/>
      <c r="AA83" s="98">
        <v>4.7899999999999998E-2</v>
      </c>
      <c r="AB83" s="100">
        <v>52568</v>
      </c>
      <c r="AC83" s="96" t="s">
        <v>411</v>
      </c>
      <c r="AD83" s="96"/>
      <c r="AE83" s="96"/>
      <c r="AF83" s="96"/>
      <c r="AG83" s="100">
        <v>45398</v>
      </c>
      <c r="AH83" s="96"/>
      <c r="AI83" s="96"/>
      <c r="AJ83" s="96"/>
      <c r="AK83" s="96" t="s">
        <v>337</v>
      </c>
      <c r="AL83" s="96" t="s">
        <v>887</v>
      </c>
      <c r="AM83" s="96"/>
      <c r="AN83" s="96" t="s">
        <v>890</v>
      </c>
      <c r="AO83" s="100">
        <v>45473</v>
      </c>
      <c r="AP83" s="100">
        <v>45473</v>
      </c>
      <c r="AQ83" s="96"/>
      <c r="AR83" s="97">
        <v>56845.265357999997</v>
      </c>
      <c r="AS83" s="97">
        <v>98.51</v>
      </c>
      <c r="AT83" s="97">
        <v>1</v>
      </c>
      <c r="AU83" s="97">
        <v>55.998269999999998</v>
      </c>
      <c r="AV83" s="97">
        <v>55.998269999999998</v>
      </c>
      <c r="AW83" s="96"/>
      <c r="AX83" s="96"/>
      <c r="AY83" s="96"/>
      <c r="AZ83" s="96"/>
      <c r="BA83" s="98">
        <v>3.117E-2</v>
      </c>
      <c r="BB83" s="98">
        <v>1.0660000000000001E-3</v>
      </c>
      <c r="BC83" s="106"/>
    </row>
    <row r="84" spans="1:55" ht="15" customHeight="1">
      <c r="A84" s="106"/>
      <c r="B84" s="96">
        <v>286</v>
      </c>
      <c r="C84" s="96">
        <v>1445</v>
      </c>
      <c r="D84" s="96"/>
      <c r="E84" s="96"/>
      <c r="F84" s="96"/>
      <c r="G84" s="96">
        <v>25000938</v>
      </c>
      <c r="H84" s="96" t="s">
        <v>1013</v>
      </c>
      <c r="I84" s="96"/>
      <c r="J84" s="96" t="s">
        <v>203</v>
      </c>
      <c r="K84" s="96"/>
      <c r="L84" s="96" t="s">
        <v>477</v>
      </c>
      <c r="M84" s="96" t="s">
        <v>338</v>
      </c>
      <c r="N84" s="96" t="s">
        <v>338</v>
      </c>
      <c r="O84" s="96"/>
      <c r="P84" s="100">
        <v>45473</v>
      </c>
      <c r="Q84" s="96" t="s">
        <v>409</v>
      </c>
      <c r="R84" s="96" t="s">
        <v>409</v>
      </c>
      <c r="S84" s="96" t="s">
        <v>409</v>
      </c>
      <c r="T84" s="96" t="s">
        <v>1200</v>
      </c>
      <c r="U84" s="97">
        <v>8.1199999999999992</v>
      </c>
      <c r="V84" s="96" t="s">
        <v>3678</v>
      </c>
      <c r="W84" s="98">
        <v>5.5800000000000002E-2</v>
      </c>
      <c r="X84" s="96"/>
      <c r="Y84" s="96"/>
      <c r="Z84" s="96"/>
      <c r="AA84" s="98">
        <v>4.6199999999999998E-2</v>
      </c>
      <c r="AB84" s="100">
        <v>56127</v>
      </c>
      <c r="AC84" s="96" t="s">
        <v>411</v>
      </c>
      <c r="AD84" s="96"/>
      <c r="AE84" s="96"/>
      <c r="AF84" s="96"/>
      <c r="AG84" s="100">
        <v>45473</v>
      </c>
      <c r="AH84" s="96"/>
      <c r="AI84" s="96"/>
      <c r="AJ84" s="96"/>
      <c r="AK84" s="96" t="s">
        <v>337</v>
      </c>
      <c r="AL84" s="96" t="s">
        <v>887</v>
      </c>
      <c r="AM84" s="96"/>
      <c r="AN84" s="96" t="s">
        <v>890</v>
      </c>
      <c r="AO84" s="100">
        <v>45473</v>
      </c>
      <c r="AP84" s="100">
        <v>45473</v>
      </c>
      <c r="AQ84" s="96"/>
      <c r="AR84" s="97">
        <v>204.18201400000001</v>
      </c>
      <c r="AS84" s="97">
        <v>108.64</v>
      </c>
      <c r="AT84" s="97">
        <v>1</v>
      </c>
      <c r="AU84" s="97">
        <v>0.22182299999999999</v>
      </c>
      <c r="AV84" s="97">
        <v>0.22182299999999999</v>
      </c>
      <c r="AW84" s="96"/>
      <c r="AX84" s="96"/>
      <c r="AY84" s="96"/>
      <c r="AZ84" s="96"/>
      <c r="BA84" s="98">
        <v>1.2300000000000001E-4</v>
      </c>
      <c r="BB84" s="98">
        <v>3.9999999999999998E-6</v>
      </c>
      <c r="BC84" s="106"/>
    </row>
    <row r="85" spans="1:55" ht="15" customHeight="1">
      <c r="A85" s="106"/>
      <c r="B85" s="96">
        <v>286</v>
      </c>
      <c r="C85" s="96">
        <v>1445</v>
      </c>
      <c r="D85" s="96"/>
      <c r="E85" s="96"/>
      <c r="F85" s="96"/>
      <c r="G85" s="96">
        <v>25000922</v>
      </c>
      <c r="H85" s="96" t="s">
        <v>1013</v>
      </c>
      <c r="I85" s="96"/>
      <c r="J85" s="96" t="s">
        <v>203</v>
      </c>
      <c r="K85" s="96"/>
      <c r="L85" s="96" t="s">
        <v>477</v>
      </c>
      <c r="M85" s="96" t="s">
        <v>338</v>
      </c>
      <c r="N85" s="96" t="s">
        <v>338</v>
      </c>
      <c r="O85" s="96"/>
      <c r="P85" s="100">
        <v>45441</v>
      </c>
      <c r="Q85" s="96" t="s">
        <v>409</v>
      </c>
      <c r="R85" s="96" t="s">
        <v>409</v>
      </c>
      <c r="S85" s="96" t="s">
        <v>409</v>
      </c>
      <c r="T85" s="96" t="s">
        <v>1200</v>
      </c>
      <c r="U85" s="97">
        <v>1.55</v>
      </c>
      <c r="V85" s="96" t="s">
        <v>3678</v>
      </c>
      <c r="W85" s="98">
        <v>7.2800000000000004E-2</v>
      </c>
      <c r="X85" s="96"/>
      <c r="Y85" s="96"/>
      <c r="Z85" s="96"/>
      <c r="AA85" s="98">
        <v>7.8799999999999995E-2</v>
      </c>
      <c r="AB85" s="100">
        <v>48457</v>
      </c>
      <c r="AC85" s="96" t="s">
        <v>411</v>
      </c>
      <c r="AD85" s="96"/>
      <c r="AE85" s="96"/>
      <c r="AF85" s="96"/>
      <c r="AG85" s="100">
        <v>45473</v>
      </c>
      <c r="AH85" s="96"/>
      <c r="AI85" s="96"/>
      <c r="AJ85" s="96"/>
      <c r="AK85" s="96" t="s">
        <v>337</v>
      </c>
      <c r="AL85" s="96" t="s">
        <v>887</v>
      </c>
      <c r="AM85" s="96"/>
      <c r="AN85" s="96" t="s">
        <v>890</v>
      </c>
      <c r="AO85" s="100">
        <v>45473</v>
      </c>
      <c r="AP85" s="100">
        <v>45473</v>
      </c>
      <c r="AQ85" s="96"/>
      <c r="AR85" s="97">
        <v>16022.217352</v>
      </c>
      <c r="AS85" s="97">
        <v>106.55</v>
      </c>
      <c r="AT85" s="97">
        <v>1</v>
      </c>
      <c r="AU85" s="97">
        <v>17.071672</v>
      </c>
      <c r="AV85" s="97">
        <v>17.071672</v>
      </c>
      <c r="AW85" s="96"/>
      <c r="AX85" s="96"/>
      <c r="AY85" s="96"/>
      <c r="AZ85" s="96"/>
      <c r="BA85" s="98">
        <v>9.502E-3</v>
      </c>
      <c r="BB85" s="98">
        <v>3.2499999999999999E-4</v>
      </c>
      <c r="BC85" s="106"/>
    </row>
    <row r="86" spans="1:55" ht="15" customHeight="1">
      <c r="A86" s="106"/>
      <c r="B86" s="96">
        <v>286</v>
      </c>
      <c r="C86" s="96">
        <v>1445</v>
      </c>
      <c r="D86" s="96"/>
      <c r="E86" s="96"/>
      <c r="F86" s="96"/>
      <c r="G86" s="96">
        <v>25000939</v>
      </c>
      <c r="H86" s="96" t="s">
        <v>1013</v>
      </c>
      <c r="I86" s="96"/>
      <c r="J86" s="96" t="s">
        <v>203</v>
      </c>
      <c r="K86" s="96"/>
      <c r="L86" s="96" t="s">
        <v>477</v>
      </c>
      <c r="M86" s="96" t="s">
        <v>338</v>
      </c>
      <c r="N86" s="96" t="s">
        <v>338</v>
      </c>
      <c r="O86" s="96"/>
      <c r="P86" s="100">
        <v>45473</v>
      </c>
      <c r="Q86" s="96" t="s">
        <v>409</v>
      </c>
      <c r="R86" s="96" t="s">
        <v>409</v>
      </c>
      <c r="S86" s="96" t="s">
        <v>409</v>
      </c>
      <c r="T86" s="96" t="s">
        <v>1200</v>
      </c>
      <c r="U86" s="97">
        <v>10.01</v>
      </c>
      <c r="V86" s="96" t="s">
        <v>824</v>
      </c>
      <c r="W86" s="98">
        <v>5.3800000000000001E-2</v>
      </c>
      <c r="X86" s="96"/>
      <c r="Y86" s="96"/>
      <c r="Z86" s="96"/>
      <c r="AA86" s="98">
        <v>4.2200000000000001E-2</v>
      </c>
      <c r="AB86" s="100">
        <v>54361</v>
      </c>
      <c r="AC86" s="96" t="s">
        <v>411</v>
      </c>
      <c r="AD86" s="96"/>
      <c r="AE86" s="96"/>
      <c r="AF86" s="96"/>
      <c r="AG86" s="100">
        <v>45473</v>
      </c>
      <c r="AH86" s="96"/>
      <c r="AI86" s="96"/>
      <c r="AJ86" s="96"/>
      <c r="AK86" s="96" t="s">
        <v>337</v>
      </c>
      <c r="AL86" s="96" t="s">
        <v>887</v>
      </c>
      <c r="AM86" s="96"/>
      <c r="AN86" s="96" t="s">
        <v>890</v>
      </c>
      <c r="AO86" s="100">
        <v>45473</v>
      </c>
      <c r="AP86" s="100">
        <v>45473</v>
      </c>
      <c r="AQ86" s="96"/>
      <c r="AR86" s="97">
        <v>2316.1791589999998</v>
      </c>
      <c r="AS86" s="97">
        <v>112.67</v>
      </c>
      <c r="AT86" s="97">
        <v>1</v>
      </c>
      <c r="AU86" s="97">
        <v>2.609639</v>
      </c>
      <c r="AV86" s="97">
        <v>2.609639</v>
      </c>
      <c r="AW86" s="96"/>
      <c r="AX86" s="96"/>
      <c r="AY86" s="96"/>
      <c r="AZ86" s="96"/>
      <c r="BA86" s="98">
        <v>1.4519999999999999E-3</v>
      </c>
      <c r="BB86" s="98">
        <v>4.8999999999999998E-5</v>
      </c>
      <c r="BC86" s="106"/>
    </row>
    <row r="87" spans="1:55" ht="15" customHeight="1">
      <c r="A87" s="106"/>
      <c r="B87" s="96">
        <v>286</v>
      </c>
      <c r="C87" s="96">
        <v>1445</v>
      </c>
      <c r="D87" s="96"/>
      <c r="E87" s="96"/>
      <c r="F87" s="96"/>
      <c r="G87" s="96">
        <v>25000941</v>
      </c>
      <c r="H87" s="96" t="s">
        <v>1013</v>
      </c>
      <c r="I87" s="96"/>
      <c r="J87" s="96" t="s">
        <v>203</v>
      </c>
      <c r="K87" s="96"/>
      <c r="L87" s="96" t="s">
        <v>477</v>
      </c>
      <c r="M87" s="96" t="s">
        <v>338</v>
      </c>
      <c r="N87" s="96" t="s">
        <v>338</v>
      </c>
      <c r="O87" s="96"/>
      <c r="P87" s="100">
        <v>45473</v>
      </c>
      <c r="Q87" s="96" t="s">
        <v>409</v>
      </c>
      <c r="R87" s="96" t="s">
        <v>409</v>
      </c>
      <c r="S87" s="96" t="s">
        <v>409</v>
      </c>
      <c r="T87" s="96" t="s">
        <v>1200</v>
      </c>
      <c r="U87" s="97">
        <v>5.82</v>
      </c>
      <c r="V87" s="96" t="s">
        <v>824</v>
      </c>
      <c r="W87" s="98">
        <v>7.9699999999999993E-2</v>
      </c>
      <c r="X87" s="96"/>
      <c r="Y87" s="96"/>
      <c r="Z87" s="96"/>
      <c r="AA87" s="98">
        <v>0.1492</v>
      </c>
      <c r="AB87" s="100">
        <v>56096</v>
      </c>
      <c r="AC87" s="96" t="s">
        <v>411</v>
      </c>
      <c r="AD87" s="96"/>
      <c r="AE87" s="96"/>
      <c r="AF87" s="96"/>
      <c r="AG87" s="100">
        <v>45473</v>
      </c>
      <c r="AH87" s="96"/>
      <c r="AI87" s="96"/>
      <c r="AJ87" s="96"/>
      <c r="AK87" s="96" t="s">
        <v>337</v>
      </c>
      <c r="AL87" s="96" t="s">
        <v>887</v>
      </c>
      <c r="AM87" s="96"/>
      <c r="AN87" s="96" t="s">
        <v>890</v>
      </c>
      <c r="AO87" s="100">
        <v>45473</v>
      </c>
      <c r="AP87" s="100">
        <v>45473</v>
      </c>
      <c r="AQ87" s="96"/>
      <c r="AR87" s="97">
        <v>5876.0839550000001</v>
      </c>
      <c r="AS87" s="97">
        <v>104.72</v>
      </c>
      <c r="AT87" s="97">
        <v>1</v>
      </c>
      <c r="AU87" s="97">
        <v>6.153435</v>
      </c>
      <c r="AV87" s="97">
        <v>6.153435</v>
      </c>
      <c r="AW87" s="96"/>
      <c r="AX87" s="96"/>
      <c r="AY87" s="96"/>
      <c r="AZ87" s="96"/>
      <c r="BA87" s="98">
        <v>3.4250000000000001E-3</v>
      </c>
      <c r="BB87" s="98">
        <v>1.17E-4</v>
      </c>
      <c r="BC87" s="106"/>
    </row>
    <row r="88" spans="1:55" ht="15" customHeight="1">
      <c r="A88" s="106"/>
      <c r="B88" s="96">
        <v>286</v>
      </c>
      <c r="C88" s="96">
        <v>1445</v>
      </c>
      <c r="D88" s="96"/>
      <c r="E88" s="96"/>
      <c r="F88" s="96"/>
      <c r="G88" s="96">
        <v>25100355</v>
      </c>
      <c r="H88" s="96" t="s">
        <v>1013</v>
      </c>
      <c r="I88" s="96" t="s">
        <v>812</v>
      </c>
      <c r="J88" s="96" t="s">
        <v>203</v>
      </c>
      <c r="K88" s="96"/>
      <c r="L88" s="96" t="s">
        <v>463</v>
      </c>
      <c r="M88" s="96" t="s">
        <v>338</v>
      </c>
      <c r="N88" s="96" t="s">
        <v>337</v>
      </c>
      <c r="O88" s="96"/>
      <c r="P88" s="100">
        <v>45468</v>
      </c>
      <c r="Q88" s="96" t="s">
        <v>1357</v>
      </c>
      <c r="R88" s="96" t="s">
        <v>414</v>
      </c>
      <c r="S88" s="96" t="s">
        <v>407</v>
      </c>
      <c r="T88" s="96" t="s">
        <v>1202</v>
      </c>
      <c r="U88" s="97">
        <v>9.2799999999999994</v>
      </c>
      <c r="V88" s="96" t="s">
        <v>824</v>
      </c>
      <c r="W88" s="98">
        <v>5.7860000000000002E-2</v>
      </c>
      <c r="X88" s="96"/>
      <c r="Y88" s="96"/>
      <c r="Z88" s="96"/>
      <c r="AA88" s="98">
        <v>5.11E-2</v>
      </c>
      <c r="AB88" s="100">
        <v>53321</v>
      </c>
      <c r="AC88" s="96" t="s">
        <v>411</v>
      </c>
      <c r="AD88" s="96"/>
      <c r="AE88" s="96"/>
      <c r="AF88" s="96"/>
      <c r="AG88" s="100">
        <v>45291</v>
      </c>
      <c r="AH88" s="96"/>
      <c r="AI88" s="96"/>
      <c r="AJ88" s="96"/>
      <c r="AK88" s="96" t="s">
        <v>337</v>
      </c>
      <c r="AL88" s="96" t="s">
        <v>887</v>
      </c>
      <c r="AM88" s="96"/>
      <c r="AN88" s="96" t="s">
        <v>890</v>
      </c>
      <c r="AO88" s="100">
        <v>45473</v>
      </c>
      <c r="AP88" s="100">
        <v>45473</v>
      </c>
      <c r="AQ88" s="96"/>
      <c r="AR88" s="97">
        <v>245.52247600000001</v>
      </c>
      <c r="AS88" s="97">
        <v>99.78</v>
      </c>
      <c r="AT88" s="97">
        <v>4.0202</v>
      </c>
      <c r="AU88" s="97">
        <v>0.984877</v>
      </c>
      <c r="AV88" s="97">
        <v>0.24498200000000001</v>
      </c>
      <c r="AW88" s="96"/>
      <c r="AX88" s="96"/>
      <c r="AY88" s="96"/>
      <c r="AZ88" s="96"/>
      <c r="BA88" s="98">
        <v>5.4799999999999998E-4</v>
      </c>
      <c r="BB88" s="98">
        <v>1.8E-5</v>
      </c>
      <c r="BC88" s="106"/>
    </row>
    <row r="89" spans="1:55" ht="15" customHeight="1">
      <c r="A89" s="106"/>
      <c r="B89" s="96">
        <v>286</v>
      </c>
      <c r="C89" s="96">
        <v>1445</v>
      </c>
      <c r="D89" s="96"/>
      <c r="E89" s="96"/>
      <c r="F89" s="96"/>
      <c r="G89" s="96">
        <v>25100354</v>
      </c>
      <c r="H89" s="96" t="s">
        <v>1013</v>
      </c>
      <c r="I89" s="96" t="s">
        <v>812</v>
      </c>
      <c r="J89" s="96" t="s">
        <v>203</v>
      </c>
      <c r="K89" s="96"/>
      <c r="L89" s="96" t="s">
        <v>463</v>
      </c>
      <c r="M89" s="96" t="s">
        <v>338</v>
      </c>
      <c r="N89" s="96" t="s">
        <v>337</v>
      </c>
      <c r="O89" s="96"/>
      <c r="P89" s="100">
        <v>45434</v>
      </c>
      <c r="Q89" s="96" t="s">
        <v>1357</v>
      </c>
      <c r="R89" s="96" t="s">
        <v>414</v>
      </c>
      <c r="S89" s="96" t="s">
        <v>407</v>
      </c>
      <c r="T89" s="96" t="s">
        <v>1202</v>
      </c>
      <c r="U89" s="97">
        <v>9.24</v>
      </c>
      <c r="V89" s="96" t="s">
        <v>824</v>
      </c>
      <c r="W89" s="98">
        <v>5.9076999999999998E-2</v>
      </c>
      <c r="X89" s="96"/>
      <c r="Y89" s="96"/>
      <c r="Z89" s="96"/>
      <c r="AA89" s="98">
        <v>5.2200000000000003E-2</v>
      </c>
      <c r="AB89" s="100">
        <v>53321</v>
      </c>
      <c r="AC89" s="96" t="s">
        <v>411</v>
      </c>
      <c r="AD89" s="96"/>
      <c r="AE89" s="96"/>
      <c r="AF89" s="96"/>
      <c r="AG89" s="100">
        <v>45291</v>
      </c>
      <c r="AH89" s="96"/>
      <c r="AI89" s="96"/>
      <c r="AJ89" s="96"/>
      <c r="AK89" s="96" t="s">
        <v>337</v>
      </c>
      <c r="AL89" s="96" t="s">
        <v>887</v>
      </c>
      <c r="AM89" s="96"/>
      <c r="AN89" s="96" t="s">
        <v>890</v>
      </c>
      <c r="AO89" s="100">
        <v>45473</v>
      </c>
      <c r="AP89" s="100">
        <v>45473</v>
      </c>
      <c r="AQ89" s="96"/>
      <c r="AR89" s="97">
        <v>258.14258699999999</v>
      </c>
      <c r="AS89" s="97">
        <v>98.81</v>
      </c>
      <c r="AT89" s="97">
        <v>4.0202</v>
      </c>
      <c r="AU89" s="97">
        <v>1.0254350000000001</v>
      </c>
      <c r="AV89" s="97">
        <v>0.25507000000000002</v>
      </c>
      <c r="AW89" s="96"/>
      <c r="AX89" s="96"/>
      <c r="AY89" s="96"/>
      <c r="AZ89" s="96"/>
      <c r="BA89" s="98">
        <v>5.6999999999999998E-4</v>
      </c>
      <c r="BB89" s="98">
        <v>1.9000000000000001E-5</v>
      </c>
      <c r="BC89" s="106"/>
    </row>
    <row r="90" spans="1:55" ht="15" customHeight="1">
      <c r="A90" s="106"/>
      <c r="B90" s="96">
        <v>286</v>
      </c>
      <c r="C90" s="96">
        <v>1445</v>
      </c>
      <c r="D90" s="96"/>
      <c r="E90" s="96"/>
      <c r="F90" s="96"/>
      <c r="G90" s="96">
        <v>25100353</v>
      </c>
      <c r="H90" s="96" t="s">
        <v>1013</v>
      </c>
      <c r="I90" s="96" t="s">
        <v>812</v>
      </c>
      <c r="J90" s="96" t="s">
        <v>203</v>
      </c>
      <c r="K90" s="96"/>
      <c r="L90" s="96" t="s">
        <v>463</v>
      </c>
      <c r="M90" s="96" t="s">
        <v>338</v>
      </c>
      <c r="N90" s="96" t="s">
        <v>337</v>
      </c>
      <c r="O90" s="96"/>
      <c r="P90" s="100">
        <v>45376</v>
      </c>
      <c r="Q90" s="96" t="s">
        <v>1357</v>
      </c>
      <c r="R90" s="96" t="s">
        <v>414</v>
      </c>
      <c r="S90" s="96" t="s">
        <v>407</v>
      </c>
      <c r="T90" s="96" t="s">
        <v>1202</v>
      </c>
      <c r="U90" s="97">
        <v>9.2200000000000006</v>
      </c>
      <c r="V90" s="96" t="s">
        <v>824</v>
      </c>
      <c r="W90" s="98">
        <v>6.0260000000000001E-2</v>
      </c>
      <c r="X90" s="96"/>
      <c r="Y90" s="96"/>
      <c r="Z90" s="96"/>
      <c r="AA90" s="98">
        <v>5.2900000000000003E-2</v>
      </c>
      <c r="AB90" s="100">
        <v>53321</v>
      </c>
      <c r="AC90" s="96" t="s">
        <v>411</v>
      </c>
      <c r="AD90" s="96"/>
      <c r="AE90" s="96"/>
      <c r="AF90" s="96"/>
      <c r="AG90" s="100">
        <v>45291</v>
      </c>
      <c r="AH90" s="96"/>
      <c r="AI90" s="96"/>
      <c r="AJ90" s="96"/>
      <c r="AK90" s="96" t="s">
        <v>337</v>
      </c>
      <c r="AL90" s="96" t="s">
        <v>887</v>
      </c>
      <c r="AM90" s="96"/>
      <c r="AN90" s="96" t="s">
        <v>890</v>
      </c>
      <c r="AO90" s="100">
        <v>45473</v>
      </c>
      <c r="AP90" s="100">
        <v>45473</v>
      </c>
      <c r="AQ90" s="96"/>
      <c r="AR90" s="97">
        <v>172.53417899999999</v>
      </c>
      <c r="AS90" s="97">
        <v>98.19</v>
      </c>
      <c r="AT90" s="97">
        <v>4.0202</v>
      </c>
      <c r="AU90" s="97">
        <v>0.68106699999999998</v>
      </c>
      <c r="AV90" s="97">
        <v>0.16941100000000001</v>
      </c>
      <c r="AW90" s="96"/>
      <c r="AX90" s="96"/>
      <c r="AY90" s="96"/>
      <c r="AZ90" s="96"/>
      <c r="BA90" s="98">
        <v>3.79E-4</v>
      </c>
      <c r="BB90" s="98">
        <v>1.2E-5</v>
      </c>
      <c r="BC90" s="106"/>
    </row>
    <row r="91" spans="1:55" ht="15" customHeight="1">
      <c r="A91" s="106"/>
      <c r="B91" s="96">
        <v>286</v>
      </c>
      <c r="C91" s="96">
        <v>1445</v>
      </c>
      <c r="D91" s="96"/>
      <c r="E91" s="96"/>
      <c r="F91" s="96"/>
      <c r="G91" s="96">
        <v>25100352</v>
      </c>
      <c r="H91" s="96" t="s">
        <v>1013</v>
      </c>
      <c r="I91" s="96" t="s">
        <v>813</v>
      </c>
      <c r="J91" s="96" t="s">
        <v>203</v>
      </c>
      <c r="K91" s="96"/>
      <c r="L91" s="96" t="s">
        <v>463</v>
      </c>
      <c r="M91" s="96" t="s">
        <v>338</v>
      </c>
      <c r="N91" s="96" t="s">
        <v>337</v>
      </c>
      <c r="O91" s="96"/>
      <c r="P91" s="100">
        <v>45376</v>
      </c>
      <c r="Q91" s="96" t="s">
        <v>1357</v>
      </c>
      <c r="R91" s="96" t="s">
        <v>414</v>
      </c>
      <c r="S91" s="96" t="s">
        <v>407</v>
      </c>
      <c r="T91" s="96" t="s">
        <v>1202</v>
      </c>
      <c r="U91" s="97">
        <v>0.24</v>
      </c>
      <c r="V91" s="96" t="s">
        <v>824</v>
      </c>
      <c r="W91" s="98">
        <v>6.0260000000000001E-2</v>
      </c>
      <c r="X91" s="96"/>
      <c r="Y91" s="96"/>
      <c r="Z91" s="96"/>
      <c r="AA91" s="98">
        <v>6.3399999999999998E-2</v>
      </c>
      <c r="AB91" s="100">
        <v>45560</v>
      </c>
      <c r="AC91" s="96" t="s">
        <v>411</v>
      </c>
      <c r="AD91" s="96"/>
      <c r="AE91" s="96"/>
      <c r="AF91" s="96"/>
      <c r="AG91" s="100">
        <v>45291</v>
      </c>
      <c r="AH91" s="96"/>
      <c r="AI91" s="96"/>
      <c r="AJ91" s="96"/>
      <c r="AK91" s="96" t="s">
        <v>338</v>
      </c>
      <c r="AL91" s="96" t="s">
        <v>887</v>
      </c>
      <c r="AM91" s="96"/>
      <c r="AN91" s="96" t="s">
        <v>890</v>
      </c>
      <c r="AO91" s="100">
        <v>45473</v>
      </c>
      <c r="AP91" s="100">
        <v>45473</v>
      </c>
      <c r="AQ91" s="96"/>
      <c r="AR91" s="97">
        <v>2082.8712799999998</v>
      </c>
      <c r="AS91" s="97">
        <v>100</v>
      </c>
      <c r="AT91" s="97">
        <v>4.0202</v>
      </c>
      <c r="AU91" s="97">
        <v>8.3735590000000002</v>
      </c>
      <c r="AV91" s="97">
        <v>2.0828709999999999</v>
      </c>
      <c r="AW91" s="96"/>
      <c r="AX91" s="96"/>
      <c r="AY91" s="96"/>
      <c r="AZ91" s="96"/>
      <c r="BA91" s="98">
        <v>4.6610000000000002E-3</v>
      </c>
      <c r="BB91" s="98">
        <v>1.5899999999999999E-4</v>
      </c>
      <c r="BC91" s="106"/>
    </row>
    <row r="92" spans="1:55" ht="15" customHeight="1">
      <c r="A92" s="106"/>
      <c r="B92" s="96">
        <v>286</v>
      </c>
      <c r="C92" s="96">
        <v>1445</v>
      </c>
      <c r="D92" s="96"/>
      <c r="E92" s="96"/>
      <c r="F92" s="96"/>
      <c r="G92" s="96">
        <v>25100351</v>
      </c>
      <c r="H92" s="96" t="s">
        <v>1013</v>
      </c>
      <c r="I92" s="96" t="s">
        <v>813</v>
      </c>
      <c r="J92" s="96" t="s">
        <v>203</v>
      </c>
      <c r="K92" s="96"/>
      <c r="L92" s="96" t="s">
        <v>463</v>
      </c>
      <c r="M92" s="96" t="s">
        <v>338</v>
      </c>
      <c r="N92" s="96" t="s">
        <v>337</v>
      </c>
      <c r="O92" s="96"/>
      <c r="P92" s="100">
        <v>45348</v>
      </c>
      <c r="Q92" s="96" t="s">
        <v>1357</v>
      </c>
      <c r="R92" s="96" t="s">
        <v>414</v>
      </c>
      <c r="S92" s="96" t="s">
        <v>407</v>
      </c>
      <c r="T92" s="96" t="s">
        <v>1202</v>
      </c>
      <c r="U92" s="97">
        <v>9.27</v>
      </c>
      <c r="V92" s="96" t="s">
        <v>824</v>
      </c>
      <c r="W92" s="98">
        <v>5.9636000000000002E-2</v>
      </c>
      <c r="X92" s="96"/>
      <c r="Y92" s="96"/>
      <c r="Z92" s="96"/>
      <c r="AA92" s="98">
        <v>5.1299999999999998E-2</v>
      </c>
      <c r="AB92" s="100">
        <v>53321</v>
      </c>
      <c r="AC92" s="96" t="s">
        <v>411</v>
      </c>
      <c r="AD92" s="96"/>
      <c r="AE92" s="96"/>
      <c r="AF92" s="96"/>
      <c r="AG92" s="100">
        <v>45291</v>
      </c>
      <c r="AH92" s="96"/>
      <c r="AI92" s="96"/>
      <c r="AJ92" s="96"/>
      <c r="AK92" s="96" t="s">
        <v>337</v>
      </c>
      <c r="AL92" s="96" t="s">
        <v>887</v>
      </c>
      <c r="AM92" s="96"/>
      <c r="AN92" s="96" t="s">
        <v>890</v>
      </c>
      <c r="AO92" s="100">
        <v>45473</v>
      </c>
      <c r="AP92" s="100">
        <v>45473</v>
      </c>
      <c r="AQ92" s="96"/>
      <c r="AR92" s="97">
        <v>225.26889600000001</v>
      </c>
      <c r="AS92" s="97">
        <v>99.59</v>
      </c>
      <c r="AT92" s="97">
        <v>4.0202</v>
      </c>
      <c r="AU92" s="97">
        <v>0.90191200000000005</v>
      </c>
      <c r="AV92" s="97">
        <v>0.22434499999999999</v>
      </c>
      <c r="AW92" s="96"/>
      <c r="AX92" s="96"/>
      <c r="AY92" s="96"/>
      <c r="AZ92" s="96"/>
      <c r="BA92" s="98">
        <v>5.0199999999999995E-4</v>
      </c>
      <c r="BB92" s="98">
        <v>1.7E-5</v>
      </c>
      <c r="BC92" s="106"/>
    </row>
    <row r="93" spans="1:55" ht="15" customHeight="1">
      <c r="A93" s="106"/>
      <c r="B93" s="96">
        <v>286</v>
      </c>
      <c r="C93" s="96">
        <v>1445</v>
      </c>
      <c r="D93" s="96"/>
      <c r="E93" s="96"/>
      <c r="F93" s="96"/>
      <c r="G93" s="96">
        <v>25100348</v>
      </c>
      <c r="H93" s="96" t="s">
        <v>1013</v>
      </c>
      <c r="I93" s="96" t="s">
        <v>813</v>
      </c>
      <c r="J93" s="96" t="s">
        <v>203</v>
      </c>
      <c r="K93" s="96"/>
      <c r="L93" s="96" t="s">
        <v>463</v>
      </c>
      <c r="M93" s="96" t="s">
        <v>338</v>
      </c>
      <c r="N93" s="96" t="s">
        <v>337</v>
      </c>
      <c r="O93" s="96"/>
      <c r="P93" s="100">
        <v>45259</v>
      </c>
      <c r="Q93" s="96" t="s">
        <v>1357</v>
      </c>
      <c r="R93" s="96" t="s">
        <v>414</v>
      </c>
      <c r="S93" s="96" t="s">
        <v>407</v>
      </c>
      <c r="T93" s="96" t="s">
        <v>1202</v>
      </c>
      <c r="U93" s="97">
        <v>9.24</v>
      </c>
      <c r="V93" s="96" t="s">
        <v>824</v>
      </c>
      <c r="W93" s="98">
        <v>5.9523E-2</v>
      </c>
      <c r="X93" s="96"/>
      <c r="Y93" s="96"/>
      <c r="Z93" s="96"/>
      <c r="AA93" s="98">
        <v>5.2299999999999999E-2</v>
      </c>
      <c r="AB93" s="100">
        <v>53321</v>
      </c>
      <c r="AC93" s="96" t="s">
        <v>411</v>
      </c>
      <c r="AD93" s="96"/>
      <c r="AE93" s="96"/>
      <c r="AF93" s="96"/>
      <c r="AG93" s="100">
        <v>45291</v>
      </c>
      <c r="AH93" s="96"/>
      <c r="AI93" s="96"/>
      <c r="AJ93" s="96"/>
      <c r="AK93" s="96" t="s">
        <v>337</v>
      </c>
      <c r="AL93" s="96" t="s">
        <v>887</v>
      </c>
      <c r="AM93" s="96"/>
      <c r="AN93" s="96" t="s">
        <v>890</v>
      </c>
      <c r="AO93" s="100">
        <v>45473</v>
      </c>
      <c r="AP93" s="100">
        <v>45473</v>
      </c>
      <c r="AQ93" s="96"/>
      <c r="AR93" s="97">
        <v>338.38548500000002</v>
      </c>
      <c r="AS93" s="97">
        <v>98.69</v>
      </c>
      <c r="AT93" s="97">
        <v>4.0202</v>
      </c>
      <c r="AU93" s="97">
        <v>1.3425560000000001</v>
      </c>
      <c r="AV93" s="97">
        <v>0.33395200000000003</v>
      </c>
      <c r="AW93" s="96"/>
      <c r="AX93" s="96"/>
      <c r="AY93" s="96"/>
      <c r="AZ93" s="96"/>
      <c r="BA93" s="98">
        <v>7.4700000000000005E-4</v>
      </c>
      <c r="BB93" s="98">
        <v>2.5000000000000001E-5</v>
      </c>
      <c r="BC93" s="106"/>
    </row>
    <row r="94" spans="1:55" ht="15" customHeight="1">
      <c r="A94" s="106"/>
      <c r="B94" s="96">
        <v>286</v>
      </c>
      <c r="C94" s="96">
        <v>1445</v>
      </c>
      <c r="D94" s="96"/>
      <c r="E94" s="96"/>
      <c r="F94" s="96"/>
      <c r="G94" s="96">
        <v>25100346</v>
      </c>
      <c r="H94" s="96" t="s">
        <v>1013</v>
      </c>
      <c r="I94" s="96" t="s">
        <v>813</v>
      </c>
      <c r="J94" s="96" t="s">
        <v>203</v>
      </c>
      <c r="K94" s="96"/>
      <c r="L94" s="96" t="s">
        <v>463</v>
      </c>
      <c r="M94" s="96" t="s">
        <v>338</v>
      </c>
      <c r="N94" s="96" t="s">
        <v>337</v>
      </c>
      <c r="O94" s="96"/>
      <c r="P94" s="100">
        <v>45224</v>
      </c>
      <c r="Q94" s="96" t="s">
        <v>1357</v>
      </c>
      <c r="R94" s="96" t="s">
        <v>414</v>
      </c>
      <c r="S94" s="96" t="s">
        <v>407</v>
      </c>
      <c r="T94" s="96" t="s">
        <v>1202</v>
      </c>
      <c r="U94" s="97">
        <v>9.33</v>
      </c>
      <c r="V94" s="96" t="s">
        <v>824</v>
      </c>
      <c r="W94" s="98">
        <v>6.0083999999999999E-2</v>
      </c>
      <c r="X94" s="96"/>
      <c r="Y94" s="96"/>
      <c r="Z94" s="96"/>
      <c r="AA94" s="98">
        <v>4.9500000000000002E-2</v>
      </c>
      <c r="AB94" s="100">
        <v>53321</v>
      </c>
      <c r="AC94" s="96" t="s">
        <v>411</v>
      </c>
      <c r="AD94" s="96"/>
      <c r="AE94" s="96"/>
      <c r="AF94" s="96"/>
      <c r="AG94" s="100">
        <v>45291</v>
      </c>
      <c r="AH94" s="96"/>
      <c r="AI94" s="96"/>
      <c r="AJ94" s="96"/>
      <c r="AK94" s="96" t="s">
        <v>337</v>
      </c>
      <c r="AL94" s="96" t="s">
        <v>887</v>
      </c>
      <c r="AM94" s="96"/>
      <c r="AN94" s="96" t="s">
        <v>890</v>
      </c>
      <c r="AO94" s="100">
        <v>45473</v>
      </c>
      <c r="AP94" s="100">
        <v>45473</v>
      </c>
      <c r="AQ94" s="96"/>
      <c r="AR94" s="97">
        <v>280.01081699999997</v>
      </c>
      <c r="AS94" s="97">
        <v>101.17</v>
      </c>
      <c r="AT94" s="97">
        <v>4.0202</v>
      </c>
      <c r="AU94" s="97">
        <v>1.13887</v>
      </c>
      <c r="AV94" s="97">
        <v>0.28328599999999998</v>
      </c>
      <c r="AW94" s="96"/>
      <c r="AX94" s="96"/>
      <c r="AY94" s="96"/>
      <c r="AZ94" s="96"/>
      <c r="BA94" s="98">
        <v>6.3299999999999999E-4</v>
      </c>
      <c r="BB94" s="98">
        <v>2.0999999999999999E-5</v>
      </c>
      <c r="BC94" s="106"/>
    </row>
    <row r="95" spans="1:55" ht="15" customHeight="1">
      <c r="A95" s="106"/>
      <c r="B95" s="96">
        <v>286</v>
      </c>
      <c r="C95" s="96">
        <v>1445</v>
      </c>
      <c r="D95" s="96"/>
      <c r="E95" s="96"/>
      <c r="F95" s="96"/>
      <c r="G95" s="96">
        <v>25100343</v>
      </c>
      <c r="H95" s="96" t="s">
        <v>1013</v>
      </c>
      <c r="I95" s="96" t="s">
        <v>813</v>
      </c>
      <c r="J95" s="96" t="s">
        <v>203</v>
      </c>
      <c r="K95" s="96"/>
      <c r="L95" s="96" t="s">
        <v>463</v>
      </c>
      <c r="M95" s="96" t="s">
        <v>338</v>
      </c>
      <c r="N95" s="96" t="s">
        <v>337</v>
      </c>
      <c r="O95" s="96"/>
      <c r="P95" s="100">
        <v>45196</v>
      </c>
      <c r="Q95" s="96" t="s">
        <v>1357</v>
      </c>
      <c r="R95" s="96" t="s">
        <v>414</v>
      </c>
      <c r="S95" s="96" t="s">
        <v>407</v>
      </c>
      <c r="T95" s="96" t="s">
        <v>1202</v>
      </c>
      <c r="U95" s="97">
        <v>9.08</v>
      </c>
      <c r="V95" s="96" t="s">
        <v>824</v>
      </c>
      <c r="W95" s="98">
        <v>6.0732000000000001E-2</v>
      </c>
      <c r="X95" s="96"/>
      <c r="Y95" s="96"/>
      <c r="Z95" s="96"/>
      <c r="AA95" s="98">
        <v>5.7299999999999997E-2</v>
      </c>
      <c r="AB95" s="100">
        <v>53321</v>
      </c>
      <c r="AC95" s="96" t="s">
        <v>411</v>
      </c>
      <c r="AD95" s="96"/>
      <c r="AE95" s="96"/>
      <c r="AF95" s="96"/>
      <c r="AG95" s="100">
        <v>45291</v>
      </c>
      <c r="AH95" s="96"/>
      <c r="AI95" s="96"/>
      <c r="AJ95" s="96"/>
      <c r="AK95" s="96" t="s">
        <v>337</v>
      </c>
      <c r="AL95" s="96" t="s">
        <v>887</v>
      </c>
      <c r="AM95" s="96"/>
      <c r="AN95" s="96" t="s">
        <v>890</v>
      </c>
      <c r="AO95" s="100">
        <v>45473</v>
      </c>
      <c r="AP95" s="100">
        <v>45473</v>
      </c>
      <c r="AQ95" s="96"/>
      <c r="AR95" s="97">
        <v>47.521504999999998</v>
      </c>
      <c r="AS95" s="97">
        <v>94.53</v>
      </c>
      <c r="AT95" s="97">
        <v>4.0202</v>
      </c>
      <c r="AU95" s="97">
        <v>0.18059500000000001</v>
      </c>
      <c r="AV95" s="97">
        <v>4.4921999999999997E-2</v>
      </c>
      <c r="AW95" s="96"/>
      <c r="AX95" s="96"/>
      <c r="AY95" s="96"/>
      <c r="AZ95" s="96"/>
      <c r="BA95" s="98">
        <v>1E-4</v>
      </c>
      <c r="BB95" s="98">
        <v>3.0000000000000001E-6</v>
      </c>
      <c r="BC95" s="106"/>
    </row>
    <row r="96" spans="1:55" ht="15" customHeight="1">
      <c r="A96" s="106"/>
      <c r="B96" s="96">
        <v>286</v>
      </c>
      <c r="C96" s="96">
        <v>1445</v>
      </c>
      <c r="D96" s="96"/>
      <c r="E96" s="96"/>
      <c r="F96" s="96"/>
      <c r="G96" s="96">
        <v>25100205</v>
      </c>
      <c r="H96" s="96" t="s">
        <v>1013</v>
      </c>
      <c r="I96" s="96" t="s">
        <v>813</v>
      </c>
      <c r="J96" s="96" t="s">
        <v>203</v>
      </c>
      <c r="K96" s="96"/>
      <c r="L96" s="96" t="s">
        <v>454</v>
      </c>
      <c r="M96" s="96" t="s">
        <v>338</v>
      </c>
      <c r="N96" s="96" t="s">
        <v>337</v>
      </c>
      <c r="O96" s="96"/>
      <c r="P96" s="100">
        <v>44167</v>
      </c>
      <c r="Q96" s="96" t="s">
        <v>1357</v>
      </c>
      <c r="R96" s="96" t="s">
        <v>414</v>
      </c>
      <c r="S96" s="96" t="s">
        <v>407</v>
      </c>
      <c r="T96" s="96" t="s">
        <v>1202</v>
      </c>
      <c r="U96" s="97">
        <v>5.97</v>
      </c>
      <c r="V96" s="96" t="s">
        <v>3678</v>
      </c>
      <c r="W96" s="98">
        <v>2.3451E-2</v>
      </c>
      <c r="X96" s="96"/>
      <c r="Y96" s="96"/>
      <c r="Z96" s="96"/>
      <c r="AA96" s="98">
        <v>5.9700000000000003E-2</v>
      </c>
      <c r="AB96" s="100">
        <v>51317</v>
      </c>
      <c r="AC96" s="96" t="s">
        <v>411</v>
      </c>
      <c r="AD96" s="96"/>
      <c r="AE96" s="96"/>
      <c r="AF96" s="96"/>
      <c r="AG96" s="100">
        <v>45291</v>
      </c>
      <c r="AH96" s="96"/>
      <c r="AI96" s="96"/>
      <c r="AJ96" s="96"/>
      <c r="AK96" s="96" t="s">
        <v>337</v>
      </c>
      <c r="AL96" s="96" t="s">
        <v>887</v>
      </c>
      <c r="AM96" s="96"/>
      <c r="AN96" s="96" t="s">
        <v>890</v>
      </c>
      <c r="AO96" s="100">
        <v>45473</v>
      </c>
      <c r="AP96" s="100">
        <v>45473</v>
      </c>
      <c r="AQ96" s="96"/>
      <c r="AR96" s="97">
        <v>11729.641310999999</v>
      </c>
      <c r="AS96" s="97">
        <v>80.72</v>
      </c>
      <c r="AT96" s="97">
        <v>4.0202</v>
      </c>
      <c r="AU96" s="97">
        <v>38.063921999999998</v>
      </c>
      <c r="AV96" s="97">
        <v>9.4681660000000001</v>
      </c>
      <c r="AW96" s="96"/>
      <c r="AX96" s="96"/>
      <c r="AY96" s="96"/>
      <c r="AZ96" s="96"/>
      <c r="BA96" s="98">
        <v>2.1187000000000001E-2</v>
      </c>
      <c r="BB96" s="98">
        <v>7.2400000000000003E-4</v>
      </c>
      <c r="BC96" s="106"/>
    </row>
    <row r="97" spans="1:55" ht="15" customHeight="1">
      <c r="A97" s="106"/>
      <c r="B97" s="96">
        <v>286</v>
      </c>
      <c r="C97" s="96">
        <v>1445</v>
      </c>
      <c r="D97" s="96"/>
      <c r="E97" s="96"/>
      <c r="F97" s="96"/>
      <c r="G97" s="96">
        <v>25100203</v>
      </c>
      <c r="H97" s="96" t="s">
        <v>1013</v>
      </c>
      <c r="I97" s="96" t="s">
        <v>813</v>
      </c>
      <c r="J97" s="96" t="s">
        <v>203</v>
      </c>
      <c r="K97" s="96"/>
      <c r="L97" s="96" t="s">
        <v>454</v>
      </c>
      <c r="M97" s="96" t="s">
        <v>338</v>
      </c>
      <c r="N97" s="96" t="s">
        <v>337</v>
      </c>
      <c r="O97" s="96"/>
      <c r="P97" s="100">
        <v>44105</v>
      </c>
      <c r="Q97" s="96" t="s">
        <v>1357</v>
      </c>
      <c r="R97" s="96" t="s">
        <v>414</v>
      </c>
      <c r="S97" s="96" t="s">
        <v>407</v>
      </c>
      <c r="T97" s="96" t="s">
        <v>1202</v>
      </c>
      <c r="U97" s="97">
        <v>4.55</v>
      </c>
      <c r="V97" s="96" t="s">
        <v>3678</v>
      </c>
      <c r="W97" s="98">
        <v>1.9130000000000001E-2</v>
      </c>
      <c r="X97" s="96"/>
      <c r="Y97" s="96"/>
      <c r="Z97" s="96"/>
      <c r="AA97" s="98">
        <v>4.9299999999999997E-2</v>
      </c>
      <c r="AB97" s="100">
        <v>49034</v>
      </c>
      <c r="AC97" s="96" t="s">
        <v>411</v>
      </c>
      <c r="AD97" s="96"/>
      <c r="AE97" s="96"/>
      <c r="AF97" s="96"/>
      <c r="AG97" s="100">
        <v>45291</v>
      </c>
      <c r="AH97" s="96"/>
      <c r="AI97" s="96"/>
      <c r="AJ97" s="96"/>
      <c r="AK97" s="96" t="s">
        <v>337</v>
      </c>
      <c r="AL97" s="96" t="s">
        <v>887</v>
      </c>
      <c r="AM97" s="96"/>
      <c r="AN97" s="96" t="s">
        <v>890</v>
      </c>
      <c r="AO97" s="100">
        <v>45473</v>
      </c>
      <c r="AP97" s="100">
        <v>45473</v>
      </c>
      <c r="AQ97" s="96"/>
      <c r="AR97" s="97">
        <v>1769.757306</v>
      </c>
      <c r="AS97" s="97">
        <v>87.29</v>
      </c>
      <c r="AT97" s="97">
        <v>4.0202</v>
      </c>
      <c r="AU97" s="97">
        <v>6.2104889999999999</v>
      </c>
      <c r="AV97" s="97">
        <v>1.544821</v>
      </c>
      <c r="AW97" s="96"/>
      <c r="AX97" s="96"/>
      <c r="AY97" s="96"/>
      <c r="AZ97" s="96"/>
      <c r="BA97" s="98">
        <v>3.4559999999999999E-3</v>
      </c>
      <c r="BB97" s="98">
        <v>1.18E-4</v>
      </c>
      <c r="BC97" s="106"/>
    </row>
    <row r="98" spans="1:55" ht="15" customHeight="1">
      <c r="A98" s="106"/>
      <c r="B98" s="96">
        <v>286</v>
      </c>
      <c r="C98" s="96">
        <v>1445</v>
      </c>
      <c r="D98" s="96"/>
      <c r="E98" s="96"/>
      <c r="F98" s="96"/>
      <c r="G98" s="96">
        <v>25100155</v>
      </c>
      <c r="H98" s="96" t="s">
        <v>1013</v>
      </c>
      <c r="I98" s="96" t="s">
        <v>813</v>
      </c>
      <c r="J98" s="96" t="s">
        <v>203</v>
      </c>
      <c r="K98" s="96"/>
      <c r="L98" s="96" t="s">
        <v>454</v>
      </c>
      <c r="M98" s="96" t="s">
        <v>338</v>
      </c>
      <c r="N98" s="96" t="s">
        <v>337</v>
      </c>
      <c r="O98" s="96"/>
      <c r="P98" s="100">
        <v>43801</v>
      </c>
      <c r="Q98" s="96" t="s">
        <v>1357</v>
      </c>
      <c r="R98" s="96" t="s">
        <v>414</v>
      </c>
      <c r="S98" s="96" t="s">
        <v>407</v>
      </c>
      <c r="T98" s="96" t="s">
        <v>1202</v>
      </c>
      <c r="U98" s="97">
        <v>4.3600000000000003</v>
      </c>
      <c r="V98" s="96" t="s">
        <v>3678</v>
      </c>
      <c r="W98" s="98">
        <v>2.3630000000000002E-2</v>
      </c>
      <c r="X98" s="96"/>
      <c r="Y98" s="96"/>
      <c r="Z98" s="96"/>
      <c r="AA98" s="98">
        <v>5.6399999999999999E-2</v>
      </c>
      <c r="AB98" s="100">
        <v>49034</v>
      </c>
      <c r="AC98" s="96" t="s">
        <v>411</v>
      </c>
      <c r="AD98" s="96"/>
      <c r="AE98" s="96"/>
      <c r="AF98" s="96"/>
      <c r="AG98" s="100">
        <v>45291</v>
      </c>
      <c r="AH98" s="96"/>
      <c r="AI98" s="96"/>
      <c r="AJ98" s="96"/>
      <c r="AK98" s="96" t="s">
        <v>337</v>
      </c>
      <c r="AL98" s="96" t="s">
        <v>887</v>
      </c>
      <c r="AM98" s="96"/>
      <c r="AN98" s="96" t="s">
        <v>890</v>
      </c>
      <c r="AO98" s="100">
        <v>45473</v>
      </c>
      <c r="AP98" s="100">
        <v>45473</v>
      </c>
      <c r="AQ98" s="96"/>
      <c r="AR98" s="97">
        <v>5485.7312320000001</v>
      </c>
      <c r="AS98" s="97">
        <v>86.88</v>
      </c>
      <c r="AT98" s="97">
        <v>4.0202</v>
      </c>
      <c r="AU98" s="97">
        <v>19.160285999999999</v>
      </c>
      <c r="AV98" s="97">
        <v>4.7660030000000004</v>
      </c>
      <c r="AW98" s="96"/>
      <c r="AX98" s="96"/>
      <c r="AY98" s="96"/>
      <c r="AZ98" s="96"/>
      <c r="BA98" s="98">
        <v>1.0664999999999999E-2</v>
      </c>
      <c r="BB98" s="98">
        <v>3.6400000000000001E-4</v>
      </c>
      <c r="BC98" s="106"/>
    </row>
    <row r="99" spans="1:55" ht="15" customHeight="1">
      <c r="A99" s="106"/>
      <c r="B99" s="96">
        <v>286</v>
      </c>
      <c r="C99" s="96">
        <v>1445</v>
      </c>
      <c r="D99" s="96"/>
      <c r="E99" s="96"/>
      <c r="F99" s="96"/>
      <c r="G99" s="96">
        <v>25100001</v>
      </c>
      <c r="H99" s="96" t="s">
        <v>1013</v>
      </c>
      <c r="I99" s="96" t="s">
        <v>813</v>
      </c>
      <c r="J99" s="96" t="s">
        <v>203</v>
      </c>
      <c r="K99" s="96"/>
      <c r="L99" s="96" t="s">
        <v>453</v>
      </c>
      <c r="M99" s="96" t="s">
        <v>338</v>
      </c>
      <c r="N99" s="96" t="s">
        <v>337</v>
      </c>
      <c r="O99" s="96"/>
      <c r="P99" s="100">
        <v>41792</v>
      </c>
      <c r="Q99" s="96" t="s">
        <v>1305</v>
      </c>
      <c r="R99" s="96" t="s">
        <v>414</v>
      </c>
      <c r="S99" s="96" t="s">
        <v>407</v>
      </c>
      <c r="T99" s="96" t="s">
        <v>1201</v>
      </c>
      <c r="U99" s="97">
        <v>1.28</v>
      </c>
      <c r="V99" s="96" t="s">
        <v>824</v>
      </c>
      <c r="W99" s="98">
        <v>0.04</v>
      </c>
      <c r="X99" s="96"/>
      <c r="Y99" s="96"/>
      <c r="Z99" s="96"/>
      <c r="AA99" s="98">
        <v>8.48E-2</v>
      </c>
      <c r="AB99" s="100">
        <v>46387</v>
      </c>
      <c r="AC99" s="96" t="s">
        <v>411</v>
      </c>
      <c r="AD99" s="96"/>
      <c r="AE99" s="96"/>
      <c r="AF99" s="96"/>
      <c r="AG99" s="100">
        <v>45291</v>
      </c>
      <c r="AH99" s="96"/>
      <c r="AI99" s="96"/>
      <c r="AJ99" s="96"/>
      <c r="AK99" s="96" t="s">
        <v>337</v>
      </c>
      <c r="AL99" s="96" t="s">
        <v>887</v>
      </c>
      <c r="AM99" s="96"/>
      <c r="AN99" s="96" t="s">
        <v>890</v>
      </c>
      <c r="AO99" s="100">
        <v>45473</v>
      </c>
      <c r="AP99" s="100">
        <v>45473</v>
      </c>
      <c r="AQ99" s="96"/>
      <c r="AR99" s="97">
        <v>757.46556999999996</v>
      </c>
      <c r="AS99" s="97">
        <v>101.25</v>
      </c>
      <c r="AT99" s="97">
        <v>3.7589999999999999</v>
      </c>
      <c r="AU99" s="97">
        <v>2.8829039999999999</v>
      </c>
      <c r="AV99" s="97">
        <v>0.76693299999999998</v>
      </c>
      <c r="AW99" s="96"/>
      <c r="AX99" s="96"/>
      <c r="AY99" s="96"/>
      <c r="AZ99" s="96"/>
      <c r="BA99" s="98">
        <v>1.604E-3</v>
      </c>
      <c r="BB99" s="98">
        <v>5.3999999999999998E-5</v>
      </c>
      <c r="BC99" s="106"/>
    </row>
    <row r="100" spans="1:55" ht="15" customHeight="1">
      <c r="A100" s="106"/>
      <c r="B100" s="96">
        <v>286</v>
      </c>
      <c r="C100" s="96">
        <v>1445</v>
      </c>
      <c r="D100" s="96"/>
      <c r="E100" s="96"/>
      <c r="F100" s="96"/>
      <c r="G100" s="96">
        <v>25000942</v>
      </c>
      <c r="H100" s="96" t="s">
        <v>1013</v>
      </c>
      <c r="I100" s="96"/>
      <c r="J100" s="96" t="s">
        <v>203</v>
      </c>
      <c r="K100" s="96"/>
      <c r="L100" s="96" t="s">
        <v>477</v>
      </c>
      <c r="M100" s="96" t="s">
        <v>338</v>
      </c>
      <c r="N100" s="96" t="s">
        <v>338</v>
      </c>
      <c r="O100" s="96"/>
      <c r="P100" s="100">
        <v>45473</v>
      </c>
      <c r="Q100" s="96" t="s">
        <v>409</v>
      </c>
      <c r="R100" s="96" t="s">
        <v>409</v>
      </c>
      <c r="S100" s="96" t="s">
        <v>409</v>
      </c>
      <c r="T100" s="96" t="s">
        <v>1200</v>
      </c>
      <c r="U100" s="97">
        <v>7.42</v>
      </c>
      <c r="V100" s="96" t="s">
        <v>824</v>
      </c>
      <c r="W100" s="98">
        <v>8.2699999999999996E-2</v>
      </c>
      <c r="X100" s="96"/>
      <c r="Y100" s="96"/>
      <c r="Z100" s="96"/>
      <c r="AA100" s="98">
        <v>8.3199999999999996E-2</v>
      </c>
      <c r="AB100" s="100">
        <v>56188</v>
      </c>
      <c r="AC100" s="96" t="s">
        <v>411</v>
      </c>
      <c r="AD100" s="96"/>
      <c r="AE100" s="96"/>
      <c r="AF100" s="96"/>
      <c r="AG100" s="100">
        <v>45473</v>
      </c>
      <c r="AH100" s="96"/>
      <c r="AI100" s="96"/>
      <c r="AJ100" s="96"/>
      <c r="AK100" s="96" t="s">
        <v>337</v>
      </c>
      <c r="AL100" s="96" t="s">
        <v>887</v>
      </c>
      <c r="AM100" s="96"/>
      <c r="AN100" s="96" t="s">
        <v>890</v>
      </c>
      <c r="AO100" s="100">
        <v>45473</v>
      </c>
      <c r="AP100" s="100">
        <v>45473</v>
      </c>
      <c r="AQ100" s="96"/>
      <c r="AR100" s="97">
        <v>10920.248825999999</v>
      </c>
      <c r="AS100" s="97">
        <v>105.93</v>
      </c>
      <c r="AT100" s="97">
        <v>1</v>
      </c>
      <c r="AU100" s="97">
        <v>11.567819</v>
      </c>
      <c r="AV100" s="97">
        <v>11.567819</v>
      </c>
      <c r="AW100" s="96"/>
      <c r="AX100" s="96"/>
      <c r="AY100" s="96"/>
      <c r="AZ100" s="96"/>
      <c r="BA100" s="98">
        <v>6.4390000000000003E-3</v>
      </c>
      <c r="BB100" s="98">
        <v>2.2000000000000001E-4</v>
      </c>
      <c r="BC100" s="106"/>
    </row>
    <row r="101" spans="1:55" ht="15" customHeight="1">
      <c r="A101" s="106"/>
      <c r="B101" s="96">
        <v>286</v>
      </c>
      <c r="C101" s="96">
        <v>1445</v>
      </c>
      <c r="D101" s="96"/>
      <c r="E101" s="96"/>
      <c r="F101" s="96"/>
      <c r="G101" s="96">
        <v>25000940</v>
      </c>
      <c r="H101" s="96" t="s">
        <v>1013</v>
      </c>
      <c r="I101" s="96"/>
      <c r="J101" s="96" t="s">
        <v>203</v>
      </c>
      <c r="K101" s="96"/>
      <c r="L101" s="96" t="s">
        <v>477</v>
      </c>
      <c r="M101" s="96" t="s">
        <v>338</v>
      </c>
      <c r="N101" s="96" t="s">
        <v>338</v>
      </c>
      <c r="O101" s="96"/>
      <c r="P101" s="100">
        <v>45473</v>
      </c>
      <c r="Q101" s="96" t="s">
        <v>409</v>
      </c>
      <c r="R101" s="96" t="s">
        <v>409</v>
      </c>
      <c r="S101" s="96" t="s">
        <v>409</v>
      </c>
      <c r="T101" s="96" t="s">
        <v>1200</v>
      </c>
      <c r="U101" s="97">
        <v>6.44</v>
      </c>
      <c r="V101" s="96" t="s">
        <v>3678</v>
      </c>
      <c r="W101" s="98">
        <v>6.8000000000000005E-2</v>
      </c>
      <c r="X101" s="96"/>
      <c r="Y101" s="96"/>
      <c r="Z101" s="96"/>
      <c r="AA101" s="98">
        <v>8.1000000000000003E-2</v>
      </c>
      <c r="AB101" s="100">
        <v>54026</v>
      </c>
      <c r="AC101" s="96" t="s">
        <v>411</v>
      </c>
      <c r="AD101" s="96"/>
      <c r="AE101" s="96"/>
      <c r="AF101" s="96"/>
      <c r="AG101" s="100">
        <v>45473</v>
      </c>
      <c r="AH101" s="96"/>
      <c r="AI101" s="96"/>
      <c r="AJ101" s="96"/>
      <c r="AK101" s="96" t="s">
        <v>337</v>
      </c>
      <c r="AL101" s="96" t="s">
        <v>887</v>
      </c>
      <c r="AM101" s="96"/>
      <c r="AN101" s="96" t="s">
        <v>890</v>
      </c>
      <c r="AO101" s="100">
        <v>45473</v>
      </c>
      <c r="AP101" s="100">
        <v>45473</v>
      </c>
      <c r="AQ101" s="96"/>
      <c r="AR101" s="97">
        <v>219.43396799999999</v>
      </c>
      <c r="AS101" s="97">
        <v>93.57</v>
      </c>
      <c r="AT101" s="97">
        <v>1</v>
      </c>
      <c r="AU101" s="97">
        <v>0.20532400000000001</v>
      </c>
      <c r="AV101" s="97">
        <v>0.20532400000000001</v>
      </c>
      <c r="AW101" s="96"/>
      <c r="AX101" s="96"/>
      <c r="AY101" s="96"/>
      <c r="AZ101" s="96"/>
      <c r="BA101" s="98">
        <v>1.1400000000000001E-4</v>
      </c>
      <c r="BB101" s="98">
        <v>3.0000000000000001E-6</v>
      </c>
      <c r="BC101" s="106"/>
    </row>
    <row r="102" spans="1:55" ht="15" customHeight="1">
      <c r="A102" s="106"/>
      <c r="B102" s="96">
        <v>286</v>
      </c>
      <c r="C102" s="96">
        <v>1445</v>
      </c>
      <c r="D102" s="96"/>
      <c r="E102" s="96"/>
      <c r="F102" s="96"/>
      <c r="G102" s="96">
        <v>25000763</v>
      </c>
      <c r="H102" s="96" t="s">
        <v>1013</v>
      </c>
      <c r="I102" s="96" t="s">
        <v>812</v>
      </c>
      <c r="J102" s="96" t="s">
        <v>203</v>
      </c>
      <c r="K102" s="96"/>
      <c r="L102" s="96" t="s">
        <v>454</v>
      </c>
      <c r="M102" s="96" t="s">
        <v>338</v>
      </c>
      <c r="N102" s="96" t="s">
        <v>337</v>
      </c>
      <c r="O102" s="96"/>
      <c r="P102" s="100">
        <v>44959</v>
      </c>
      <c r="Q102" s="96" t="s">
        <v>1357</v>
      </c>
      <c r="R102" s="96" t="s">
        <v>414</v>
      </c>
      <c r="S102" s="96" t="s">
        <v>407</v>
      </c>
      <c r="T102" s="96" t="s">
        <v>1200</v>
      </c>
      <c r="U102" s="97">
        <v>7.25</v>
      </c>
      <c r="V102" s="96" t="s">
        <v>3678</v>
      </c>
      <c r="W102" s="98">
        <v>3.8100000000000002E-2</v>
      </c>
      <c r="X102" s="96"/>
      <c r="Y102" s="96"/>
      <c r="Z102" s="96"/>
      <c r="AA102" s="98">
        <v>4.2200000000000001E-2</v>
      </c>
      <c r="AB102" s="100">
        <v>51677</v>
      </c>
      <c r="AC102" s="96" t="s">
        <v>411</v>
      </c>
      <c r="AD102" s="96"/>
      <c r="AE102" s="96"/>
      <c r="AF102" s="96"/>
      <c r="AG102" s="100">
        <v>45291</v>
      </c>
      <c r="AH102" s="96"/>
      <c r="AI102" s="96"/>
      <c r="AJ102" s="96"/>
      <c r="AK102" s="96" t="s">
        <v>337</v>
      </c>
      <c r="AL102" s="96" t="s">
        <v>887</v>
      </c>
      <c r="AM102" s="96"/>
      <c r="AN102" s="96" t="s">
        <v>890</v>
      </c>
      <c r="AO102" s="100">
        <v>45473</v>
      </c>
      <c r="AP102" s="100">
        <v>45473</v>
      </c>
      <c r="AQ102" s="96"/>
      <c r="AR102" s="97">
        <v>7171.68</v>
      </c>
      <c r="AS102" s="97">
        <v>100.03</v>
      </c>
      <c r="AT102" s="97">
        <v>1</v>
      </c>
      <c r="AU102" s="97">
        <v>7.1738299999999997</v>
      </c>
      <c r="AV102" s="97">
        <v>7.1738299999999997</v>
      </c>
      <c r="AW102" s="96"/>
      <c r="AX102" s="96"/>
      <c r="AY102" s="96"/>
      <c r="AZ102" s="96"/>
      <c r="BA102" s="98">
        <v>3.993E-3</v>
      </c>
      <c r="BB102" s="98">
        <v>1.36E-4</v>
      </c>
      <c r="BC102" s="106"/>
    </row>
    <row r="103" spans="1:55" ht="15" customHeight="1">
      <c r="A103" s="106"/>
      <c r="B103" s="96">
        <v>286</v>
      </c>
      <c r="C103" s="96">
        <v>1445</v>
      </c>
      <c r="D103" s="96"/>
      <c r="E103" s="96"/>
      <c r="F103" s="96"/>
      <c r="G103" s="96">
        <v>25000921</v>
      </c>
      <c r="H103" s="96" t="s">
        <v>1013</v>
      </c>
      <c r="I103" s="96" t="s">
        <v>812</v>
      </c>
      <c r="J103" s="96" t="s">
        <v>203</v>
      </c>
      <c r="K103" s="96"/>
      <c r="L103" s="96" t="s">
        <v>470</v>
      </c>
      <c r="M103" s="96" t="s">
        <v>338</v>
      </c>
      <c r="N103" s="96" t="s">
        <v>337</v>
      </c>
      <c r="O103" s="96"/>
      <c r="P103" s="100">
        <v>45439</v>
      </c>
      <c r="Q103" s="96" t="s">
        <v>1309</v>
      </c>
      <c r="R103" s="96" t="s">
        <v>414</v>
      </c>
      <c r="S103" s="96" t="s">
        <v>407</v>
      </c>
      <c r="T103" s="96" t="s">
        <v>1200</v>
      </c>
      <c r="U103" s="97">
        <v>6.81</v>
      </c>
      <c r="V103" s="96" t="s">
        <v>3678</v>
      </c>
      <c r="W103" s="98">
        <v>4.6581999999999998E-2</v>
      </c>
      <c r="X103" s="96"/>
      <c r="Y103" s="96"/>
      <c r="Z103" s="96"/>
      <c r="AA103" s="98">
        <v>5.2200000000000003E-2</v>
      </c>
      <c r="AB103" s="100">
        <v>49303</v>
      </c>
      <c r="AC103" s="96" t="s">
        <v>411</v>
      </c>
      <c r="AD103" s="96"/>
      <c r="AE103" s="96"/>
      <c r="AF103" s="96"/>
      <c r="AG103" s="100">
        <v>45291</v>
      </c>
      <c r="AH103" s="96"/>
      <c r="AI103" s="96"/>
      <c r="AJ103" s="96"/>
      <c r="AK103" s="96" t="s">
        <v>337</v>
      </c>
      <c r="AL103" s="96" t="s">
        <v>887</v>
      </c>
      <c r="AM103" s="96"/>
      <c r="AN103" s="96" t="s">
        <v>890</v>
      </c>
      <c r="AO103" s="100">
        <v>45473</v>
      </c>
      <c r="AP103" s="100">
        <v>45473</v>
      </c>
      <c r="AQ103" s="96"/>
      <c r="AR103" s="97">
        <v>735.45981700000004</v>
      </c>
      <c r="AS103" s="97">
        <v>97.18</v>
      </c>
      <c r="AT103" s="97">
        <v>1</v>
      </c>
      <c r="AU103" s="97">
        <v>0.71471899999999999</v>
      </c>
      <c r="AV103" s="97">
        <v>0.71471899999999999</v>
      </c>
      <c r="AW103" s="96"/>
      <c r="AX103" s="96"/>
      <c r="AY103" s="96"/>
      <c r="AZ103" s="96"/>
      <c r="BA103" s="98">
        <v>3.97E-4</v>
      </c>
      <c r="BB103" s="98">
        <v>1.2999999999999999E-5</v>
      </c>
      <c r="BC103" s="106"/>
    </row>
    <row r="104" spans="1:55" ht="15" customHeight="1">
      <c r="A104" s="106"/>
      <c r="B104" s="96">
        <v>286</v>
      </c>
      <c r="C104" s="96">
        <v>1445</v>
      </c>
      <c r="D104" s="96"/>
      <c r="E104" s="96"/>
      <c r="F104" s="96"/>
      <c r="G104" s="96">
        <v>25000919</v>
      </c>
      <c r="H104" s="96" t="s">
        <v>1013</v>
      </c>
      <c r="I104" s="96" t="s">
        <v>812</v>
      </c>
      <c r="J104" s="96" t="s">
        <v>203</v>
      </c>
      <c r="K104" s="96"/>
      <c r="L104" s="96" t="s">
        <v>470</v>
      </c>
      <c r="M104" s="96" t="s">
        <v>338</v>
      </c>
      <c r="N104" s="96" t="s">
        <v>337</v>
      </c>
      <c r="O104" s="96"/>
      <c r="P104" s="100">
        <v>45439</v>
      </c>
      <c r="Q104" s="96" t="s">
        <v>1309</v>
      </c>
      <c r="R104" s="96" t="s">
        <v>414</v>
      </c>
      <c r="S104" s="96" t="s">
        <v>407</v>
      </c>
      <c r="T104" s="96" t="s">
        <v>1200</v>
      </c>
      <c r="U104" s="97">
        <v>7.3</v>
      </c>
      <c r="V104" s="96" t="s">
        <v>3678</v>
      </c>
      <c r="W104" s="98">
        <v>4.6965E-2</v>
      </c>
      <c r="X104" s="96"/>
      <c r="Y104" s="96"/>
      <c r="Z104" s="96"/>
      <c r="AA104" s="98">
        <v>5.2499999999999998E-2</v>
      </c>
      <c r="AB104" s="100">
        <v>49303</v>
      </c>
      <c r="AC104" s="96" t="s">
        <v>411</v>
      </c>
      <c r="AD104" s="96"/>
      <c r="AE104" s="96"/>
      <c r="AF104" s="96"/>
      <c r="AG104" s="100">
        <v>45291</v>
      </c>
      <c r="AH104" s="96"/>
      <c r="AI104" s="96"/>
      <c r="AJ104" s="96"/>
      <c r="AK104" s="96" t="s">
        <v>337</v>
      </c>
      <c r="AL104" s="96" t="s">
        <v>887</v>
      </c>
      <c r="AM104" s="96"/>
      <c r="AN104" s="96" t="s">
        <v>890</v>
      </c>
      <c r="AO104" s="100">
        <v>45473</v>
      </c>
      <c r="AP104" s="100">
        <v>45473</v>
      </c>
      <c r="AQ104" s="96"/>
      <c r="AR104" s="97">
        <v>804.85498900000005</v>
      </c>
      <c r="AS104" s="97">
        <v>96.99</v>
      </c>
      <c r="AT104" s="97">
        <v>1</v>
      </c>
      <c r="AU104" s="97">
        <v>0.78062799999999999</v>
      </c>
      <c r="AV104" s="97">
        <v>0.78062799999999999</v>
      </c>
      <c r="AW104" s="96"/>
      <c r="AX104" s="96"/>
      <c r="AY104" s="96"/>
      <c r="AZ104" s="96"/>
      <c r="BA104" s="98">
        <v>4.3399999999999998E-4</v>
      </c>
      <c r="BB104" s="98">
        <v>1.4E-5</v>
      </c>
      <c r="BC104" s="106"/>
    </row>
    <row r="105" spans="1:55" ht="15" customHeight="1">
      <c r="A105" s="106"/>
      <c r="B105" s="96">
        <v>286</v>
      </c>
      <c r="C105" s="96">
        <v>1445</v>
      </c>
      <c r="D105" s="96"/>
      <c r="E105" s="96"/>
      <c r="F105" s="96"/>
      <c r="G105" s="96">
        <v>25000898</v>
      </c>
      <c r="H105" s="96" t="s">
        <v>1013</v>
      </c>
      <c r="I105" s="96" t="s">
        <v>813</v>
      </c>
      <c r="J105" s="96" t="s">
        <v>203</v>
      </c>
      <c r="K105" s="96"/>
      <c r="L105" s="96" t="s">
        <v>476</v>
      </c>
      <c r="M105" s="96" t="s">
        <v>338</v>
      </c>
      <c r="N105" s="96" t="s">
        <v>337</v>
      </c>
      <c r="O105" s="96"/>
      <c r="P105" s="100">
        <v>45365</v>
      </c>
      <c r="Q105" s="96" t="s">
        <v>1357</v>
      </c>
      <c r="R105" s="96" t="s">
        <v>414</v>
      </c>
      <c r="S105" s="96" t="s">
        <v>407</v>
      </c>
      <c r="T105" s="96" t="s">
        <v>1200</v>
      </c>
      <c r="U105" s="97">
        <v>9.44</v>
      </c>
      <c r="V105" s="96" t="s">
        <v>824</v>
      </c>
      <c r="W105" s="98">
        <v>6.7000000000000004E-2</v>
      </c>
      <c r="X105" s="96"/>
      <c r="Y105" s="96"/>
      <c r="Z105" s="96"/>
      <c r="AA105" s="98">
        <v>6.3E-2</v>
      </c>
      <c r="AB105" s="100">
        <v>54057</v>
      </c>
      <c r="AC105" s="96" t="s">
        <v>411</v>
      </c>
      <c r="AD105" s="96"/>
      <c r="AE105" s="96"/>
      <c r="AF105" s="96"/>
      <c r="AG105" s="100">
        <v>45291</v>
      </c>
      <c r="AH105" s="96"/>
      <c r="AI105" s="96"/>
      <c r="AJ105" s="96"/>
      <c r="AK105" s="96" t="s">
        <v>337</v>
      </c>
      <c r="AL105" s="96" t="s">
        <v>887</v>
      </c>
      <c r="AM105" s="96"/>
      <c r="AN105" s="96" t="s">
        <v>890</v>
      </c>
      <c r="AO105" s="100">
        <v>45473</v>
      </c>
      <c r="AP105" s="100">
        <v>45473</v>
      </c>
      <c r="AQ105" s="96"/>
      <c r="AR105" s="97">
        <v>477.11755599999998</v>
      </c>
      <c r="AS105" s="97">
        <v>97.78</v>
      </c>
      <c r="AT105" s="97">
        <v>1</v>
      </c>
      <c r="AU105" s="97">
        <v>0.46652500000000002</v>
      </c>
      <c r="AV105" s="97">
        <v>0.46652500000000002</v>
      </c>
      <c r="AW105" s="96"/>
      <c r="AX105" s="96"/>
      <c r="AY105" s="96"/>
      <c r="AZ105" s="96"/>
      <c r="BA105" s="98">
        <v>2.5900000000000001E-4</v>
      </c>
      <c r="BB105" s="98">
        <v>7.9999999999999996E-6</v>
      </c>
      <c r="BC105" s="106"/>
    </row>
    <row r="106" spans="1:55" ht="15" customHeight="1">
      <c r="A106" s="106"/>
      <c r="B106" s="96">
        <v>286</v>
      </c>
      <c r="C106" s="96">
        <v>1445</v>
      </c>
      <c r="D106" s="96"/>
      <c r="E106" s="96"/>
      <c r="F106" s="96"/>
      <c r="G106" s="96">
        <v>25000894</v>
      </c>
      <c r="H106" s="96" t="s">
        <v>1013</v>
      </c>
      <c r="I106" s="96" t="s">
        <v>3684</v>
      </c>
      <c r="J106" s="96" t="s">
        <v>203</v>
      </c>
      <c r="K106" s="96"/>
      <c r="L106" s="96" t="s">
        <v>446</v>
      </c>
      <c r="M106" s="96" t="s">
        <v>338</v>
      </c>
      <c r="N106" s="96" t="s">
        <v>338</v>
      </c>
      <c r="O106" s="96"/>
      <c r="P106" s="100">
        <v>45350</v>
      </c>
      <c r="Q106" s="96" t="s">
        <v>409</v>
      </c>
      <c r="R106" s="96" t="s">
        <v>409</v>
      </c>
      <c r="S106" s="96" t="s">
        <v>409</v>
      </c>
      <c r="T106" s="96" t="s">
        <v>1200</v>
      </c>
      <c r="U106" s="97">
        <v>0.66</v>
      </c>
      <c r="V106" s="96" t="s">
        <v>3678</v>
      </c>
      <c r="W106" s="98">
        <v>4.3959999999999999E-2</v>
      </c>
      <c r="X106" s="96"/>
      <c r="Y106" s="96"/>
      <c r="Z106" s="96"/>
      <c r="AA106" s="98">
        <v>2.9499999999999998E-2</v>
      </c>
      <c r="AB106" s="100">
        <v>45716</v>
      </c>
      <c r="AC106" s="96" t="s">
        <v>411</v>
      </c>
      <c r="AD106" s="96"/>
      <c r="AE106" s="96"/>
      <c r="AF106" s="96"/>
      <c r="AG106" s="100">
        <v>45323</v>
      </c>
      <c r="AH106" s="96"/>
      <c r="AI106" s="96"/>
      <c r="AJ106" s="96"/>
      <c r="AK106" s="96" t="s">
        <v>337</v>
      </c>
      <c r="AL106" s="96" t="s">
        <v>887</v>
      </c>
      <c r="AM106" s="96"/>
      <c r="AN106" s="96" t="s">
        <v>890</v>
      </c>
      <c r="AO106" s="100">
        <v>45473</v>
      </c>
      <c r="AP106" s="100">
        <v>45473</v>
      </c>
      <c r="AQ106" s="96"/>
      <c r="AR106" s="97">
        <v>6305.2197889999998</v>
      </c>
      <c r="AS106" s="97">
        <v>103.58</v>
      </c>
      <c r="AT106" s="97">
        <v>1</v>
      </c>
      <c r="AU106" s="97">
        <v>6.5309460000000001</v>
      </c>
      <c r="AV106" s="97">
        <v>6.5309460000000001</v>
      </c>
      <c r="AW106" s="96"/>
      <c r="AX106" s="96"/>
      <c r="AY106" s="96"/>
      <c r="AZ106" s="96"/>
      <c r="BA106" s="98">
        <v>3.6350000000000002E-3</v>
      </c>
      <c r="BB106" s="98">
        <v>1.2400000000000001E-4</v>
      </c>
      <c r="BC106" s="106"/>
    </row>
    <row r="107" spans="1:55" ht="15" customHeight="1">
      <c r="A107" s="106"/>
      <c r="B107" s="96">
        <v>286</v>
      </c>
      <c r="C107" s="96">
        <v>1445</v>
      </c>
      <c r="D107" s="96"/>
      <c r="E107" s="96"/>
      <c r="F107" s="96"/>
      <c r="G107" s="96">
        <v>25000893</v>
      </c>
      <c r="H107" s="96" t="s">
        <v>1013</v>
      </c>
      <c r="I107" s="96" t="s">
        <v>3684</v>
      </c>
      <c r="J107" s="96" t="s">
        <v>203</v>
      </c>
      <c r="K107" s="96"/>
      <c r="L107" s="96" t="s">
        <v>463</v>
      </c>
      <c r="M107" s="96" t="s">
        <v>338</v>
      </c>
      <c r="N107" s="96" t="s">
        <v>337</v>
      </c>
      <c r="O107" s="96"/>
      <c r="P107" s="100">
        <v>45328</v>
      </c>
      <c r="Q107" s="96" t="s">
        <v>1439</v>
      </c>
      <c r="R107" s="96" t="s">
        <v>412</v>
      </c>
      <c r="S107" s="96" t="s">
        <v>407</v>
      </c>
      <c r="T107" s="96" t="s">
        <v>1200</v>
      </c>
      <c r="U107" s="97">
        <v>4.7</v>
      </c>
      <c r="V107" s="96" t="s">
        <v>3678</v>
      </c>
      <c r="W107" s="98">
        <v>2.9049999999999999E-2</v>
      </c>
      <c r="X107" s="96"/>
      <c r="Y107" s="96"/>
      <c r="Z107" s="96"/>
      <c r="AA107" s="98">
        <v>3.4099999999999998E-2</v>
      </c>
      <c r="AB107" s="100">
        <v>47520</v>
      </c>
      <c r="AC107" s="96" t="s">
        <v>411</v>
      </c>
      <c r="AD107" s="96"/>
      <c r="AE107" s="96"/>
      <c r="AF107" s="96"/>
      <c r="AG107" s="100">
        <v>45006</v>
      </c>
      <c r="AH107" s="96"/>
      <c r="AI107" s="96"/>
      <c r="AJ107" s="96"/>
      <c r="AK107" s="96" t="s">
        <v>337</v>
      </c>
      <c r="AL107" s="96" t="s">
        <v>887</v>
      </c>
      <c r="AM107" s="96"/>
      <c r="AN107" s="96" t="s">
        <v>890</v>
      </c>
      <c r="AO107" s="100">
        <v>45473</v>
      </c>
      <c r="AP107" s="100">
        <v>45473</v>
      </c>
      <c r="AQ107" s="96"/>
      <c r="AR107" s="97">
        <v>6432.7150419999998</v>
      </c>
      <c r="AS107" s="97">
        <v>100.89</v>
      </c>
      <c r="AT107" s="97">
        <v>1</v>
      </c>
      <c r="AU107" s="97">
        <v>6.4899659999999999</v>
      </c>
      <c r="AV107" s="97">
        <v>6.4899659999999999</v>
      </c>
      <c r="AW107" s="96"/>
      <c r="AX107" s="96"/>
      <c r="AY107" s="96"/>
      <c r="AZ107" s="96"/>
      <c r="BA107" s="98">
        <v>3.6120000000000002E-3</v>
      </c>
      <c r="BB107" s="98">
        <v>1.2300000000000001E-4</v>
      </c>
      <c r="BC107" s="106"/>
    </row>
    <row r="108" spans="1:55" ht="15" customHeight="1">
      <c r="A108" s="106"/>
      <c r="B108" s="96">
        <v>286</v>
      </c>
      <c r="C108" s="96">
        <v>1445</v>
      </c>
      <c r="D108" s="96"/>
      <c r="E108" s="96"/>
      <c r="F108" s="96"/>
      <c r="G108" s="96">
        <v>25000892</v>
      </c>
      <c r="H108" s="96" t="s">
        <v>1013</v>
      </c>
      <c r="I108" s="96" t="s">
        <v>818</v>
      </c>
      <c r="J108" s="96" t="s">
        <v>203</v>
      </c>
      <c r="K108" s="96"/>
      <c r="L108" s="96" t="s">
        <v>476</v>
      </c>
      <c r="M108" s="96" t="s">
        <v>338</v>
      </c>
      <c r="N108" s="96" t="s">
        <v>338</v>
      </c>
      <c r="O108" s="96"/>
      <c r="P108" s="100">
        <v>45333</v>
      </c>
      <c r="Q108" s="96" t="s">
        <v>1208</v>
      </c>
      <c r="R108" s="96" t="s">
        <v>311</v>
      </c>
      <c r="S108" s="96" t="s">
        <v>407</v>
      </c>
      <c r="T108" s="96" t="s">
        <v>1200</v>
      </c>
      <c r="U108" s="97">
        <v>1.35</v>
      </c>
      <c r="V108" s="96" t="s">
        <v>3678</v>
      </c>
      <c r="W108" s="98">
        <v>2.2100000000000002E-2</v>
      </c>
      <c r="X108" s="96"/>
      <c r="Y108" s="96"/>
      <c r="Z108" s="96"/>
      <c r="AA108" s="98">
        <v>2.7799999999999998E-2</v>
      </c>
      <c r="AB108" s="100">
        <v>46429</v>
      </c>
      <c r="AC108" s="96" t="s">
        <v>411</v>
      </c>
      <c r="AD108" s="96"/>
      <c r="AE108" s="96"/>
      <c r="AF108" s="96"/>
      <c r="AG108" s="100">
        <v>45333</v>
      </c>
      <c r="AH108" s="96"/>
      <c r="AI108" s="96"/>
      <c r="AJ108" s="96"/>
      <c r="AK108" s="96" t="s">
        <v>337</v>
      </c>
      <c r="AL108" s="96" t="s">
        <v>887</v>
      </c>
      <c r="AM108" s="96"/>
      <c r="AN108" s="96" t="s">
        <v>890</v>
      </c>
      <c r="AO108" s="100">
        <v>45473</v>
      </c>
      <c r="AP108" s="100">
        <v>45473</v>
      </c>
      <c r="AQ108" s="96"/>
      <c r="AR108" s="97">
        <v>3090.793983</v>
      </c>
      <c r="AS108" s="97">
        <v>101.26</v>
      </c>
      <c r="AT108" s="97">
        <v>1</v>
      </c>
      <c r="AU108" s="97">
        <v>3.129737</v>
      </c>
      <c r="AV108" s="97">
        <v>3.129737</v>
      </c>
      <c r="AW108" s="96"/>
      <c r="AX108" s="96"/>
      <c r="AY108" s="96"/>
      <c r="AZ108" s="96"/>
      <c r="BA108" s="98">
        <v>1.7420000000000001E-3</v>
      </c>
      <c r="BB108" s="98">
        <v>5.8999999999999998E-5</v>
      </c>
      <c r="BC108" s="106"/>
    </row>
    <row r="109" spans="1:55" ht="15" customHeight="1">
      <c r="A109" s="106"/>
      <c r="B109" s="96">
        <v>286</v>
      </c>
      <c r="C109" s="96">
        <v>1445</v>
      </c>
      <c r="D109" s="96"/>
      <c r="E109" s="96"/>
      <c r="F109" s="96"/>
      <c r="G109" s="96">
        <v>25000891</v>
      </c>
      <c r="H109" s="96" t="s">
        <v>1013</v>
      </c>
      <c r="I109" s="96" t="s">
        <v>3684</v>
      </c>
      <c r="J109" s="96" t="s">
        <v>203</v>
      </c>
      <c r="K109" s="96"/>
      <c r="L109" s="96" t="s">
        <v>463</v>
      </c>
      <c r="M109" s="96" t="s">
        <v>338</v>
      </c>
      <c r="N109" s="96" t="s">
        <v>337</v>
      </c>
      <c r="O109" s="96"/>
      <c r="P109" s="100">
        <v>45328</v>
      </c>
      <c r="Q109" s="96" t="s">
        <v>1439</v>
      </c>
      <c r="R109" s="96" t="s">
        <v>412</v>
      </c>
      <c r="S109" s="96" t="s">
        <v>407</v>
      </c>
      <c r="T109" s="96" t="s">
        <v>1200</v>
      </c>
      <c r="U109" s="97">
        <v>4.7</v>
      </c>
      <c r="V109" s="96" t="s">
        <v>3678</v>
      </c>
      <c r="W109" s="98">
        <v>2.9049999999999999E-2</v>
      </c>
      <c r="X109" s="96"/>
      <c r="Y109" s="96"/>
      <c r="Z109" s="96"/>
      <c r="AA109" s="98">
        <v>3.4299999999999997E-2</v>
      </c>
      <c r="AB109" s="100">
        <v>47520</v>
      </c>
      <c r="AC109" s="96" t="s">
        <v>411</v>
      </c>
      <c r="AD109" s="96"/>
      <c r="AE109" s="96"/>
      <c r="AF109" s="96"/>
      <c r="AG109" s="100">
        <v>45006</v>
      </c>
      <c r="AH109" s="96"/>
      <c r="AI109" s="96"/>
      <c r="AJ109" s="96"/>
      <c r="AK109" s="96" t="s">
        <v>337</v>
      </c>
      <c r="AL109" s="96" t="s">
        <v>887</v>
      </c>
      <c r="AM109" s="96"/>
      <c r="AN109" s="96" t="s">
        <v>890</v>
      </c>
      <c r="AO109" s="100">
        <v>45473</v>
      </c>
      <c r="AP109" s="100">
        <v>45473</v>
      </c>
      <c r="AQ109" s="96"/>
      <c r="AR109" s="97">
        <v>6432.7150419999998</v>
      </c>
      <c r="AS109" s="97">
        <v>100.82</v>
      </c>
      <c r="AT109" s="97">
        <v>1</v>
      </c>
      <c r="AU109" s="97">
        <v>6.4854630000000002</v>
      </c>
      <c r="AV109" s="97">
        <v>6.4854630000000002</v>
      </c>
      <c r="AW109" s="96"/>
      <c r="AX109" s="96"/>
      <c r="AY109" s="96"/>
      <c r="AZ109" s="96"/>
      <c r="BA109" s="98">
        <v>3.6099999999999999E-3</v>
      </c>
      <c r="BB109" s="98">
        <v>1.2300000000000001E-4</v>
      </c>
      <c r="BC109" s="106"/>
    </row>
    <row r="110" spans="1:55" ht="15" customHeight="1">
      <c r="A110" s="106"/>
      <c r="B110" s="96">
        <v>286</v>
      </c>
      <c r="C110" s="96">
        <v>1445</v>
      </c>
      <c r="D110" s="96"/>
      <c r="E110" s="96"/>
      <c r="F110" s="96"/>
      <c r="G110" s="96">
        <v>25000890</v>
      </c>
      <c r="H110" s="96" t="s">
        <v>1013</v>
      </c>
      <c r="I110" s="96"/>
      <c r="J110" s="96" t="s">
        <v>203</v>
      </c>
      <c r="K110" s="96"/>
      <c r="L110" s="96" t="s">
        <v>477</v>
      </c>
      <c r="M110" s="96" t="s">
        <v>337</v>
      </c>
      <c r="N110" s="96" t="s">
        <v>338</v>
      </c>
      <c r="O110" s="96"/>
      <c r="P110" s="100">
        <v>45328</v>
      </c>
      <c r="Q110" s="96" t="s">
        <v>1309</v>
      </c>
      <c r="R110" s="96" t="s">
        <v>414</v>
      </c>
      <c r="S110" s="96" t="s">
        <v>407</v>
      </c>
      <c r="T110" s="96" t="s">
        <v>1200</v>
      </c>
      <c r="U110" s="97">
        <v>4.95</v>
      </c>
      <c r="V110" s="96" t="s">
        <v>824</v>
      </c>
      <c r="W110" s="98">
        <v>6.7000000000000004E-2</v>
      </c>
      <c r="X110" s="96"/>
      <c r="Y110" s="96"/>
      <c r="Z110" s="96"/>
      <c r="AA110" s="98">
        <v>6.7500000000000004E-2</v>
      </c>
      <c r="AB110" s="100">
        <v>50071</v>
      </c>
      <c r="AC110" s="96" t="s">
        <v>411</v>
      </c>
      <c r="AD110" s="96"/>
      <c r="AE110" s="96"/>
      <c r="AF110" s="96"/>
      <c r="AG110" s="100"/>
      <c r="AH110" s="96"/>
      <c r="AI110" s="96"/>
      <c r="AJ110" s="96"/>
      <c r="AK110" s="96" t="s">
        <v>337</v>
      </c>
      <c r="AL110" s="96" t="s">
        <v>887</v>
      </c>
      <c r="AM110" s="96"/>
      <c r="AN110" s="96" t="s">
        <v>890</v>
      </c>
      <c r="AO110" s="100">
        <v>45473</v>
      </c>
      <c r="AP110" s="100">
        <v>45473</v>
      </c>
      <c r="AQ110" s="96"/>
      <c r="AR110" s="97">
        <v>8077.67112</v>
      </c>
      <c r="AS110" s="97">
        <v>102</v>
      </c>
      <c r="AT110" s="97">
        <v>1</v>
      </c>
      <c r="AU110" s="97">
        <v>8.2392240000000001</v>
      </c>
      <c r="AV110" s="97">
        <v>8.2392240000000001</v>
      </c>
      <c r="AW110" s="96"/>
      <c r="AX110" s="96"/>
      <c r="AY110" s="96"/>
      <c r="AZ110" s="96"/>
      <c r="BA110" s="98">
        <v>4.5859999999999998E-3</v>
      </c>
      <c r="BB110" s="98">
        <v>1.56E-4</v>
      </c>
      <c r="BC110" s="106"/>
    </row>
    <row r="111" spans="1:55" ht="15" customHeight="1">
      <c r="A111" s="106"/>
      <c r="B111" s="96">
        <v>286</v>
      </c>
      <c r="C111" s="96">
        <v>1445</v>
      </c>
      <c r="D111" s="96"/>
      <c r="E111" s="96"/>
      <c r="F111" s="96"/>
      <c r="G111" s="96">
        <v>25000889</v>
      </c>
      <c r="H111" s="96" t="s">
        <v>1013</v>
      </c>
      <c r="I111" s="96" t="s">
        <v>785</v>
      </c>
      <c r="J111" s="96" t="s">
        <v>203</v>
      </c>
      <c r="K111" s="96"/>
      <c r="L111" s="96" t="s">
        <v>463</v>
      </c>
      <c r="M111" s="96" t="s">
        <v>338</v>
      </c>
      <c r="N111" s="96" t="s">
        <v>338</v>
      </c>
      <c r="O111" s="96"/>
      <c r="P111" s="100">
        <v>45321</v>
      </c>
      <c r="Q111" s="96" t="s">
        <v>3681</v>
      </c>
      <c r="R111" s="96" t="s">
        <v>311</v>
      </c>
      <c r="S111" s="96" t="s">
        <v>407</v>
      </c>
      <c r="T111" s="96" t="s">
        <v>1200</v>
      </c>
      <c r="U111" s="97">
        <v>4.8600000000000003</v>
      </c>
      <c r="V111" s="96" t="s">
        <v>3678</v>
      </c>
      <c r="W111" s="98">
        <v>3.5490000000000001E-2</v>
      </c>
      <c r="X111" s="96"/>
      <c r="Y111" s="96"/>
      <c r="Z111" s="96"/>
      <c r="AA111" s="98">
        <v>3.78E-2</v>
      </c>
      <c r="AB111" s="100">
        <v>47513</v>
      </c>
      <c r="AC111" s="96" t="s">
        <v>411</v>
      </c>
      <c r="AD111" s="96"/>
      <c r="AE111" s="96"/>
      <c r="AF111" s="96"/>
      <c r="AG111" s="100">
        <v>45081</v>
      </c>
      <c r="AH111" s="96"/>
      <c r="AI111" s="96"/>
      <c r="AJ111" s="96"/>
      <c r="AK111" s="96" t="s">
        <v>337</v>
      </c>
      <c r="AL111" s="96" t="s">
        <v>887</v>
      </c>
      <c r="AM111" s="96"/>
      <c r="AN111" s="96" t="s">
        <v>890</v>
      </c>
      <c r="AO111" s="100">
        <v>45473</v>
      </c>
      <c r="AP111" s="100">
        <v>45473</v>
      </c>
      <c r="AQ111" s="96"/>
      <c r="AR111" s="97">
        <v>14951.716044999999</v>
      </c>
      <c r="AS111" s="97">
        <v>102.54</v>
      </c>
      <c r="AT111" s="97">
        <v>1</v>
      </c>
      <c r="AU111" s="97">
        <v>15.331488999999999</v>
      </c>
      <c r="AV111" s="97">
        <v>15.331488999999999</v>
      </c>
      <c r="AW111" s="96"/>
      <c r="AX111" s="96"/>
      <c r="AY111" s="96"/>
      <c r="AZ111" s="96"/>
      <c r="BA111" s="98">
        <v>8.5339999999999999E-3</v>
      </c>
      <c r="BB111" s="98">
        <v>2.9100000000000003E-4</v>
      </c>
      <c r="BC111" s="106"/>
    </row>
    <row r="112" spans="1:55" ht="15" customHeight="1">
      <c r="A112" s="106"/>
      <c r="B112" s="96">
        <v>286</v>
      </c>
      <c r="C112" s="96">
        <v>1445</v>
      </c>
      <c r="D112" s="96"/>
      <c r="E112" s="96"/>
      <c r="F112" s="96"/>
      <c r="G112" s="96">
        <v>25000888</v>
      </c>
      <c r="H112" s="96" t="s">
        <v>1013</v>
      </c>
      <c r="I112" s="96" t="s">
        <v>813</v>
      </c>
      <c r="J112" s="96" t="s">
        <v>203</v>
      </c>
      <c r="K112" s="96"/>
      <c r="L112" s="96" t="s">
        <v>476</v>
      </c>
      <c r="M112" s="96" t="s">
        <v>338</v>
      </c>
      <c r="N112" s="96" t="s">
        <v>337</v>
      </c>
      <c r="O112" s="96"/>
      <c r="P112" s="100">
        <v>45322</v>
      </c>
      <c r="Q112" s="96" t="s">
        <v>1357</v>
      </c>
      <c r="R112" s="96" t="s">
        <v>414</v>
      </c>
      <c r="S112" s="96" t="s">
        <v>407</v>
      </c>
      <c r="T112" s="96" t="s">
        <v>1200</v>
      </c>
      <c r="U112" s="97">
        <v>4.21</v>
      </c>
      <c r="V112" s="96" t="s">
        <v>824</v>
      </c>
      <c r="W112" s="98">
        <v>6.9000000000000006E-2</v>
      </c>
      <c r="X112" s="96"/>
      <c r="Y112" s="96"/>
      <c r="Z112" s="96"/>
      <c r="AA112" s="98">
        <v>7.0199999999999999E-2</v>
      </c>
      <c r="AB112" s="100">
        <v>47269</v>
      </c>
      <c r="AC112" s="96" t="s">
        <v>411</v>
      </c>
      <c r="AD112" s="96"/>
      <c r="AE112" s="96"/>
      <c r="AF112" s="96"/>
      <c r="AG112" s="100">
        <v>45291</v>
      </c>
      <c r="AH112" s="96"/>
      <c r="AI112" s="96"/>
      <c r="AJ112" s="96"/>
      <c r="AK112" s="96" t="s">
        <v>337</v>
      </c>
      <c r="AL112" s="96" t="s">
        <v>887</v>
      </c>
      <c r="AM112" s="96"/>
      <c r="AN112" s="96" t="s">
        <v>890</v>
      </c>
      <c r="AO112" s="100">
        <v>45473</v>
      </c>
      <c r="AP112" s="100">
        <v>45473</v>
      </c>
      <c r="AQ112" s="96"/>
      <c r="AR112" s="97">
        <v>2702.3085590000001</v>
      </c>
      <c r="AS112" s="97">
        <v>100.77</v>
      </c>
      <c r="AT112" s="97">
        <v>1</v>
      </c>
      <c r="AU112" s="97">
        <v>2.7231160000000001</v>
      </c>
      <c r="AV112" s="97">
        <v>2.7231160000000001</v>
      </c>
      <c r="AW112" s="96"/>
      <c r="AX112" s="96"/>
      <c r="AY112" s="96"/>
      <c r="AZ112" s="96"/>
      <c r="BA112" s="98">
        <v>1.5150000000000001E-3</v>
      </c>
      <c r="BB112" s="98">
        <v>5.1E-5</v>
      </c>
      <c r="BC112" s="106"/>
    </row>
    <row r="113" spans="1:55" ht="15" customHeight="1">
      <c r="A113" s="106"/>
      <c r="B113" s="96">
        <v>286</v>
      </c>
      <c r="C113" s="96">
        <v>1445</v>
      </c>
      <c r="D113" s="96"/>
      <c r="E113" s="96"/>
      <c r="F113" s="96"/>
      <c r="G113" s="96">
        <v>25000887</v>
      </c>
      <c r="H113" s="96" t="s">
        <v>1013</v>
      </c>
      <c r="I113" s="96" t="s">
        <v>3682</v>
      </c>
      <c r="J113" s="96" t="s">
        <v>203</v>
      </c>
      <c r="K113" s="96"/>
      <c r="L113" s="96" t="s">
        <v>477</v>
      </c>
      <c r="M113" s="96" t="s">
        <v>338</v>
      </c>
      <c r="N113" s="96" t="s">
        <v>337</v>
      </c>
      <c r="O113" s="96"/>
      <c r="P113" s="100">
        <v>45319</v>
      </c>
      <c r="Q113" s="96" t="s">
        <v>409</v>
      </c>
      <c r="R113" s="96" t="s">
        <v>409</v>
      </c>
      <c r="S113" s="96" t="s">
        <v>409</v>
      </c>
      <c r="T113" s="96" t="s">
        <v>1200</v>
      </c>
      <c r="U113" s="97">
        <v>2.04</v>
      </c>
      <c r="V113" s="96" t="s">
        <v>824</v>
      </c>
      <c r="W113" s="98">
        <v>0.08</v>
      </c>
      <c r="X113" s="96"/>
      <c r="Y113" s="96"/>
      <c r="Z113" s="96"/>
      <c r="AA113" s="98">
        <v>7.3700000000000002E-2</v>
      </c>
      <c r="AB113" s="100">
        <v>46283</v>
      </c>
      <c r="AC113" s="96" t="s">
        <v>411</v>
      </c>
      <c r="AD113" s="96"/>
      <c r="AE113" s="96"/>
      <c r="AF113" s="96"/>
      <c r="AG113" s="100">
        <v>45473</v>
      </c>
      <c r="AH113" s="96"/>
      <c r="AI113" s="96"/>
      <c r="AJ113" s="96"/>
      <c r="AK113" s="96" t="s">
        <v>337</v>
      </c>
      <c r="AL113" s="96" t="s">
        <v>887</v>
      </c>
      <c r="AM113" s="96"/>
      <c r="AN113" s="96" t="s">
        <v>890</v>
      </c>
      <c r="AO113" s="100">
        <v>45473</v>
      </c>
      <c r="AP113" s="100">
        <v>45473</v>
      </c>
      <c r="AQ113" s="96"/>
      <c r="AR113" s="97">
        <v>3477.143266</v>
      </c>
      <c r="AS113" s="97">
        <v>102.68</v>
      </c>
      <c r="AT113" s="97">
        <v>1</v>
      </c>
      <c r="AU113" s="97">
        <v>3.5703299999999998</v>
      </c>
      <c r="AV113" s="97">
        <v>3.5703299999999998</v>
      </c>
      <c r="AW113" s="96"/>
      <c r="AX113" s="96"/>
      <c r="AY113" s="96"/>
      <c r="AZ113" s="96"/>
      <c r="BA113" s="98">
        <v>1.9870000000000001E-3</v>
      </c>
      <c r="BB113" s="98">
        <v>6.7000000000000002E-5</v>
      </c>
      <c r="BC113" s="106"/>
    </row>
    <row r="114" spans="1:55" ht="15" customHeight="1">
      <c r="A114" s="106"/>
      <c r="B114" s="96">
        <v>286</v>
      </c>
      <c r="C114" s="96">
        <v>1445</v>
      </c>
      <c r="D114" s="96"/>
      <c r="E114" s="96"/>
      <c r="F114" s="96"/>
      <c r="G114" s="96">
        <v>25000886</v>
      </c>
      <c r="H114" s="96" t="s">
        <v>1013</v>
      </c>
      <c r="I114" s="96" t="s">
        <v>3684</v>
      </c>
      <c r="J114" s="96" t="s">
        <v>203</v>
      </c>
      <c r="K114" s="96"/>
      <c r="L114" s="96" t="s">
        <v>463</v>
      </c>
      <c r="M114" s="96" t="s">
        <v>338</v>
      </c>
      <c r="N114" s="96" t="s">
        <v>337</v>
      </c>
      <c r="O114" s="96"/>
      <c r="P114" s="100">
        <v>45316</v>
      </c>
      <c r="Q114" s="96" t="s">
        <v>3681</v>
      </c>
      <c r="R114" s="96" t="s">
        <v>311</v>
      </c>
      <c r="S114" s="96" t="s">
        <v>407</v>
      </c>
      <c r="T114" s="96" t="s">
        <v>1200</v>
      </c>
      <c r="U114" s="97">
        <v>0.56000000000000005</v>
      </c>
      <c r="V114" s="96" t="s">
        <v>824</v>
      </c>
      <c r="W114" s="98">
        <v>7.8E-2</v>
      </c>
      <c r="X114" s="96"/>
      <c r="Y114" s="96"/>
      <c r="Z114" s="96"/>
      <c r="AA114" s="98">
        <v>7.1400000000000005E-2</v>
      </c>
      <c r="AB114" s="100">
        <v>45682</v>
      </c>
      <c r="AC114" s="96" t="s">
        <v>411</v>
      </c>
      <c r="AD114" s="96"/>
      <c r="AE114" s="96"/>
      <c r="AF114" s="96"/>
      <c r="AG114" s="100">
        <v>45075</v>
      </c>
      <c r="AH114" s="96"/>
      <c r="AI114" s="96"/>
      <c r="AJ114" s="96"/>
      <c r="AK114" s="96" t="s">
        <v>337</v>
      </c>
      <c r="AL114" s="96" t="s">
        <v>887</v>
      </c>
      <c r="AM114" s="96"/>
      <c r="AN114" s="96" t="s">
        <v>890</v>
      </c>
      <c r="AO114" s="100">
        <v>45473</v>
      </c>
      <c r="AP114" s="100">
        <v>45473</v>
      </c>
      <c r="AQ114" s="96"/>
      <c r="AR114" s="97">
        <v>146.93240299999999</v>
      </c>
      <c r="AS114" s="97">
        <v>100.57</v>
      </c>
      <c r="AT114" s="97">
        <v>1</v>
      </c>
      <c r="AU114" s="97">
        <v>0.14776900000000001</v>
      </c>
      <c r="AV114" s="97">
        <v>0.14776900000000001</v>
      </c>
      <c r="AW114" s="96"/>
      <c r="AX114" s="96"/>
      <c r="AY114" s="96"/>
      <c r="AZ114" s="96"/>
      <c r="BA114" s="98">
        <v>8.2000000000000001E-5</v>
      </c>
      <c r="BB114" s="98">
        <v>1.9999999999999999E-6</v>
      </c>
      <c r="BC114" s="106"/>
    </row>
    <row r="115" spans="1:55" ht="15" customHeight="1">
      <c r="A115" s="106"/>
      <c r="B115" s="96">
        <v>286</v>
      </c>
      <c r="C115" s="96">
        <v>1445</v>
      </c>
      <c r="D115" s="96"/>
      <c r="E115" s="96"/>
      <c r="F115" s="96"/>
      <c r="G115" s="96">
        <v>25000885</v>
      </c>
      <c r="H115" s="96" t="s">
        <v>1013</v>
      </c>
      <c r="I115" s="96"/>
      <c r="J115" s="96" t="s">
        <v>203</v>
      </c>
      <c r="K115" s="96"/>
      <c r="L115" s="96" t="s">
        <v>477</v>
      </c>
      <c r="M115" s="96" t="s">
        <v>338</v>
      </c>
      <c r="N115" s="96" t="s">
        <v>337</v>
      </c>
      <c r="O115" s="96"/>
      <c r="P115" s="100">
        <v>45308</v>
      </c>
      <c r="Q115" s="96" t="s">
        <v>409</v>
      </c>
      <c r="R115" s="96" t="s">
        <v>409</v>
      </c>
      <c r="S115" s="96" t="s">
        <v>409</v>
      </c>
      <c r="T115" s="96" t="s">
        <v>1200</v>
      </c>
      <c r="U115" s="97">
        <v>7.64</v>
      </c>
      <c r="V115" s="96" t="s">
        <v>3678</v>
      </c>
      <c r="W115" s="98">
        <v>3.9927999999999998E-2</v>
      </c>
      <c r="X115" s="96"/>
      <c r="Y115" s="96"/>
      <c r="Z115" s="96"/>
      <c r="AA115" s="98">
        <v>4.1300000000000003E-2</v>
      </c>
      <c r="AB115" s="100">
        <v>56230</v>
      </c>
      <c r="AC115" s="96" t="s">
        <v>411</v>
      </c>
      <c r="AD115" s="96"/>
      <c r="AE115" s="96"/>
      <c r="AF115" s="96"/>
      <c r="AG115" s="100"/>
      <c r="AH115" s="96"/>
      <c r="AI115" s="96"/>
      <c r="AJ115" s="96"/>
      <c r="AK115" s="96" t="s">
        <v>337</v>
      </c>
      <c r="AL115" s="96" t="s">
        <v>887</v>
      </c>
      <c r="AM115" s="96"/>
      <c r="AN115" s="96" t="s">
        <v>890</v>
      </c>
      <c r="AO115" s="100">
        <v>45473</v>
      </c>
      <c r="AP115" s="100">
        <v>45473</v>
      </c>
      <c r="AQ115" s="96"/>
      <c r="AR115" s="97">
        <v>7696.6568299999999</v>
      </c>
      <c r="AS115" s="97">
        <v>101.67</v>
      </c>
      <c r="AT115" s="97">
        <v>1</v>
      </c>
      <c r="AU115" s="97">
        <v>7.8251900000000001</v>
      </c>
      <c r="AV115" s="97">
        <v>7.8251900000000001</v>
      </c>
      <c r="AW115" s="96"/>
      <c r="AX115" s="96"/>
      <c r="AY115" s="96"/>
      <c r="AZ115" s="96"/>
      <c r="BA115" s="98">
        <v>4.3550000000000004E-3</v>
      </c>
      <c r="BB115" s="98">
        <v>1.4899999999999999E-4</v>
      </c>
      <c r="BC115" s="106"/>
    </row>
    <row r="116" spans="1:55" ht="15" customHeight="1">
      <c r="A116" s="106"/>
      <c r="B116" s="96">
        <v>286</v>
      </c>
      <c r="C116" s="96">
        <v>1445</v>
      </c>
      <c r="D116" s="96"/>
      <c r="E116" s="96"/>
      <c r="F116" s="96"/>
      <c r="G116" s="96">
        <v>25000884</v>
      </c>
      <c r="H116" s="96" t="s">
        <v>1013</v>
      </c>
      <c r="I116" s="96" t="s">
        <v>3680</v>
      </c>
      <c r="J116" s="96" t="s">
        <v>203</v>
      </c>
      <c r="K116" s="96"/>
      <c r="L116" s="96" t="s">
        <v>463</v>
      </c>
      <c r="M116" s="96" t="s">
        <v>338</v>
      </c>
      <c r="N116" s="96" t="s">
        <v>337</v>
      </c>
      <c r="O116" s="96"/>
      <c r="P116" s="100">
        <v>45306</v>
      </c>
      <c r="Q116" s="96" t="s">
        <v>1208</v>
      </c>
      <c r="R116" s="96" t="s">
        <v>311</v>
      </c>
      <c r="S116" s="96" t="s">
        <v>407</v>
      </c>
      <c r="T116" s="96" t="s">
        <v>1200</v>
      </c>
      <c r="U116" s="97">
        <v>5.05</v>
      </c>
      <c r="V116" s="96" t="s">
        <v>824</v>
      </c>
      <c r="W116" s="98">
        <v>6.1499999999999999E-2</v>
      </c>
      <c r="X116" s="96"/>
      <c r="Y116" s="96"/>
      <c r="Z116" s="96"/>
      <c r="AA116" s="98">
        <v>6.2899999999999998E-2</v>
      </c>
      <c r="AB116" s="100">
        <v>47654</v>
      </c>
      <c r="AC116" s="96" t="s">
        <v>411</v>
      </c>
      <c r="AD116" s="96"/>
      <c r="AE116" s="96"/>
      <c r="AF116" s="96"/>
      <c r="AG116" s="100">
        <v>45382</v>
      </c>
      <c r="AH116" s="96"/>
      <c r="AI116" s="96"/>
      <c r="AJ116" s="96"/>
      <c r="AK116" s="96" t="s">
        <v>337</v>
      </c>
      <c r="AL116" s="96" t="s">
        <v>887</v>
      </c>
      <c r="AM116" s="96"/>
      <c r="AN116" s="96" t="s">
        <v>890</v>
      </c>
      <c r="AO116" s="100">
        <v>45473</v>
      </c>
      <c r="AP116" s="100">
        <v>45473</v>
      </c>
      <c r="AQ116" s="96"/>
      <c r="AR116" s="97">
        <v>479.84577000000002</v>
      </c>
      <c r="AS116" s="97">
        <v>100.87</v>
      </c>
      <c r="AT116" s="97">
        <v>1</v>
      </c>
      <c r="AU116" s="97">
        <v>0.48402000000000001</v>
      </c>
      <c r="AV116" s="97">
        <v>0.48402000000000001</v>
      </c>
      <c r="AW116" s="96"/>
      <c r="AX116" s="96"/>
      <c r="AY116" s="96"/>
      <c r="AZ116" s="96"/>
      <c r="BA116" s="98">
        <v>2.6899999999999998E-4</v>
      </c>
      <c r="BB116" s="98">
        <v>9.0000000000000002E-6</v>
      </c>
      <c r="BC116" s="106"/>
    </row>
    <row r="117" spans="1:55" ht="15" customHeight="1">
      <c r="A117" s="106"/>
      <c r="B117" s="96">
        <v>286</v>
      </c>
      <c r="C117" s="96">
        <v>1445</v>
      </c>
      <c r="D117" s="96"/>
      <c r="E117" s="96"/>
      <c r="F117" s="96"/>
      <c r="G117" s="96">
        <v>25000883</v>
      </c>
      <c r="H117" s="96" t="s">
        <v>1013</v>
      </c>
      <c r="I117" s="96" t="s">
        <v>813</v>
      </c>
      <c r="J117" s="96" t="s">
        <v>203</v>
      </c>
      <c r="K117" s="96"/>
      <c r="L117" s="96" t="s">
        <v>463</v>
      </c>
      <c r="M117" s="96" t="s">
        <v>338</v>
      </c>
      <c r="N117" s="96" t="s">
        <v>337</v>
      </c>
      <c r="O117" s="96"/>
      <c r="P117" s="100">
        <v>45302</v>
      </c>
      <c r="Q117" s="96" t="s">
        <v>1320</v>
      </c>
      <c r="R117" s="96" t="s">
        <v>412</v>
      </c>
      <c r="S117" s="96" t="s">
        <v>407</v>
      </c>
      <c r="T117" s="96" t="s">
        <v>1200</v>
      </c>
      <c r="U117" s="97">
        <v>8.5</v>
      </c>
      <c r="V117" s="96" t="s">
        <v>824</v>
      </c>
      <c r="W117" s="98">
        <v>7.1499999999999994E-2</v>
      </c>
      <c r="X117" s="96"/>
      <c r="Y117" s="96"/>
      <c r="Z117" s="96"/>
      <c r="AA117" s="98">
        <v>7.7200000000000005E-2</v>
      </c>
      <c r="AB117" s="100">
        <v>52962</v>
      </c>
      <c r="AC117" s="96" t="s">
        <v>411</v>
      </c>
      <c r="AD117" s="96"/>
      <c r="AE117" s="96"/>
      <c r="AF117" s="96"/>
      <c r="AG117" s="100">
        <v>45291</v>
      </c>
      <c r="AH117" s="96"/>
      <c r="AI117" s="96"/>
      <c r="AJ117" s="96"/>
      <c r="AK117" s="96" t="s">
        <v>337</v>
      </c>
      <c r="AL117" s="96" t="s">
        <v>887</v>
      </c>
      <c r="AM117" s="96"/>
      <c r="AN117" s="96" t="s">
        <v>890</v>
      </c>
      <c r="AO117" s="100">
        <v>45473</v>
      </c>
      <c r="AP117" s="100">
        <v>45473</v>
      </c>
      <c r="AQ117" s="96"/>
      <c r="AR117" s="97">
        <v>2846.0463100000002</v>
      </c>
      <c r="AS117" s="97">
        <v>100.69</v>
      </c>
      <c r="AT117" s="97">
        <v>1</v>
      </c>
      <c r="AU117" s="97">
        <v>2.8656839999999999</v>
      </c>
      <c r="AV117" s="97">
        <v>2.8656839999999999</v>
      </c>
      <c r="AW117" s="96"/>
      <c r="AX117" s="96"/>
      <c r="AY117" s="96"/>
      <c r="AZ117" s="96"/>
      <c r="BA117" s="98">
        <v>1.5950000000000001E-3</v>
      </c>
      <c r="BB117" s="98">
        <v>5.3999999999999998E-5</v>
      </c>
      <c r="BC117" s="106"/>
    </row>
    <row r="118" spans="1:55" ht="15" customHeight="1">
      <c r="A118" s="106"/>
      <c r="B118" s="96">
        <v>286</v>
      </c>
      <c r="C118" s="96">
        <v>1445</v>
      </c>
      <c r="D118" s="96"/>
      <c r="E118" s="96"/>
      <c r="F118" s="96"/>
      <c r="G118" s="96">
        <v>25000899</v>
      </c>
      <c r="H118" s="96" t="s">
        <v>1013</v>
      </c>
      <c r="I118" s="96" t="s">
        <v>813</v>
      </c>
      <c r="J118" s="96" t="s">
        <v>203</v>
      </c>
      <c r="K118" s="96"/>
      <c r="L118" s="96" t="s">
        <v>476</v>
      </c>
      <c r="M118" s="96" t="s">
        <v>338</v>
      </c>
      <c r="N118" s="96" t="s">
        <v>337</v>
      </c>
      <c r="O118" s="96"/>
      <c r="P118" s="100">
        <v>45365</v>
      </c>
      <c r="Q118" s="96" t="s">
        <v>1357</v>
      </c>
      <c r="R118" s="96" t="s">
        <v>414</v>
      </c>
      <c r="S118" s="96" t="s">
        <v>407</v>
      </c>
      <c r="T118" s="96" t="s">
        <v>1200</v>
      </c>
      <c r="U118" s="97">
        <v>3.16</v>
      </c>
      <c r="V118" s="96" t="s">
        <v>824</v>
      </c>
      <c r="W118" s="98">
        <v>6.7000000000000004E-2</v>
      </c>
      <c r="X118" s="96"/>
      <c r="Y118" s="96"/>
      <c r="Z118" s="96"/>
      <c r="AA118" s="98">
        <v>6.9199999999999998E-2</v>
      </c>
      <c r="AB118" s="100">
        <v>46753</v>
      </c>
      <c r="AC118" s="96" t="s">
        <v>411</v>
      </c>
      <c r="AD118" s="96"/>
      <c r="AE118" s="96"/>
      <c r="AF118" s="96"/>
      <c r="AG118" s="100">
        <v>45291</v>
      </c>
      <c r="AH118" s="96"/>
      <c r="AI118" s="96"/>
      <c r="AJ118" s="96"/>
      <c r="AK118" s="96" t="s">
        <v>337</v>
      </c>
      <c r="AL118" s="96" t="s">
        <v>887</v>
      </c>
      <c r="AM118" s="96"/>
      <c r="AN118" s="96" t="s">
        <v>890</v>
      </c>
      <c r="AO118" s="100">
        <v>45473</v>
      </c>
      <c r="AP118" s="100">
        <v>45473</v>
      </c>
      <c r="AQ118" s="96"/>
      <c r="AR118" s="97">
        <v>869.43124</v>
      </c>
      <c r="AS118" s="97">
        <v>99.8</v>
      </c>
      <c r="AT118" s="97">
        <v>1</v>
      </c>
      <c r="AU118" s="97">
        <v>0.86769200000000002</v>
      </c>
      <c r="AV118" s="97">
        <v>0.86769200000000002</v>
      </c>
      <c r="AW118" s="96"/>
      <c r="AX118" s="96"/>
      <c r="AY118" s="96"/>
      <c r="AZ118" s="96"/>
      <c r="BA118" s="98">
        <v>4.8200000000000001E-4</v>
      </c>
      <c r="BB118" s="98">
        <v>1.5999999999999999E-5</v>
      </c>
      <c r="BC118" s="106"/>
    </row>
    <row r="119" spans="1:55" ht="15" customHeight="1">
      <c r="A119" s="106"/>
      <c r="B119" s="96">
        <v>286</v>
      </c>
      <c r="C119" s="96">
        <v>1445</v>
      </c>
      <c r="D119" s="96"/>
      <c r="E119" s="96"/>
      <c r="F119" s="96"/>
      <c r="G119" s="96">
        <v>25000920</v>
      </c>
      <c r="H119" s="96" t="s">
        <v>1013</v>
      </c>
      <c r="I119" s="96" t="s">
        <v>812</v>
      </c>
      <c r="J119" s="96" t="s">
        <v>203</v>
      </c>
      <c r="K119" s="96"/>
      <c r="L119" s="96" t="s">
        <v>470</v>
      </c>
      <c r="M119" s="96" t="s">
        <v>338</v>
      </c>
      <c r="N119" s="96" t="s">
        <v>337</v>
      </c>
      <c r="O119" s="96"/>
      <c r="P119" s="100">
        <v>45439</v>
      </c>
      <c r="Q119" s="96" t="s">
        <v>1309</v>
      </c>
      <c r="R119" s="96" t="s">
        <v>414</v>
      </c>
      <c r="S119" s="96" t="s">
        <v>407</v>
      </c>
      <c r="T119" s="96" t="s">
        <v>1200</v>
      </c>
      <c r="U119" s="97">
        <v>7.28</v>
      </c>
      <c r="V119" s="96" t="s">
        <v>3678</v>
      </c>
      <c r="W119" s="98">
        <v>4.6962999999999998E-2</v>
      </c>
      <c r="X119" s="96"/>
      <c r="Y119" s="96"/>
      <c r="Z119" s="96"/>
      <c r="AA119" s="98">
        <v>5.2499999999999998E-2</v>
      </c>
      <c r="AB119" s="100">
        <v>49303</v>
      </c>
      <c r="AC119" s="96" t="s">
        <v>411</v>
      </c>
      <c r="AD119" s="96"/>
      <c r="AE119" s="96"/>
      <c r="AF119" s="96"/>
      <c r="AG119" s="100">
        <v>45291</v>
      </c>
      <c r="AH119" s="96"/>
      <c r="AI119" s="96"/>
      <c r="AJ119" s="96"/>
      <c r="AK119" s="96" t="s">
        <v>337</v>
      </c>
      <c r="AL119" s="96" t="s">
        <v>887</v>
      </c>
      <c r="AM119" s="96"/>
      <c r="AN119" s="96" t="s">
        <v>890</v>
      </c>
      <c r="AO119" s="100">
        <v>45473</v>
      </c>
      <c r="AP119" s="100">
        <v>45473</v>
      </c>
      <c r="AQ119" s="96"/>
      <c r="AR119" s="97">
        <v>441.40902199999999</v>
      </c>
      <c r="AS119" s="97">
        <v>97.02</v>
      </c>
      <c r="AT119" s="97">
        <v>1</v>
      </c>
      <c r="AU119" s="97">
        <v>0.428255</v>
      </c>
      <c r="AV119" s="97">
        <v>0.428255</v>
      </c>
      <c r="AW119" s="96"/>
      <c r="AX119" s="96"/>
      <c r="AY119" s="96"/>
      <c r="AZ119" s="96"/>
      <c r="BA119" s="98">
        <v>2.3800000000000001E-4</v>
      </c>
      <c r="BB119" s="98">
        <v>7.9999999999999996E-6</v>
      </c>
      <c r="BC119" s="106"/>
    </row>
    <row r="120" spans="1:55" ht="15" customHeight="1">
      <c r="A120" s="106"/>
      <c r="B120" s="96">
        <v>286</v>
      </c>
      <c r="C120" s="96">
        <v>1445</v>
      </c>
      <c r="D120" s="96"/>
      <c r="E120" s="96"/>
      <c r="F120" s="96"/>
      <c r="G120" s="96">
        <v>25000900</v>
      </c>
      <c r="H120" s="96" t="s">
        <v>1013</v>
      </c>
      <c r="I120" s="96" t="s">
        <v>797</v>
      </c>
      <c r="J120" s="96" t="s">
        <v>203</v>
      </c>
      <c r="K120" s="96"/>
      <c r="L120" s="96" t="s">
        <v>463</v>
      </c>
      <c r="M120" s="96" t="s">
        <v>338</v>
      </c>
      <c r="N120" s="96" t="s">
        <v>338</v>
      </c>
      <c r="O120" s="96"/>
      <c r="P120" s="100">
        <v>45365</v>
      </c>
      <c r="Q120" s="96" t="s">
        <v>3679</v>
      </c>
      <c r="R120" s="96" t="s">
        <v>311</v>
      </c>
      <c r="S120" s="96" t="s">
        <v>407</v>
      </c>
      <c r="T120" s="96" t="s">
        <v>1200</v>
      </c>
      <c r="U120" s="97">
        <v>1.34</v>
      </c>
      <c r="V120" s="96" t="s">
        <v>824</v>
      </c>
      <c r="W120" s="98">
        <v>6.5000000000000002E-2</v>
      </c>
      <c r="X120" s="96"/>
      <c r="Y120" s="96"/>
      <c r="Z120" s="96"/>
      <c r="AA120" s="98">
        <v>6.3E-2</v>
      </c>
      <c r="AB120" s="100">
        <v>45978</v>
      </c>
      <c r="AC120" s="96" t="s">
        <v>411</v>
      </c>
      <c r="AD120" s="96"/>
      <c r="AE120" s="96"/>
      <c r="AF120" s="96"/>
      <c r="AG120" s="100">
        <v>45361</v>
      </c>
      <c r="AH120" s="96"/>
      <c r="AI120" s="96"/>
      <c r="AJ120" s="96"/>
      <c r="AK120" s="96" t="s">
        <v>337</v>
      </c>
      <c r="AL120" s="96" t="s">
        <v>887</v>
      </c>
      <c r="AM120" s="96"/>
      <c r="AN120" s="96" t="s">
        <v>890</v>
      </c>
      <c r="AO120" s="100">
        <v>45473</v>
      </c>
      <c r="AP120" s="100">
        <v>45473</v>
      </c>
      <c r="AQ120" s="96"/>
      <c r="AR120" s="97">
        <v>1966.5190090000001</v>
      </c>
      <c r="AS120" s="97">
        <v>100.86</v>
      </c>
      <c r="AT120" s="97">
        <v>1</v>
      </c>
      <c r="AU120" s="97">
        <v>1.9834309999999999</v>
      </c>
      <c r="AV120" s="97">
        <v>1.9834309999999999</v>
      </c>
      <c r="AW120" s="96"/>
      <c r="AX120" s="96"/>
      <c r="AY120" s="96"/>
      <c r="AZ120" s="96"/>
      <c r="BA120" s="98">
        <v>1.1039999999999999E-3</v>
      </c>
      <c r="BB120" s="98">
        <v>3.6999999999999998E-5</v>
      </c>
      <c r="BC120" s="106"/>
    </row>
    <row r="121" spans="1:55" ht="15" customHeight="1">
      <c r="A121" s="106"/>
      <c r="B121" s="96">
        <v>286</v>
      </c>
      <c r="C121" s="96">
        <v>1445</v>
      </c>
      <c r="D121" s="96"/>
      <c r="E121" s="96"/>
      <c r="F121" s="96"/>
      <c r="G121" s="96">
        <v>25000902</v>
      </c>
      <c r="H121" s="96" t="s">
        <v>1013</v>
      </c>
      <c r="I121" s="96" t="s">
        <v>812</v>
      </c>
      <c r="J121" s="96" t="s">
        <v>203</v>
      </c>
      <c r="K121" s="96"/>
      <c r="L121" s="96" t="s">
        <v>446</v>
      </c>
      <c r="M121" s="96" t="s">
        <v>338</v>
      </c>
      <c r="N121" s="96" t="s">
        <v>337</v>
      </c>
      <c r="O121" s="96"/>
      <c r="P121" s="100">
        <v>45369</v>
      </c>
      <c r="Q121" s="96" t="s">
        <v>1357</v>
      </c>
      <c r="R121" s="96" t="s">
        <v>414</v>
      </c>
      <c r="S121" s="96" t="s">
        <v>407</v>
      </c>
      <c r="T121" s="96" t="s">
        <v>1200</v>
      </c>
      <c r="U121" s="97">
        <v>2.04</v>
      </c>
      <c r="V121" s="96" t="s">
        <v>824</v>
      </c>
      <c r="W121" s="98">
        <v>6.6000000000000003E-2</v>
      </c>
      <c r="X121" s="96"/>
      <c r="Y121" s="96"/>
      <c r="Z121" s="96"/>
      <c r="AA121" s="98">
        <v>6.5000000000000002E-2</v>
      </c>
      <c r="AB121" s="100">
        <v>46262</v>
      </c>
      <c r="AC121" s="96" t="s">
        <v>411</v>
      </c>
      <c r="AD121" s="96"/>
      <c r="AE121" s="96"/>
      <c r="AF121" s="96"/>
      <c r="AG121" s="100">
        <v>45291</v>
      </c>
      <c r="AH121" s="96"/>
      <c r="AI121" s="96"/>
      <c r="AJ121" s="96"/>
      <c r="AK121" s="96" t="s">
        <v>337</v>
      </c>
      <c r="AL121" s="96" t="s">
        <v>887</v>
      </c>
      <c r="AM121" s="96"/>
      <c r="AN121" s="96" t="s">
        <v>890</v>
      </c>
      <c r="AO121" s="100">
        <v>45473</v>
      </c>
      <c r="AP121" s="100">
        <v>45473</v>
      </c>
      <c r="AQ121" s="96"/>
      <c r="AR121" s="97">
        <v>361.564932</v>
      </c>
      <c r="AS121" s="97">
        <v>100.24</v>
      </c>
      <c r="AT121" s="97">
        <v>1</v>
      </c>
      <c r="AU121" s="97">
        <v>0.36243199999999998</v>
      </c>
      <c r="AV121" s="97">
        <v>0.36243199999999998</v>
      </c>
      <c r="AW121" s="96"/>
      <c r="AX121" s="96"/>
      <c r="AY121" s="96"/>
      <c r="AZ121" s="96"/>
      <c r="BA121" s="98">
        <v>2.0100000000000001E-4</v>
      </c>
      <c r="BB121" s="98">
        <v>6.0000000000000002E-6</v>
      </c>
      <c r="BC121" s="106"/>
    </row>
    <row r="122" spans="1:55" ht="15" customHeight="1">
      <c r="A122" s="106"/>
      <c r="B122" s="96">
        <v>286</v>
      </c>
      <c r="C122" s="96">
        <v>1445</v>
      </c>
      <c r="D122" s="96"/>
      <c r="E122" s="96"/>
      <c r="F122" s="96"/>
      <c r="G122" s="96">
        <v>25000918</v>
      </c>
      <c r="H122" s="96" t="s">
        <v>1013</v>
      </c>
      <c r="I122" s="96"/>
      <c r="J122" s="96" t="s">
        <v>203</v>
      </c>
      <c r="K122" s="96"/>
      <c r="L122" s="96" t="s">
        <v>446</v>
      </c>
      <c r="M122" s="96" t="s">
        <v>338</v>
      </c>
      <c r="N122" s="96" t="s">
        <v>337</v>
      </c>
      <c r="O122" s="96"/>
      <c r="P122" s="100">
        <v>45440</v>
      </c>
      <c r="Q122" s="96" t="s">
        <v>2258</v>
      </c>
      <c r="R122" s="96" t="s">
        <v>311</v>
      </c>
      <c r="S122" s="96" t="s">
        <v>407</v>
      </c>
      <c r="T122" s="96" t="s">
        <v>1200</v>
      </c>
      <c r="U122" s="97">
        <v>0.65</v>
      </c>
      <c r="V122" s="96" t="s">
        <v>824</v>
      </c>
      <c r="W122" s="98">
        <v>6.8000000000000005E-2</v>
      </c>
      <c r="X122" s="96"/>
      <c r="Y122" s="96"/>
      <c r="Z122" s="96"/>
      <c r="AA122" s="98">
        <v>7.0000000000000007E-2</v>
      </c>
      <c r="AB122" s="100">
        <v>45716</v>
      </c>
      <c r="AC122" s="96" t="s">
        <v>411</v>
      </c>
      <c r="AD122" s="96"/>
      <c r="AE122" s="96"/>
      <c r="AF122" s="96"/>
      <c r="AG122" s="100">
        <v>45140</v>
      </c>
      <c r="AH122" s="96"/>
      <c r="AI122" s="96"/>
      <c r="AJ122" s="96"/>
      <c r="AK122" s="96" t="s">
        <v>337</v>
      </c>
      <c r="AL122" s="96" t="s">
        <v>887</v>
      </c>
      <c r="AM122" s="96"/>
      <c r="AN122" s="96" t="s">
        <v>890</v>
      </c>
      <c r="AO122" s="100">
        <v>45473</v>
      </c>
      <c r="AP122" s="100">
        <v>45473</v>
      </c>
      <c r="AQ122" s="96"/>
      <c r="AR122" s="97">
        <v>14217.094072</v>
      </c>
      <c r="AS122" s="97">
        <v>100.46</v>
      </c>
      <c r="AT122" s="97">
        <v>1</v>
      </c>
      <c r="AU122" s="97">
        <v>14.282492</v>
      </c>
      <c r="AV122" s="97">
        <v>14.282492</v>
      </c>
      <c r="AW122" s="96"/>
      <c r="AX122" s="96"/>
      <c r="AY122" s="96"/>
      <c r="AZ122" s="96"/>
      <c r="BA122" s="98">
        <v>7.9500000000000005E-3</v>
      </c>
      <c r="BB122" s="98">
        <v>2.7099999999999997E-4</v>
      </c>
      <c r="BC122" s="106"/>
    </row>
    <row r="123" spans="1:55" ht="15" customHeight="1">
      <c r="A123" s="106"/>
      <c r="B123" s="96">
        <v>286</v>
      </c>
      <c r="C123" s="96">
        <v>1445</v>
      </c>
      <c r="D123" s="96"/>
      <c r="E123" s="96"/>
      <c r="F123" s="96"/>
      <c r="G123" s="96">
        <v>25000917</v>
      </c>
      <c r="H123" s="96" t="s">
        <v>1013</v>
      </c>
      <c r="I123" s="96" t="s">
        <v>812</v>
      </c>
      <c r="J123" s="96" t="s">
        <v>203</v>
      </c>
      <c r="K123" s="96"/>
      <c r="L123" s="96" t="s">
        <v>446</v>
      </c>
      <c r="M123" s="96" t="s">
        <v>338</v>
      </c>
      <c r="N123" s="96" t="s">
        <v>337</v>
      </c>
      <c r="O123" s="96"/>
      <c r="P123" s="100">
        <v>45427</v>
      </c>
      <c r="Q123" s="96" t="s">
        <v>1357</v>
      </c>
      <c r="R123" s="96" t="s">
        <v>414</v>
      </c>
      <c r="S123" s="96" t="s">
        <v>407</v>
      </c>
      <c r="T123" s="96" t="s">
        <v>1200</v>
      </c>
      <c r="U123" s="97">
        <v>2.0299999999999998</v>
      </c>
      <c r="V123" s="96" t="s">
        <v>824</v>
      </c>
      <c r="W123" s="98">
        <v>6.6000000000000003E-2</v>
      </c>
      <c r="X123" s="96"/>
      <c r="Y123" s="96"/>
      <c r="Z123" s="96"/>
      <c r="AA123" s="98">
        <v>6.83E-2</v>
      </c>
      <c r="AB123" s="100">
        <v>46262</v>
      </c>
      <c r="AC123" s="96" t="s">
        <v>411</v>
      </c>
      <c r="AD123" s="96"/>
      <c r="AE123" s="96"/>
      <c r="AF123" s="96"/>
      <c r="AG123" s="100">
        <v>45291</v>
      </c>
      <c r="AH123" s="96"/>
      <c r="AI123" s="96"/>
      <c r="AJ123" s="96"/>
      <c r="AK123" s="96" t="s">
        <v>337</v>
      </c>
      <c r="AL123" s="96" t="s">
        <v>887</v>
      </c>
      <c r="AM123" s="96"/>
      <c r="AN123" s="96" t="s">
        <v>890</v>
      </c>
      <c r="AO123" s="100">
        <v>45473</v>
      </c>
      <c r="AP123" s="100">
        <v>45473</v>
      </c>
      <c r="AQ123" s="96"/>
      <c r="AR123" s="97">
        <v>582.004953</v>
      </c>
      <c r="AS123" s="97">
        <v>99.62</v>
      </c>
      <c r="AT123" s="97">
        <v>1</v>
      </c>
      <c r="AU123" s="97">
        <v>0.579793</v>
      </c>
      <c r="AV123" s="97">
        <v>0.579793</v>
      </c>
      <c r="AW123" s="96"/>
      <c r="AX123" s="96"/>
      <c r="AY123" s="96"/>
      <c r="AZ123" s="96"/>
      <c r="BA123" s="98">
        <v>3.2200000000000002E-4</v>
      </c>
      <c r="BB123" s="98">
        <v>1.1E-5</v>
      </c>
      <c r="BC123" s="106"/>
    </row>
    <row r="124" spans="1:55" ht="15" customHeight="1">
      <c r="A124" s="106"/>
      <c r="B124" s="96">
        <v>286</v>
      </c>
      <c r="C124" s="96">
        <v>1445</v>
      </c>
      <c r="D124" s="96"/>
      <c r="E124" s="96"/>
      <c r="F124" s="96"/>
      <c r="G124" s="96">
        <v>25000916</v>
      </c>
      <c r="H124" s="96" t="s">
        <v>1013</v>
      </c>
      <c r="I124" s="96"/>
      <c r="J124" s="96" t="s">
        <v>203</v>
      </c>
      <c r="K124" s="96"/>
      <c r="L124" s="96" t="s">
        <v>463</v>
      </c>
      <c r="M124" s="96" t="s">
        <v>338</v>
      </c>
      <c r="N124" s="96" t="s">
        <v>337</v>
      </c>
      <c r="O124" s="96"/>
      <c r="P124" s="100">
        <v>45413</v>
      </c>
      <c r="Q124" s="96" t="s">
        <v>3681</v>
      </c>
      <c r="R124" s="96" t="s">
        <v>311</v>
      </c>
      <c r="S124" s="96" t="s">
        <v>407</v>
      </c>
      <c r="T124" s="96" t="s">
        <v>1200</v>
      </c>
      <c r="U124" s="97">
        <v>0.56999999999999995</v>
      </c>
      <c r="V124" s="96" t="s">
        <v>824</v>
      </c>
      <c r="W124" s="98">
        <v>7.8E-2</v>
      </c>
      <c r="X124" s="96"/>
      <c r="Y124" s="96"/>
      <c r="Z124" s="96"/>
      <c r="AA124" s="98">
        <v>8.0699999999999994E-2</v>
      </c>
      <c r="AB124" s="100">
        <v>45688</v>
      </c>
      <c r="AC124" s="96" t="s">
        <v>411</v>
      </c>
      <c r="AD124" s="96"/>
      <c r="AE124" s="96"/>
      <c r="AF124" s="96"/>
      <c r="AG124" s="100">
        <v>45050</v>
      </c>
      <c r="AH124" s="96"/>
      <c r="AI124" s="96"/>
      <c r="AJ124" s="96"/>
      <c r="AK124" s="96" t="s">
        <v>337</v>
      </c>
      <c r="AL124" s="96" t="s">
        <v>887</v>
      </c>
      <c r="AM124" s="96"/>
      <c r="AN124" s="96" t="s">
        <v>890</v>
      </c>
      <c r="AO124" s="100">
        <v>45473</v>
      </c>
      <c r="AP124" s="100">
        <v>45473</v>
      </c>
      <c r="AQ124" s="96"/>
      <c r="AR124" s="97">
        <v>2119.047333</v>
      </c>
      <c r="AS124" s="97">
        <v>101.18</v>
      </c>
      <c r="AT124" s="97">
        <v>1</v>
      </c>
      <c r="AU124" s="97">
        <v>2.1440519999999998</v>
      </c>
      <c r="AV124" s="97">
        <v>2.1440519999999998</v>
      </c>
      <c r="AW124" s="96"/>
      <c r="AX124" s="96"/>
      <c r="AY124" s="96"/>
      <c r="AZ124" s="96"/>
      <c r="BA124" s="98">
        <v>1.193E-3</v>
      </c>
      <c r="BB124" s="98">
        <v>4.0000000000000003E-5</v>
      </c>
      <c r="BC124" s="106"/>
    </row>
    <row r="125" spans="1:55" ht="15" customHeight="1">
      <c r="A125" s="106"/>
      <c r="B125" s="96">
        <v>286</v>
      </c>
      <c r="C125" s="96">
        <v>1445</v>
      </c>
      <c r="D125" s="96"/>
      <c r="E125" s="96"/>
      <c r="F125" s="96"/>
      <c r="G125" s="96">
        <v>25000915</v>
      </c>
      <c r="H125" s="96" t="s">
        <v>1013</v>
      </c>
      <c r="I125" s="96" t="s">
        <v>812</v>
      </c>
      <c r="J125" s="96" t="s">
        <v>203</v>
      </c>
      <c r="K125" s="96"/>
      <c r="L125" s="96" t="s">
        <v>476</v>
      </c>
      <c r="M125" s="96" t="s">
        <v>338</v>
      </c>
      <c r="N125" s="96" t="s">
        <v>337</v>
      </c>
      <c r="O125" s="96"/>
      <c r="P125" s="100">
        <v>45428</v>
      </c>
      <c r="Q125" s="96" t="s">
        <v>1357</v>
      </c>
      <c r="R125" s="96" t="s">
        <v>414</v>
      </c>
      <c r="S125" s="96" t="s">
        <v>407</v>
      </c>
      <c r="T125" s="96" t="s">
        <v>1200</v>
      </c>
      <c r="U125" s="97">
        <v>3.16</v>
      </c>
      <c r="V125" s="96" t="s">
        <v>824</v>
      </c>
      <c r="W125" s="98">
        <v>6.7000000000000004E-2</v>
      </c>
      <c r="X125" s="96"/>
      <c r="Y125" s="96"/>
      <c r="Z125" s="96"/>
      <c r="AA125" s="98">
        <v>7.17E-2</v>
      </c>
      <c r="AB125" s="100">
        <v>46753</v>
      </c>
      <c r="AC125" s="96" t="s">
        <v>411</v>
      </c>
      <c r="AD125" s="96"/>
      <c r="AE125" s="96"/>
      <c r="AF125" s="96"/>
      <c r="AG125" s="100">
        <v>45291</v>
      </c>
      <c r="AH125" s="96"/>
      <c r="AI125" s="96"/>
      <c r="AJ125" s="96"/>
      <c r="AK125" s="96" t="s">
        <v>337</v>
      </c>
      <c r="AL125" s="96" t="s">
        <v>887</v>
      </c>
      <c r="AM125" s="96"/>
      <c r="AN125" s="96" t="s">
        <v>890</v>
      </c>
      <c r="AO125" s="100">
        <v>45473</v>
      </c>
      <c r="AP125" s="100">
        <v>45473</v>
      </c>
      <c r="AQ125" s="96"/>
      <c r="AR125" s="97">
        <v>543.02574300000003</v>
      </c>
      <c r="AS125" s="97">
        <v>99.05</v>
      </c>
      <c r="AT125" s="97">
        <v>1</v>
      </c>
      <c r="AU125" s="97">
        <v>0.53786599999999996</v>
      </c>
      <c r="AV125" s="97">
        <v>0.53786599999999996</v>
      </c>
      <c r="AW125" s="96"/>
      <c r="AX125" s="96"/>
      <c r="AY125" s="96"/>
      <c r="AZ125" s="96"/>
      <c r="BA125" s="98">
        <v>2.99E-4</v>
      </c>
      <c r="BB125" s="98">
        <v>1.0000000000000001E-5</v>
      </c>
      <c r="BC125" s="106"/>
    </row>
    <row r="126" spans="1:55" ht="15" customHeight="1">
      <c r="A126" s="106"/>
      <c r="B126" s="96">
        <v>286</v>
      </c>
      <c r="C126" s="96">
        <v>1445</v>
      </c>
      <c r="D126" s="96"/>
      <c r="E126" s="96"/>
      <c r="F126" s="96"/>
      <c r="G126" s="96">
        <v>25000914</v>
      </c>
      <c r="H126" s="96" t="s">
        <v>1013</v>
      </c>
      <c r="I126" s="96" t="s">
        <v>812</v>
      </c>
      <c r="J126" s="96" t="s">
        <v>203</v>
      </c>
      <c r="K126" s="96"/>
      <c r="L126" s="96" t="s">
        <v>476</v>
      </c>
      <c r="M126" s="96" t="s">
        <v>338</v>
      </c>
      <c r="N126" s="96" t="s">
        <v>337</v>
      </c>
      <c r="O126" s="96"/>
      <c r="P126" s="100">
        <v>45428</v>
      </c>
      <c r="Q126" s="96" t="s">
        <v>1357</v>
      </c>
      <c r="R126" s="96" t="s">
        <v>414</v>
      </c>
      <c r="S126" s="96" t="s">
        <v>407</v>
      </c>
      <c r="T126" s="96" t="s">
        <v>1200</v>
      </c>
      <c r="U126" s="97">
        <v>9.42</v>
      </c>
      <c r="V126" s="96" t="s">
        <v>824</v>
      </c>
      <c r="W126" s="98">
        <v>6.7000000000000004E-2</v>
      </c>
      <c r="X126" s="96"/>
      <c r="Y126" s="96"/>
      <c r="Z126" s="96"/>
      <c r="AA126" s="98">
        <v>6.3600000000000004E-2</v>
      </c>
      <c r="AB126" s="100">
        <v>54057</v>
      </c>
      <c r="AC126" s="96" t="s">
        <v>411</v>
      </c>
      <c r="AD126" s="96"/>
      <c r="AE126" s="96"/>
      <c r="AF126" s="96"/>
      <c r="AG126" s="100">
        <v>45291</v>
      </c>
      <c r="AH126" s="96"/>
      <c r="AI126" s="96"/>
      <c r="AJ126" s="96"/>
      <c r="AK126" s="96" t="s">
        <v>337</v>
      </c>
      <c r="AL126" s="96" t="s">
        <v>887</v>
      </c>
      <c r="AM126" s="96"/>
      <c r="AN126" s="96" t="s">
        <v>890</v>
      </c>
      <c r="AO126" s="100">
        <v>45473</v>
      </c>
      <c r="AP126" s="100">
        <v>45473</v>
      </c>
      <c r="AQ126" s="96"/>
      <c r="AR126" s="97">
        <v>297.99605500000001</v>
      </c>
      <c r="AS126" s="97">
        <v>97.31</v>
      </c>
      <c r="AT126" s="97">
        <v>1</v>
      </c>
      <c r="AU126" s="97">
        <v>0.28997899999999999</v>
      </c>
      <c r="AV126" s="97">
        <v>0.28997899999999999</v>
      </c>
      <c r="AW126" s="96"/>
      <c r="AX126" s="96"/>
      <c r="AY126" s="96"/>
      <c r="AZ126" s="96"/>
      <c r="BA126" s="98">
        <v>1.6100000000000001E-4</v>
      </c>
      <c r="BB126" s="98">
        <v>5.0000000000000004E-6</v>
      </c>
      <c r="BC126" s="106"/>
    </row>
    <row r="127" spans="1:55" ht="15" customHeight="1">
      <c r="A127" s="106"/>
      <c r="B127" s="96">
        <v>286</v>
      </c>
      <c r="C127" s="96">
        <v>1445</v>
      </c>
      <c r="D127" s="96"/>
      <c r="E127" s="96"/>
      <c r="F127" s="96"/>
      <c r="G127" s="96">
        <v>25000913</v>
      </c>
      <c r="H127" s="96" t="s">
        <v>1013</v>
      </c>
      <c r="I127" s="96"/>
      <c r="J127" s="96" t="s">
        <v>203</v>
      </c>
      <c r="K127" s="96"/>
      <c r="L127" s="96" t="s">
        <v>477</v>
      </c>
      <c r="M127" s="96" t="s">
        <v>338</v>
      </c>
      <c r="N127" s="96" t="s">
        <v>338</v>
      </c>
      <c r="O127" s="96"/>
      <c r="P127" s="100">
        <v>45400</v>
      </c>
      <c r="Q127" s="96" t="s">
        <v>1309</v>
      </c>
      <c r="R127" s="96" t="s">
        <v>414</v>
      </c>
      <c r="S127" s="96" t="s">
        <v>407</v>
      </c>
      <c r="T127" s="96" t="s">
        <v>1200</v>
      </c>
      <c r="U127" s="97">
        <v>1.68</v>
      </c>
      <c r="V127" s="96" t="s">
        <v>824</v>
      </c>
      <c r="W127" s="98">
        <v>7.4999999999999997E-2</v>
      </c>
      <c r="X127" s="96"/>
      <c r="Y127" s="96"/>
      <c r="Z127" s="96"/>
      <c r="AA127" s="98">
        <v>7.6700000000000004E-2</v>
      </c>
      <c r="AB127" s="100">
        <v>46130</v>
      </c>
      <c r="AC127" s="96" t="s">
        <v>411</v>
      </c>
      <c r="AD127" s="96"/>
      <c r="AE127" s="96"/>
      <c r="AF127" s="96"/>
      <c r="AG127" s="100">
        <v>45473</v>
      </c>
      <c r="AH127" s="96"/>
      <c r="AI127" s="96"/>
      <c r="AJ127" s="96"/>
      <c r="AK127" s="96" t="s">
        <v>337</v>
      </c>
      <c r="AL127" s="96" t="s">
        <v>887</v>
      </c>
      <c r="AM127" s="96"/>
      <c r="AN127" s="96" t="s">
        <v>890</v>
      </c>
      <c r="AO127" s="100">
        <v>45473</v>
      </c>
      <c r="AP127" s="100">
        <v>45473</v>
      </c>
      <c r="AQ127" s="96"/>
      <c r="AR127" s="97">
        <v>18544.764087</v>
      </c>
      <c r="AS127" s="97">
        <v>101.28</v>
      </c>
      <c r="AT127" s="97">
        <v>1</v>
      </c>
      <c r="AU127" s="97">
        <v>18.782136999999999</v>
      </c>
      <c r="AV127" s="97">
        <v>18.782136999999999</v>
      </c>
      <c r="AW127" s="96"/>
      <c r="AX127" s="96"/>
      <c r="AY127" s="96"/>
      <c r="AZ127" s="96"/>
      <c r="BA127" s="98">
        <v>1.0454E-2</v>
      </c>
      <c r="BB127" s="98">
        <v>3.57E-4</v>
      </c>
      <c r="BC127" s="106"/>
    </row>
    <row r="128" spans="1:55" ht="15" customHeight="1">
      <c r="A128" s="106"/>
      <c r="B128" s="96">
        <v>286</v>
      </c>
      <c r="C128" s="96">
        <v>1445</v>
      </c>
      <c r="D128" s="96"/>
      <c r="E128" s="96"/>
      <c r="F128" s="96"/>
      <c r="G128" s="96">
        <v>25000912</v>
      </c>
      <c r="H128" s="96" t="s">
        <v>1013</v>
      </c>
      <c r="I128" s="96"/>
      <c r="J128" s="96" t="s">
        <v>203</v>
      </c>
      <c r="K128" s="96"/>
      <c r="L128" s="96" t="s">
        <v>463</v>
      </c>
      <c r="M128" s="96" t="s">
        <v>338</v>
      </c>
      <c r="N128" s="96" t="s">
        <v>338</v>
      </c>
      <c r="O128" s="96"/>
      <c r="P128" s="100">
        <v>45400</v>
      </c>
      <c r="Q128" s="96" t="s">
        <v>2258</v>
      </c>
      <c r="R128" s="96" t="s">
        <v>311</v>
      </c>
      <c r="S128" s="96" t="s">
        <v>407</v>
      </c>
      <c r="T128" s="96" t="s">
        <v>1200</v>
      </c>
      <c r="U128" s="97">
        <v>5.13</v>
      </c>
      <c r="V128" s="96" t="s">
        <v>3678</v>
      </c>
      <c r="W128" s="98">
        <v>4.4699999999999997E-2</v>
      </c>
      <c r="X128" s="96"/>
      <c r="Y128" s="96"/>
      <c r="Z128" s="96"/>
      <c r="AA128" s="98">
        <v>4.9700000000000001E-2</v>
      </c>
      <c r="AB128" s="100">
        <v>47591</v>
      </c>
      <c r="AC128" s="96" t="s">
        <v>411</v>
      </c>
      <c r="AD128" s="96"/>
      <c r="AE128" s="96"/>
      <c r="AF128" s="96"/>
      <c r="AG128" s="100">
        <v>45272</v>
      </c>
      <c r="AH128" s="96"/>
      <c r="AI128" s="96"/>
      <c r="AJ128" s="96"/>
      <c r="AK128" s="96" t="s">
        <v>337</v>
      </c>
      <c r="AL128" s="96" t="s">
        <v>887</v>
      </c>
      <c r="AM128" s="96"/>
      <c r="AN128" s="96" t="s">
        <v>890</v>
      </c>
      <c r="AO128" s="100">
        <v>45473</v>
      </c>
      <c r="AP128" s="100">
        <v>45473</v>
      </c>
      <c r="AQ128" s="96"/>
      <c r="AR128" s="97">
        <v>5926.8648990000002</v>
      </c>
      <c r="AS128" s="97">
        <v>100.02</v>
      </c>
      <c r="AT128" s="97">
        <v>1</v>
      </c>
      <c r="AU128" s="97">
        <v>5.9280499999999998</v>
      </c>
      <c r="AV128" s="97">
        <v>5.9280499999999998</v>
      </c>
      <c r="AW128" s="96"/>
      <c r="AX128" s="96"/>
      <c r="AY128" s="96"/>
      <c r="AZ128" s="96"/>
      <c r="BA128" s="98">
        <v>3.2989999999999998E-3</v>
      </c>
      <c r="BB128" s="98">
        <v>1.12E-4</v>
      </c>
      <c r="BC128" s="106"/>
    </row>
    <row r="129" spans="1:55" ht="15" customHeight="1">
      <c r="A129" s="106"/>
      <c r="B129" s="96">
        <v>286</v>
      </c>
      <c r="C129" s="96">
        <v>1445</v>
      </c>
      <c r="D129" s="96"/>
      <c r="E129" s="96"/>
      <c r="F129" s="96"/>
      <c r="G129" s="96">
        <v>25000911</v>
      </c>
      <c r="H129" s="96" t="s">
        <v>1013</v>
      </c>
      <c r="I129" s="96"/>
      <c r="J129" s="96" t="s">
        <v>203</v>
      </c>
      <c r="K129" s="96"/>
      <c r="L129" s="96" t="s">
        <v>463</v>
      </c>
      <c r="M129" s="96" t="s">
        <v>338</v>
      </c>
      <c r="N129" s="96" t="s">
        <v>338</v>
      </c>
      <c r="O129" s="96"/>
      <c r="P129" s="100">
        <v>45400</v>
      </c>
      <c r="Q129" s="96" t="s">
        <v>2258</v>
      </c>
      <c r="R129" s="96" t="s">
        <v>311</v>
      </c>
      <c r="S129" s="96" t="s">
        <v>407</v>
      </c>
      <c r="T129" s="96" t="s">
        <v>1200</v>
      </c>
      <c r="U129" s="97">
        <v>5.13</v>
      </c>
      <c r="V129" s="96" t="s">
        <v>3678</v>
      </c>
      <c r="W129" s="98">
        <v>4.4699999999999997E-2</v>
      </c>
      <c r="X129" s="96"/>
      <c r="Y129" s="96"/>
      <c r="Z129" s="96"/>
      <c r="AA129" s="98">
        <v>4.9700000000000001E-2</v>
      </c>
      <c r="AB129" s="100">
        <v>47591</v>
      </c>
      <c r="AC129" s="96" t="s">
        <v>411</v>
      </c>
      <c r="AD129" s="96"/>
      <c r="AE129" s="96"/>
      <c r="AF129" s="96"/>
      <c r="AG129" s="100">
        <v>45272</v>
      </c>
      <c r="AH129" s="96"/>
      <c r="AI129" s="96"/>
      <c r="AJ129" s="96"/>
      <c r="AK129" s="96" t="s">
        <v>337</v>
      </c>
      <c r="AL129" s="96" t="s">
        <v>887</v>
      </c>
      <c r="AM129" s="96"/>
      <c r="AN129" s="96" t="s">
        <v>890</v>
      </c>
      <c r="AO129" s="100">
        <v>45473</v>
      </c>
      <c r="AP129" s="100">
        <v>45473</v>
      </c>
      <c r="AQ129" s="96"/>
      <c r="AR129" s="97">
        <v>11871.528253</v>
      </c>
      <c r="AS129" s="97">
        <v>100.02</v>
      </c>
      <c r="AT129" s="97">
        <v>1</v>
      </c>
      <c r="AU129" s="97">
        <v>11.873901999999999</v>
      </c>
      <c r="AV129" s="97">
        <v>11.873901999999999</v>
      </c>
      <c r="AW129" s="96"/>
      <c r="AX129" s="96"/>
      <c r="AY129" s="96"/>
      <c r="AZ129" s="96"/>
      <c r="BA129" s="98">
        <v>6.6090000000000003E-3</v>
      </c>
      <c r="BB129" s="98">
        <v>2.2599999999999999E-4</v>
      </c>
      <c r="BC129" s="106"/>
    </row>
    <row r="130" spans="1:55" ht="15" customHeight="1">
      <c r="A130" s="106"/>
      <c r="B130" s="96">
        <v>286</v>
      </c>
      <c r="C130" s="96">
        <v>1445</v>
      </c>
      <c r="D130" s="96"/>
      <c r="E130" s="96"/>
      <c r="F130" s="96"/>
      <c r="G130" s="96">
        <v>25000910</v>
      </c>
      <c r="H130" s="96" t="s">
        <v>1013</v>
      </c>
      <c r="I130" s="96"/>
      <c r="J130" s="96" t="s">
        <v>203</v>
      </c>
      <c r="K130" s="96"/>
      <c r="L130" s="96" t="s">
        <v>446</v>
      </c>
      <c r="M130" s="96" t="s">
        <v>338</v>
      </c>
      <c r="N130" s="96" t="s">
        <v>338</v>
      </c>
      <c r="O130" s="96"/>
      <c r="P130" s="100">
        <v>45396</v>
      </c>
      <c r="Q130" s="96" t="s">
        <v>3685</v>
      </c>
      <c r="R130" s="96" t="s">
        <v>311</v>
      </c>
      <c r="S130" s="96" t="s">
        <v>407</v>
      </c>
      <c r="T130" s="96" t="s">
        <v>1200</v>
      </c>
      <c r="U130" s="97">
        <v>0.77</v>
      </c>
      <c r="V130" s="96" t="s">
        <v>3678</v>
      </c>
      <c r="W130" s="98">
        <v>2.2200000000000001E-2</v>
      </c>
      <c r="X130" s="96"/>
      <c r="Y130" s="96"/>
      <c r="Z130" s="96"/>
      <c r="AA130" s="98">
        <v>2.47E-2</v>
      </c>
      <c r="AB130" s="100">
        <v>45761</v>
      </c>
      <c r="AC130" s="96" t="s">
        <v>411</v>
      </c>
      <c r="AD130" s="96"/>
      <c r="AE130" s="96"/>
      <c r="AF130" s="96"/>
      <c r="AG130" s="100">
        <v>45299</v>
      </c>
      <c r="AH130" s="96"/>
      <c r="AI130" s="96"/>
      <c r="AJ130" s="96"/>
      <c r="AK130" s="96" t="s">
        <v>337</v>
      </c>
      <c r="AL130" s="96" t="s">
        <v>887</v>
      </c>
      <c r="AM130" s="96"/>
      <c r="AN130" s="96" t="s">
        <v>890</v>
      </c>
      <c r="AO130" s="100">
        <v>45473</v>
      </c>
      <c r="AP130" s="100">
        <v>45473</v>
      </c>
      <c r="AQ130" s="96"/>
      <c r="AR130" s="97">
        <v>7232.4579940000003</v>
      </c>
      <c r="AS130" s="97">
        <v>101.91</v>
      </c>
      <c r="AT130" s="97">
        <v>1</v>
      </c>
      <c r="AU130" s="97">
        <v>7.3705970000000001</v>
      </c>
      <c r="AV130" s="97">
        <v>7.3705970000000001</v>
      </c>
      <c r="AW130" s="96"/>
      <c r="AX130" s="96"/>
      <c r="AY130" s="96"/>
      <c r="AZ130" s="96"/>
      <c r="BA130" s="98">
        <v>4.1019999999999997E-3</v>
      </c>
      <c r="BB130" s="98">
        <v>1.3999999999999999E-4</v>
      </c>
      <c r="BC130" s="106"/>
    </row>
    <row r="131" spans="1:55" ht="15" customHeight="1">
      <c r="A131" s="106"/>
      <c r="B131" s="96">
        <v>286</v>
      </c>
      <c r="C131" s="96">
        <v>1445</v>
      </c>
      <c r="D131" s="96"/>
      <c r="E131" s="96"/>
      <c r="F131" s="96"/>
      <c r="G131" s="96">
        <v>25000908</v>
      </c>
      <c r="H131" s="96" t="s">
        <v>1013</v>
      </c>
      <c r="I131" s="96" t="s">
        <v>810</v>
      </c>
      <c r="J131" s="96" t="s">
        <v>203</v>
      </c>
      <c r="K131" s="96"/>
      <c r="L131" s="96" t="s">
        <v>446</v>
      </c>
      <c r="M131" s="96" t="s">
        <v>338</v>
      </c>
      <c r="N131" s="96" t="s">
        <v>337</v>
      </c>
      <c r="O131" s="96"/>
      <c r="P131" s="100">
        <v>45382</v>
      </c>
      <c r="Q131" s="96" t="s">
        <v>1328</v>
      </c>
      <c r="R131" s="96" t="s">
        <v>412</v>
      </c>
      <c r="S131" s="96" t="s">
        <v>407</v>
      </c>
      <c r="T131" s="96" t="s">
        <v>1200</v>
      </c>
      <c r="U131" s="97">
        <v>1.66</v>
      </c>
      <c r="V131" s="96" t="s">
        <v>824</v>
      </c>
      <c r="W131" s="98">
        <v>7.0999999999999994E-2</v>
      </c>
      <c r="X131" s="96"/>
      <c r="Y131" s="96"/>
      <c r="Z131" s="96"/>
      <c r="AA131" s="98">
        <v>7.1300000000000002E-2</v>
      </c>
      <c r="AB131" s="100">
        <v>46112</v>
      </c>
      <c r="AC131" s="96" t="s">
        <v>411</v>
      </c>
      <c r="AD131" s="96"/>
      <c r="AE131" s="96"/>
      <c r="AF131" s="96"/>
      <c r="AG131" s="100">
        <v>45291</v>
      </c>
      <c r="AH131" s="96"/>
      <c r="AI131" s="96"/>
      <c r="AJ131" s="96"/>
      <c r="AK131" s="96" t="s">
        <v>337</v>
      </c>
      <c r="AL131" s="96" t="s">
        <v>887</v>
      </c>
      <c r="AM131" s="96"/>
      <c r="AN131" s="96" t="s">
        <v>890</v>
      </c>
      <c r="AO131" s="100">
        <v>45473</v>
      </c>
      <c r="AP131" s="100">
        <v>45473</v>
      </c>
      <c r="AQ131" s="96"/>
      <c r="AR131" s="97">
        <v>24864.819689</v>
      </c>
      <c r="AS131" s="97">
        <v>99.93</v>
      </c>
      <c r="AT131" s="97">
        <v>1</v>
      </c>
      <c r="AU131" s="97">
        <v>24.847414000000001</v>
      </c>
      <c r="AV131" s="97">
        <v>24.847414000000001</v>
      </c>
      <c r="AW131" s="96"/>
      <c r="AX131" s="96"/>
      <c r="AY131" s="96"/>
      <c r="AZ131" s="96"/>
      <c r="BA131" s="98">
        <v>1.3831E-2</v>
      </c>
      <c r="BB131" s="98">
        <v>4.73E-4</v>
      </c>
      <c r="BC131" s="106"/>
    </row>
    <row r="132" spans="1:55" ht="15" customHeight="1">
      <c r="A132" s="106"/>
      <c r="B132" s="96">
        <v>286</v>
      </c>
      <c r="C132" s="96">
        <v>1445</v>
      </c>
      <c r="D132" s="96"/>
      <c r="E132" s="96"/>
      <c r="F132" s="96"/>
      <c r="G132" s="96">
        <v>25000907</v>
      </c>
      <c r="H132" s="96" t="s">
        <v>1013</v>
      </c>
      <c r="I132" s="96" t="s">
        <v>812</v>
      </c>
      <c r="J132" s="96" t="s">
        <v>203</v>
      </c>
      <c r="K132" s="96"/>
      <c r="L132" s="96" t="s">
        <v>454</v>
      </c>
      <c r="M132" s="96" t="s">
        <v>338</v>
      </c>
      <c r="N132" s="96" t="s">
        <v>337</v>
      </c>
      <c r="O132" s="96"/>
      <c r="P132" s="100">
        <v>45378</v>
      </c>
      <c r="Q132" s="96" t="s">
        <v>3683</v>
      </c>
      <c r="R132" s="96" t="s">
        <v>412</v>
      </c>
      <c r="S132" s="96" t="s">
        <v>407</v>
      </c>
      <c r="T132" s="96" t="s">
        <v>1200</v>
      </c>
      <c r="U132" s="97">
        <v>7.26</v>
      </c>
      <c r="V132" s="96" t="s">
        <v>3678</v>
      </c>
      <c r="W132" s="98">
        <v>4.2091999999999997E-2</v>
      </c>
      <c r="X132" s="96"/>
      <c r="Y132" s="96"/>
      <c r="Z132" s="96"/>
      <c r="AA132" s="98">
        <v>6.5100000000000005E-2</v>
      </c>
      <c r="AB132" s="100">
        <v>52768</v>
      </c>
      <c r="AC132" s="96" t="s">
        <v>411</v>
      </c>
      <c r="AD132" s="96"/>
      <c r="AE132" s="96"/>
      <c r="AF132" s="96"/>
      <c r="AG132" s="100">
        <v>45291</v>
      </c>
      <c r="AH132" s="96"/>
      <c r="AI132" s="96"/>
      <c r="AJ132" s="96"/>
      <c r="AK132" s="96" t="s">
        <v>337</v>
      </c>
      <c r="AL132" s="96" t="s">
        <v>887</v>
      </c>
      <c r="AM132" s="96"/>
      <c r="AN132" s="96" t="s">
        <v>890</v>
      </c>
      <c r="AO132" s="100">
        <v>45473</v>
      </c>
      <c r="AP132" s="100">
        <v>45473</v>
      </c>
      <c r="AQ132" s="96"/>
      <c r="AR132" s="97">
        <v>3890.761943</v>
      </c>
      <c r="AS132" s="97">
        <v>86.64</v>
      </c>
      <c r="AT132" s="97">
        <v>1</v>
      </c>
      <c r="AU132" s="97">
        <v>3.3709560000000001</v>
      </c>
      <c r="AV132" s="97">
        <v>3.3709560000000001</v>
      </c>
      <c r="AW132" s="96"/>
      <c r="AX132" s="96"/>
      <c r="AY132" s="96"/>
      <c r="AZ132" s="96"/>
      <c r="BA132" s="98">
        <v>1.8760000000000001E-3</v>
      </c>
      <c r="BB132" s="98">
        <v>6.3999999999999997E-5</v>
      </c>
      <c r="BC132" s="106"/>
    </row>
    <row r="133" spans="1:55" ht="15" customHeight="1">
      <c r="A133" s="106"/>
      <c r="B133" s="96">
        <v>286</v>
      </c>
      <c r="C133" s="96">
        <v>1445</v>
      </c>
      <c r="D133" s="96"/>
      <c r="E133" s="96"/>
      <c r="F133" s="96"/>
      <c r="G133" s="96">
        <v>25000905</v>
      </c>
      <c r="H133" s="96" t="s">
        <v>1013</v>
      </c>
      <c r="I133" s="96" t="s">
        <v>813</v>
      </c>
      <c r="J133" s="96" t="s">
        <v>203</v>
      </c>
      <c r="K133" s="96"/>
      <c r="L133" s="96" t="s">
        <v>454</v>
      </c>
      <c r="M133" s="96" t="s">
        <v>338</v>
      </c>
      <c r="N133" s="96" t="s">
        <v>337</v>
      </c>
      <c r="O133" s="96"/>
      <c r="P133" s="100">
        <v>45376</v>
      </c>
      <c r="Q133" s="96" t="s">
        <v>1332</v>
      </c>
      <c r="R133" s="96" t="s">
        <v>412</v>
      </c>
      <c r="S133" s="96" t="s">
        <v>407</v>
      </c>
      <c r="T133" s="96" t="s">
        <v>1200</v>
      </c>
      <c r="U133" s="97">
        <v>7.53</v>
      </c>
      <c r="V133" s="96" t="s">
        <v>824</v>
      </c>
      <c r="W133" s="98">
        <v>6.5500000000000003E-2</v>
      </c>
      <c r="X133" s="96"/>
      <c r="Y133" s="96"/>
      <c r="Z133" s="96"/>
      <c r="AA133" s="98">
        <v>7.2400000000000006E-2</v>
      </c>
      <c r="AB133" s="100">
        <v>52042</v>
      </c>
      <c r="AC133" s="96" t="s">
        <v>411</v>
      </c>
      <c r="AD133" s="96"/>
      <c r="AE133" s="96"/>
      <c r="AF133" s="96"/>
      <c r="AG133" s="100">
        <v>45291</v>
      </c>
      <c r="AH133" s="96"/>
      <c r="AI133" s="96"/>
      <c r="AJ133" s="96"/>
      <c r="AK133" s="96" t="s">
        <v>338</v>
      </c>
      <c r="AL133" s="96" t="s">
        <v>887</v>
      </c>
      <c r="AM133" s="96"/>
      <c r="AN133" s="96" t="s">
        <v>890</v>
      </c>
      <c r="AO133" s="100">
        <v>45473</v>
      </c>
      <c r="AP133" s="100">
        <v>45473</v>
      </c>
      <c r="AQ133" s="96"/>
      <c r="AR133" s="97">
        <v>24440.459221000001</v>
      </c>
      <c r="AS133" s="97">
        <v>100.84</v>
      </c>
      <c r="AT133" s="97">
        <v>1</v>
      </c>
      <c r="AU133" s="97">
        <v>24.645759000000002</v>
      </c>
      <c r="AV133" s="97">
        <v>24.645759000000002</v>
      </c>
      <c r="AW133" s="96"/>
      <c r="AX133" s="96"/>
      <c r="AY133" s="96"/>
      <c r="AZ133" s="96"/>
      <c r="BA133" s="98">
        <v>1.3717999999999999E-2</v>
      </c>
      <c r="BB133" s="98">
        <v>4.6900000000000002E-4</v>
      </c>
      <c r="BC133" s="106"/>
    </row>
    <row r="134" spans="1:55" ht="15" customHeight="1">
      <c r="A134" s="106"/>
      <c r="B134" s="96">
        <v>286</v>
      </c>
      <c r="C134" s="96">
        <v>1445</v>
      </c>
      <c r="D134" s="96"/>
      <c r="E134" s="96"/>
      <c r="F134" s="96"/>
      <c r="G134" s="96">
        <v>25000904</v>
      </c>
      <c r="H134" s="96" t="s">
        <v>1013</v>
      </c>
      <c r="I134" s="96" t="s">
        <v>812</v>
      </c>
      <c r="J134" s="96" t="s">
        <v>203</v>
      </c>
      <c r="K134" s="96"/>
      <c r="L134" s="96" t="s">
        <v>454</v>
      </c>
      <c r="M134" s="96" t="s">
        <v>338</v>
      </c>
      <c r="N134" s="96" t="s">
        <v>337</v>
      </c>
      <c r="O134" s="96"/>
      <c r="P134" s="100">
        <v>45371</v>
      </c>
      <c r="Q134" s="96" t="s">
        <v>1357</v>
      </c>
      <c r="R134" s="96" t="s">
        <v>414</v>
      </c>
      <c r="S134" s="96" t="s">
        <v>407</v>
      </c>
      <c r="T134" s="96" t="s">
        <v>1200</v>
      </c>
      <c r="U134" s="97">
        <v>6.86</v>
      </c>
      <c r="V134" s="96" t="s">
        <v>3678</v>
      </c>
      <c r="W134" s="98">
        <v>4.6899999999999997E-2</v>
      </c>
      <c r="X134" s="96"/>
      <c r="Y134" s="96"/>
      <c r="Z134" s="96"/>
      <c r="AA134" s="98">
        <v>5.3499999999999999E-2</v>
      </c>
      <c r="AB134" s="100">
        <v>51677</v>
      </c>
      <c r="AC134" s="96" t="s">
        <v>411</v>
      </c>
      <c r="AD134" s="96"/>
      <c r="AE134" s="96"/>
      <c r="AF134" s="96"/>
      <c r="AG134" s="100">
        <v>45291</v>
      </c>
      <c r="AH134" s="96"/>
      <c r="AI134" s="96"/>
      <c r="AJ134" s="96"/>
      <c r="AK134" s="96" t="s">
        <v>338</v>
      </c>
      <c r="AL134" s="96" t="s">
        <v>887</v>
      </c>
      <c r="AM134" s="96"/>
      <c r="AN134" s="96" t="s">
        <v>890</v>
      </c>
      <c r="AO134" s="100">
        <v>45473</v>
      </c>
      <c r="AP134" s="100">
        <v>45473</v>
      </c>
      <c r="AQ134" s="96"/>
      <c r="AR134" s="97">
        <v>8578.4</v>
      </c>
      <c r="AS134" s="97">
        <v>97.87</v>
      </c>
      <c r="AT134" s="97">
        <v>1</v>
      </c>
      <c r="AU134" s="97">
        <v>8.3956800000000005</v>
      </c>
      <c r="AV134" s="97">
        <v>8.3956800000000005</v>
      </c>
      <c r="AW134" s="96"/>
      <c r="AX134" s="96"/>
      <c r="AY134" s="96"/>
      <c r="AZ134" s="96"/>
      <c r="BA134" s="98">
        <v>4.6730000000000001E-3</v>
      </c>
      <c r="BB134" s="98">
        <v>1.5899999999999999E-4</v>
      </c>
      <c r="BC134" s="106"/>
    </row>
    <row r="135" spans="1:55" ht="15" customHeight="1">
      <c r="A135" s="106"/>
      <c r="B135" s="96">
        <v>286</v>
      </c>
      <c r="C135" s="96">
        <v>1445</v>
      </c>
      <c r="D135" s="96"/>
      <c r="E135" s="96"/>
      <c r="F135" s="96"/>
      <c r="G135" s="96">
        <v>25000901</v>
      </c>
      <c r="H135" s="96" t="s">
        <v>1013</v>
      </c>
      <c r="I135" s="96" t="s">
        <v>813</v>
      </c>
      <c r="J135" s="96" t="s">
        <v>203</v>
      </c>
      <c r="K135" s="96"/>
      <c r="L135" s="96" t="s">
        <v>446</v>
      </c>
      <c r="M135" s="96" t="s">
        <v>338</v>
      </c>
      <c r="N135" s="96" t="s">
        <v>337</v>
      </c>
      <c r="O135" s="96"/>
      <c r="P135" s="100">
        <v>45369</v>
      </c>
      <c r="Q135" s="96" t="s">
        <v>1357</v>
      </c>
      <c r="R135" s="96" t="s">
        <v>414</v>
      </c>
      <c r="S135" s="96" t="s">
        <v>407</v>
      </c>
      <c r="T135" s="96" t="s">
        <v>1200</v>
      </c>
      <c r="U135" s="97">
        <v>2.04</v>
      </c>
      <c r="V135" s="96" t="s">
        <v>824</v>
      </c>
      <c r="W135" s="98">
        <v>6.6000000000000003E-2</v>
      </c>
      <c r="X135" s="96"/>
      <c r="Y135" s="96"/>
      <c r="Z135" s="96"/>
      <c r="AA135" s="98">
        <v>6.5000000000000002E-2</v>
      </c>
      <c r="AB135" s="100">
        <v>46262</v>
      </c>
      <c r="AC135" s="96" t="s">
        <v>411</v>
      </c>
      <c r="AD135" s="96"/>
      <c r="AE135" s="96"/>
      <c r="AF135" s="96"/>
      <c r="AG135" s="100">
        <v>45291</v>
      </c>
      <c r="AH135" s="96"/>
      <c r="AI135" s="96"/>
      <c r="AJ135" s="96"/>
      <c r="AK135" s="96" t="s">
        <v>338</v>
      </c>
      <c r="AL135" s="96" t="s">
        <v>887</v>
      </c>
      <c r="AM135" s="96"/>
      <c r="AN135" s="96" t="s">
        <v>890</v>
      </c>
      <c r="AO135" s="100">
        <v>45473</v>
      </c>
      <c r="AP135" s="100">
        <v>45473</v>
      </c>
      <c r="AQ135" s="96"/>
      <c r="AR135" s="97">
        <v>380.49138299999998</v>
      </c>
      <c r="AS135" s="97">
        <v>100.24</v>
      </c>
      <c r="AT135" s="97">
        <v>1</v>
      </c>
      <c r="AU135" s="97">
        <v>0.38140400000000002</v>
      </c>
      <c r="AV135" s="97">
        <v>0.38140400000000002</v>
      </c>
      <c r="AW135" s="96"/>
      <c r="AX135" s="96"/>
      <c r="AY135" s="96"/>
      <c r="AZ135" s="96"/>
      <c r="BA135" s="98">
        <v>2.12E-4</v>
      </c>
      <c r="BB135" s="98">
        <v>6.9999999999999999E-6</v>
      </c>
      <c r="BC135" s="106"/>
    </row>
    <row r="136" spans="1:55" ht="15" customHeight="1">
      <c r="A136" s="106"/>
      <c r="B136" s="96">
        <v>286</v>
      </c>
      <c r="C136" s="96">
        <v>1445</v>
      </c>
      <c r="D136" s="96"/>
      <c r="E136" s="96"/>
      <c r="F136" s="96"/>
      <c r="G136" s="96">
        <v>25000762</v>
      </c>
      <c r="H136" s="96" t="s">
        <v>1013</v>
      </c>
      <c r="I136" s="96" t="s">
        <v>3684</v>
      </c>
      <c r="J136" s="96" t="s">
        <v>203</v>
      </c>
      <c r="K136" s="96"/>
      <c r="L136" s="96" t="s">
        <v>463</v>
      </c>
      <c r="M136" s="96" t="s">
        <v>338</v>
      </c>
      <c r="N136" s="96" t="s">
        <v>337</v>
      </c>
      <c r="O136" s="96"/>
      <c r="P136" s="100">
        <v>44959</v>
      </c>
      <c r="Q136" s="96" t="s">
        <v>3681</v>
      </c>
      <c r="R136" s="96" t="s">
        <v>311</v>
      </c>
      <c r="S136" s="96" t="s">
        <v>407</v>
      </c>
      <c r="T136" s="96" t="s">
        <v>1200</v>
      </c>
      <c r="U136" s="97">
        <v>0.59</v>
      </c>
      <c r="V136" s="96" t="s">
        <v>824</v>
      </c>
      <c r="W136" s="98">
        <v>7.8E-2</v>
      </c>
      <c r="X136" s="96"/>
      <c r="Y136" s="96"/>
      <c r="Z136" s="96"/>
      <c r="AA136" s="98">
        <v>6.6199999999999995E-2</v>
      </c>
      <c r="AB136" s="100">
        <v>45690</v>
      </c>
      <c r="AC136" s="96" t="s">
        <v>411</v>
      </c>
      <c r="AD136" s="96"/>
      <c r="AE136" s="96"/>
      <c r="AF136" s="96"/>
      <c r="AG136" s="100">
        <v>45075</v>
      </c>
      <c r="AH136" s="96"/>
      <c r="AI136" s="96"/>
      <c r="AJ136" s="96"/>
      <c r="AK136" s="96" t="s">
        <v>337</v>
      </c>
      <c r="AL136" s="96" t="s">
        <v>887</v>
      </c>
      <c r="AM136" s="96"/>
      <c r="AN136" s="96" t="s">
        <v>890</v>
      </c>
      <c r="AO136" s="100">
        <v>45473</v>
      </c>
      <c r="AP136" s="100">
        <v>45473</v>
      </c>
      <c r="AQ136" s="96"/>
      <c r="AR136" s="97">
        <v>214.31911600000001</v>
      </c>
      <c r="AS136" s="97">
        <v>100.87</v>
      </c>
      <c r="AT136" s="97">
        <v>1</v>
      </c>
      <c r="AU136" s="97">
        <v>0.21618299999999999</v>
      </c>
      <c r="AV136" s="97">
        <v>0.21618299999999999</v>
      </c>
      <c r="AW136" s="96"/>
      <c r="AX136" s="96"/>
      <c r="AY136" s="96"/>
      <c r="AZ136" s="96"/>
      <c r="BA136" s="98">
        <v>1.2E-4</v>
      </c>
      <c r="BB136" s="98">
        <v>3.9999999999999998E-6</v>
      </c>
      <c r="BC136" s="106"/>
    </row>
    <row r="137" spans="1:55" ht="15" customHeight="1">
      <c r="A137" s="106"/>
      <c r="B137" s="96">
        <v>286</v>
      </c>
      <c r="C137" s="96">
        <v>1445</v>
      </c>
      <c r="D137" s="96"/>
      <c r="E137" s="96"/>
      <c r="F137" s="96"/>
      <c r="G137" s="96">
        <v>25000819</v>
      </c>
      <c r="H137" s="96" t="s">
        <v>1013</v>
      </c>
      <c r="I137" s="96"/>
      <c r="J137" s="96" t="s">
        <v>203</v>
      </c>
      <c r="K137" s="96"/>
      <c r="L137" s="96" t="s">
        <v>477</v>
      </c>
      <c r="M137" s="96" t="s">
        <v>337</v>
      </c>
      <c r="N137" s="96" t="s">
        <v>338</v>
      </c>
      <c r="O137" s="96"/>
      <c r="P137" s="100">
        <v>45228</v>
      </c>
      <c r="Q137" s="96" t="s">
        <v>1309</v>
      </c>
      <c r="R137" s="96" t="s">
        <v>414</v>
      </c>
      <c r="S137" s="96" t="s">
        <v>407</v>
      </c>
      <c r="T137" s="96" t="s">
        <v>1200</v>
      </c>
      <c r="U137" s="97">
        <v>4.93</v>
      </c>
      <c r="V137" s="96" t="s">
        <v>824</v>
      </c>
      <c r="W137" s="98">
        <v>6.7000000000000004E-2</v>
      </c>
      <c r="X137" s="96"/>
      <c r="Y137" s="96"/>
      <c r="Z137" s="96"/>
      <c r="AA137" s="98">
        <v>6.1400000000000003E-2</v>
      </c>
      <c r="AB137" s="100">
        <v>49979</v>
      </c>
      <c r="AC137" s="96" t="s">
        <v>411</v>
      </c>
      <c r="AD137" s="96"/>
      <c r="AE137" s="96"/>
      <c r="AF137" s="96"/>
      <c r="AG137" s="100"/>
      <c r="AH137" s="96"/>
      <c r="AI137" s="96"/>
      <c r="AJ137" s="96"/>
      <c r="AK137" s="96" t="s">
        <v>337</v>
      </c>
      <c r="AL137" s="96" t="s">
        <v>887</v>
      </c>
      <c r="AM137" s="96"/>
      <c r="AN137" s="96" t="s">
        <v>890</v>
      </c>
      <c r="AO137" s="100">
        <v>45473</v>
      </c>
      <c r="AP137" s="100">
        <v>45473</v>
      </c>
      <c r="AQ137" s="96"/>
      <c r="AR137" s="97">
        <v>3958.593844</v>
      </c>
      <c r="AS137" s="97">
        <v>104.79</v>
      </c>
      <c r="AT137" s="97">
        <v>1</v>
      </c>
      <c r="AU137" s="97">
        <v>4.1482099999999997</v>
      </c>
      <c r="AV137" s="97">
        <v>4.1482099999999997</v>
      </c>
      <c r="AW137" s="96"/>
      <c r="AX137" s="96"/>
      <c r="AY137" s="96"/>
      <c r="AZ137" s="96"/>
      <c r="BA137" s="98">
        <v>2.3089999999999999E-3</v>
      </c>
      <c r="BB137" s="98">
        <v>7.7999999999999999E-5</v>
      </c>
      <c r="BC137" s="106"/>
    </row>
    <row r="138" spans="1:55" ht="15" customHeight="1">
      <c r="A138" s="106"/>
      <c r="B138" s="96">
        <v>286</v>
      </c>
      <c r="C138" s="96">
        <v>1445</v>
      </c>
      <c r="D138" s="96"/>
      <c r="E138" s="96"/>
      <c r="F138" s="96"/>
      <c r="G138" s="96">
        <v>25000758</v>
      </c>
      <c r="H138" s="96" t="s">
        <v>1013</v>
      </c>
      <c r="I138" s="96" t="s">
        <v>812</v>
      </c>
      <c r="J138" s="96" t="s">
        <v>203</v>
      </c>
      <c r="K138" s="96"/>
      <c r="L138" s="96" t="s">
        <v>454</v>
      </c>
      <c r="M138" s="96" t="s">
        <v>338</v>
      </c>
      <c r="N138" s="96" t="s">
        <v>337</v>
      </c>
      <c r="O138" s="96"/>
      <c r="P138" s="100">
        <v>44929</v>
      </c>
      <c r="Q138" s="96" t="s">
        <v>3683</v>
      </c>
      <c r="R138" s="96" t="s">
        <v>412</v>
      </c>
      <c r="S138" s="96" t="s">
        <v>407</v>
      </c>
      <c r="T138" s="96" t="s">
        <v>1200</v>
      </c>
      <c r="U138" s="97">
        <v>7.39</v>
      </c>
      <c r="V138" s="96" t="s">
        <v>3678</v>
      </c>
      <c r="W138" s="98">
        <v>3.4569999999999997E-2</v>
      </c>
      <c r="X138" s="96"/>
      <c r="Y138" s="96"/>
      <c r="Z138" s="96"/>
      <c r="AA138" s="98">
        <v>6.5000000000000002E-2</v>
      </c>
      <c r="AB138" s="100">
        <v>52768</v>
      </c>
      <c r="AC138" s="96" t="s">
        <v>411</v>
      </c>
      <c r="AD138" s="96"/>
      <c r="AE138" s="96"/>
      <c r="AF138" s="96"/>
      <c r="AG138" s="100">
        <v>45291</v>
      </c>
      <c r="AH138" s="96"/>
      <c r="AI138" s="96"/>
      <c r="AJ138" s="96"/>
      <c r="AK138" s="96" t="s">
        <v>337</v>
      </c>
      <c r="AL138" s="96" t="s">
        <v>887</v>
      </c>
      <c r="AM138" s="96"/>
      <c r="AN138" s="96" t="s">
        <v>890</v>
      </c>
      <c r="AO138" s="100">
        <v>45473</v>
      </c>
      <c r="AP138" s="100">
        <v>45473</v>
      </c>
      <c r="AQ138" s="96"/>
      <c r="AR138" s="97">
        <v>4746.9480560000002</v>
      </c>
      <c r="AS138" s="97">
        <v>84.38</v>
      </c>
      <c r="AT138" s="97">
        <v>1</v>
      </c>
      <c r="AU138" s="97">
        <v>4.0054740000000004</v>
      </c>
      <c r="AV138" s="97">
        <v>4.0054740000000004</v>
      </c>
      <c r="AW138" s="96"/>
      <c r="AX138" s="96"/>
      <c r="AY138" s="96"/>
      <c r="AZ138" s="96"/>
      <c r="BA138" s="98">
        <v>2.2290000000000001E-3</v>
      </c>
      <c r="BB138" s="98">
        <v>7.6000000000000004E-5</v>
      </c>
      <c r="BC138" s="106"/>
    </row>
    <row r="139" spans="1:55" ht="15" customHeight="1">
      <c r="A139" s="106"/>
      <c r="B139" s="96">
        <v>286</v>
      </c>
      <c r="C139" s="96">
        <v>1445</v>
      </c>
      <c r="D139" s="96"/>
      <c r="E139" s="96"/>
      <c r="F139" s="96"/>
      <c r="G139" s="96">
        <v>25000474</v>
      </c>
      <c r="H139" s="96" t="s">
        <v>1013</v>
      </c>
      <c r="I139" s="96" t="s">
        <v>785</v>
      </c>
      <c r="J139" s="96" t="s">
        <v>203</v>
      </c>
      <c r="K139" s="96"/>
      <c r="L139" s="96" t="s">
        <v>463</v>
      </c>
      <c r="M139" s="96" t="s">
        <v>338</v>
      </c>
      <c r="N139" s="96" t="s">
        <v>338</v>
      </c>
      <c r="O139" s="96"/>
      <c r="P139" s="100">
        <v>43832</v>
      </c>
      <c r="Q139" s="96" t="s">
        <v>1313</v>
      </c>
      <c r="R139" s="96" t="s">
        <v>412</v>
      </c>
      <c r="S139" s="96" t="s">
        <v>407</v>
      </c>
      <c r="T139" s="96" t="s">
        <v>1200</v>
      </c>
      <c r="U139" s="97">
        <v>3.77</v>
      </c>
      <c r="V139" s="96" t="s">
        <v>3678</v>
      </c>
      <c r="W139" s="98">
        <v>2.3429999999999999E-2</v>
      </c>
      <c r="X139" s="96"/>
      <c r="Y139" s="96"/>
      <c r="Z139" s="96"/>
      <c r="AA139" s="98">
        <v>3.49E-2</v>
      </c>
      <c r="AB139" s="100">
        <v>47119</v>
      </c>
      <c r="AC139" s="96" t="s">
        <v>411</v>
      </c>
      <c r="AD139" s="96"/>
      <c r="AE139" s="96"/>
      <c r="AF139" s="96"/>
      <c r="AG139" s="100">
        <v>44957</v>
      </c>
      <c r="AH139" s="96"/>
      <c r="AI139" s="96"/>
      <c r="AJ139" s="96"/>
      <c r="AK139" s="96" t="s">
        <v>337</v>
      </c>
      <c r="AL139" s="96" t="s">
        <v>887</v>
      </c>
      <c r="AM139" s="96"/>
      <c r="AN139" s="96" t="s">
        <v>890</v>
      </c>
      <c r="AO139" s="100">
        <v>45473</v>
      </c>
      <c r="AP139" s="100">
        <v>45473</v>
      </c>
      <c r="AQ139" s="96"/>
      <c r="AR139" s="97">
        <v>6330.2572799999998</v>
      </c>
      <c r="AS139" s="97">
        <v>108.91</v>
      </c>
      <c r="AT139" s="97">
        <v>1</v>
      </c>
      <c r="AU139" s="97">
        <v>6.8942829999999997</v>
      </c>
      <c r="AV139" s="97">
        <v>6.8942829999999997</v>
      </c>
      <c r="AW139" s="96"/>
      <c r="AX139" s="96"/>
      <c r="AY139" s="96"/>
      <c r="AZ139" s="96"/>
      <c r="BA139" s="98">
        <v>3.8370000000000001E-3</v>
      </c>
      <c r="BB139" s="98">
        <v>1.3100000000000001E-4</v>
      </c>
      <c r="BC139" s="106"/>
    </row>
    <row r="140" spans="1:55" ht="15" customHeight="1">
      <c r="A140" s="106"/>
      <c r="B140" s="96">
        <v>286</v>
      </c>
      <c r="C140" s="96">
        <v>1445</v>
      </c>
      <c r="D140" s="96"/>
      <c r="E140" s="96"/>
      <c r="F140" s="96"/>
      <c r="G140" s="96">
        <v>25000466</v>
      </c>
      <c r="H140" s="96" t="s">
        <v>1013</v>
      </c>
      <c r="I140" s="96" t="s">
        <v>813</v>
      </c>
      <c r="J140" s="96" t="s">
        <v>203</v>
      </c>
      <c r="K140" s="96"/>
      <c r="L140" s="96" t="s">
        <v>470</v>
      </c>
      <c r="M140" s="96" t="s">
        <v>338</v>
      </c>
      <c r="N140" s="96" t="s">
        <v>337</v>
      </c>
      <c r="O140" s="96"/>
      <c r="P140" s="100">
        <v>43816</v>
      </c>
      <c r="Q140" s="96" t="s">
        <v>3686</v>
      </c>
      <c r="R140" s="96" t="s">
        <v>414</v>
      </c>
      <c r="S140" s="96" t="s">
        <v>407</v>
      </c>
      <c r="T140" s="96" t="s">
        <v>1200</v>
      </c>
      <c r="U140" s="97">
        <v>8.1</v>
      </c>
      <c r="V140" s="96" t="s">
        <v>3678</v>
      </c>
      <c r="W140" s="98">
        <v>0.06</v>
      </c>
      <c r="X140" s="96"/>
      <c r="Y140" s="96"/>
      <c r="Z140" s="96"/>
      <c r="AA140" s="98">
        <v>6.8599999999999994E-2</v>
      </c>
      <c r="AB140" s="100">
        <v>51774</v>
      </c>
      <c r="AC140" s="96" t="s">
        <v>410</v>
      </c>
      <c r="AD140" s="96"/>
      <c r="AE140" s="96"/>
      <c r="AF140" s="96"/>
      <c r="AG140" s="100">
        <v>45382</v>
      </c>
      <c r="AH140" s="96"/>
      <c r="AI140" s="96"/>
      <c r="AJ140" s="96"/>
      <c r="AK140" s="96" t="s">
        <v>337</v>
      </c>
      <c r="AL140" s="96" t="s">
        <v>887</v>
      </c>
      <c r="AM140" s="96"/>
      <c r="AN140" s="96" t="s">
        <v>890</v>
      </c>
      <c r="AO140" s="100">
        <v>45473</v>
      </c>
      <c r="AP140" s="100">
        <v>45473</v>
      </c>
      <c r="AQ140" s="96"/>
      <c r="AR140" s="97">
        <v>8774.4162070000002</v>
      </c>
      <c r="AS140" s="97">
        <v>110.11</v>
      </c>
      <c r="AT140" s="97">
        <v>1</v>
      </c>
      <c r="AU140" s="97">
        <v>9.6615090000000006</v>
      </c>
      <c r="AV140" s="97">
        <v>9.6615090000000006</v>
      </c>
      <c r="AW140" s="96"/>
      <c r="AX140" s="96"/>
      <c r="AY140" s="96"/>
      <c r="AZ140" s="96"/>
      <c r="BA140" s="98">
        <v>5.3769999999999998E-3</v>
      </c>
      <c r="BB140" s="98">
        <v>1.83E-4</v>
      </c>
      <c r="BC140" s="106"/>
    </row>
    <row r="141" spans="1:55" ht="15" customHeight="1">
      <c r="A141" s="106"/>
      <c r="B141" s="96">
        <v>286</v>
      </c>
      <c r="C141" s="96">
        <v>1445</v>
      </c>
      <c r="D141" s="96"/>
      <c r="E141" s="96"/>
      <c r="F141" s="96"/>
      <c r="G141" s="96">
        <v>25000462</v>
      </c>
      <c r="H141" s="96" t="s">
        <v>1013</v>
      </c>
      <c r="I141" s="96"/>
      <c r="J141" s="96" t="s">
        <v>203</v>
      </c>
      <c r="K141" s="96"/>
      <c r="L141" s="96" t="s">
        <v>477</v>
      </c>
      <c r="M141" s="96" t="s">
        <v>338</v>
      </c>
      <c r="N141" s="96" t="s">
        <v>338</v>
      </c>
      <c r="O141" s="96"/>
      <c r="P141" s="100">
        <v>43797</v>
      </c>
      <c r="Q141" s="96" t="s">
        <v>409</v>
      </c>
      <c r="R141" s="96" t="s">
        <v>409</v>
      </c>
      <c r="S141" s="96" t="s">
        <v>409</v>
      </c>
      <c r="T141" s="96" t="s">
        <v>1200</v>
      </c>
      <c r="U141" s="97">
        <v>1.19</v>
      </c>
      <c r="V141" s="96" t="s">
        <v>3678</v>
      </c>
      <c r="W141" s="98">
        <v>3.5000000000000003E-2</v>
      </c>
      <c r="X141" s="96"/>
      <c r="Y141" s="96"/>
      <c r="Z141" s="96"/>
      <c r="AA141" s="98">
        <v>3.3500000000000002E-2</v>
      </c>
      <c r="AB141" s="100">
        <v>46965</v>
      </c>
      <c r="AC141" s="96" t="s">
        <v>411</v>
      </c>
      <c r="AD141" s="96"/>
      <c r="AE141" s="96"/>
      <c r="AF141" s="96"/>
      <c r="AG141" s="100">
        <v>43797</v>
      </c>
      <c r="AH141" s="96"/>
      <c r="AI141" s="96"/>
      <c r="AJ141" s="96"/>
      <c r="AK141" s="96" t="s">
        <v>337</v>
      </c>
      <c r="AL141" s="96" t="s">
        <v>887</v>
      </c>
      <c r="AM141" s="96"/>
      <c r="AN141" s="96" t="s">
        <v>890</v>
      </c>
      <c r="AO141" s="100">
        <v>45473</v>
      </c>
      <c r="AP141" s="100">
        <v>45473</v>
      </c>
      <c r="AQ141" s="96"/>
      <c r="AR141" s="97">
        <v>1046.493876</v>
      </c>
      <c r="AS141" s="97">
        <v>113</v>
      </c>
      <c r="AT141" s="97">
        <v>1</v>
      </c>
      <c r="AU141" s="97">
        <v>1.1825380000000001</v>
      </c>
      <c r="AV141" s="97">
        <v>1.1825380000000001</v>
      </c>
      <c r="AW141" s="96"/>
      <c r="AX141" s="96"/>
      <c r="AY141" s="96"/>
      <c r="AZ141" s="96"/>
      <c r="BA141" s="98">
        <v>6.5799999999999995E-4</v>
      </c>
      <c r="BB141" s="98">
        <v>2.1999999999999999E-5</v>
      </c>
      <c r="BC141" s="106"/>
    </row>
    <row r="142" spans="1:55" ht="15" customHeight="1">
      <c r="A142" s="106"/>
      <c r="B142" s="96">
        <v>286</v>
      </c>
      <c r="C142" s="96">
        <v>1445</v>
      </c>
      <c r="D142" s="96"/>
      <c r="E142" s="96"/>
      <c r="F142" s="96"/>
      <c r="G142" s="96">
        <v>25000458</v>
      </c>
      <c r="H142" s="96" t="s">
        <v>1013</v>
      </c>
      <c r="I142" s="96" t="s">
        <v>818</v>
      </c>
      <c r="J142" s="96" t="s">
        <v>203</v>
      </c>
      <c r="K142" s="96"/>
      <c r="L142" s="96" t="s">
        <v>450</v>
      </c>
      <c r="M142" s="96" t="s">
        <v>338</v>
      </c>
      <c r="N142" s="96" t="s">
        <v>337</v>
      </c>
      <c r="O142" s="96"/>
      <c r="P142" s="100">
        <v>43772</v>
      </c>
      <c r="Q142" s="96" t="s">
        <v>409</v>
      </c>
      <c r="R142" s="96" t="s">
        <v>409</v>
      </c>
      <c r="S142" s="96" t="s">
        <v>409</v>
      </c>
      <c r="T142" s="96" t="s">
        <v>1200</v>
      </c>
      <c r="U142" s="97">
        <v>0.35</v>
      </c>
      <c r="V142" s="96" t="s">
        <v>3678</v>
      </c>
      <c r="W142" s="98">
        <v>4.4600000000000001E-2</v>
      </c>
      <c r="X142" s="96"/>
      <c r="Y142" s="96"/>
      <c r="Z142" s="96"/>
      <c r="AA142" s="98">
        <v>6.3700000000000007E-2</v>
      </c>
      <c r="AB142" s="100">
        <v>45491</v>
      </c>
      <c r="AC142" s="96" t="s">
        <v>411</v>
      </c>
      <c r="AD142" s="96"/>
      <c r="AE142" s="96"/>
      <c r="AF142" s="96"/>
      <c r="AG142" s="100">
        <v>45239</v>
      </c>
      <c r="AH142" s="96"/>
      <c r="AI142" s="96"/>
      <c r="AJ142" s="96"/>
      <c r="AK142" s="96" t="s">
        <v>337</v>
      </c>
      <c r="AL142" s="96" t="s">
        <v>887</v>
      </c>
      <c r="AM142" s="96"/>
      <c r="AN142" s="96" t="s">
        <v>890</v>
      </c>
      <c r="AO142" s="100">
        <v>45473</v>
      </c>
      <c r="AP142" s="100">
        <v>45473</v>
      </c>
      <c r="AQ142" s="96"/>
      <c r="AR142" s="97">
        <v>10030.536591</v>
      </c>
      <c r="AS142" s="97">
        <v>100.05</v>
      </c>
      <c r="AT142" s="97">
        <v>1</v>
      </c>
      <c r="AU142" s="97">
        <v>10.035551</v>
      </c>
      <c r="AV142" s="97">
        <v>10.035551</v>
      </c>
      <c r="AW142" s="96"/>
      <c r="AX142" s="96"/>
      <c r="AY142" s="96"/>
      <c r="AZ142" s="96"/>
      <c r="BA142" s="98">
        <v>5.5859999999999998E-3</v>
      </c>
      <c r="BB142" s="98">
        <v>1.9100000000000001E-4</v>
      </c>
      <c r="BC142" s="106"/>
    </row>
    <row r="143" spans="1:55" ht="15" customHeight="1">
      <c r="A143" s="106"/>
      <c r="B143" s="96">
        <v>286</v>
      </c>
      <c r="C143" s="96">
        <v>1445</v>
      </c>
      <c r="D143" s="96"/>
      <c r="E143" s="96"/>
      <c r="F143" s="96"/>
      <c r="G143" s="96">
        <v>25000457</v>
      </c>
      <c r="H143" s="96" t="s">
        <v>1013</v>
      </c>
      <c r="I143" s="96" t="s">
        <v>3680</v>
      </c>
      <c r="J143" s="96" t="s">
        <v>203</v>
      </c>
      <c r="K143" s="96"/>
      <c r="L143" s="96" t="s">
        <v>446</v>
      </c>
      <c r="M143" s="96" t="s">
        <v>338</v>
      </c>
      <c r="N143" s="96" t="s">
        <v>338</v>
      </c>
      <c r="O143" s="96"/>
      <c r="P143" s="100">
        <v>43769</v>
      </c>
      <c r="Q143" s="96" t="s">
        <v>1328</v>
      </c>
      <c r="R143" s="96" t="s">
        <v>412</v>
      </c>
      <c r="S143" s="96" t="s">
        <v>407</v>
      </c>
      <c r="T143" s="96" t="s">
        <v>1200</v>
      </c>
      <c r="U143" s="97">
        <v>1.23</v>
      </c>
      <c r="V143" s="96" t="s">
        <v>3678</v>
      </c>
      <c r="W143" s="98">
        <v>3.44E-2</v>
      </c>
      <c r="X143" s="96"/>
      <c r="Y143" s="96"/>
      <c r="Z143" s="96"/>
      <c r="AA143" s="98">
        <v>2.9600000000000001E-2</v>
      </c>
      <c r="AB143" s="100">
        <v>46228</v>
      </c>
      <c r="AC143" s="96" t="s">
        <v>411</v>
      </c>
      <c r="AD143" s="96"/>
      <c r="AE143" s="96"/>
      <c r="AF143" s="96"/>
      <c r="AG143" s="100">
        <v>45382</v>
      </c>
      <c r="AH143" s="96"/>
      <c r="AI143" s="96"/>
      <c r="AJ143" s="96"/>
      <c r="AK143" s="96" t="s">
        <v>337</v>
      </c>
      <c r="AL143" s="96" t="s">
        <v>887</v>
      </c>
      <c r="AM143" s="96"/>
      <c r="AN143" s="96" t="s">
        <v>890</v>
      </c>
      <c r="AO143" s="100">
        <v>45473</v>
      </c>
      <c r="AP143" s="100">
        <v>45473</v>
      </c>
      <c r="AQ143" s="96"/>
      <c r="AR143" s="97">
        <v>710.40731600000004</v>
      </c>
      <c r="AS143" s="97">
        <v>113.54</v>
      </c>
      <c r="AT143" s="97">
        <v>1</v>
      </c>
      <c r="AU143" s="97">
        <v>0.80659599999999998</v>
      </c>
      <c r="AV143" s="97">
        <v>0.80659599999999998</v>
      </c>
      <c r="AW143" s="96"/>
      <c r="AX143" s="96"/>
      <c r="AY143" s="96"/>
      <c r="AZ143" s="96"/>
      <c r="BA143" s="98">
        <v>4.4799999999999999E-4</v>
      </c>
      <c r="BB143" s="98">
        <v>1.5E-5</v>
      </c>
      <c r="BC143" s="106"/>
    </row>
    <row r="144" spans="1:55" ht="15" customHeight="1">
      <c r="A144" s="106"/>
      <c r="B144" s="96">
        <v>286</v>
      </c>
      <c r="C144" s="96">
        <v>1445</v>
      </c>
      <c r="D144" s="96"/>
      <c r="E144" s="96"/>
      <c r="F144" s="96"/>
      <c r="G144" s="96">
        <v>25000455</v>
      </c>
      <c r="H144" s="96" t="s">
        <v>1013</v>
      </c>
      <c r="I144" s="96" t="s">
        <v>812</v>
      </c>
      <c r="J144" s="96" t="s">
        <v>203</v>
      </c>
      <c r="K144" s="96"/>
      <c r="L144" s="96" t="s">
        <v>454</v>
      </c>
      <c r="M144" s="96" t="s">
        <v>338</v>
      </c>
      <c r="N144" s="96" t="s">
        <v>337</v>
      </c>
      <c r="O144" s="96"/>
      <c r="P144" s="100">
        <v>43742</v>
      </c>
      <c r="Q144" s="96" t="s">
        <v>1357</v>
      </c>
      <c r="R144" s="96" t="s">
        <v>414</v>
      </c>
      <c r="S144" s="96" t="s">
        <v>407</v>
      </c>
      <c r="T144" s="96" t="s">
        <v>1200</v>
      </c>
      <c r="U144" s="97">
        <v>7.3</v>
      </c>
      <c r="V144" s="96" t="s">
        <v>3678</v>
      </c>
      <c r="W144" s="98">
        <v>3.1E-2</v>
      </c>
      <c r="X144" s="96"/>
      <c r="Y144" s="96"/>
      <c r="Z144" s="96"/>
      <c r="AA144" s="98">
        <v>4.5199999999999997E-2</v>
      </c>
      <c r="AB144" s="100">
        <v>51677</v>
      </c>
      <c r="AC144" s="96" t="s">
        <v>411</v>
      </c>
      <c r="AD144" s="96"/>
      <c r="AE144" s="96"/>
      <c r="AF144" s="96"/>
      <c r="AG144" s="100">
        <v>45291</v>
      </c>
      <c r="AH144" s="96"/>
      <c r="AI144" s="96"/>
      <c r="AJ144" s="96"/>
      <c r="AK144" s="96" t="s">
        <v>337</v>
      </c>
      <c r="AL144" s="96" t="s">
        <v>887</v>
      </c>
      <c r="AM144" s="96"/>
      <c r="AN144" s="96" t="s">
        <v>890</v>
      </c>
      <c r="AO144" s="100">
        <v>45473</v>
      </c>
      <c r="AP144" s="100">
        <v>45473</v>
      </c>
      <c r="AQ144" s="96"/>
      <c r="AR144" s="97">
        <v>27235.54</v>
      </c>
      <c r="AS144" s="97">
        <v>99.51</v>
      </c>
      <c r="AT144" s="97">
        <v>1</v>
      </c>
      <c r="AU144" s="97">
        <v>27.10209</v>
      </c>
      <c r="AV144" s="97">
        <v>27.10209</v>
      </c>
      <c r="AW144" s="96"/>
      <c r="AX144" s="96"/>
      <c r="AY144" s="96"/>
      <c r="AZ144" s="96"/>
      <c r="BA144" s="98">
        <v>1.5086E-2</v>
      </c>
      <c r="BB144" s="98">
        <v>5.1599999999999997E-4</v>
      </c>
      <c r="BC144" s="106"/>
    </row>
    <row r="145" spans="1:55" ht="15" customHeight="1">
      <c r="A145" s="106"/>
      <c r="B145" s="96">
        <v>286</v>
      </c>
      <c r="C145" s="96">
        <v>1445</v>
      </c>
      <c r="D145" s="96"/>
      <c r="E145" s="96"/>
      <c r="F145" s="96"/>
      <c r="G145" s="96">
        <v>25000450</v>
      </c>
      <c r="H145" s="96" t="s">
        <v>1013</v>
      </c>
      <c r="I145" s="96"/>
      <c r="J145" s="96" t="s">
        <v>203</v>
      </c>
      <c r="K145" s="96"/>
      <c r="L145" s="96" t="s">
        <v>477</v>
      </c>
      <c r="M145" s="96" t="s">
        <v>338</v>
      </c>
      <c r="N145" s="96" t="s">
        <v>338</v>
      </c>
      <c r="O145" s="96"/>
      <c r="P145" s="100">
        <v>43705</v>
      </c>
      <c r="Q145" s="96" t="s">
        <v>409</v>
      </c>
      <c r="R145" s="96" t="s">
        <v>409</v>
      </c>
      <c r="S145" s="96" t="s">
        <v>409</v>
      </c>
      <c r="T145" s="96" t="s">
        <v>1200</v>
      </c>
      <c r="U145" s="97">
        <v>1.17</v>
      </c>
      <c r="V145" s="96" t="s">
        <v>3678</v>
      </c>
      <c r="W145" s="98">
        <v>3.5000000000000003E-2</v>
      </c>
      <c r="X145" s="96"/>
      <c r="Y145" s="96"/>
      <c r="Z145" s="96"/>
      <c r="AA145" s="98">
        <v>3.1600000000000003E-2</v>
      </c>
      <c r="AB145" s="100">
        <v>46843</v>
      </c>
      <c r="AC145" s="96" t="s">
        <v>411</v>
      </c>
      <c r="AD145" s="96"/>
      <c r="AE145" s="96"/>
      <c r="AF145" s="96"/>
      <c r="AG145" s="100">
        <v>43705</v>
      </c>
      <c r="AH145" s="96"/>
      <c r="AI145" s="96"/>
      <c r="AJ145" s="96"/>
      <c r="AK145" s="96" t="s">
        <v>337</v>
      </c>
      <c r="AL145" s="96" t="s">
        <v>887</v>
      </c>
      <c r="AM145" s="96"/>
      <c r="AN145" s="96" t="s">
        <v>890</v>
      </c>
      <c r="AO145" s="100">
        <v>45473</v>
      </c>
      <c r="AP145" s="100">
        <v>45473</v>
      </c>
      <c r="AQ145" s="96"/>
      <c r="AR145" s="97">
        <v>1088.981106</v>
      </c>
      <c r="AS145" s="97">
        <v>113.69</v>
      </c>
      <c r="AT145" s="97">
        <v>1</v>
      </c>
      <c r="AU145" s="97">
        <v>1.238062</v>
      </c>
      <c r="AV145" s="97">
        <v>1.238062</v>
      </c>
      <c r="AW145" s="96"/>
      <c r="AX145" s="96"/>
      <c r="AY145" s="96"/>
      <c r="AZ145" s="96"/>
      <c r="BA145" s="98">
        <v>6.8900000000000005E-4</v>
      </c>
      <c r="BB145" s="98">
        <v>2.3E-5</v>
      </c>
      <c r="BC145" s="106"/>
    </row>
    <row r="146" spans="1:55" ht="15" customHeight="1">
      <c r="A146" s="106"/>
      <c r="B146" s="96">
        <v>286</v>
      </c>
      <c r="C146" s="96">
        <v>1445</v>
      </c>
      <c r="D146" s="96"/>
      <c r="E146" s="96"/>
      <c r="F146" s="96"/>
      <c r="G146" s="96">
        <v>25000448</v>
      </c>
      <c r="H146" s="96" t="s">
        <v>1013</v>
      </c>
      <c r="I146" s="96" t="s">
        <v>3680</v>
      </c>
      <c r="J146" s="96" t="s">
        <v>203</v>
      </c>
      <c r="K146" s="96"/>
      <c r="L146" s="96" t="s">
        <v>446</v>
      </c>
      <c r="M146" s="96" t="s">
        <v>338</v>
      </c>
      <c r="N146" s="96" t="s">
        <v>338</v>
      </c>
      <c r="O146" s="96"/>
      <c r="P146" s="100">
        <v>43702</v>
      </c>
      <c r="Q146" s="96" t="s">
        <v>1328</v>
      </c>
      <c r="R146" s="96" t="s">
        <v>412</v>
      </c>
      <c r="S146" s="96" t="s">
        <v>407</v>
      </c>
      <c r="T146" s="96" t="s">
        <v>1200</v>
      </c>
      <c r="U146" s="97">
        <v>1.23</v>
      </c>
      <c r="V146" s="96" t="s">
        <v>3678</v>
      </c>
      <c r="W146" s="98">
        <v>3.44E-2</v>
      </c>
      <c r="X146" s="96"/>
      <c r="Y146" s="96"/>
      <c r="Z146" s="96"/>
      <c r="AA146" s="98">
        <v>2.9600000000000001E-2</v>
      </c>
      <c r="AB146" s="100">
        <v>46228</v>
      </c>
      <c r="AC146" s="96" t="s">
        <v>411</v>
      </c>
      <c r="AD146" s="96"/>
      <c r="AE146" s="96"/>
      <c r="AF146" s="96"/>
      <c r="AG146" s="100">
        <v>45382</v>
      </c>
      <c r="AH146" s="96"/>
      <c r="AI146" s="96"/>
      <c r="AJ146" s="96"/>
      <c r="AK146" s="96" t="s">
        <v>337</v>
      </c>
      <c r="AL146" s="96" t="s">
        <v>887</v>
      </c>
      <c r="AM146" s="96"/>
      <c r="AN146" s="96" t="s">
        <v>890</v>
      </c>
      <c r="AO146" s="100">
        <v>45473</v>
      </c>
      <c r="AP146" s="100">
        <v>45473</v>
      </c>
      <c r="AQ146" s="96"/>
      <c r="AR146" s="97">
        <v>710.40731600000004</v>
      </c>
      <c r="AS146" s="97">
        <v>113.53</v>
      </c>
      <c r="AT146" s="97">
        <v>1</v>
      </c>
      <c r="AU146" s="97">
        <v>0.80652500000000005</v>
      </c>
      <c r="AV146" s="97">
        <v>0.80652500000000005</v>
      </c>
      <c r="AW146" s="96"/>
      <c r="AX146" s="96"/>
      <c r="AY146" s="96"/>
      <c r="AZ146" s="96"/>
      <c r="BA146" s="98">
        <v>4.4799999999999999E-4</v>
      </c>
      <c r="BB146" s="98">
        <v>1.5E-5</v>
      </c>
      <c r="BC146" s="106"/>
    </row>
    <row r="147" spans="1:55" ht="15" customHeight="1">
      <c r="A147" s="106"/>
      <c r="B147" s="96">
        <v>286</v>
      </c>
      <c r="C147" s="96">
        <v>1445</v>
      </c>
      <c r="D147" s="96"/>
      <c r="E147" s="96"/>
      <c r="F147" s="96"/>
      <c r="G147" s="96">
        <v>25000444</v>
      </c>
      <c r="H147" s="96" t="s">
        <v>1013</v>
      </c>
      <c r="I147" s="96" t="s">
        <v>813</v>
      </c>
      <c r="J147" s="96" t="s">
        <v>203</v>
      </c>
      <c r="K147" s="96"/>
      <c r="L147" s="96" t="s">
        <v>484</v>
      </c>
      <c r="M147" s="96" t="s">
        <v>338</v>
      </c>
      <c r="N147" s="96" t="s">
        <v>337</v>
      </c>
      <c r="O147" s="96"/>
      <c r="P147" s="100">
        <v>43675</v>
      </c>
      <c r="Q147" s="96" t="s">
        <v>1357</v>
      </c>
      <c r="R147" s="96" t="s">
        <v>414</v>
      </c>
      <c r="S147" s="96" t="s">
        <v>407</v>
      </c>
      <c r="T147" s="96" t="s">
        <v>1200</v>
      </c>
      <c r="U147" s="97">
        <v>2.41</v>
      </c>
      <c r="V147" s="96" t="s">
        <v>3678</v>
      </c>
      <c r="W147" s="98">
        <v>2.1111000000000001E-2</v>
      </c>
      <c r="X147" s="96"/>
      <c r="Y147" s="96"/>
      <c r="Z147" s="96"/>
      <c r="AA147" s="98">
        <v>3.5000000000000003E-2</v>
      </c>
      <c r="AB147" s="100">
        <v>47118</v>
      </c>
      <c r="AC147" s="96" t="s">
        <v>411</v>
      </c>
      <c r="AD147" s="96"/>
      <c r="AE147" s="96"/>
      <c r="AF147" s="96"/>
      <c r="AG147" s="100">
        <v>45291</v>
      </c>
      <c r="AH147" s="96"/>
      <c r="AI147" s="96"/>
      <c r="AJ147" s="96"/>
      <c r="AK147" s="96" t="s">
        <v>337</v>
      </c>
      <c r="AL147" s="96" t="s">
        <v>887</v>
      </c>
      <c r="AM147" s="96"/>
      <c r="AN147" s="96" t="s">
        <v>890</v>
      </c>
      <c r="AO147" s="100">
        <v>45473</v>
      </c>
      <c r="AP147" s="100">
        <v>45473</v>
      </c>
      <c r="AQ147" s="96"/>
      <c r="AR147" s="97">
        <v>2494.3791590000001</v>
      </c>
      <c r="AS147" s="97">
        <v>108.95</v>
      </c>
      <c r="AT147" s="97">
        <v>1</v>
      </c>
      <c r="AU147" s="97">
        <v>2.7176260000000001</v>
      </c>
      <c r="AV147" s="97">
        <v>2.7176260000000001</v>
      </c>
      <c r="AW147" s="96"/>
      <c r="AX147" s="96"/>
      <c r="AY147" s="96"/>
      <c r="AZ147" s="96"/>
      <c r="BA147" s="98">
        <v>1.5120000000000001E-3</v>
      </c>
      <c r="BB147" s="98">
        <v>5.1E-5</v>
      </c>
      <c r="BC147" s="106"/>
    </row>
    <row r="148" spans="1:55" ht="15" customHeight="1">
      <c r="A148" s="106"/>
      <c r="B148" s="96">
        <v>286</v>
      </c>
      <c r="C148" s="96">
        <v>1445</v>
      </c>
      <c r="D148" s="96"/>
      <c r="E148" s="96"/>
      <c r="F148" s="96"/>
      <c r="G148" s="96">
        <v>25000443</v>
      </c>
      <c r="H148" s="96" t="s">
        <v>1013</v>
      </c>
      <c r="I148" s="96" t="s">
        <v>813</v>
      </c>
      <c r="J148" s="96" t="s">
        <v>203</v>
      </c>
      <c r="K148" s="96"/>
      <c r="L148" s="96" t="s">
        <v>484</v>
      </c>
      <c r="M148" s="96" t="s">
        <v>338</v>
      </c>
      <c r="N148" s="96" t="s">
        <v>337</v>
      </c>
      <c r="O148" s="96"/>
      <c r="P148" s="100">
        <v>43675</v>
      </c>
      <c r="Q148" s="96" t="s">
        <v>1305</v>
      </c>
      <c r="R148" s="96" t="s">
        <v>414</v>
      </c>
      <c r="S148" s="96" t="s">
        <v>407</v>
      </c>
      <c r="T148" s="96" t="s">
        <v>1200</v>
      </c>
      <c r="U148" s="97">
        <v>7.54</v>
      </c>
      <c r="V148" s="96" t="s">
        <v>3678</v>
      </c>
      <c r="W148" s="98">
        <v>2.9756999999999999E-2</v>
      </c>
      <c r="X148" s="96"/>
      <c r="Y148" s="96"/>
      <c r="Z148" s="96"/>
      <c r="AA148" s="98">
        <v>3.8100000000000002E-2</v>
      </c>
      <c r="AB148" s="100">
        <v>50770</v>
      </c>
      <c r="AC148" s="96" t="s">
        <v>411</v>
      </c>
      <c r="AD148" s="96"/>
      <c r="AE148" s="96"/>
      <c r="AF148" s="96"/>
      <c r="AG148" s="100">
        <v>45291</v>
      </c>
      <c r="AH148" s="96"/>
      <c r="AI148" s="96"/>
      <c r="AJ148" s="96"/>
      <c r="AK148" s="96" t="s">
        <v>337</v>
      </c>
      <c r="AL148" s="96" t="s">
        <v>887</v>
      </c>
      <c r="AM148" s="96"/>
      <c r="AN148" s="96" t="s">
        <v>890</v>
      </c>
      <c r="AO148" s="100">
        <v>45473</v>
      </c>
      <c r="AP148" s="100">
        <v>45473</v>
      </c>
      <c r="AQ148" s="96"/>
      <c r="AR148" s="97">
        <v>22344.473319000001</v>
      </c>
      <c r="AS148" s="97">
        <v>106.06</v>
      </c>
      <c r="AT148" s="97">
        <v>1</v>
      </c>
      <c r="AU148" s="97">
        <v>23.698547999999999</v>
      </c>
      <c r="AV148" s="97">
        <v>23.698547999999999</v>
      </c>
      <c r="AW148" s="96"/>
      <c r="AX148" s="96"/>
      <c r="AY148" s="96"/>
      <c r="AZ148" s="96"/>
      <c r="BA148" s="98">
        <v>1.3191E-2</v>
      </c>
      <c r="BB148" s="98">
        <v>4.5100000000000001E-4</v>
      </c>
      <c r="BC148" s="106"/>
    </row>
    <row r="149" spans="1:55" ht="15" customHeight="1">
      <c r="A149" s="106"/>
      <c r="B149" s="96">
        <v>286</v>
      </c>
      <c r="C149" s="96">
        <v>1445</v>
      </c>
      <c r="D149" s="96"/>
      <c r="E149" s="96"/>
      <c r="F149" s="96"/>
      <c r="G149" s="96">
        <v>25000442</v>
      </c>
      <c r="H149" s="96" t="s">
        <v>1013</v>
      </c>
      <c r="I149" s="96" t="s">
        <v>3680</v>
      </c>
      <c r="J149" s="96" t="s">
        <v>203</v>
      </c>
      <c r="K149" s="96"/>
      <c r="L149" s="96" t="s">
        <v>446</v>
      </c>
      <c r="M149" s="96" t="s">
        <v>338</v>
      </c>
      <c r="N149" s="96" t="s">
        <v>338</v>
      </c>
      <c r="O149" s="96"/>
      <c r="P149" s="100">
        <v>43675</v>
      </c>
      <c r="Q149" s="96" t="s">
        <v>1328</v>
      </c>
      <c r="R149" s="96" t="s">
        <v>412</v>
      </c>
      <c r="S149" s="96" t="s">
        <v>407</v>
      </c>
      <c r="T149" s="96" t="s">
        <v>1200</v>
      </c>
      <c r="U149" s="97">
        <v>1.22</v>
      </c>
      <c r="V149" s="96" t="s">
        <v>3678</v>
      </c>
      <c r="W149" s="98">
        <v>4.8500000000000001E-2</v>
      </c>
      <c r="X149" s="96"/>
      <c r="Y149" s="96"/>
      <c r="Z149" s="96"/>
      <c r="AA149" s="98">
        <v>5.8400000000000001E-2</v>
      </c>
      <c r="AB149" s="100">
        <v>46228</v>
      </c>
      <c r="AC149" s="96" t="s">
        <v>411</v>
      </c>
      <c r="AD149" s="96"/>
      <c r="AE149" s="96"/>
      <c r="AF149" s="96"/>
      <c r="AG149" s="100">
        <v>45382</v>
      </c>
      <c r="AH149" s="96"/>
      <c r="AI149" s="96"/>
      <c r="AJ149" s="96"/>
      <c r="AK149" s="96" t="s">
        <v>337</v>
      </c>
      <c r="AL149" s="96" t="s">
        <v>887</v>
      </c>
      <c r="AM149" s="96"/>
      <c r="AN149" s="96" t="s">
        <v>890</v>
      </c>
      <c r="AO149" s="100">
        <v>45473</v>
      </c>
      <c r="AP149" s="100">
        <v>45473</v>
      </c>
      <c r="AQ149" s="96"/>
      <c r="AR149" s="97">
        <v>710.40730699999995</v>
      </c>
      <c r="AS149" s="97">
        <v>98.91</v>
      </c>
      <c r="AT149" s="97">
        <v>1</v>
      </c>
      <c r="AU149" s="97">
        <v>0.70266300000000004</v>
      </c>
      <c r="AV149" s="97">
        <v>0.70266300000000004</v>
      </c>
      <c r="AW149" s="96"/>
      <c r="AX149" s="96"/>
      <c r="AY149" s="96"/>
      <c r="AZ149" s="96"/>
      <c r="BA149" s="98">
        <v>3.9100000000000002E-4</v>
      </c>
      <c r="BB149" s="98">
        <v>1.2999999999999999E-5</v>
      </c>
      <c r="BC149" s="106"/>
    </row>
    <row r="150" spans="1:55" ht="15" customHeight="1">
      <c r="A150" s="106"/>
      <c r="B150" s="96">
        <v>286</v>
      </c>
      <c r="C150" s="96">
        <v>1445</v>
      </c>
      <c r="D150" s="96"/>
      <c r="E150" s="96"/>
      <c r="F150" s="96"/>
      <c r="G150" s="96">
        <v>25000436</v>
      </c>
      <c r="H150" s="96" t="s">
        <v>1013</v>
      </c>
      <c r="I150" s="96"/>
      <c r="J150" s="96" t="s">
        <v>203</v>
      </c>
      <c r="K150" s="96"/>
      <c r="L150" s="96" t="s">
        <v>477</v>
      </c>
      <c r="M150" s="96" t="s">
        <v>338</v>
      </c>
      <c r="N150" s="96" t="s">
        <v>338</v>
      </c>
      <c r="O150" s="96"/>
      <c r="P150" s="100">
        <v>43643</v>
      </c>
      <c r="Q150" s="96" t="s">
        <v>409</v>
      </c>
      <c r="R150" s="96" t="s">
        <v>409</v>
      </c>
      <c r="S150" s="96" t="s">
        <v>409</v>
      </c>
      <c r="T150" s="96" t="s">
        <v>1200</v>
      </c>
      <c r="U150" s="97">
        <v>1.19</v>
      </c>
      <c r="V150" s="96" t="s">
        <v>3678</v>
      </c>
      <c r="W150" s="98">
        <v>3.5000000000000003E-2</v>
      </c>
      <c r="X150" s="96"/>
      <c r="Y150" s="96"/>
      <c r="Z150" s="96"/>
      <c r="AA150" s="98">
        <v>3.1600000000000003E-2</v>
      </c>
      <c r="AB150" s="100">
        <v>46752</v>
      </c>
      <c r="AC150" s="96" t="s">
        <v>411</v>
      </c>
      <c r="AD150" s="96"/>
      <c r="AE150" s="96"/>
      <c r="AF150" s="96"/>
      <c r="AG150" s="100">
        <v>43433</v>
      </c>
      <c r="AH150" s="96"/>
      <c r="AI150" s="96"/>
      <c r="AJ150" s="96"/>
      <c r="AK150" s="96" t="s">
        <v>337</v>
      </c>
      <c r="AL150" s="96" t="s">
        <v>887</v>
      </c>
      <c r="AM150" s="96"/>
      <c r="AN150" s="96" t="s">
        <v>890</v>
      </c>
      <c r="AO150" s="100">
        <v>45473</v>
      </c>
      <c r="AP150" s="100">
        <v>45473</v>
      </c>
      <c r="AQ150" s="96"/>
      <c r="AR150" s="97">
        <v>1231.625871</v>
      </c>
      <c r="AS150" s="97">
        <v>112.69</v>
      </c>
      <c r="AT150" s="97">
        <v>1</v>
      </c>
      <c r="AU150" s="97">
        <v>1.3879189999999999</v>
      </c>
      <c r="AV150" s="97">
        <v>1.3879189999999999</v>
      </c>
      <c r="AW150" s="96"/>
      <c r="AX150" s="96"/>
      <c r="AY150" s="96"/>
      <c r="AZ150" s="96"/>
      <c r="BA150" s="98">
        <v>7.7200000000000001E-4</v>
      </c>
      <c r="BB150" s="98">
        <v>2.5999999999999998E-5</v>
      </c>
      <c r="BC150" s="106"/>
    </row>
    <row r="151" spans="1:55" ht="15" customHeight="1">
      <c r="A151" s="106"/>
      <c r="B151" s="96">
        <v>286</v>
      </c>
      <c r="C151" s="96">
        <v>1445</v>
      </c>
      <c r="D151" s="96"/>
      <c r="E151" s="96"/>
      <c r="F151" s="96"/>
      <c r="G151" s="96">
        <v>25000433</v>
      </c>
      <c r="H151" s="96" t="s">
        <v>1013</v>
      </c>
      <c r="I151" s="96" t="s">
        <v>818</v>
      </c>
      <c r="J151" s="96" t="s">
        <v>203</v>
      </c>
      <c r="K151" s="96"/>
      <c r="L151" s="96" t="s">
        <v>483</v>
      </c>
      <c r="M151" s="96" t="s">
        <v>338</v>
      </c>
      <c r="N151" s="96" t="s">
        <v>338</v>
      </c>
      <c r="O151" s="96"/>
      <c r="P151" s="100">
        <v>43620</v>
      </c>
      <c r="Q151" s="96" t="s">
        <v>1332</v>
      </c>
      <c r="R151" s="96" t="s">
        <v>412</v>
      </c>
      <c r="S151" s="96" t="s">
        <v>407</v>
      </c>
      <c r="T151" s="96" t="s">
        <v>1200</v>
      </c>
      <c r="U151" s="97">
        <v>3.3</v>
      </c>
      <c r="V151" s="96" t="s">
        <v>3678</v>
      </c>
      <c r="W151" s="98">
        <v>3.6400000000000002E-2</v>
      </c>
      <c r="X151" s="96"/>
      <c r="Y151" s="96"/>
      <c r="Z151" s="96"/>
      <c r="AA151" s="98">
        <v>5.8200000000000002E-2</v>
      </c>
      <c r="AB151" s="100">
        <v>47635</v>
      </c>
      <c r="AC151" s="96" t="s">
        <v>411</v>
      </c>
      <c r="AD151" s="96"/>
      <c r="AE151" s="96"/>
      <c r="AF151" s="96"/>
      <c r="AG151" s="100"/>
      <c r="AH151" s="96"/>
      <c r="AI151" s="96"/>
      <c r="AJ151" s="96"/>
      <c r="AK151" s="96" t="s">
        <v>337</v>
      </c>
      <c r="AL151" s="96" t="s">
        <v>887</v>
      </c>
      <c r="AM151" s="96"/>
      <c r="AN151" s="96" t="s">
        <v>890</v>
      </c>
      <c r="AO151" s="100">
        <v>45473</v>
      </c>
      <c r="AP151" s="100">
        <v>45473</v>
      </c>
      <c r="AQ151" s="96"/>
      <c r="AR151" s="97">
        <v>35401.954642999997</v>
      </c>
      <c r="AS151" s="97">
        <v>93.68</v>
      </c>
      <c r="AT151" s="97">
        <v>1</v>
      </c>
      <c r="AU151" s="97">
        <v>33.164551000000003</v>
      </c>
      <c r="AV151" s="97">
        <v>33.164551000000003</v>
      </c>
      <c r="AW151" s="96"/>
      <c r="AX151" s="96"/>
      <c r="AY151" s="96"/>
      <c r="AZ151" s="96"/>
      <c r="BA151" s="98">
        <v>1.8460000000000001E-2</v>
      </c>
      <c r="BB151" s="98">
        <v>6.3100000000000005E-4</v>
      </c>
      <c r="BC151" s="106"/>
    </row>
    <row r="152" spans="1:55" ht="15" customHeight="1">
      <c r="A152" s="106"/>
      <c r="B152" s="96">
        <v>286</v>
      </c>
      <c r="C152" s="96">
        <v>1445</v>
      </c>
      <c r="D152" s="96"/>
      <c r="E152" s="96"/>
      <c r="F152" s="96"/>
      <c r="G152" s="96">
        <v>25000481</v>
      </c>
      <c r="H152" s="96" t="s">
        <v>1013</v>
      </c>
      <c r="I152" s="96" t="s">
        <v>818</v>
      </c>
      <c r="J152" s="96" t="s">
        <v>203</v>
      </c>
      <c r="K152" s="96"/>
      <c r="L152" s="96" t="s">
        <v>473</v>
      </c>
      <c r="M152" s="96" t="s">
        <v>338</v>
      </c>
      <c r="N152" s="96" t="s">
        <v>337</v>
      </c>
      <c r="O152" s="96"/>
      <c r="P152" s="100">
        <v>43873</v>
      </c>
      <c r="Q152" s="96" t="s">
        <v>409</v>
      </c>
      <c r="R152" s="96" t="s">
        <v>409</v>
      </c>
      <c r="S152" s="96" t="s">
        <v>409</v>
      </c>
      <c r="T152" s="96" t="s">
        <v>1200</v>
      </c>
      <c r="U152" s="97">
        <v>4.83</v>
      </c>
      <c r="V152" s="96" t="s">
        <v>3678</v>
      </c>
      <c r="W152" s="98">
        <v>2.3300000000000001E-2</v>
      </c>
      <c r="X152" s="96"/>
      <c r="Y152" s="96"/>
      <c r="Z152" s="96"/>
      <c r="AA152" s="98">
        <v>3.6700000000000003E-2</v>
      </c>
      <c r="AB152" s="100">
        <v>49352</v>
      </c>
      <c r="AC152" s="96" t="s">
        <v>411</v>
      </c>
      <c r="AD152" s="96"/>
      <c r="AE152" s="96"/>
      <c r="AF152" s="96"/>
      <c r="AG152" s="100">
        <v>45199</v>
      </c>
      <c r="AH152" s="96"/>
      <c r="AI152" s="96"/>
      <c r="AJ152" s="96"/>
      <c r="AK152" s="96" t="s">
        <v>337</v>
      </c>
      <c r="AL152" s="96" t="s">
        <v>887</v>
      </c>
      <c r="AM152" s="96"/>
      <c r="AN152" s="96" t="s">
        <v>890</v>
      </c>
      <c r="AO152" s="100">
        <v>45473</v>
      </c>
      <c r="AP152" s="100">
        <v>45473</v>
      </c>
      <c r="AQ152" s="96"/>
      <c r="AR152" s="97">
        <v>28505.360000000001</v>
      </c>
      <c r="AS152" s="97">
        <v>106.31</v>
      </c>
      <c r="AT152" s="97">
        <v>1</v>
      </c>
      <c r="AU152" s="97">
        <v>30.30405</v>
      </c>
      <c r="AV152" s="97">
        <v>30.30405</v>
      </c>
      <c r="AW152" s="96"/>
      <c r="AX152" s="96"/>
      <c r="AY152" s="96"/>
      <c r="AZ152" s="96"/>
      <c r="BA152" s="98">
        <v>1.6868000000000001E-2</v>
      </c>
      <c r="BB152" s="98">
        <v>5.7700000000000004E-4</v>
      </c>
      <c r="BC152" s="106"/>
    </row>
    <row r="153" spans="1:55" ht="15" customHeight="1">
      <c r="A153" s="106"/>
      <c r="B153" s="96">
        <v>286</v>
      </c>
      <c r="C153" s="96">
        <v>1445</v>
      </c>
      <c r="D153" s="96"/>
      <c r="E153" s="96"/>
      <c r="F153" s="96"/>
      <c r="G153" s="96">
        <v>25000415</v>
      </c>
      <c r="H153" s="96" t="s">
        <v>1013</v>
      </c>
      <c r="I153" s="96" t="s">
        <v>812</v>
      </c>
      <c r="J153" s="96" t="s">
        <v>203</v>
      </c>
      <c r="K153" s="96"/>
      <c r="L153" s="96" t="s">
        <v>454</v>
      </c>
      <c r="M153" s="96" t="s">
        <v>338</v>
      </c>
      <c r="N153" s="96" t="s">
        <v>337</v>
      </c>
      <c r="O153" s="96"/>
      <c r="P153" s="100">
        <v>43559</v>
      </c>
      <c r="Q153" s="96" t="s">
        <v>1357</v>
      </c>
      <c r="R153" s="96" t="s">
        <v>414</v>
      </c>
      <c r="S153" s="96" t="s">
        <v>407</v>
      </c>
      <c r="T153" s="96" t="s">
        <v>1200</v>
      </c>
      <c r="U153" s="97">
        <v>7.34</v>
      </c>
      <c r="V153" s="96" t="s">
        <v>3678</v>
      </c>
      <c r="W153" s="98">
        <v>3.7199999999999997E-2</v>
      </c>
      <c r="X153" s="96"/>
      <c r="Y153" s="96"/>
      <c r="Z153" s="96"/>
      <c r="AA153" s="98">
        <v>3.8600000000000002E-2</v>
      </c>
      <c r="AB153" s="100">
        <v>51677</v>
      </c>
      <c r="AC153" s="96" t="s">
        <v>411</v>
      </c>
      <c r="AD153" s="96"/>
      <c r="AE153" s="96"/>
      <c r="AF153" s="96"/>
      <c r="AG153" s="100">
        <v>45291</v>
      </c>
      <c r="AH153" s="96"/>
      <c r="AI153" s="96"/>
      <c r="AJ153" s="96"/>
      <c r="AK153" s="96" t="s">
        <v>337</v>
      </c>
      <c r="AL153" s="96" t="s">
        <v>887</v>
      </c>
      <c r="AM153" s="96"/>
      <c r="AN153" s="96" t="s">
        <v>890</v>
      </c>
      <c r="AO153" s="100">
        <v>45473</v>
      </c>
      <c r="AP153" s="100">
        <v>45473</v>
      </c>
      <c r="AQ153" s="96"/>
      <c r="AR153" s="97">
        <v>23393.96</v>
      </c>
      <c r="AS153" s="97">
        <v>110.21</v>
      </c>
      <c r="AT153" s="97">
        <v>1</v>
      </c>
      <c r="AU153" s="97">
        <v>25.78248</v>
      </c>
      <c r="AV153" s="97">
        <v>25.78248</v>
      </c>
      <c r="AW153" s="96"/>
      <c r="AX153" s="96"/>
      <c r="AY153" s="96"/>
      <c r="AZ153" s="96"/>
      <c r="BA153" s="98">
        <v>1.4350999999999999E-2</v>
      </c>
      <c r="BB153" s="98">
        <v>4.8999999999999998E-4</v>
      </c>
      <c r="BC153" s="106"/>
    </row>
    <row r="154" spans="1:55" ht="15" customHeight="1">
      <c r="A154" s="106"/>
      <c r="B154" s="96">
        <v>286</v>
      </c>
      <c r="C154" s="96">
        <v>1445</v>
      </c>
      <c r="D154" s="96"/>
      <c r="E154" s="96"/>
      <c r="F154" s="96"/>
      <c r="G154" s="96">
        <v>25000482</v>
      </c>
      <c r="H154" s="96" t="s">
        <v>1013</v>
      </c>
      <c r="I154" s="96" t="s">
        <v>818</v>
      </c>
      <c r="J154" s="96" t="s">
        <v>203</v>
      </c>
      <c r="K154" s="96"/>
      <c r="L154" s="96" t="s">
        <v>473</v>
      </c>
      <c r="M154" s="96" t="s">
        <v>338</v>
      </c>
      <c r="N154" s="96" t="s">
        <v>337</v>
      </c>
      <c r="O154" s="96"/>
      <c r="P154" s="100">
        <v>43873</v>
      </c>
      <c r="Q154" s="96" t="s">
        <v>409</v>
      </c>
      <c r="R154" s="96" t="s">
        <v>409</v>
      </c>
      <c r="S154" s="96" t="s">
        <v>409</v>
      </c>
      <c r="T154" s="96" t="s">
        <v>1200</v>
      </c>
      <c r="U154" s="97">
        <v>4.5</v>
      </c>
      <c r="V154" s="96" t="s">
        <v>3678</v>
      </c>
      <c r="W154" s="98">
        <v>3.5299999999999998E-2</v>
      </c>
      <c r="X154" s="96"/>
      <c r="Y154" s="96"/>
      <c r="Z154" s="96"/>
      <c r="AA154" s="98">
        <v>6.4100000000000004E-2</v>
      </c>
      <c r="AB154" s="100">
        <v>49352</v>
      </c>
      <c r="AC154" s="96" t="s">
        <v>411</v>
      </c>
      <c r="AD154" s="96"/>
      <c r="AE154" s="96"/>
      <c r="AF154" s="96"/>
      <c r="AG154" s="100">
        <v>45199</v>
      </c>
      <c r="AH154" s="96"/>
      <c r="AI154" s="96"/>
      <c r="AJ154" s="96"/>
      <c r="AK154" s="96" t="s">
        <v>337</v>
      </c>
      <c r="AL154" s="96" t="s">
        <v>887</v>
      </c>
      <c r="AM154" s="96"/>
      <c r="AN154" s="96" t="s">
        <v>890</v>
      </c>
      <c r="AO154" s="100">
        <v>45473</v>
      </c>
      <c r="AP154" s="100">
        <v>45473</v>
      </c>
      <c r="AQ154" s="96"/>
      <c r="AR154" s="97">
        <v>13258.39</v>
      </c>
      <c r="AS154" s="97">
        <v>88.67</v>
      </c>
      <c r="AT154" s="97">
        <v>1</v>
      </c>
      <c r="AU154" s="97">
        <v>11.756209999999999</v>
      </c>
      <c r="AV154" s="97">
        <v>11.756209999999999</v>
      </c>
      <c r="AW154" s="96"/>
      <c r="AX154" s="96"/>
      <c r="AY154" s="96"/>
      <c r="AZ154" s="96"/>
      <c r="BA154" s="98">
        <v>6.5430000000000002E-3</v>
      </c>
      <c r="BB154" s="98">
        <v>2.23E-4</v>
      </c>
      <c r="BC154" s="106"/>
    </row>
    <row r="155" spans="1:55" ht="15" customHeight="1">
      <c r="A155" s="106"/>
      <c r="B155" s="96">
        <v>286</v>
      </c>
      <c r="C155" s="96">
        <v>1445</v>
      </c>
      <c r="D155" s="96"/>
      <c r="E155" s="96"/>
      <c r="F155" s="96"/>
      <c r="G155" s="96">
        <v>25000494</v>
      </c>
      <c r="H155" s="96" t="s">
        <v>1013</v>
      </c>
      <c r="I155" s="96" t="s">
        <v>785</v>
      </c>
      <c r="J155" s="96" t="s">
        <v>203</v>
      </c>
      <c r="K155" s="96"/>
      <c r="L155" s="96" t="s">
        <v>463</v>
      </c>
      <c r="M155" s="96" t="s">
        <v>338</v>
      </c>
      <c r="N155" s="96" t="s">
        <v>338</v>
      </c>
      <c r="O155" s="96"/>
      <c r="P155" s="100">
        <v>43909</v>
      </c>
      <c r="Q155" s="96" t="s">
        <v>1309</v>
      </c>
      <c r="R155" s="96" t="s">
        <v>414</v>
      </c>
      <c r="S155" s="96" t="s">
        <v>407</v>
      </c>
      <c r="T155" s="96" t="s">
        <v>1200</v>
      </c>
      <c r="U155" s="97">
        <v>2.25</v>
      </c>
      <c r="V155" s="96" t="s">
        <v>3678</v>
      </c>
      <c r="W155" s="98">
        <v>3.4299999999999997E-2</v>
      </c>
      <c r="X155" s="96"/>
      <c r="Y155" s="96"/>
      <c r="Z155" s="96"/>
      <c r="AA155" s="98">
        <v>6.4600000000000005E-2</v>
      </c>
      <c r="AB155" s="100">
        <v>47187</v>
      </c>
      <c r="AC155" s="96" t="s">
        <v>411</v>
      </c>
      <c r="AD155" s="96"/>
      <c r="AE155" s="96"/>
      <c r="AF155" s="96"/>
      <c r="AG155" s="100">
        <v>45004</v>
      </c>
      <c r="AH155" s="96"/>
      <c r="AI155" s="96"/>
      <c r="AJ155" s="96"/>
      <c r="AK155" s="96" t="s">
        <v>337</v>
      </c>
      <c r="AL155" s="96" t="s">
        <v>887</v>
      </c>
      <c r="AM155" s="96"/>
      <c r="AN155" s="96" t="s">
        <v>890</v>
      </c>
      <c r="AO155" s="100">
        <v>45473</v>
      </c>
      <c r="AP155" s="100">
        <v>45473</v>
      </c>
      <c r="AQ155" s="96"/>
      <c r="AR155" s="97">
        <v>2137.7992410000002</v>
      </c>
      <c r="AS155" s="97">
        <v>94.66</v>
      </c>
      <c r="AT155" s="97">
        <v>1</v>
      </c>
      <c r="AU155" s="97">
        <v>2.0236399999999999</v>
      </c>
      <c r="AV155" s="97">
        <v>2.0236399999999999</v>
      </c>
      <c r="AW155" s="96"/>
      <c r="AX155" s="96"/>
      <c r="AY155" s="96"/>
      <c r="AZ155" s="96"/>
      <c r="BA155" s="98">
        <v>1.126E-3</v>
      </c>
      <c r="BB155" s="98">
        <v>3.8000000000000002E-5</v>
      </c>
      <c r="BC155" s="106"/>
    </row>
    <row r="156" spans="1:55" ht="15" customHeight="1">
      <c r="A156" s="106"/>
      <c r="B156" s="96">
        <v>286</v>
      </c>
      <c r="C156" s="96">
        <v>1445</v>
      </c>
      <c r="D156" s="96"/>
      <c r="E156" s="96"/>
      <c r="F156" s="96"/>
      <c r="G156" s="96">
        <v>25000579</v>
      </c>
      <c r="H156" s="96" t="s">
        <v>1013</v>
      </c>
      <c r="I156" s="96" t="s">
        <v>813</v>
      </c>
      <c r="J156" s="96" t="s">
        <v>203</v>
      </c>
      <c r="K156" s="96"/>
      <c r="L156" s="96" t="s">
        <v>470</v>
      </c>
      <c r="M156" s="96" t="s">
        <v>338</v>
      </c>
      <c r="N156" s="96" t="s">
        <v>337</v>
      </c>
      <c r="O156" s="96"/>
      <c r="P156" s="100">
        <v>44227</v>
      </c>
      <c r="Q156" s="96" t="s">
        <v>1520</v>
      </c>
      <c r="R156" s="96" t="s">
        <v>414</v>
      </c>
      <c r="S156" s="96" t="s">
        <v>407</v>
      </c>
      <c r="T156" s="96" t="s">
        <v>1200</v>
      </c>
      <c r="U156" s="97">
        <v>4.3499999999999996</v>
      </c>
      <c r="V156" s="96" t="s">
        <v>3678</v>
      </c>
      <c r="W156" s="98">
        <v>7.9089999999999994E-3</v>
      </c>
      <c r="X156" s="96"/>
      <c r="Y156" s="96"/>
      <c r="Z156" s="96"/>
      <c r="AA156" s="98">
        <v>3.5900000000000001E-2</v>
      </c>
      <c r="AB156" s="100">
        <v>48852</v>
      </c>
      <c r="AC156" s="96" t="s">
        <v>411</v>
      </c>
      <c r="AD156" s="96"/>
      <c r="AE156" s="96"/>
      <c r="AF156" s="96"/>
      <c r="AG156" s="100">
        <v>45291</v>
      </c>
      <c r="AH156" s="96"/>
      <c r="AI156" s="96"/>
      <c r="AJ156" s="96"/>
      <c r="AK156" s="96" t="s">
        <v>337</v>
      </c>
      <c r="AL156" s="96" t="s">
        <v>887</v>
      </c>
      <c r="AM156" s="96"/>
      <c r="AN156" s="96" t="s">
        <v>890</v>
      </c>
      <c r="AO156" s="100">
        <v>45473</v>
      </c>
      <c r="AP156" s="100">
        <v>45473</v>
      </c>
      <c r="AQ156" s="96"/>
      <c r="AR156" s="97">
        <v>597.511977</v>
      </c>
      <c r="AS156" s="97">
        <v>100.79</v>
      </c>
      <c r="AT156" s="97">
        <v>1</v>
      </c>
      <c r="AU156" s="97">
        <v>0.60223199999999999</v>
      </c>
      <c r="AV156" s="97">
        <v>0.60223199999999999</v>
      </c>
      <c r="AW156" s="96"/>
      <c r="AX156" s="96"/>
      <c r="AY156" s="96"/>
      <c r="AZ156" s="96"/>
      <c r="BA156" s="98">
        <v>3.3500000000000001E-4</v>
      </c>
      <c r="BB156" s="98">
        <v>1.1E-5</v>
      </c>
      <c r="BC156" s="106"/>
    </row>
    <row r="157" spans="1:55" ht="15" customHeight="1">
      <c r="A157" s="106"/>
      <c r="B157" s="96">
        <v>286</v>
      </c>
      <c r="C157" s="96">
        <v>1445</v>
      </c>
      <c r="D157" s="96"/>
      <c r="E157" s="96"/>
      <c r="F157" s="96"/>
      <c r="G157" s="96">
        <v>25000578</v>
      </c>
      <c r="H157" s="96" t="s">
        <v>1013</v>
      </c>
      <c r="I157" s="96" t="s">
        <v>813</v>
      </c>
      <c r="J157" s="96" t="s">
        <v>203</v>
      </c>
      <c r="K157" s="96"/>
      <c r="L157" s="96" t="s">
        <v>470</v>
      </c>
      <c r="M157" s="96" t="s">
        <v>338</v>
      </c>
      <c r="N157" s="96" t="s">
        <v>337</v>
      </c>
      <c r="O157" s="96"/>
      <c r="P157" s="100">
        <v>44227</v>
      </c>
      <c r="Q157" s="96" t="s">
        <v>1357</v>
      </c>
      <c r="R157" s="96" t="s">
        <v>414</v>
      </c>
      <c r="S157" s="96" t="s">
        <v>407</v>
      </c>
      <c r="T157" s="96" t="s">
        <v>1200</v>
      </c>
      <c r="U157" s="97">
        <v>4.1900000000000004</v>
      </c>
      <c r="V157" s="96" t="s">
        <v>3678</v>
      </c>
      <c r="W157" s="98">
        <v>7.6629999999999997E-3</v>
      </c>
      <c r="X157" s="96"/>
      <c r="Y157" s="96"/>
      <c r="Z157" s="96"/>
      <c r="AA157" s="98">
        <v>3.5400000000000001E-2</v>
      </c>
      <c r="AB157" s="100">
        <v>48760</v>
      </c>
      <c r="AC157" s="96" t="s">
        <v>411</v>
      </c>
      <c r="AD157" s="96"/>
      <c r="AE157" s="96"/>
      <c r="AF157" s="96"/>
      <c r="AG157" s="100">
        <v>45291</v>
      </c>
      <c r="AH157" s="96"/>
      <c r="AI157" s="96"/>
      <c r="AJ157" s="96"/>
      <c r="AK157" s="96" t="s">
        <v>337</v>
      </c>
      <c r="AL157" s="96" t="s">
        <v>887</v>
      </c>
      <c r="AM157" s="96"/>
      <c r="AN157" s="96" t="s">
        <v>890</v>
      </c>
      <c r="AO157" s="100">
        <v>45473</v>
      </c>
      <c r="AP157" s="100">
        <v>45473</v>
      </c>
      <c r="AQ157" s="96"/>
      <c r="AR157" s="97">
        <v>2037.6707329999999</v>
      </c>
      <c r="AS157" s="97">
        <v>101.34</v>
      </c>
      <c r="AT157" s="97">
        <v>1</v>
      </c>
      <c r="AU157" s="97">
        <v>2.064975</v>
      </c>
      <c r="AV157" s="97">
        <v>2.064975</v>
      </c>
      <c r="AW157" s="96"/>
      <c r="AX157" s="96"/>
      <c r="AY157" s="96"/>
      <c r="AZ157" s="96"/>
      <c r="BA157" s="98">
        <v>1.1490000000000001E-3</v>
      </c>
      <c r="BB157" s="98">
        <v>3.8999999999999999E-5</v>
      </c>
      <c r="BC157" s="106"/>
    </row>
    <row r="158" spans="1:55" ht="15" customHeight="1">
      <c r="A158" s="106"/>
      <c r="B158" s="96">
        <v>286</v>
      </c>
      <c r="C158" s="96">
        <v>1445</v>
      </c>
      <c r="D158" s="96"/>
      <c r="E158" s="96"/>
      <c r="F158" s="96"/>
      <c r="G158" s="96">
        <v>25000577</v>
      </c>
      <c r="H158" s="96" t="s">
        <v>1013</v>
      </c>
      <c r="I158" s="96" t="s">
        <v>813</v>
      </c>
      <c r="J158" s="96" t="s">
        <v>203</v>
      </c>
      <c r="K158" s="96"/>
      <c r="L158" s="96" t="s">
        <v>470</v>
      </c>
      <c r="M158" s="96" t="s">
        <v>338</v>
      </c>
      <c r="N158" s="96" t="s">
        <v>337</v>
      </c>
      <c r="O158" s="96"/>
      <c r="P158" s="100">
        <v>44227</v>
      </c>
      <c r="Q158" s="96" t="s">
        <v>1520</v>
      </c>
      <c r="R158" s="96" t="s">
        <v>414</v>
      </c>
      <c r="S158" s="96" t="s">
        <v>407</v>
      </c>
      <c r="T158" s="96" t="s">
        <v>1200</v>
      </c>
      <c r="U158" s="97">
        <v>4.46</v>
      </c>
      <c r="V158" s="96" t="s">
        <v>3678</v>
      </c>
      <c r="W158" s="98">
        <v>8.0000000000000002E-3</v>
      </c>
      <c r="X158" s="96"/>
      <c r="Y158" s="96"/>
      <c r="Z158" s="96"/>
      <c r="AA158" s="98">
        <v>3.5999999999999997E-2</v>
      </c>
      <c r="AB158" s="100">
        <v>48944</v>
      </c>
      <c r="AC158" s="96" t="s">
        <v>411</v>
      </c>
      <c r="AD158" s="96"/>
      <c r="AE158" s="96"/>
      <c r="AF158" s="96"/>
      <c r="AG158" s="100">
        <v>45291</v>
      </c>
      <c r="AH158" s="96"/>
      <c r="AI158" s="96"/>
      <c r="AJ158" s="96"/>
      <c r="AK158" s="96" t="s">
        <v>337</v>
      </c>
      <c r="AL158" s="96" t="s">
        <v>887</v>
      </c>
      <c r="AM158" s="96"/>
      <c r="AN158" s="96" t="s">
        <v>890</v>
      </c>
      <c r="AO158" s="100">
        <v>45473</v>
      </c>
      <c r="AP158" s="100">
        <v>45473</v>
      </c>
      <c r="AQ158" s="96"/>
      <c r="AR158" s="97">
        <v>1045.514277</v>
      </c>
      <c r="AS158" s="97">
        <v>100.48</v>
      </c>
      <c r="AT158" s="97">
        <v>1</v>
      </c>
      <c r="AU158" s="97">
        <v>1.050532</v>
      </c>
      <c r="AV158" s="97">
        <v>1.050532</v>
      </c>
      <c r="AW158" s="96"/>
      <c r="AX158" s="96"/>
      <c r="AY158" s="96"/>
      <c r="AZ158" s="96"/>
      <c r="BA158" s="98">
        <v>5.8399999999999999E-4</v>
      </c>
      <c r="BB158" s="98">
        <v>2.0000000000000002E-5</v>
      </c>
      <c r="BC158" s="106"/>
    </row>
    <row r="159" spans="1:55" ht="15" customHeight="1">
      <c r="A159" s="106"/>
      <c r="B159" s="96">
        <v>286</v>
      </c>
      <c r="C159" s="96">
        <v>1445</v>
      </c>
      <c r="D159" s="96"/>
      <c r="E159" s="96"/>
      <c r="F159" s="96"/>
      <c r="G159" s="96">
        <v>25000576</v>
      </c>
      <c r="H159" s="96" t="s">
        <v>1013</v>
      </c>
      <c r="I159" s="96" t="s">
        <v>813</v>
      </c>
      <c r="J159" s="96" t="s">
        <v>203</v>
      </c>
      <c r="K159" s="96"/>
      <c r="L159" s="96" t="s">
        <v>470</v>
      </c>
      <c r="M159" s="96" t="s">
        <v>338</v>
      </c>
      <c r="N159" s="96" t="s">
        <v>337</v>
      </c>
      <c r="O159" s="96"/>
      <c r="P159" s="100">
        <v>44227</v>
      </c>
      <c r="Q159" s="96" t="s">
        <v>1520</v>
      </c>
      <c r="R159" s="96" t="s">
        <v>414</v>
      </c>
      <c r="S159" s="96" t="s">
        <v>407</v>
      </c>
      <c r="T159" s="96" t="s">
        <v>1200</v>
      </c>
      <c r="U159" s="97">
        <v>5.22</v>
      </c>
      <c r="V159" s="96" t="s">
        <v>3678</v>
      </c>
      <c r="W159" s="98">
        <v>8.6840000000000007E-3</v>
      </c>
      <c r="X159" s="96"/>
      <c r="Y159" s="96"/>
      <c r="Z159" s="96"/>
      <c r="AA159" s="98">
        <v>2.87E-2</v>
      </c>
      <c r="AB159" s="100">
        <v>49582</v>
      </c>
      <c r="AC159" s="96" t="s">
        <v>411</v>
      </c>
      <c r="AD159" s="96"/>
      <c r="AE159" s="96"/>
      <c r="AF159" s="96"/>
      <c r="AG159" s="100">
        <v>45291</v>
      </c>
      <c r="AH159" s="96"/>
      <c r="AI159" s="96"/>
      <c r="AJ159" s="96"/>
      <c r="AK159" s="96" t="s">
        <v>337</v>
      </c>
      <c r="AL159" s="96" t="s">
        <v>887</v>
      </c>
      <c r="AM159" s="96"/>
      <c r="AN159" s="96" t="s">
        <v>890</v>
      </c>
      <c r="AO159" s="100">
        <v>45473</v>
      </c>
      <c r="AP159" s="100">
        <v>45473</v>
      </c>
      <c r="AQ159" s="96"/>
      <c r="AR159" s="97">
        <v>8957.0162899999996</v>
      </c>
      <c r="AS159" s="97">
        <v>102.58</v>
      </c>
      <c r="AT159" s="97">
        <v>1</v>
      </c>
      <c r="AU159" s="97">
        <v>9.1881070000000005</v>
      </c>
      <c r="AV159" s="97">
        <v>9.1881070000000005</v>
      </c>
      <c r="AW159" s="96"/>
      <c r="AX159" s="96"/>
      <c r="AY159" s="96"/>
      <c r="AZ159" s="96"/>
      <c r="BA159" s="98">
        <v>5.1139999999999996E-3</v>
      </c>
      <c r="BB159" s="98">
        <v>1.74E-4</v>
      </c>
      <c r="BC159" s="106"/>
    </row>
    <row r="160" spans="1:55" ht="15" customHeight="1">
      <c r="A160" s="106"/>
      <c r="B160" s="96">
        <v>286</v>
      </c>
      <c r="C160" s="96">
        <v>1445</v>
      </c>
      <c r="D160" s="96"/>
      <c r="E160" s="96"/>
      <c r="F160" s="96"/>
      <c r="G160" s="96">
        <v>25000573</v>
      </c>
      <c r="H160" s="96" t="s">
        <v>1013</v>
      </c>
      <c r="I160" s="96" t="s">
        <v>812</v>
      </c>
      <c r="J160" s="96" t="s">
        <v>203</v>
      </c>
      <c r="K160" s="96"/>
      <c r="L160" s="96" t="s">
        <v>454</v>
      </c>
      <c r="M160" s="96" t="s">
        <v>338</v>
      </c>
      <c r="N160" s="96" t="s">
        <v>337</v>
      </c>
      <c r="O160" s="96"/>
      <c r="P160" s="100">
        <v>44200</v>
      </c>
      <c r="Q160" s="96" t="s">
        <v>1357</v>
      </c>
      <c r="R160" s="96" t="s">
        <v>414</v>
      </c>
      <c r="S160" s="96" t="s">
        <v>407</v>
      </c>
      <c r="T160" s="96" t="s">
        <v>1200</v>
      </c>
      <c r="U160" s="97">
        <v>7.24</v>
      </c>
      <c r="V160" s="96" t="s">
        <v>3678</v>
      </c>
      <c r="W160" s="98">
        <v>3.1E-2</v>
      </c>
      <c r="X160" s="96"/>
      <c r="Y160" s="96"/>
      <c r="Z160" s="96"/>
      <c r="AA160" s="98">
        <v>4.7899999999999998E-2</v>
      </c>
      <c r="AB160" s="100">
        <v>51677</v>
      </c>
      <c r="AC160" s="96" t="s">
        <v>411</v>
      </c>
      <c r="AD160" s="96"/>
      <c r="AE160" s="96"/>
      <c r="AF160" s="96"/>
      <c r="AG160" s="100">
        <v>45291</v>
      </c>
      <c r="AH160" s="96"/>
      <c r="AI160" s="96"/>
      <c r="AJ160" s="96"/>
      <c r="AK160" s="96" t="s">
        <v>337</v>
      </c>
      <c r="AL160" s="96" t="s">
        <v>887</v>
      </c>
      <c r="AM160" s="96"/>
      <c r="AN160" s="96" t="s">
        <v>890</v>
      </c>
      <c r="AO160" s="100">
        <v>45473</v>
      </c>
      <c r="AP160" s="100">
        <v>45473</v>
      </c>
      <c r="AQ160" s="96"/>
      <c r="AR160" s="97">
        <v>3844.08</v>
      </c>
      <c r="AS160" s="97">
        <v>98.46</v>
      </c>
      <c r="AT160" s="97">
        <v>1</v>
      </c>
      <c r="AU160" s="97">
        <v>3.7848799999999998</v>
      </c>
      <c r="AV160" s="97">
        <v>3.7848799999999998</v>
      </c>
      <c r="AW160" s="96"/>
      <c r="AX160" s="96"/>
      <c r="AY160" s="96"/>
      <c r="AZ160" s="96"/>
      <c r="BA160" s="98">
        <v>2.1059999999999998E-3</v>
      </c>
      <c r="BB160" s="98">
        <v>7.2000000000000002E-5</v>
      </c>
      <c r="BC160" s="106"/>
    </row>
    <row r="161" spans="1:55" ht="15" customHeight="1">
      <c r="A161" s="106"/>
      <c r="B161" s="96">
        <v>286</v>
      </c>
      <c r="C161" s="96">
        <v>1445</v>
      </c>
      <c r="D161" s="96"/>
      <c r="E161" s="96"/>
      <c r="F161" s="96"/>
      <c r="G161" s="96">
        <v>25000572</v>
      </c>
      <c r="H161" s="96" t="s">
        <v>1013</v>
      </c>
      <c r="I161" s="96"/>
      <c r="J161" s="96" t="s">
        <v>203</v>
      </c>
      <c r="K161" s="96"/>
      <c r="L161" s="96" t="s">
        <v>450</v>
      </c>
      <c r="M161" s="96" t="s">
        <v>338</v>
      </c>
      <c r="N161" s="96" t="s">
        <v>338</v>
      </c>
      <c r="O161" s="96"/>
      <c r="P161" s="100">
        <v>44201</v>
      </c>
      <c r="Q161" s="96" t="s">
        <v>1332</v>
      </c>
      <c r="R161" s="96" t="s">
        <v>412</v>
      </c>
      <c r="S161" s="96" t="s">
        <v>407</v>
      </c>
      <c r="T161" s="96" t="s">
        <v>1200</v>
      </c>
      <c r="U161" s="97">
        <v>4.6900000000000004</v>
      </c>
      <c r="V161" s="96" t="s">
        <v>3678</v>
      </c>
      <c r="W161" s="98">
        <v>3.1300000000000001E-2</v>
      </c>
      <c r="X161" s="96"/>
      <c r="Y161" s="96"/>
      <c r="Z161" s="96"/>
      <c r="AA161" s="98">
        <v>6.3700000000000007E-2</v>
      </c>
      <c r="AB161" s="100">
        <v>47848</v>
      </c>
      <c r="AC161" s="96" t="s">
        <v>411</v>
      </c>
      <c r="AD161" s="96"/>
      <c r="AE161" s="96"/>
      <c r="AF161" s="96"/>
      <c r="AG161" s="100">
        <v>45180</v>
      </c>
      <c r="AH161" s="96"/>
      <c r="AI161" s="96"/>
      <c r="AJ161" s="96"/>
      <c r="AK161" s="96" t="s">
        <v>337</v>
      </c>
      <c r="AL161" s="96" t="s">
        <v>887</v>
      </c>
      <c r="AM161" s="96"/>
      <c r="AN161" s="96" t="s">
        <v>890</v>
      </c>
      <c r="AO161" s="100">
        <v>45473</v>
      </c>
      <c r="AP161" s="100">
        <v>45473</v>
      </c>
      <c r="AQ161" s="96"/>
      <c r="AR161" s="97">
        <v>13963.935444999999</v>
      </c>
      <c r="AS161" s="97">
        <v>86.44</v>
      </c>
      <c r="AT161" s="97">
        <v>1</v>
      </c>
      <c r="AU161" s="97">
        <v>12.070425</v>
      </c>
      <c r="AV161" s="97">
        <v>12.070425</v>
      </c>
      <c r="AW161" s="96"/>
      <c r="AX161" s="96"/>
      <c r="AY161" s="96"/>
      <c r="AZ161" s="96"/>
      <c r="BA161" s="98">
        <v>6.718E-3</v>
      </c>
      <c r="BB161" s="98">
        <v>2.2900000000000001E-4</v>
      </c>
      <c r="BC161" s="106"/>
    </row>
    <row r="162" spans="1:55" ht="15" customHeight="1">
      <c r="A162" s="106"/>
      <c r="B162" s="96">
        <v>286</v>
      </c>
      <c r="C162" s="96">
        <v>1445</v>
      </c>
      <c r="D162" s="96"/>
      <c r="E162" s="96"/>
      <c r="F162" s="96"/>
      <c r="G162" s="96">
        <v>25000551</v>
      </c>
      <c r="H162" s="96" t="s">
        <v>1013</v>
      </c>
      <c r="I162" s="96" t="s">
        <v>818</v>
      </c>
      <c r="J162" s="96" t="s">
        <v>203</v>
      </c>
      <c r="K162" s="96"/>
      <c r="L162" s="96" t="s">
        <v>473</v>
      </c>
      <c r="M162" s="96" t="s">
        <v>338</v>
      </c>
      <c r="N162" s="96" t="s">
        <v>337</v>
      </c>
      <c r="O162" s="96"/>
      <c r="P162" s="100">
        <v>44133</v>
      </c>
      <c r="Q162" s="96" t="s">
        <v>409</v>
      </c>
      <c r="R162" s="96" t="s">
        <v>409</v>
      </c>
      <c r="S162" s="96" t="s">
        <v>409</v>
      </c>
      <c r="T162" s="96" t="s">
        <v>1200</v>
      </c>
      <c r="U162" s="97">
        <v>4.72</v>
      </c>
      <c r="V162" s="96" t="s">
        <v>3678</v>
      </c>
      <c r="W162" s="98">
        <v>3.5299999999999998E-2</v>
      </c>
      <c r="X162" s="96"/>
      <c r="Y162" s="96"/>
      <c r="Z162" s="96"/>
      <c r="AA162" s="98">
        <v>6.4399999999999999E-2</v>
      </c>
      <c r="AB162" s="100">
        <v>49611</v>
      </c>
      <c r="AC162" s="96" t="s">
        <v>411</v>
      </c>
      <c r="AD162" s="96"/>
      <c r="AE162" s="96"/>
      <c r="AF162" s="96"/>
      <c r="AG162" s="100">
        <v>45199</v>
      </c>
      <c r="AH162" s="96"/>
      <c r="AI162" s="96"/>
      <c r="AJ162" s="96"/>
      <c r="AK162" s="96" t="s">
        <v>337</v>
      </c>
      <c r="AL162" s="96" t="s">
        <v>887</v>
      </c>
      <c r="AM162" s="96"/>
      <c r="AN162" s="96" t="s">
        <v>890</v>
      </c>
      <c r="AO162" s="100">
        <v>45473</v>
      </c>
      <c r="AP162" s="100">
        <v>45473</v>
      </c>
      <c r="AQ162" s="96"/>
      <c r="AR162" s="97">
        <v>30494.12</v>
      </c>
      <c r="AS162" s="97">
        <v>88.08</v>
      </c>
      <c r="AT162" s="97">
        <v>1</v>
      </c>
      <c r="AU162" s="97">
        <v>26.859220000000001</v>
      </c>
      <c r="AV162" s="97">
        <v>26.859220000000001</v>
      </c>
      <c r="AW162" s="96"/>
      <c r="AX162" s="96"/>
      <c r="AY162" s="96"/>
      <c r="AZ162" s="96"/>
      <c r="BA162" s="98">
        <v>1.495E-2</v>
      </c>
      <c r="BB162" s="98">
        <v>5.1099999999999995E-4</v>
      </c>
      <c r="BC162" s="106"/>
    </row>
    <row r="163" spans="1:55" ht="15" customHeight="1">
      <c r="A163" s="106"/>
      <c r="B163" s="96">
        <v>286</v>
      </c>
      <c r="C163" s="96">
        <v>1445</v>
      </c>
      <c r="D163" s="96"/>
      <c r="E163" s="96"/>
      <c r="F163" s="96"/>
      <c r="G163" s="96">
        <v>25000550</v>
      </c>
      <c r="H163" s="96" t="s">
        <v>1013</v>
      </c>
      <c r="I163" s="96" t="s">
        <v>818</v>
      </c>
      <c r="J163" s="96" t="s">
        <v>203</v>
      </c>
      <c r="K163" s="96"/>
      <c r="L163" s="96" t="s">
        <v>473</v>
      </c>
      <c r="M163" s="96" t="s">
        <v>338</v>
      </c>
      <c r="N163" s="96" t="s">
        <v>337</v>
      </c>
      <c r="O163" s="96"/>
      <c r="P163" s="100">
        <v>44133</v>
      </c>
      <c r="Q163" s="96" t="s">
        <v>409</v>
      </c>
      <c r="R163" s="96" t="s">
        <v>409</v>
      </c>
      <c r="S163" s="96" t="s">
        <v>409</v>
      </c>
      <c r="T163" s="96" t="s">
        <v>1200</v>
      </c>
      <c r="U163" s="97">
        <v>5.09</v>
      </c>
      <c r="V163" s="96" t="s">
        <v>3678</v>
      </c>
      <c r="W163" s="98">
        <v>2.3300000000000001E-2</v>
      </c>
      <c r="X163" s="96"/>
      <c r="Y163" s="96"/>
      <c r="Z163" s="96"/>
      <c r="AA163" s="98">
        <v>3.6900000000000002E-2</v>
      </c>
      <c r="AB163" s="100">
        <v>49611</v>
      </c>
      <c r="AC163" s="96" t="s">
        <v>411</v>
      </c>
      <c r="AD163" s="96"/>
      <c r="AE163" s="96"/>
      <c r="AF163" s="96"/>
      <c r="AG163" s="100">
        <v>45199</v>
      </c>
      <c r="AH163" s="96"/>
      <c r="AI163" s="96"/>
      <c r="AJ163" s="96"/>
      <c r="AK163" s="96" t="s">
        <v>337</v>
      </c>
      <c r="AL163" s="96" t="s">
        <v>887</v>
      </c>
      <c r="AM163" s="96"/>
      <c r="AN163" s="96" t="s">
        <v>890</v>
      </c>
      <c r="AO163" s="100">
        <v>45473</v>
      </c>
      <c r="AP163" s="100">
        <v>45473</v>
      </c>
      <c r="AQ163" s="96"/>
      <c r="AR163" s="97">
        <v>14183.38</v>
      </c>
      <c r="AS163" s="97">
        <v>106.7</v>
      </c>
      <c r="AT163" s="97">
        <v>1</v>
      </c>
      <c r="AU163" s="97">
        <v>15.13367</v>
      </c>
      <c r="AV163" s="97">
        <v>15.13367</v>
      </c>
      <c r="AW163" s="96"/>
      <c r="AX163" s="96"/>
      <c r="AY163" s="96"/>
      <c r="AZ163" s="96"/>
      <c r="BA163" s="98">
        <v>8.4229999999999999E-3</v>
      </c>
      <c r="BB163" s="98">
        <v>2.8800000000000001E-4</v>
      </c>
      <c r="BC163" s="106"/>
    </row>
    <row r="164" spans="1:55" ht="15" customHeight="1">
      <c r="A164" s="106"/>
      <c r="B164" s="96">
        <v>286</v>
      </c>
      <c r="C164" s="96">
        <v>1445</v>
      </c>
      <c r="D164" s="96"/>
      <c r="E164" s="96"/>
      <c r="F164" s="96"/>
      <c r="G164" s="96">
        <v>25000546</v>
      </c>
      <c r="H164" s="96" t="s">
        <v>1013</v>
      </c>
      <c r="I164" s="96" t="s">
        <v>812</v>
      </c>
      <c r="J164" s="96" t="s">
        <v>203</v>
      </c>
      <c r="K164" s="96"/>
      <c r="L164" s="96" t="s">
        <v>454</v>
      </c>
      <c r="M164" s="96" t="s">
        <v>338</v>
      </c>
      <c r="N164" s="96" t="s">
        <v>337</v>
      </c>
      <c r="O164" s="96"/>
      <c r="P164" s="100">
        <v>44108</v>
      </c>
      <c r="Q164" s="96" t="s">
        <v>1357</v>
      </c>
      <c r="R164" s="96" t="s">
        <v>414</v>
      </c>
      <c r="S164" s="96" t="s">
        <v>407</v>
      </c>
      <c r="T164" s="96" t="s">
        <v>1200</v>
      </c>
      <c r="U164" s="97">
        <v>7.31</v>
      </c>
      <c r="V164" s="96" t="s">
        <v>3678</v>
      </c>
      <c r="W164" s="98">
        <v>3.1E-2</v>
      </c>
      <c r="X164" s="96"/>
      <c r="Y164" s="96"/>
      <c r="Z164" s="96"/>
      <c r="AA164" s="98">
        <v>4.4900000000000002E-2</v>
      </c>
      <c r="AB164" s="100">
        <v>51677</v>
      </c>
      <c r="AC164" s="96" t="s">
        <v>411</v>
      </c>
      <c r="AD164" s="96"/>
      <c r="AE164" s="96"/>
      <c r="AF164" s="96"/>
      <c r="AG164" s="100">
        <v>45291</v>
      </c>
      <c r="AH164" s="96"/>
      <c r="AI164" s="96"/>
      <c r="AJ164" s="96"/>
      <c r="AK164" s="96" t="s">
        <v>337</v>
      </c>
      <c r="AL164" s="96" t="s">
        <v>887</v>
      </c>
      <c r="AM164" s="96"/>
      <c r="AN164" s="96" t="s">
        <v>890</v>
      </c>
      <c r="AO164" s="100">
        <v>45473</v>
      </c>
      <c r="AP164" s="100">
        <v>45473</v>
      </c>
      <c r="AQ164" s="96"/>
      <c r="AR164" s="97">
        <v>7409.36</v>
      </c>
      <c r="AS164" s="97">
        <v>100.52</v>
      </c>
      <c r="AT164" s="97">
        <v>1</v>
      </c>
      <c r="AU164" s="97">
        <v>7.4478900000000001</v>
      </c>
      <c r="AV164" s="97">
        <v>7.4478900000000001</v>
      </c>
      <c r="AW164" s="96"/>
      <c r="AX164" s="96"/>
      <c r="AY164" s="96"/>
      <c r="AZ164" s="96"/>
      <c r="BA164" s="98">
        <v>4.1450000000000002E-3</v>
      </c>
      <c r="BB164" s="98">
        <v>1.4100000000000001E-4</v>
      </c>
      <c r="BC164" s="106"/>
    </row>
    <row r="165" spans="1:55" ht="15" customHeight="1">
      <c r="A165" s="106"/>
      <c r="B165" s="96">
        <v>286</v>
      </c>
      <c r="C165" s="96">
        <v>1445</v>
      </c>
      <c r="D165" s="96"/>
      <c r="E165" s="96"/>
      <c r="F165" s="96"/>
      <c r="G165" s="96">
        <v>25000538</v>
      </c>
      <c r="H165" s="96" t="s">
        <v>1013</v>
      </c>
      <c r="I165" s="96" t="s">
        <v>818</v>
      </c>
      <c r="J165" s="96" t="s">
        <v>203</v>
      </c>
      <c r="K165" s="96"/>
      <c r="L165" s="96" t="s">
        <v>477</v>
      </c>
      <c r="M165" s="96" t="s">
        <v>338</v>
      </c>
      <c r="N165" s="96" t="s">
        <v>338</v>
      </c>
      <c r="O165" s="96"/>
      <c r="P165" s="100">
        <v>44073</v>
      </c>
      <c r="Q165" s="96" t="s">
        <v>1305</v>
      </c>
      <c r="R165" s="96" t="s">
        <v>414</v>
      </c>
      <c r="S165" s="96" t="s">
        <v>407</v>
      </c>
      <c r="T165" s="96" t="s">
        <v>1200</v>
      </c>
      <c r="U165" s="97">
        <v>0.41</v>
      </c>
      <c r="V165" s="96" t="s">
        <v>824</v>
      </c>
      <c r="W165" s="98">
        <v>6.8500000000000005E-2</v>
      </c>
      <c r="X165" s="96"/>
      <c r="Y165" s="96"/>
      <c r="Z165" s="96"/>
      <c r="AA165" s="98">
        <v>5.7200000000000001E-2</v>
      </c>
      <c r="AB165" s="100">
        <v>45716</v>
      </c>
      <c r="AC165" s="96" t="s">
        <v>411</v>
      </c>
      <c r="AD165" s="96"/>
      <c r="AE165" s="96"/>
      <c r="AF165" s="96"/>
      <c r="AG165" s="100">
        <v>45237</v>
      </c>
      <c r="AH165" s="96"/>
      <c r="AI165" s="96"/>
      <c r="AJ165" s="96"/>
      <c r="AK165" s="96" t="s">
        <v>337</v>
      </c>
      <c r="AL165" s="96" t="s">
        <v>887</v>
      </c>
      <c r="AM165" s="96"/>
      <c r="AN165" s="96" t="s">
        <v>890</v>
      </c>
      <c r="AO165" s="100">
        <v>45473</v>
      </c>
      <c r="AP165" s="100">
        <v>45473</v>
      </c>
      <c r="AQ165" s="96"/>
      <c r="AR165" s="97">
        <v>6413.3978669999997</v>
      </c>
      <c r="AS165" s="97">
        <v>101.01</v>
      </c>
      <c r="AT165" s="97">
        <v>1</v>
      </c>
      <c r="AU165" s="97">
        <v>6.478173</v>
      </c>
      <c r="AV165" s="97">
        <v>6.478173</v>
      </c>
      <c r="AW165" s="96"/>
      <c r="AX165" s="96"/>
      <c r="AY165" s="96"/>
      <c r="AZ165" s="96"/>
      <c r="BA165" s="98">
        <v>3.6050000000000001E-3</v>
      </c>
      <c r="BB165" s="98">
        <v>1.2300000000000001E-4</v>
      </c>
      <c r="BC165" s="106"/>
    </row>
    <row r="166" spans="1:55" ht="15" customHeight="1">
      <c r="A166" s="106"/>
      <c r="B166" s="96">
        <v>286</v>
      </c>
      <c r="C166" s="96">
        <v>1445</v>
      </c>
      <c r="D166" s="96"/>
      <c r="E166" s="96"/>
      <c r="F166" s="96"/>
      <c r="G166" s="96">
        <v>25000528</v>
      </c>
      <c r="H166" s="96" t="s">
        <v>1013</v>
      </c>
      <c r="I166" s="96" t="s">
        <v>812</v>
      </c>
      <c r="J166" s="96" t="s">
        <v>203</v>
      </c>
      <c r="K166" s="96"/>
      <c r="L166" s="96" t="s">
        <v>454</v>
      </c>
      <c r="M166" s="96" t="s">
        <v>338</v>
      </c>
      <c r="N166" s="96" t="s">
        <v>337</v>
      </c>
      <c r="O166" s="96"/>
      <c r="P166" s="100">
        <v>44015</v>
      </c>
      <c r="Q166" s="96" t="s">
        <v>1357</v>
      </c>
      <c r="R166" s="96" t="s">
        <v>414</v>
      </c>
      <c r="S166" s="96" t="s">
        <v>407</v>
      </c>
      <c r="T166" s="96" t="s">
        <v>1200</v>
      </c>
      <c r="U166" s="97">
        <v>7.37</v>
      </c>
      <c r="V166" s="96" t="s">
        <v>3678</v>
      </c>
      <c r="W166" s="98">
        <v>3.1399999999999997E-2</v>
      </c>
      <c r="X166" s="96"/>
      <c r="Y166" s="96"/>
      <c r="Z166" s="96"/>
      <c r="AA166" s="98">
        <v>4.2000000000000003E-2</v>
      </c>
      <c r="AB166" s="100">
        <v>51677</v>
      </c>
      <c r="AC166" s="96" t="s">
        <v>411</v>
      </c>
      <c r="AD166" s="96"/>
      <c r="AE166" s="96"/>
      <c r="AF166" s="96"/>
      <c r="AG166" s="100">
        <v>45291</v>
      </c>
      <c r="AH166" s="96"/>
      <c r="AI166" s="96"/>
      <c r="AJ166" s="96"/>
      <c r="AK166" s="96" t="s">
        <v>337</v>
      </c>
      <c r="AL166" s="96" t="s">
        <v>887</v>
      </c>
      <c r="AM166" s="96"/>
      <c r="AN166" s="96" t="s">
        <v>890</v>
      </c>
      <c r="AO166" s="100">
        <v>45473</v>
      </c>
      <c r="AP166" s="100">
        <v>45473</v>
      </c>
      <c r="AQ166" s="96"/>
      <c r="AR166" s="97">
        <v>4568.04</v>
      </c>
      <c r="AS166" s="97">
        <v>102.7</v>
      </c>
      <c r="AT166" s="97">
        <v>1</v>
      </c>
      <c r="AU166" s="97">
        <v>4.6913799999999997</v>
      </c>
      <c r="AV166" s="97">
        <v>4.6913799999999997</v>
      </c>
      <c r="AW166" s="96"/>
      <c r="AX166" s="96"/>
      <c r="AY166" s="96"/>
      <c r="AZ166" s="96"/>
      <c r="BA166" s="98">
        <v>2.611E-3</v>
      </c>
      <c r="BB166" s="98">
        <v>8.8999999999999995E-5</v>
      </c>
      <c r="BC166" s="106"/>
    </row>
    <row r="167" spans="1:55" ht="15" customHeight="1">
      <c r="A167" s="106"/>
      <c r="B167" s="96">
        <v>286</v>
      </c>
      <c r="C167" s="96">
        <v>1445</v>
      </c>
      <c r="D167" s="96"/>
      <c r="E167" s="96"/>
      <c r="F167" s="96"/>
      <c r="G167" s="96">
        <v>25000525</v>
      </c>
      <c r="H167" s="96" t="s">
        <v>1013</v>
      </c>
      <c r="I167" s="96"/>
      <c r="J167" s="96" t="s">
        <v>203</v>
      </c>
      <c r="K167" s="96"/>
      <c r="L167" s="96" t="s">
        <v>446</v>
      </c>
      <c r="M167" s="96" t="s">
        <v>338</v>
      </c>
      <c r="N167" s="96" t="s">
        <v>338</v>
      </c>
      <c r="O167" s="96"/>
      <c r="P167" s="100">
        <v>44012</v>
      </c>
      <c r="Q167" s="96" t="s">
        <v>1309</v>
      </c>
      <c r="R167" s="96" t="s">
        <v>414</v>
      </c>
      <c r="S167" s="96" t="s">
        <v>407</v>
      </c>
      <c r="T167" s="96" t="s">
        <v>1200</v>
      </c>
      <c r="U167" s="97">
        <v>0.99</v>
      </c>
      <c r="V167" s="96" t="s">
        <v>3678</v>
      </c>
      <c r="W167" s="98">
        <v>3.85E-2</v>
      </c>
      <c r="X167" s="96"/>
      <c r="Y167" s="96"/>
      <c r="Z167" s="96"/>
      <c r="AA167" s="98">
        <v>2.9700000000000001E-2</v>
      </c>
      <c r="AB167" s="100">
        <v>45838</v>
      </c>
      <c r="AC167" s="96" t="s">
        <v>411</v>
      </c>
      <c r="AD167" s="96"/>
      <c r="AE167" s="96"/>
      <c r="AF167" s="96"/>
      <c r="AG167" s="100"/>
      <c r="AH167" s="96"/>
      <c r="AI167" s="96"/>
      <c r="AJ167" s="96"/>
      <c r="AK167" s="96" t="s">
        <v>337</v>
      </c>
      <c r="AL167" s="96" t="s">
        <v>887</v>
      </c>
      <c r="AM167" s="96"/>
      <c r="AN167" s="96" t="s">
        <v>890</v>
      </c>
      <c r="AO167" s="100">
        <v>45473</v>
      </c>
      <c r="AP167" s="100">
        <v>45473</v>
      </c>
      <c r="AQ167" s="96"/>
      <c r="AR167" s="97">
        <v>1154.411564</v>
      </c>
      <c r="AS167" s="97">
        <v>114.64</v>
      </c>
      <c r="AT167" s="97">
        <v>1</v>
      </c>
      <c r="AU167" s="97">
        <v>1.3234170000000001</v>
      </c>
      <c r="AV167" s="97">
        <v>1.3234170000000001</v>
      </c>
      <c r="AW167" s="96"/>
      <c r="AX167" s="96"/>
      <c r="AY167" s="96"/>
      <c r="AZ167" s="96"/>
      <c r="BA167" s="98">
        <v>7.36E-4</v>
      </c>
      <c r="BB167" s="98">
        <v>2.5000000000000001E-5</v>
      </c>
      <c r="BC167" s="106"/>
    </row>
    <row r="168" spans="1:55" ht="15" customHeight="1">
      <c r="A168" s="106"/>
      <c r="B168" s="96">
        <v>286</v>
      </c>
      <c r="C168" s="96">
        <v>1445</v>
      </c>
      <c r="D168" s="96"/>
      <c r="E168" s="96"/>
      <c r="F168" s="96"/>
      <c r="G168" s="96">
        <v>25000502</v>
      </c>
      <c r="H168" s="96" t="s">
        <v>1013</v>
      </c>
      <c r="I168" s="96" t="s">
        <v>812</v>
      </c>
      <c r="J168" s="96" t="s">
        <v>203</v>
      </c>
      <c r="K168" s="96"/>
      <c r="L168" s="96" t="s">
        <v>454</v>
      </c>
      <c r="M168" s="96" t="s">
        <v>338</v>
      </c>
      <c r="N168" s="96" t="s">
        <v>337</v>
      </c>
      <c r="O168" s="96"/>
      <c r="P168" s="100">
        <v>43924</v>
      </c>
      <c r="Q168" s="96" t="s">
        <v>1357</v>
      </c>
      <c r="R168" s="96" t="s">
        <v>414</v>
      </c>
      <c r="S168" s="96" t="s">
        <v>407</v>
      </c>
      <c r="T168" s="96" t="s">
        <v>1200</v>
      </c>
      <c r="U168" s="97">
        <v>7.49</v>
      </c>
      <c r="V168" s="96" t="s">
        <v>3678</v>
      </c>
      <c r="W168" s="98">
        <v>3.1399999999999997E-2</v>
      </c>
      <c r="X168" s="96"/>
      <c r="Y168" s="96"/>
      <c r="Z168" s="96"/>
      <c r="AA168" s="98">
        <v>3.6299999999999999E-2</v>
      </c>
      <c r="AB168" s="100">
        <v>51677</v>
      </c>
      <c r="AC168" s="96" t="s">
        <v>411</v>
      </c>
      <c r="AD168" s="96"/>
      <c r="AE168" s="96"/>
      <c r="AF168" s="96"/>
      <c r="AG168" s="100">
        <v>45291</v>
      </c>
      <c r="AH168" s="96"/>
      <c r="AI168" s="96"/>
      <c r="AJ168" s="96"/>
      <c r="AK168" s="96" t="s">
        <v>337</v>
      </c>
      <c r="AL168" s="96" t="s">
        <v>887</v>
      </c>
      <c r="AM168" s="96"/>
      <c r="AN168" s="96" t="s">
        <v>890</v>
      </c>
      <c r="AO168" s="100">
        <v>45473</v>
      </c>
      <c r="AP168" s="100">
        <v>45473</v>
      </c>
      <c r="AQ168" s="96"/>
      <c r="AR168" s="97">
        <v>5541.15</v>
      </c>
      <c r="AS168" s="97">
        <v>107.1</v>
      </c>
      <c r="AT168" s="97">
        <v>1</v>
      </c>
      <c r="AU168" s="97">
        <v>5.9345699999999999</v>
      </c>
      <c r="AV168" s="97">
        <v>5.9345699999999999</v>
      </c>
      <c r="AW168" s="96"/>
      <c r="AX168" s="96"/>
      <c r="AY168" s="96"/>
      <c r="AZ168" s="96"/>
      <c r="BA168" s="98">
        <v>3.3029999999999999E-3</v>
      </c>
      <c r="BB168" s="98">
        <v>1.13E-4</v>
      </c>
      <c r="BC168" s="106"/>
    </row>
    <row r="169" spans="1:55" ht="15" customHeight="1">
      <c r="A169" s="106"/>
      <c r="B169" s="96">
        <v>286</v>
      </c>
      <c r="C169" s="96">
        <v>1445</v>
      </c>
      <c r="D169" s="96"/>
      <c r="E169" s="96"/>
      <c r="F169" s="96"/>
      <c r="G169" s="96">
        <v>25000487</v>
      </c>
      <c r="H169" s="96" t="s">
        <v>1013</v>
      </c>
      <c r="I169" s="96" t="s">
        <v>3684</v>
      </c>
      <c r="J169" s="96" t="s">
        <v>203</v>
      </c>
      <c r="K169" s="96"/>
      <c r="L169" s="96" t="s">
        <v>463</v>
      </c>
      <c r="M169" s="96" t="s">
        <v>338</v>
      </c>
      <c r="N169" s="96" t="s">
        <v>337</v>
      </c>
      <c r="O169" s="96"/>
      <c r="P169" s="100">
        <v>43888</v>
      </c>
      <c r="Q169" s="96" t="s">
        <v>3681</v>
      </c>
      <c r="R169" s="96" t="s">
        <v>311</v>
      </c>
      <c r="S169" s="96" t="s">
        <v>407</v>
      </c>
      <c r="T169" s="96" t="s">
        <v>1200</v>
      </c>
      <c r="U169" s="97">
        <v>0.56999999999999995</v>
      </c>
      <c r="V169" s="96" t="s">
        <v>3678</v>
      </c>
      <c r="W169" s="98">
        <v>2.5499999999999998E-2</v>
      </c>
      <c r="X169" s="96"/>
      <c r="Y169" s="96"/>
      <c r="Z169" s="96"/>
      <c r="AA169" s="98">
        <v>2.7199999999999998E-2</v>
      </c>
      <c r="AB169" s="100">
        <v>45688</v>
      </c>
      <c r="AC169" s="96" t="s">
        <v>411</v>
      </c>
      <c r="AD169" s="96"/>
      <c r="AE169" s="96"/>
      <c r="AF169" s="96"/>
      <c r="AG169" s="100">
        <v>45075</v>
      </c>
      <c r="AH169" s="96"/>
      <c r="AI169" s="96"/>
      <c r="AJ169" s="96"/>
      <c r="AK169" s="96" t="s">
        <v>337</v>
      </c>
      <c r="AL169" s="96" t="s">
        <v>887</v>
      </c>
      <c r="AM169" s="96"/>
      <c r="AN169" s="96" t="s">
        <v>890</v>
      </c>
      <c r="AO169" s="100">
        <v>45473</v>
      </c>
      <c r="AP169" s="100">
        <v>45473</v>
      </c>
      <c r="AQ169" s="96"/>
      <c r="AR169" s="97">
        <v>12871.30414</v>
      </c>
      <c r="AS169" s="97">
        <v>113.73</v>
      </c>
      <c r="AT169" s="97">
        <v>1</v>
      </c>
      <c r="AU169" s="97">
        <v>14.638534</v>
      </c>
      <c r="AV169" s="97">
        <v>14.638534</v>
      </c>
      <c r="AW169" s="96"/>
      <c r="AX169" s="96"/>
      <c r="AY169" s="96"/>
      <c r="AZ169" s="96"/>
      <c r="BA169" s="98">
        <v>8.1480000000000007E-3</v>
      </c>
      <c r="BB169" s="98">
        <v>2.7799999999999998E-4</v>
      </c>
      <c r="BC169" s="106"/>
    </row>
    <row r="170" spans="1:55" ht="15" customHeight="1">
      <c r="A170" s="106"/>
      <c r="B170" s="96">
        <v>286</v>
      </c>
      <c r="C170" s="96">
        <v>1445</v>
      </c>
      <c r="D170" s="96"/>
      <c r="E170" s="96"/>
      <c r="F170" s="96"/>
      <c r="G170" s="96">
        <v>25000580</v>
      </c>
      <c r="H170" s="96" t="s">
        <v>1013</v>
      </c>
      <c r="I170" s="96" t="s">
        <v>813</v>
      </c>
      <c r="J170" s="96" t="s">
        <v>203</v>
      </c>
      <c r="K170" s="96"/>
      <c r="L170" s="96" t="s">
        <v>470</v>
      </c>
      <c r="M170" s="96" t="s">
        <v>338</v>
      </c>
      <c r="N170" s="96" t="s">
        <v>337</v>
      </c>
      <c r="O170" s="96"/>
      <c r="P170" s="100">
        <v>44227</v>
      </c>
      <c r="Q170" s="96" t="s">
        <v>1520</v>
      </c>
      <c r="R170" s="96" t="s">
        <v>414</v>
      </c>
      <c r="S170" s="96" t="s">
        <v>407</v>
      </c>
      <c r="T170" s="96" t="s">
        <v>1200</v>
      </c>
      <c r="U170" s="97">
        <v>4.05</v>
      </c>
      <c r="V170" s="96" t="s">
        <v>3678</v>
      </c>
      <c r="W170" s="98">
        <v>7.6249999999999998E-3</v>
      </c>
      <c r="X170" s="96"/>
      <c r="Y170" s="96"/>
      <c r="Z170" s="96"/>
      <c r="AA170" s="98">
        <v>3.3799999999999997E-2</v>
      </c>
      <c r="AB170" s="100">
        <v>48852</v>
      </c>
      <c r="AC170" s="96" t="s">
        <v>411</v>
      </c>
      <c r="AD170" s="96"/>
      <c r="AE170" s="96"/>
      <c r="AF170" s="96"/>
      <c r="AG170" s="100">
        <v>45291</v>
      </c>
      <c r="AH170" s="96"/>
      <c r="AI170" s="96"/>
      <c r="AJ170" s="96"/>
      <c r="AK170" s="96" t="s">
        <v>337</v>
      </c>
      <c r="AL170" s="96" t="s">
        <v>887</v>
      </c>
      <c r="AM170" s="96"/>
      <c r="AN170" s="96" t="s">
        <v>890</v>
      </c>
      <c r="AO170" s="100">
        <v>45473</v>
      </c>
      <c r="AP170" s="100">
        <v>45473</v>
      </c>
      <c r="AQ170" s="96"/>
      <c r="AR170" s="97">
        <v>2702.766529</v>
      </c>
      <c r="AS170" s="97">
        <v>102.37</v>
      </c>
      <c r="AT170" s="97">
        <v>1</v>
      </c>
      <c r="AU170" s="97">
        <v>2.7668219999999999</v>
      </c>
      <c r="AV170" s="97">
        <v>2.7668219999999999</v>
      </c>
      <c r="AW170" s="96"/>
      <c r="AX170" s="96"/>
      <c r="AY170" s="96"/>
      <c r="AZ170" s="96"/>
      <c r="BA170" s="98">
        <v>1.5399999999999999E-3</v>
      </c>
      <c r="BB170" s="98">
        <v>5.1999999999999997E-5</v>
      </c>
      <c r="BC170" s="106"/>
    </row>
    <row r="171" spans="1:55" ht="15" customHeight="1">
      <c r="A171" s="106"/>
      <c r="B171" s="96">
        <v>286</v>
      </c>
      <c r="C171" s="96">
        <v>1445</v>
      </c>
      <c r="D171" s="96"/>
      <c r="E171" s="96"/>
      <c r="F171" s="96"/>
      <c r="G171" s="96">
        <v>25000393</v>
      </c>
      <c r="H171" s="96" t="s">
        <v>1013</v>
      </c>
      <c r="I171" s="96" t="s">
        <v>3680</v>
      </c>
      <c r="J171" s="96" t="s">
        <v>203</v>
      </c>
      <c r="K171" s="96"/>
      <c r="L171" s="96" t="s">
        <v>446</v>
      </c>
      <c r="M171" s="96" t="s">
        <v>338</v>
      </c>
      <c r="N171" s="96" t="s">
        <v>338</v>
      </c>
      <c r="O171" s="96"/>
      <c r="P171" s="100">
        <v>43482</v>
      </c>
      <c r="Q171" s="96" t="s">
        <v>1328</v>
      </c>
      <c r="R171" s="96" t="s">
        <v>412</v>
      </c>
      <c r="S171" s="96" t="s">
        <v>407</v>
      </c>
      <c r="T171" s="96" t="s">
        <v>1200</v>
      </c>
      <c r="U171" s="97">
        <v>1.22</v>
      </c>
      <c r="V171" s="96" t="s">
        <v>3678</v>
      </c>
      <c r="W171" s="98">
        <v>5.0599999999999999E-2</v>
      </c>
      <c r="X171" s="96"/>
      <c r="Y171" s="96"/>
      <c r="Z171" s="96"/>
      <c r="AA171" s="98">
        <v>5.8500000000000003E-2</v>
      </c>
      <c r="AB171" s="100">
        <v>46228</v>
      </c>
      <c r="AC171" s="96" t="s">
        <v>411</v>
      </c>
      <c r="AD171" s="96"/>
      <c r="AE171" s="96"/>
      <c r="AF171" s="96"/>
      <c r="AG171" s="100">
        <v>45382</v>
      </c>
      <c r="AH171" s="96"/>
      <c r="AI171" s="96"/>
      <c r="AJ171" s="96"/>
      <c r="AK171" s="96" t="s">
        <v>337</v>
      </c>
      <c r="AL171" s="96" t="s">
        <v>887</v>
      </c>
      <c r="AM171" s="96"/>
      <c r="AN171" s="96" t="s">
        <v>890</v>
      </c>
      <c r="AO171" s="100">
        <v>45473</v>
      </c>
      <c r="AP171" s="100">
        <v>45473</v>
      </c>
      <c r="AQ171" s="96"/>
      <c r="AR171" s="97">
        <v>710.40730699999995</v>
      </c>
      <c r="AS171" s="97">
        <v>99.16</v>
      </c>
      <c r="AT171" s="97">
        <v>1</v>
      </c>
      <c r="AU171" s="97">
        <v>0.70443900000000004</v>
      </c>
      <c r="AV171" s="97">
        <v>0.70443900000000004</v>
      </c>
      <c r="AW171" s="96"/>
      <c r="AX171" s="96"/>
      <c r="AY171" s="96"/>
      <c r="AZ171" s="96"/>
      <c r="BA171" s="98">
        <v>3.9199999999999999E-4</v>
      </c>
      <c r="BB171" s="98">
        <v>1.2999999999999999E-5</v>
      </c>
      <c r="BC171" s="106"/>
    </row>
    <row r="172" spans="1:55" ht="15" customHeight="1">
      <c r="A172" s="106"/>
      <c r="B172" s="96">
        <v>286</v>
      </c>
      <c r="C172" s="96">
        <v>1445</v>
      </c>
      <c r="D172" s="96"/>
      <c r="E172" s="96"/>
      <c r="F172" s="96"/>
      <c r="G172" s="96">
        <v>25000386</v>
      </c>
      <c r="H172" s="96" t="s">
        <v>1013</v>
      </c>
      <c r="I172" s="96" t="s">
        <v>785</v>
      </c>
      <c r="J172" s="96" t="s">
        <v>203</v>
      </c>
      <c r="K172" s="96"/>
      <c r="L172" s="96" t="s">
        <v>463</v>
      </c>
      <c r="M172" s="96" t="s">
        <v>338</v>
      </c>
      <c r="N172" s="96" t="s">
        <v>338</v>
      </c>
      <c r="O172" s="96"/>
      <c r="P172" s="100">
        <v>43464</v>
      </c>
      <c r="Q172" s="96" t="s">
        <v>1313</v>
      </c>
      <c r="R172" s="96" t="s">
        <v>412</v>
      </c>
      <c r="S172" s="96" t="s">
        <v>407</v>
      </c>
      <c r="T172" s="96" t="s">
        <v>1200</v>
      </c>
      <c r="U172" s="97">
        <v>3.76</v>
      </c>
      <c r="V172" s="96" t="s">
        <v>3678</v>
      </c>
      <c r="W172" s="98">
        <v>2.3429999999999999E-2</v>
      </c>
      <c r="X172" s="96"/>
      <c r="Y172" s="96"/>
      <c r="Z172" s="96"/>
      <c r="AA172" s="98">
        <v>2.64E-2</v>
      </c>
      <c r="AB172" s="100">
        <v>47119</v>
      </c>
      <c r="AC172" s="96" t="s">
        <v>411</v>
      </c>
      <c r="AD172" s="96"/>
      <c r="AE172" s="96"/>
      <c r="AF172" s="96"/>
      <c r="AG172" s="100">
        <v>44957</v>
      </c>
      <c r="AH172" s="96"/>
      <c r="AI172" s="96"/>
      <c r="AJ172" s="96"/>
      <c r="AK172" s="96" t="s">
        <v>337</v>
      </c>
      <c r="AL172" s="96" t="s">
        <v>887</v>
      </c>
      <c r="AM172" s="96"/>
      <c r="AN172" s="96" t="s">
        <v>890</v>
      </c>
      <c r="AO172" s="100">
        <v>45473</v>
      </c>
      <c r="AP172" s="100">
        <v>45473</v>
      </c>
      <c r="AQ172" s="96"/>
      <c r="AR172" s="97">
        <v>4676.7533960000001</v>
      </c>
      <c r="AS172" s="97">
        <v>112.7</v>
      </c>
      <c r="AT172" s="97">
        <v>1</v>
      </c>
      <c r="AU172" s="97">
        <v>5.2707009999999999</v>
      </c>
      <c r="AV172" s="97">
        <v>5.2707009999999999</v>
      </c>
      <c r="AW172" s="96"/>
      <c r="AX172" s="96"/>
      <c r="AY172" s="96"/>
      <c r="AZ172" s="96"/>
      <c r="BA172" s="98">
        <v>2.9329999999999998E-3</v>
      </c>
      <c r="BB172" s="98">
        <v>1E-4</v>
      </c>
      <c r="BC172" s="106"/>
    </row>
    <row r="173" spans="1:55" ht="15" customHeight="1">
      <c r="A173" s="106"/>
      <c r="B173" s="96">
        <v>286</v>
      </c>
      <c r="C173" s="96">
        <v>1445</v>
      </c>
      <c r="D173" s="96"/>
      <c r="E173" s="96"/>
      <c r="F173" s="96"/>
      <c r="G173" s="96">
        <v>25000297</v>
      </c>
      <c r="H173" s="96" t="s">
        <v>1013</v>
      </c>
      <c r="I173" s="96" t="s">
        <v>812</v>
      </c>
      <c r="J173" s="96" t="s">
        <v>203</v>
      </c>
      <c r="K173" s="96"/>
      <c r="L173" s="96" t="s">
        <v>454</v>
      </c>
      <c r="M173" s="96" t="s">
        <v>338</v>
      </c>
      <c r="N173" s="96" t="s">
        <v>337</v>
      </c>
      <c r="O173" s="96"/>
      <c r="P173" s="100">
        <v>43011</v>
      </c>
      <c r="Q173" s="96" t="s">
        <v>1357</v>
      </c>
      <c r="R173" s="96" t="s">
        <v>414</v>
      </c>
      <c r="S173" s="96" t="s">
        <v>407</v>
      </c>
      <c r="T173" s="96" t="s">
        <v>1200</v>
      </c>
      <c r="U173" s="97">
        <v>7.32</v>
      </c>
      <c r="V173" s="96" t="s">
        <v>3678</v>
      </c>
      <c r="W173" s="98">
        <v>3.9E-2</v>
      </c>
      <c r="X173" s="96"/>
      <c r="Y173" s="96"/>
      <c r="Z173" s="96"/>
      <c r="AA173" s="98">
        <v>3.85E-2</v>
      </c>
      <c r="AB173" s="100">
        <v>51677</v>
      </c>
      <c r="AC173" s="96" t="s">
        <v>411</v>
      </c>
      <c r="AD173" s="96"/>
      <c r="AE173" s="96"/>
      <c r="AF173" s="96"/>
      <c r="AG173" s="100">
        <v>45291</v>
      </c>
      <c r="AH173" s="96"/>
      <c r="AI173" s="96"/>
      <c r="AJ173" s="96"/>
      <c r="AK173" s="96" t="s">
        <v>337</v>
      </c>
      <c r="AL173" s="96" t="s">
        <v>887</v>
      </c>
      <c r="AM173" s="96"/>
      <c r="AN173" s="96" t="s">
        <v>890</v>
      </c>
      <c r="AO173" s="100">
        <v>45473</v>
      </c>
      <c r="AP173" s="100">
        <v>45473</v>
      </c>
      <c r="AQ173" s="96"/>
      <c r="AR173" s="97">
        <v>4560.96</v>
      </c>
      <c r="AS173" s="97">
        <v>112.83</v>
      </c>
      <c r="AT173" s="97">
        <v>1</v>
      </c>
      <c r="AU173" s="97">
        <v>5.1461300000000003</v>
      </c>
      <c r="AV173" s="97">
        <v>5.1461300000000003</v>
      </c>
      <c r="AW173" s="96"/>
      <c r="AX173" s="96"/>
      <c r="AY173" s="96"/>
      <c r="AZ173" s="96"/>
      <c r="BA173" s="98">
        <v>2.8639999999999998E-3</v>
      </c>
      <c r="BB173" s="98">
        <v>9.7E-5</v>
      </c>
      <c r="BC173" s="106"/>
    </row>
    <row r="174" spans="1:55" ht="15" customHeight="1">
      <c r="A174" s="106"/>
      <c r="B174" s="96">
        <v>286</v>
      </c>
      <c r="C174" s="96">
        <v>1445</v>
      </c>
      <c r="D174" s="96"/>
      <c r="E174" s="96"/>
      <c r="F174" s="96"/>
      <c r="G174" s="96">
        <v>25000264</v>
      </c>
      <c r="H174" s="96" t="s">
        <v>1013</v>
      </c>
      <c r="I174" s="96" t="s">
        <v>812</v>
      </c>
      <c r="J174" s="96" t="s">
        <v>203</v>
      </c>
      <c r="K174" s="96"/>
      <c r="L174" s="96" t="s">
        <v>454</v>
      </c>
      <c r="M174" s="96" t="s">
        <v>338</v>
      </c>
      <c r="N174" s="96" t="s">
        <v>337</v>
      </c>
      <c r="O174" s="96"/>
      <c r="P174" s="100">
        <v>42935</v>
      </c>
      <c r="Q174" s="96" t="s">
        <v>1357</v>
      </c>
      <c r="R174" s="96" t="s">
        <v>414</v>
      </c>
      <c r="S174" s="96" t="s">
        <v>407</v>
      </c>
      <c r="T174" s="96" t="s">
        <v>1200</v>
      </c>
      <c r="U174" s="97">
        <v>7.29</v>
      </c>
      <c r="V174" s="96" t="s">
        <v>3678</v>
      </c>
      <c r="W174" s="98">
        <v>4.0800000000000003E-2</v>
      </c>
      <c r="X174" s="96"/>
      <c r="Y174" s="96"/>
      <c r="Z174" s="96"/>
      <c r="AA174" s="98">
        <v>3.8399999999999997E-2</v>
      </c>
      <c r="AB174" s="100">
        <v>51677</v>
      </c>
      <c r="AC174" s="96" t="s">
        <v>411</v>
      </c>
      <c r="AD174" s="96"/>
      <c r="AE174" s="96"/>
      <c r="AF174" s="96"/>
      <c r="AG174" s="100">
        <v>45291</v>
      </c>
      <c r="AH174" s="96"/>
      <c r="AI174" s="96"/>
      <c r="AJ174" s="96"/>
      <c r="AK174" s="96" t="s">
        <v>337</v>
      </c>
      <c r="AL174" s="96" t="s">
        <v>887</v>
      </c>
      <c r="AM174" s="96"/>
      <c r="AN174" s="96" t="s">
        <v>890</v>
      </c>
      <c r="AO174" s="100">
        <v>45473</v>
      </c>
      <c r="AP174" s="100">
        <v>45473</v>
      </c>
      <c r="AQ174" s="96"/>
      <c r="AR174" s="97">
        <v>21363.83</v>
      </c>
      <c r="AS174" s="97">
        <v>114.64</v>
      </c>
      <c r="AT174" s="97">
        <v>1</v>
      </c>
      <c r="AU174" s="97">
        <v>24.491489999999999</v>
      </c>
      <c r="AV174" s="97">
        <v>24.491489999999999</v>
      </c>
      <c r="AW174" s="96"/>
      <c r="AX174" s="96"/>
      <c r="AY174" s="96"/>
      <c r="AZ174" s="96"/>
      <c r="BA174" s="98">
        <v>1.3632E-2</v>
      </c>
      <c r="BB174" s="98">
        <v>4.66E-4</v>
      </c>
      <c r="BC174" s="106"/>
    </row>
    <row r="175" spans="1:55" ht="15" customHeight="1">
      <c r="A175" s="106"/>
      <c r="B175" s="96">
        <v>286</v>
      </c>
      <c r="C175" s="96">
        <v>1445</v>
      </c>
      <c r="D175" s="96"/>
      <c r="E175" s="96"/>
      <c r="F175" s="96"/>
      <c r="G175" s="96">
        <v>25000238</v>
      </c>
      <c r="H175" s="96" t="s">
        <v>1013</v>
      </c>
      <c r="I175" s="96"/>
      <c r="J175" s="96" t="s">
        <v>203</v>
      </c>
      <c r="K175" s="96"/>
      <c r="L175" s="96" t="s">
        <v>458</v>
      </c>
      <c r="M175" s="96" t="s">
        <v>338</v>
      </c>
      <c r="N175" s="96" t="s">
        <v>338</v>
      </c>
      <c r="O175" s="96"/>
      <c r="P175" s="100">
        <v>42772</v>
      </c>
      <c r="Q175" s="96" t="s">
        <v>1208</v>
      </c>
      <c r="R175" s="96" t="s">
        <v>311</v>
      </c>
      <c r="S175" s="96" t="s">
        <v>407</v>
      </c>
      <c r="T175" s="96" t="s">
        <v>1200</v>
      </c>
      <c r="U175" s="97">
        <v>0.59</v>
      </c>
      <c r="V175" s="96" t="s">
        <v>3678</v>
      </c>
      <c r="W175" s="98">
        <v>5.3999999999999999E-2</v>
      </c>
      <c r="X175" s="96"/>
      <c r="Y175" s="96"/>
      <c r="Z175" s="96"/>
      <c r="AA175" s="98">
        <v>5.4600000000000003E-2</v>
      </c>
      <c r="AB175" s="100">
        <v>45694</v>
      </c>
      <c r="AC175" s="96" t="s">
        <v>411</v>
      </c>
      <c r="AD175" s="96"/>
      <c r="AE175" s="96"/>
      <c r="AF175" s="96"/>
      <c r="AG175" s="100"/>
      <c r="AH175" s="96"/>
      <c r="AI175" s="96"/>
      <c r="AJ175" s="96"/>
      <c r="AK175" s="96" t="s">
        <v>337</v>
      </c>
      <c r="AL175" s="96" t="s">
        <v>887</v>
      </c>
      <c r="AM175" s="96"/>
      <c r="AN175" s="96" t="s">
        <v>890</v>
      </c>
      <c r="AO175" s="100">
        <v>45473</v>
      </c>
      <c r="AP175" s="100">
        <v>45473</v>
      </c>
      <c r="AQ175" s="96"/>
      <c r="AR175" s="97">
        <v>1131.0586820000001</v>
      </c>
      <c r="AS175" s="97">
        <v>102.13</v>
      </c>
      <c r="AT175" s="97">
        <v>1</v>
      </c>
      <c r="AU175" s="97">
        <v>1.1551499999999999</v>
      </c>
      <c r="AV175" s="97">
        <v>1.1551499999999999</v>
      </c>
      <c r="AW175" s="96"/>
      <c r="AX175" s="96"/>
      <c r="AY175" s="96"/>
      <c r="AZ175" s="96"/>
      <c r="BA175" s="98">
        <v>6.4199999999999999E-4</v>
      </c>
      <c r="BB175" s="98">
        <v>2.0999999999999999E-5</v>
      </c>
      <c r="BC175" s="106"/>
    </row>
    <row r="176" spans="1:55" ht="15" customHeight="1">
      <c r="A176" s="106"/>
      <c r="B176" s="96">
        <v>286</v>
      </c>
      <c r="C176" s="96">
        <v>1445</v>
      </c>
      <c r="D176" s="96"/>
      <c r="E176" s="96"/>
      <c r="F176" s="96"/>
      <c r="G176" s="96">
        <v>25000222</v>
      </c>
      <c r="H176" s="96" t="s">
        <v>1013</v>
      </c>
      <c r="I176" s="96" t="s">
        <v>785</v>
      </c>
      <c r="J176" s="96" t="s">
        <v>203</v>
      </c>
      <c r="K176" s="96"/>
      <c r="L176" s="96" t="s">
        <v>463</v>
      </c>
      <c r="M176" s="96" t="s">
        <v>338</v>
      </c>
      <c r="N176" s="96" t="s">
        <v>338</v>
      </c>
      <c r="O176" s="96"/>
      <c r="P176" s="100">
        <v>42690</v>
      </c>
      <c r="Q176" s="96" t="s">
        <v>1309</v>
      </c>
      <c r="R176" s="96" t="s">
        <v>414</v>
      </c>
      <c r="S176" s="96" t="s">
        <v>407</v>
      </c>
      <c r="T176" s="96" t="s">
        <v>1200</v>
      </c>
      <c r="U176" s="97">
        <v>1.35</v>
      </c>
      <c r="V176" s="96" t="s">
        <v>3678</v>
      </c>
      <c r="W176" s="98">
        <v>2.9499999999999998E-2</v>
      </c>
      <c r="X176" s="96"/>
      <c r="Y176" s="96"/>
      <c r="Z176" s="96"/>
      <c r="AA176" s="98">
        <v>3.4200000000000001E-2</v>
      </c>
      <c r="AB176" s="100">
        <v>46342</v>
      </c>
      <c r="AC176" s="96" t="s">
        <v>411</v>
      </c>
      <c r="AD176" s="96"/>
      <c r="AE176" s="96"/>
      <c r="AF176" s="96"/>
      <c r="AG176" s="100">
        <v>45004</v>
      </c>
      <c r="AH176" s="96"/>
      <c r="AI176" s="96"/>
      <c r="AJ176" s="96"/>
      <c r="AK176" s="96" t="s">
        <v>337</v>
      </c>
      <c r="AL176" s="96" t="s">
        <v>887</v>
      </c>
      <c r="AM176" s="96"/>
      <c r="AN176" s="96" t="s">
        <v>890</v>
      </c>
      <c r="AO176" s="100">
        <v>45473</v>
      </c>
      <c r="AP176" s="100">
        <v>45473</v>
      </c>
      <c r="AQ176" s="96"/>
      <c r="AR176" s="97">
        <v>2945.3448309999999</v>
      </c>
      <c r="AS176" s="97">
        <v>114.4</v>
      </c>
      <c r="AT176" s="97">
        <v>1</v>
      </c>
      <c r="AU176" s="97">
        <v>3.3694739999999999</v>
      </c>
      <c r="AV176" s="97">
        <v>3.3694739999999999</v>
      </c>
      <c r="AW176" s="96"/>
      <c r="AX176" s="96"/>
      <c r="AY176" s="96"/>
      <c r="AZ176" s="96"/>
      <c r="BA176" s="98">
        <v>1.8749999999999999E-3</v>
      </c>
      <c r="BB176" s="98">
        <v>6.3999999999999997E-5</v>
      </c>
      <c r="BC176" s="106"/>
    </row>
    <row r="177" spans="1:55" ht="15" customHeight="1">
      <c r="A177" s="106"/>
      <c r="B177" s="96">
        <v>286</v>
      </c>
      <c r="C177" s="96">
        <v>1445</v>
      </c>
      <c r="D177" s="96"/>
      <c r="E177" s="96"/>
      <c r="F177" s="96"/>
      <c r="G177" s="96">
        <v>25000199</v>
      </c>
      <c r="H177" s="96" t="s">
        <v>1013</v>
      </c>
      <c r="I177" s="96" t="s">
        <v>3680</v>
      </c>
      <c r="J177" s="96" t="s">
        <v>203</v>
      </c>
      <c r="K177" s="96"/>
      <c r="L177" s="96" t="s">
        <v>463</v>
      </c>
      <c r="M177" s="96" t="s">
        <v>338</v>
      </c>
      <c r="N177" s="96" t="s">
        <v>338</v>
      </c>
      <c r="O177" s="96"/>
      <c r="P177" s="100">
        <v>42536</v>
      </c>
      <c r="Q177" s="96" t="s">
        <v>1199</v>
      </c>
      <c r="R177" s="96" t="s">
        <v>412</v>
      </c>
      <c r="S177" s="96" t="s">
        <v>407</v>
      </c>
      <c r="T177" s="96" t="s">
        <v>1200</v>
      </c>
      <c r="U177" s="97">
        <v>5.9</v>
      </c>
      <c r="V177" s="96" t="s">
        <v>3678</v>
      </c>
      <c r="W177" s="98">
        <v>1.83E-2</v>
      </c>
      <c r="X177" s="96"/>
      <c r="Y177" s="96"/>
      <c r="Z177" s="96"/>
      <c r="AA177" s="98">
        <v>2.6100000000000002E-2</v>
      </c>
      <c r="AB177" s="100">
        <v>49841</v>
      </c>
      <c r="AC177" s="96" t="s">
        <v>411</v>
      </c>
      <c r="AD177" s="96"/>
      <c r="AE177" s="96"/>
      <c r="AF177" s="96"/>
      <c r="AG177" s="100">
        <v>44561</v>
      </c>
      <c r="AH177" s="96"/>
      <c r="AI177" s="96"/>
      <c r="AJ177" s="96"/>
      <c r="AK177" s="96" t="s">
        <v>337</v>
      </c>
      <c r="AL177" s="96" t="s">
        <v>887</v>
      </c>
      <c r="AM177" s="96"/>
      <c r="AN177" s="96" t="s">
        <v>890</v>
      </c>
      <c r="AO177" s="100">
        <v>45473</v>
      </c>
      <c r="AP177" s="100">
        <v>45473</v>
      </c>
      <c r="AQ177" s="96"/>
      <c r="AR177" s="97">
        <v>18524.581921000001</v>
      </c>
      <c r="AS177" s="97">
        <v>110.36</v>
      </c>
      <c r="AT177" s="97">
        <v>1</v>
      </c>
      <c r="AU177" s="97">
        <v>20.443728</v>
      </c>
      <c r="AV177" s="97">
        <v>20.443728</v>
      </c>
      <c r="AW177" s="96"/>
      <c r="AX177" s="96"/>
      <c r="AY177" s="96"/>
      <c r="AZ177" s="96"/>
      <c r="BA177" s="98">
        <v>1.1379E-2</v>
      </c>
      <c r="BB177" s="98">
        <v>3.8900000000000002E-4</v>
      </c>
      <c r="BC177" s="106"/>
    </row>
    <row r="178" spans="1:55" ht="15" customHeight="1">
      <c r="A178" s="106"/>
      <c r="B178" s="96">
        <v>286</v>
      </c>
      <c r="C178" s="96">
        <v>1445</v>
      </c>
      <c r="D178" s="96"/>
      <c r="E178" s="96"/>
      <c r="F178" s="96"/>
      <c r="G178" s="96">
        <v>25000198</v>
      </c>
      <c r="H178" s="96" t="s">
        <v>1013</v>
      </c>
      <c r="I178" s="96" t="s">
        <v>3680</v>
      </c>
      <c r="J178" s="96" t="s">
        <v>203</v>
      </c>
      <c r="K178" s="96"/>
      <c r="L178" s="96" t="s">
        <v>463</v>
      </c>
      <c r="M178" s="96" t="s">
        <v>338</v>
      </c>
      <c r="N178" s="96" t="s">
        <v>338</v>
      </c>
      <c r="O178" s="96"/>
      <c r="P178" s="100">
        <v>42536</v>
      </c>
      <c r="Q178" s="96" t="s">
        <v>1199</v>
      </c>
      <c r="R178" s="96" t="s">
        <v>412</v>
      </c>
      <c r="S178" s="96" t="s">
        <v>407</v>
      </c>
      <c r="T178" s="96" t="s">
        <v>1200</v>
      </c>
      <c r="U178" s="97">
        <v>5.9</v>
      </c>
      <c r="V178" s="96" t="s">
        <v>3678</v>
      </c>
      <c r="W178" s="98">
        <v>1.8100000000000002E-2</v>
      </c>
      <c r="X178" s="96"/>
      <c r="Y178" s="96"/>
      <c r="Z178" s="96"/>
      <c r="AA178" s="98">
        <v>2.5999999999999999E-2</v>
      </c>
      <c r="AB178" s="100">
        <v>49841</v>
      </c>
      <c r="AC178" s="96" t="s">
        <v>411</v>
      </c>
      <c r="AD178" s="96"/>
      <c r="AE178" s="96"/>
      <c r="AF178" s="96"/>
      <c r="AG178" s="100">
        <v>44561</v>
      </c>
      <c r="AH178" s="96"/>
      <c r="AI178" s="96"/>
      <c r="AJ178" s="96"/>
      <c r="AK178" s="96" t="s">
        <v>337</v>
      </c>
      <c r="AL178" s="96" t="s">
        <v>887</v>
      </c>
      <c r="AM178" s="96"/>
      <c r="AN178" s="96" t="s">
        <v>890</v>
      </c>
      <c r="AO178" s="100">
        <v>45473</v>
      </c>
      <c r="AP178" s="100">
        <v>45473</v>
      </c>
      <c r="AQ178" s="96"/>
      <c r="AR178" s="97">
        <v>9584.6816880000006</v>
      </c>
      <c r="AS178" s="97">
        <v>110.25</v>
      </c>
      <c r="AT178" s="97">
        <v>1</v>
      </c>
      <c r="AU178" s="97">
        <v>10.567111000000001</v>
      </c>
      <c r="AV178" s="97">
        <v>10.567111000000001</v>
      </c>
      <c r="AW178" s="96"/>
      <c r="AX178" s="96"/>
      <c r="AY178" s="96"/>
      <c r="AZ178" s="96"/>
      <c r="BA178" s="98">
        <v>5.8820000000000001E-3</v>
      </c>
      <c r="BB178" s="98">
        <v>2.0100000000000001E-4</v>
      </c>
      <c r="BC178" s="106"/>
    </row>
    <row r="179" spans="1:55" ht="15" customHeight="1">
      <c r="A179" s="106"/>
      <c r="B179" s="96">
        <v>286</v>
      </c>
      <c r="C179" s="96">
        <v>1445</v>
      </c>
      <c r="D179" s="96"/>
      <c r="E179" s="96"/>
      <c r="F179" s="96"/>
      <c r="G179" s="96">
        <v>25000196</v>
      </c>
      <c r="H179" s="96" t="s">
        <v>1013</v>
      </c>
      <c r="I179" s="96" t="s">
        <v>3680</v>
      </c>
      <c r="J179" s="96" t="s">
        <v>203</v>
      </c>
      <c r="K179" s="96"/>
      <c r="L179" s="96" t="s">
        <v>463</v>
      </c>
      <c r="M179" s="96" t="s">
        <v>338</v>
      </c>
      <c r="N179" s="96" t="s">
        <v>338</v>
      </c>
      <c r="O179" s="96"/>
      <c r="P179" s="100">
        <v>42514</v>
      </c>
      <c r="Q179" s="96" t="s">
        <v>1301</v>
      </c>
      <c r="R179" s="96" t="s">
        <v>414</v>
      </c>
      <c r="S179" s="96" t="s">
        <v>407</v>
      </c>
      <c r="T179" s="96" t="s">
        <v>1200</v>
      </c>
      <c r="U179" s="97">
        <v>1.83</v>
      </c>
      <c r="V179" s="96" t="s">
        <v>3678</v>
      </c>
      <c r="W179" s="98">
        <v>1.4999999999999999E-2</v>
      </c>
      <c r="X179" s="96"/>
      <c r="Y179" s="96"/>
      <c r="Z179" s="96"/>
      <c r="AA179" s="98">
        <v>2.1899999999999999E-2</v>
      </c>
      <c r="AB179" s="100">
        <v>46844</v>
      </c>
      <c r="AC179" s="96" t="s">
        <v>411</v>
      </c>
      <c r="AD179" s="96"/>
      <c r="AE179" s="96"/>
      <c r="AF179" s="96"/>
      <c r="AG179" s="100">
        <v>45006</v>
      </c>
      <c r="AH179" s="96"/>
      <c r="AI179" s="96"/>
      <c r="AJ179" s="96"/>
      <c r="AK179" s="96" t="s">
        <v>337</v>
      </c>
      <c r="AL179" s="96" t="s">
        <v>887</v>
      </c>
      <c r="AM179" s="96"/>
      <c r="AN179" s="96" t="s">
        <v>890</v>
      </c>
      <c r="AO179" s="100">
        <v>45473</v>
      </c>
      <c r="AP179" s="100">
        <v>45473</v>
      </c>
      <c r="AQ179" s="96"/>
      <c r="AR179" s="97">
        <v>18359.316447000001</v>
      </c>
      <c r="AS179" s="97">
        <v>114.36</v>
      </c>
      <c r="AT179" s="97">
        <v>1</v>
      </c>
      <c r="AU179" s="97">
        <v>20.995714</v>
      </c>
      <c r="AV179" s="97">
        <v>20.995714</v>
      </c>
      <c r="AW179" s="96"/>
      <c r="AX179" s="96"/>
      <c r="AY179" s="96"/>
      <c r="AZ179" s="96"/>
      <c r="BA179" s="98">
        <v>1.1686999999999999E-2</v>
      </c>
      <c r="BB179" s="98">
        <v>3.9899999999999999E-4</v>
      </c>
      <c r="BC179" s="106"/>
    </row>
    <row r="180" spans="1:55" ht="15" customHeight="1">
      <c r="A180" s="106"/>
      <c r="B180" s="96">
        <v>286</v>
      </c>
      <c r="C180" s="96">
        <v>1445</v>
      </c>
      <c r="D180" s="96"/>
      <c r="E180" s="96"/>
      <c r="F180" s="96"/>
      <c r="G180" s="96">
        <v>25000183</v>
      </c>
      <c r="H180" s="96" t="s">
        <v>1013</v>
      </c>
      <c r="I180" s="96" t="s">
        <v>3687</v>
      </c>
      <c r="J180" s="96" t="s">
        <v>203</v>
      </c>
      <c r="K180" s="96"/>
      <c r="L180" s="96" t="s">
        <v>477</v>
      </c>
      <c r="M180" s="96" t="s">
        <v>338</v>
      </c>
      <c r="N180" s="96" t="s">
        <v>338</v>
      </c>
      <c r="O180" s="96"/>
      <c r="P180" s="100">
        <v>42369</v>
      </c>
      <c r="Q180" s="96" t="s">
        <v>409</v>
      </c>
      <c r="R180" s="96" t="s">
        <v>409</v>
      </c>
      <c r="S180" s="96" t="s">
        <v>409</v>
      </c>
      <c r="T180" s="96" t="s">
        <v>1200</v>
      </c>
      <c r="U180" s="97">
        <v>6.3</v>
      </c>
      <c r="V180" s="96" t="s">
        <v>3678</v>
      </c>
      <c r="W180" s="98">
        <v>3.0317E-2</v>
      </c>
      <c r="X180" s="96"/>
      <c r="Y180" s="96"/>
      <c r="Z180" s="96"/>
      <c r="AA180" s="98">
        <v>2.8000000000000001E-2</v>
      </c>
      <c r="AB180" s="100">
        <v>52778</v>
      </c>
      <c r="AC180" s="96" t="s">
        <v>411</v>
      </c>
      <c r="AD180" s="96"/>
      <c r="AE180" s="96"/>
      <c r="AF180" s="96"/>
      <c r="AG180" s="100">
        <v>44986</v>
      </c>
      <c r="AH180" s="96"/>
      <c r="AI180" s="96"/>
      <c r="AJ180" s="96"/>
      <c r="AK180" s="96" t="s">
        <v>337</v>
      </c>
      <c r="AL180" s="96" t="s">
        <v>887</v>
      </c>
      <c r="AM180" s="96"/>
      <c r="AN180" s="96" t="s">
        <v>890</v>
      </c>
      <c r="AO180" s="100">
        <v>45473</v>
      </c>
      <c r="AP180" s="100">
        <v>45473</v>
      </c>
      <c r="AQ180" s="96"/>
      <c r="AR180" s="97">
        <v>1276.322964</v>
      </c>
      <c r="AS180" s="97">
        <v>116.78</v>
      </c>
      <c r="AT180" s="97">
        <v>1</v>
      </c>
      <c r="AU180" s="97">
        <v>1.490489</v>
      </c>
      <c r="AV180" s="97">
        <v>1.490489</v>
      </c>
      <c r="AW180" s="96"/>
      <c r="AX180" s="96"/>
      <c r="AY180" s="96"/>
      <c r="AZ180" s="96"/>
      <c r="BA180" s="98">
        <v>8.2899999999999998E-4</v>
      </c>
      <c r="BB180" s="98">
        <v>2.8E-5</v>
      </c>
      <c r="BC180" s="106"/>
    </row>
    <row r="181" spans="1:55" ht="15" customHeight="1">
      <c r="A181" s="106"/>
      <c r="B181" s="96">
        <v>286</v>
      </c>
      <c r="C181" s="96">
        <v>1445</v>
      </c>
      <c r="D181" s="96"/>
      <c r="E181" s="96"/>
      <c r="F181" s="96"/>
      <c r="G181" s="96">
        <v>25000182</v>
      </c>
      <c r="H181" s="96" t="s">
        <v>1013</v>
      </c>
      <c r="I181" s="96" t="s">
        <v>3687</v>
      </c>
      <c r="J181" s="96" t="s">
        <v>203</v>
      </c>
      <c r="K181" s="96"/>
      <c r="L181" s="96" t="s">
        <v>477</v>
      </c>
      <c r="M181" s="96" t="s">
        <v>338</v>
      </c>
      <c r="N181" s="96" t="s">
        <v>338</v>
      </c>
      <c r="O181" s="96"/>
      <c r="P181" s="100">
        <v>42369</v>
      </c>
      <c r="Q181" s="96" t="s">
        <v>409</v>
      </c>
      <c r="R181" s="96" t="s">
        <v>409</v>
      </c>
      <c r="S181" s="96" t="s">
        <v>409</v>
      </c>
      <c r="T181" s="96" t="s">
        <v>1200</v>
      </c>
      <c r="U181" s="97">
        <v>6.26</v>
      </c>
      <c r="V181" s="96" t="s">
        <v>824</v>
      </c>
      <c r="W181" s="98">
        <v>1.84E-2</v>
      </c>
      <c r="X181" s="96"/>
      <c r="Y181" s="96"/>
      <c r="Z181" s="96"/>
      <c r="AA181" s="98">
        <v>7.17E-2</v>
      </c>
      <c r="AB181" s="100">
        <v>53447</v>
      </c>
      <c r="AC181" s="96" t="s">
        <v>411</v>
      </c>
      <c r="AD181" s="96"/>
      <c r="AE181" s="96"/>
      <c r="AF181" s="96"/>
      <c r="AG181" s="100">
        <v>44986</v>
      </c>
      <c r="AH181" s="96"/>
      <c r="AI181" s="96"/>
      <c r="AJ181" s="96"/>
      <c r="AK181" s="96" t="s">
        <v>337</v>
      </c>
      <c r="AL181" s="96" t="s">
        <v>887</v>
      </c>
      <c r="AM181" s="96"/>
      <c r="AN181" s="96" t="s">
        <v>890</v>
      </c>
      <c r="AO181" s="100">
        <v>45473</v>
      </c>
      <c r="AP181" s="100">
        <v>45473</v>
      </c>
      <c r="AQ181" s="96"/>
      <c r="AR181" s="97">
        <v>8454.9524249999995</v>
      </c>
      <c r="AS181" s="97">
        <v>108.15</v>
      </c>
      <c r="AT181" s="97">
        <v>1</v>
      </c>
      <c r="AU181" s="97">
        <v>9.144031</v>
      </c>
      <c r="AV181" s="97">
        <v>9.144031</v>
      </c>
      <c r="AW181" s="96"/>
      <c r="AX181" s="96"/>
      <c r="AY181" s="96"/>
      <c r="AZ181" s="96"/>
      <c r="BA181" s="98">
        <v>5.0889999999999998E-3</v>
      </c>
      <c r="BB181" s="98">
        <v>1.74E-4</v>
      </c>
      <c r="BC181" s="106"/>
    </row>
    <row r="182" spans="1:55" ht="15" customHeight="1">
      <c r="A182" s="106"/>
      <c r="B182" s="96">
        <v>286</v>
      </c>
      <c r="C182" s="96">
        <v>1445</v>
      </c>
      <c r="D182" s="96"/>
      <c r="E182" s="96"/>
      <c r="F182" s="96"/>
      <c r="G182" s="96">
        <v>25000181</v>
      </c>
      <c r="H182" s="96" t="s">
        <v>1013</v>
      </c>
      <c r="I182" s="96" t="s">
        <v>3687</v>
      </c>
      <c r="J182" s="96" t="s">
        <v>203</v>
      </c>
      <c r="K182" s="96"/>
      <c r="L182" s="96" t="s">
        <v>477</v>
      </c>
      <c r="M182" s="96" t="s">
        <v>338</v>
      </c>
      <c r="N182" s="96" t="s">
        <v>338</v>
      </c>
      <c r="O182" s="96"/>
      <c r="P182" s="100">
        <v>42369</v>
      </c>
      <c r="Q182" s="96" t="s">
        <v>409</v>
      </c>
      <c r="R182" s="96" t="s">
        <v>409</v>
      </c>
      <c r="S182" s="96" t="s">
        <v>409</v>
      </c>
      <c r="T182" s="96" t="s">
        <v>1200</v>
      </c>
      <c r="U182" s="97">
        <v>4.47</v>
      </c>
      <c r="V182" s="96" t="s">
        <v>3678</v>
      </c>
      <c r="W182" s="98">
        <v>4.6306700000000006E-2</v>
      </c>
      <c r="X182" s="96"/>
      <c r="Y182" s="96"/>
      <c r="Z182" s="96"/>
      <c r="AA182" s="98">
        <v>5.2900000000000003E-2</v>
      </c>
      <c r="AB182" s="100">
        <v>52627</v>
      </c>
      <c r="AC182" s="96" t="s">
        <v>411</v>
      </c>
      <c r="AD182" s="96"/>
      <c r="AE182" s="96"/>
      <c r="AF182" s="96"/>
      <c r="AG182" s="100">
        <v>44986</v>
      </c>
      <c r="AH182" s="96"/>
      <c r="AI182" s="96"/>
      <c r="AJ182" s="96"/>
      <c r="AK182" s="96" t="s">
        <v>337</v>
      </c>
      <c r="AL182" s="96" t="s">
        <v>887</v>
      </c>
      <c r="AM182" s="96"/>
      <c r="AN182" s="96" t="s">
        <v>890</v>
      </c>
      <c r="AO182" s="100">
        <v>45473</v>
      </c>
      <c r="AP182" s="100">
        <v>45473</v>
      </c>
      <c r="AQ182" s="96"/>
      <c r="AR182" s="97">
        <v>2507.6003300000002</v>
      </c>
      <c r="AS182" s="97">
        <v>98.61</v>
      </c>
      <c r="AT182" s="97">
        <v>1</v>
      </c>
      <c r="AU182" s="97">
        <v>2.4727440000000001</v>
      </c>
      <c r="AV182" s="97">
        <v>2.4727440000000001</v>
      </c>
      <c r="AW182" s="96"/>
      <c r="AX182" s="96"/>
      <c r="AY182" s="96"/>
      <c r="AZ182" s="96"/>
      <c r="BA182" s="98">
        <v>1.3760000000000001E-3</v>
      </c>
      <c r="BB182" s="98">
        <v>4.6999999999999997E-5</v>
      </c>
      <c r="BC182" s="106"/>
    </row>
    <row r="183" spans="1:55" ht="15" customHeight="1">
      <c r="A183" s="106"/>
      <c r="B183" s="96">
        <v>286</v>
      </c>
      <c r="C183" s="96">
        <v>1445</v>
      </c>
      <c r="D183" s="96"/>
      <c r="E183" s="96"/>
      <c r="F183" s="96"/>
      <c r="G183" s="96">
        <v>25000180</v>
      </c>
      <c r="H183" s="96" t="s">
        <v>1013</v>
      </c>
      <c r="I183" s="96" t="s">
        <v>3687</v>
      </c>
      <c r="J183" s="96" t="s">
        <v>203</v>
      </c>
      <c r="K183" s="96"/>
      <c r="L183" s="96" t="s">
        <v>477</v>
      </c>
      <c r="M183" s="96" t="s">
        <v>338</v>
      </c>
      <c r="N183" s="96" t="s">
        <v>338</v>
      </c>
      <c r="O183" s="96"/>
      <c r="P183" s="100">
        <v>42369</v>
      </c>
      <c r="Q183" s="96" t="s">
        <v>409</v>
      </c>
      <c r="R183" s="96" t="s">
        <v>409</v>
      </c>
      <c r="S183" s="96" t="s">
        <v>409</v>
      </c>
      <c r="T183" s="96" t="s">
        <v>1200</v>
      </c>
      <c r="U183" s="97">
        <v>6.84</v>
      </c>
      <c r="V183" s="96" t="s">
        <v>824</v>
      </c>
      <c r="W183" s="98">
        <v>0.06</v>
      </c>
      <c r="X183" s="96"/>
      <c r="Y183" s="96"/>
      <c r="Z183" s="96"/>
      <c r="AA183" s="98">
        <v>5.9200000000000003E-2</v>
      </c>
      <c r="AB183" s="100">
        <v>53447</v>
      </c>
      <c r="AC183" s="96" t="s">
        <v>411</v>
      </c>
      <c r="AD183" s="96"/>
      <c r="AE183" s="96"/>
      <c r="AF183" s="96"/>
      <c r="AG183" s="100">
        <v>44986</v>
      </c>
      <c r="AH183" s="96"/>
      <c r="AI183" s="96"/>
      <c r="AJ183" s="96"/>
      <c r="AK183" s="96" t="s">
        <v>337</v>
      </c>
      <c r="AL183" s="96" t="s">
        <v>887</v>
      </c>
      <c r="AM183" s="96"/>
      <c r="AN183" s="96" t="s">
        <v>890</v>
      </c>
      <c r="AO183" s="100">
        <v>45473</v>
      </c>
      <c r="AP183" s="100">
        <v>45473</v>
      </c>
      <c r="AQ183" s="96"/>
      <c r="AR183" s="97">
        <v>6324.7939290000004</v>
      </c>
      <c r="AS183" s="97">
        <v>99.41</v>
      </c>
      <c r="AT183" s="97">
        <v>1</v>
      </c>
      <c r="AU183" s="97">
        <v>6.287477</v>
      </c>
      <c r="AV183" s="97">
        <v>6.287477</v>
      </c>
      <c r="AW183" s="96"/>
      <c r="AX183" s="96"/>
      <c r="AY183" s="96"/>
      <c r="AZ183" s="96"/>
      <c r="BA183" s="98">
        <v>3.4989999999999999E-3</v>
      </c>
      <c r="BB183" s="98">
        <v>1.1900000000000001E-4</v>
      </c>
      <c r="BC183" s="106"/>
    </row>
    <row r="184" spans="1:55" ht="15" customHeight="1">
      <c r="A184" s="106"/>
      <c r="B184" s="96">
        <v>286</v>
      </c>
      <c r="C184" s="96">
        <v>1445</v>
      </c>
      <c r="D184" s="96"/>
      <c r="E184" s="96"/>
      <c r="F184" s="96"/>
      <c r="G184" s="96">
        <v>25000107</v>
      </c>
      <c r="H184" s="96" t="s">
        <v>1013</v>
      </c>
      <c r="I184" s="96" t="s">
        <v>3684</v>
      </c>
      <c r="J184" s="96" t="s">
        <v>203</v>
      </c>
      <c r="K184" s="96"/>
      <c r="L184" s="96" t="s">
        <v>463</v>
      </c>
      <c r="M184" s="96" t="s">
        <v>337</v>
      </c>
      <c r="N184" s="96" t="s">
        <v>338</v>
      </c>
      <c r="O184" s="96"/>
      <c r="P184" s="100">
        <v>42002</v>
      </c>
      <c r="Q184" s="96" t="s">
        <v>1313</v>
      </c>
      <c r="R184" s="96" t="s">
        <v>412</v>
      </c>
      <c r="S184" s="96" t="s">
        <v>407</v>
      </c>
      <c r="T184" s="96" t="s">
        <v>1200</v>
      </c>
      <c r="U184" s="97">
        <v>2.36</v>
      </c>
      <c r="V184" s="96" t="s">
        <v>3678</v>
      </c>
      <c r="W184" s="98">
        <v>2.5000000000000001E-2</v>
      </c>
      <c r="X184" s="96"/>
      <c r="Y184" s="96"/>
      <c r="Z184" s="96"/>
      <c r="AA184" s="98">
        <v>2.3699999999999999E-2</v>
      </c>
      <c r="AB184" s="100">
        <v>46388</v>
      </c>
      <c r="AC184" s="96" t="s">
        <v>411</v>
      </c>
      <c r="AD184" s="96"/>
      <c r="AE184" s="96"/>
      <c r="AF184" s="96"/>
      <c r="AG184" s="100">
        <v>44917</v>
      </c>
      <c r="AH184" s="96"/>
      <c r="AI184" s="96"/>
      <c r="AJ184" s="96"/>
      <c r="AK184" s="96" t="s">
        <v>337</v>
      </c>
      <c r="AL184" s="96" t="s">
        <v>887</v>
      </c>
      <c r="AM184" s="96"/>
      <c r="AN184" s="96" t="s">
        <v>890</v>
      </c>
      <c r="AO184" s="100">
        <v>45473</v>
      </c>
      <c r="AP184" s="100">
        <v>45473</v>
      </c>
      <c r="AQ184" s="96"/>
      <c r="AR184" s="97">
        <v>12608.332893000001</v>
      </c>
      <c r="AS184" s="97">
        <v>114.6</v>
      </c>
      <c r="AT184" s="97">
        <v>1</v>
      </c>
      <c r="AU184" s="97">
        <v>14.449149</v>
      </c>
      <c r="AV184" s="97">
        <v>14.449149</v>
      </c>
      <c r="AW184" s="96"/>
      <c r="AX184" s="96"/>
      <c r="AY184" s="96"/>
      <c r="AZ184" s="96"/>
      <c r="BA184" s="98">
        <v>8.0420000000000005E-3</v>
      </c>
      <c r="BB184" s="98">
        <v>2.7500000000000002E-4</v>
      </c>
      <c r="BC184" s="106"/>
    </row>
    <row r="185" spans="1:55" ht="15" customHeight="1">
      <c r="A185" s="106"/>
      <c r="B185" s="96">
        <v>286</v>
      </c>
      <c r="C185" s="96">
        <v>1445</v>
      </c>
      <c r="D185" s="96"/>
      <c r="E185" s="96"/>
      <c r="F185" s="96"/>
      <c r="G185" s="96">
        <v>25000073</v>
      </c>
      <c r="H185" s="96" t="s">
        <v>1013</v>
      </c>
      <c r="I185" s="96" t="s">
        <v>785</v>
      </c>
      <c r="J185" s="96" t="s">
        <v>203</v>
      </c>
      <c r="K185" s="96"/>
      <c r="L185" s="96" t="s">
        <v>463</v>
      </c>
      <c r="M185" s="96" t="s">
        <v>337</v>
      </c>
      <c r="N185" s="96" t="s">
        <v>338</v>
      </c>
      <c r="O185" s="96"/>
      <c r="P185" s="100">
        <v>41771</v>
      </c>
      <c r="Q185" s="96" t="s">
        <v>1324</v>
      </c>
      <c r="R185" s="96" t="s">
        <v>412</v>
      </c>
      <c r="S185" s="96" t="s">
        <v>407</v>
      </c>
      <c r="T185" s="96" t="s">
        <v>1200</v>
      </c>
      <c r="U185" s="97">
        <v>3.05</v>
      </c>
      <c r="V185" s="96" t="s">
        <v>3678</v>
      </c>
      <c r="W185" s="98">
        <v>5.3999999999999999E-2</v>
      </c>
      <c r="X185" s="96"/>
      <c r="Y185" s="96"/>
      <c r="Z185" s="96"/>
      <c r="AA185" s="98">
        <v>0.04</v>
      </c>
      <c r="AB185" s="100">
        <v>47838</v>
      </c>
      <c r="AC185" s="96" t="s">
        <v>411</v>
      </c>
      <c r="AD185" s="96"/>
      <c r="AE185" s="96"/>
      <c r="AF185" s="96"/>
      <c r="AG185" s="100">
        <v>44966</v>
      </c>
      <c r="AH185" s="96"/>
      <c r="AI185" s="96"/>
      <c r="AJ185" s="96"/>
      <c r="AK185" s="96" t="s">
        <v>337</v>
      </c>
      <c r="AL185" s="96" t="s">
        <v>887</v>
      </c>
      <c r="AM185" s="96"/>
      <c r="AN185" s="96" t="s">
        <v>890</v>
      </c>
      <c r="AO185" s="100">
        <v>45473</v>
      </c>
      <c r="AP185" s="100">
        <v>45473</v>
      </c>
      <c r="AQ185" s="96"/>
      <c r="AR185" s="97">
        <v>906.75565900000004</v>
      </c>
      <c r="AS185" s="97">
        <v>119.08</v>
      </c>
      <c r="AT185" s="97">
        <v>1</v>
      </c>
      <c r="AU185" s="97">
        <v>1.0797639999999999</v>
      </c>
      <c r="AV185" s="97">
        <v>1.0797639999999999</v>
      </c>
      <c r="AW185" s="96"/>
      <c r="AX185" s="96"/>
      <c r="AY185" s="96"/>
      <c r="AZ185" s="96"/>
      <c r="BA185" s="98">
        <v>6.0099999999999997E-4</v>
      </c>
      <c r="BB185" s="98">
        <v>2.0000000000000002E-5</v>
      </c>
      <c r="BC185" s="106"/>
    </row>
    <row r="186" spans="1:55" ht="15" customHeight="1">
      <c r="A186" s="106"/>
      <c r="B186" s="96">
        <v>286</v>
      </c>
      <c r="C186" s="96">
        <v>1445</v>
      </c>
      <c r="D186" s="96"/>
      <c r="E186" s="96"/>
      <c r="F186" s="96"/>
      <c r="G186" s="96">
        <v>25000300</v>
      </c>
      <c r="H186" s="96" t="s">
        <v>1013</v>
      </c>
      <c r="I186" s="96" t="s">
        <v>3687</v>
      </c>
      <c r="J186" s="96" t="s">
        <v>203</v>
      </c>
      <c r="K186" s="96"/>
      <c r="L186" s="96" t="s">
        <v>477</v>
      </c>
      <c r="M186" s="96" t="s">
        <v>338</v>
      </c>
      <c r="N186" s="96" t="s">
        <v>338</v>
      </c>
      <c r="O186" s="96"/>
      <c r="P186" s="100">
        <v>42674</v>
      </c>
      <c r="Q186" s="96" t="s">
        <v>409</v>
      </c>
      <c r="R186" s="96" t="s">
        <v>409</v>
      </c>
      <c r="S186" s="96" t="s">
        <v>409</v>
      </c>
      <c r="T186" s="96" t="s">
        <v>1200</v>
      </c>
      <c r="U186" s="97">
        <v>3.69</v>
      </c>
      <c r="V186" s="96" t="s">
        <v>3678</v>
      </c>
      <c r="W186" s="98">
        <v>2.8829400000000002E-2</v>
      </c>
      <c r="X186" s="96"/>
      <c r="Y186" s="96"/>
      <c r="Z186" s="96"/>
      <c r="AA186" s="98">
        <v>2.0500000000000001E-2</v>
      </c>
      <c r="AB186" s="100">
        <v>52200</v>
      </c>
      <c r="AC186" s="96" t="s">
        <v>411</v>
      </c>
      <c r="AD186" s="96"/>
      <c r="AE186" s="96"/>
      <c r="AF186" s="96"/>
      <c r="AG186" s="100">
        <v>44986</v>
      </c>
      <c r="AH186" s="96"/>
      <c r="AI186" s="96"/>
      <c r="AJ186" s="96"/>
      <c r="AK186" s="96" t="s">
        <v>337</v>
      </c>
      <c r="AL186" s="96" t="s">
        <v>887</v>
      </c>
      <c r="AM186" s="96"/>
      <c r="AN186" s="96" t="s">
        <v>890</v>
      </c>
      <c r="AO186" s="100">
        <v>45473</v>
      </c>
      <c r="AP186" s="100">
        <v>45473</v>
      </c>
      <c r="AQ186" s="96"/>
      <c r="AR186" s="97">
        <v>1391.8667089999999</v>
      </c>
      <c r="AS186" s="97">
        <v>120.66</v>
      </c>
      <c r="AT186" s="97">
        <v>1</v>
      </c>
      <c r="AU186" s="97">
        <v>1.6794260000000001</v>
      </c>
      <c r="AV186" s="97">
        <v>1.6794260000000001</v>
      </c>
      <c r="AW186" s="96"/>
      <c r="AX186" s="96"/>
      <c r="AY186" s="96"/>
      <c r="AZ186" s="96"/>
      <c r="BA186" s="98">
        <v>9.3400000000000004E-4</v>
      </c>
      <c r="BB186" s="98">
        <v>3.1000000000000001E-5</v>
      </c>
      <c r="BC186" s="106"/>
    </row>
    <row r="187" spans="1:55" ht="15" customHeight="1">
      <c r="A187" s="106"/>
      <c r="B187" s="96">
        <v>286</v>
      </c>
      <c r="C187" s="96">
        <v>1445</v>
      </c>
      <c r="D187" s="96"/>
      <c r="E187" s="96"/>
      <c r="F187" s="96"/>
      <c r="G187" s="96">
        <v>25000387</v>
      </c>
      <c r="H187" s="96" t="s">
        <v>1013</v>
      </c>
      <c r="I187" s="96" t="s">
        <v>812</v>
      </c>
      <c r="J187" s="96" t="s">
        <v>203</v>
      </c>
      <c r="K187" s="96"/>
      <c r="L187" s="96" t="s">
        <v>454</v>
      </c>
      <c r="M187" s="96" t="s">
        <v>338</v>
      </c>
      <c r="N187" s="96" t="s">
        <v>337</v>
      </c>
      <c r="O187" s="96"/>
      <c r="P187" s="100">
        <v>43469</v>
      </c>
      <c r="Q187" s="96" t="s">
        <v>1357</v>
      </c>
      <c r="R187" s="96" t="s">
        <v>414</v>
      </c>
      <c r="S187" s="96" t="s">
        <v>407</v>
      </c>
      <c r="T187" s="96" t="s">
        <v>1200</v>
      </c>
      <c r="U187" s="97">
        <v>7.3</v>
      </c>
      <c r="V187" s="96" t="s">
        <v>3678</v>
      </c>
      <c r="W187" s="98">
        <v>4.1700000000000001E-2</v>
      </c>
      <c r="X187" s="96"/>
      <c r="Y187" s="96"/>
      <c r="Z187" s="96"/>
      <c r="AA187" s="98">
        <v>3.7600000000000001E-2</v>
      </c>
      <c r="AB187" s="100">
        <v>51677</v>
      </c>
      <c r="AC187" s="96" t="s">
        <v>411</v>
      </c>
      <c r="AD187" s="96"/>
      <c r="AE187" s="96"/>
      <c r="AF187" s="96"/>
      <c r="AG187" s="100">
        <v>45291</v>
      </c>
      <c r="AH187" s="96"/>
      <c r="AI187" s="96"/>
      <c r="AJ187" s="96"/>
      <c r="AK187" s="96" t="s">
        <v>337</v>
      </c>
      <c r="AL187" s="96" t="s">
        <v>887</v>
      </c>
      <c r="AM187" s="96"/>
      <c r="AN187" s="96" t="s">
        <v>890</v>
      </c>
      <c r="AO187" s="100">
        <v>45473</v>
      </c>
      <c r="AP187" s="100">
        <v>45473</v>
      </c>
      <c r="AQ187" s="96"/>
      <c r="AR187" s="97">
        <v>9852.09</v>
      </c>
      <c r="AS187" s="97">
        <v>114.37</v>
      </c>
      <c r="AT187" s="97">
        <v>1</v>
      </c>
      <c r="AU187" s="97">
        <v>11.26784</v>
      </c>
      <c r="AV187" s="97">
        <v>11.26784</v>
      </c>
      <c r="AW187" s="96"/>
      <c r="AX187" s="96"/>
      <c r="AY187" s="96"/>
      <c r="AZ187" s="96"/>
      <c r="BA187" s="98">
        <v>6.2719999999999998E-3</v>
      </c>
      <c r="BB187" s="98">
        <v>2.14E-4</v>
      </c>
      <c r="BC187" s="106"/>
    </row>
    <row r="188" spans="1:55" ht="15" customHeight="1">
      <c r="A188" s="106"/>
      <c r="B188" s="96">
        <v>286</v>
      </c>
      <c r="C188" s="96">
        <v>1445</v>
      </c>
      <c r="D188" s="96"/>
      <c r="E188" s="96"/>
      <c r="F188" s="96"/>
      <c r="G188" s="96">
        <v>25000301</v>
      </c>
      <c r="H188" s="96" t="s">
        <v>1013</v>
      </c>
      <c r="I188" s="96" t="s">
        <v>3687</v>
      </c>
      <c r="J188" s="96" t="s">
        <v>203</v>
      </c>
      <c r="K188" s="96"/>
      <c r="L188" s="96" t="s">
        <v>477</v>
      </c>
      <c r="M188" s="96" t="s">
        <v>338</v>
      </c>
      <c r="N188" s="96" t="s">
        <v>338</v>
      </c>
      <c r="O188" s="96"/>
      <c r="P188" s="100">
        <v>42674</v>
      </c>
      <c r="Q188" s="96" t="s">
        <v>409</v>
      </c>
      <c r="R188" s="96" t="s">
        <v>409</v>
      </c>
      <c r="S188" s="96" t="s">
        <v>409</v>
      </c>
      <c r="T188" s="96" t="s">
        <v>1200</v>
      </c>
      <c r="U188" s="97">
        <v>5.79</v>
      </c>
      <c r="V188" s="96" t="s">
        <v>824</v>
      </c>
      <c r="W188" s="98">
        <v>2.9700000000000001E-2</v>
      </c>
      <c r="X188" s="96"/>
      <c r="Y188" s="96"/>
      <c r="Z188" s="96"/>
      <c r="AA188" s="98">
        <v>5.6599999999999998E-2</v>
      </c>
      <c r="AB188" s="100">
        <v>52962</v>
      </c>
      <c r="AC188" s="96" t="s">
        <v>411</v>
      </c>
      <c r="AD188" s="96"/>
      <c r="AE188" s="96"/>
      <c r="AF188" s="96"/>
      <c r="AG188" s="100">
        <v>44986</v>
      </c>
      <c r="AH188" s="96"/>
      <c r="AI188" s="96"/>
      <c r="AJ188" s="96"/>
      <c r="AK188" s="96" t="s">
        <v>337</v>
      </c>
      <c r="AL188" s="96" t="s">
        <v>887</v>
      </c>
      <c r="AM188" s="96"/>
      <c r="AN188" s="96" t="s">
        <v>890</v>
      </c>
      <c r="AO188" s="100">
        <v>45473</v>
      </c>
      <c r="AP188" s="100">
        <v>45473</v>
      </c>
      <c r="AQ188" s="96"/>
      <c r="AR188" s="97">
        <v>15556.827847</v>
      </c>
      <c r="AS188" s="97">
        <v>117.31</v>
      </c>
      <c r="AT188" s="97">
        <v>1</v>
      </c>
      <c r="AU188" s="97">
        <v>18.249714000000001</v>
      </c>
      <c r="AV188" s="97">
        <v>18.249714000000001</v>
      </c>
      <c r="AW188" s="96"/>
      <c r="AX188" s="96"/>
      <c r="AY188" s="96"/>
      <c r="AZ188" s="96"/>
      <c r="BA188" s="98">
        <v>1.0158E-2</v>
      </c>
      <c r="BB188" s="98">
        <v>3.4699999999999998E-4</v>
      </c>
      <c r="BC188" s="106"/>
    </row>
    <row r="189" spans="1:55" ht="15" customHeight="1">
      <c r="A189" s="106"/>
      <c r="B189" s="96">
        <v>286</v>
      </c>
      <c r="C189" s="96">
        <v>1445</v>
      </c>
      <c r="D189" s="96"/>
      <c r="E189" s="96"/>
      <c r="F189" s="96"/>
      <c r="G189" s="96">
        <v>25000303</v>
      </c>
      <c r="H189" s="96" t="s">
        <v>1013</v>
      </c>
      <c r="I189" s="96" t="s">
        <v>3687</v>
      </c>
      <c r="J189" s="96" t="s">
        <v>203</v>
      </c>
      <c r="K189" s="96"/>
      <c r="L189" s="96" t="s">
        <v>477</v>
      </c>
      <c r="M189" s="96" t="s">
        <v>338</v>
      </c>
      <c r="N189" s="96" t="s">
        <v>338</v>
      </c>
      <c r="O189" s="96"/>
      <c r="P189" s="100">
        <v>42674</v>
      </c>
      <c r="Q189" s="96" t="s">
        <v>409</v>
      </c>
      <c r="R189" s="96" t="s">
        <v>409</v>
      </c>
      <c r="S189" s="96" t="s">
        <v>409</v>
      </c>
      <c r="T189" s="96" t="s">
        <v>1200</v>
      </c>
      <c r="U189" s="97">
        <v>5.84</v>
      </c>
      <c r="V189" s="96" t="s">
        <v>824</v>
      </c>
      <c r="W189" s="98">
        <v>0.06</v>
      </c>
      <c r="X189" s="96"/>
      <c r="Y189" s="96"/>
      <c r="Z189" s="96"/>
      <c r="AA189" s="98">
        <v>6.6000000000000003E-2</v>
      </c>
      <c r="AB189" s="100">
        <v>52993</v>
      </c>
      <c r="AC189" s="96" t="s">
        <v>411</v>
      </c>
      <c r="AD189" s="96"/>
      <c r="AE189" s="96"/>
      <c r="AF189" s="96"/>
      <c r="AG189" s="100">
        <v>44986</v>
      </c>
      <c r="AH189" s="96"/>
      <c r="AI189" s="96"/>
      <c r="AJ189" s="96"/>
      <c r="AK189" s="96" t="s">
        <v>337</v>
      </c>
      <c r="AL189" s="96" t="s">
        <v>887</v>
      </c>
      <c r="AM189" s="96"/>
      <c r="AN189" s="96" t="s">
        <v>890</v>
      </c>
      <c r="AO189" s="100">
        <v>45473</v>
      </c>
      <c r="AP189" s="100">
        <v>45473</v>
      </c>
      <c r="AQ189" s="96"/>
      <c r="AR189" s="97">
        <v>14952.121155000001</v>
      </c>
      <c r="AS189" s="97">
        <v>95.3</v>
      </c>
      <c r="AT189" s="97">
        <v>1</v>
      </c>
      <c r="AU189" s="97">
        <v>14.249371</v>
      </c>
      <c r="AV189" s="97">
        <v>14.249371</v>
      </c>
      <c r="AW189" s="96"/>
      <c r="AX189" s="96"/>
      <c r="AY189" s="96"/>
      <c r="AZ189" s="96"/>
      <c r="BA189" s="98">
        <v>7.9310000000000005E-3</v>
      </c>
      <c r="BB189" s="98">
        <v>2.7099999999999997E-4</v>
      </c>
      <c r="BC189" s="106"/>
    </row>
    <row r="190" spans="1:55" ht="15" customHeight="1">
      <c r="A190" s="106"/>
      <c r="B190" s="96">
        <v>286</v>
      </c>
      <c r="C190" s="96">
        <v>1445</v>
      </c>
      <c r="D190" s="96"/>
      <c r="E190" s="96"/>
      <c r="F190" s="96"/>
      <c r="G190" s="96">
        <v>25000385</v>
      </c>
      <c r="H190" s="96" t="s">
        <v>1013</v>
      </c>
      <c r="I190" s="96" t="s">
        <v>785</v>
      </c>
      <c r="J190" s="96" t="s">
        <v>203</v>
      </c>
      <c r="K190" s="96"/>
      <c r="L190" s="96" t="s">
        <v>463</v>
      </c>
      <c r="M190" s="96" t="s">
        <v>338</v>
      </c>
      <c r="N190" s="96" t="s">
        <v>338</v>
      </c>
      <c r="O190" s="96"/>
      <c r="P190" s="100">
        <v>43464</v>
      </c>
      <c r="Q190" s="96" t="s">
        <v>1313</v>
      </c>
      <c r="R190" s="96" t="s">
        <v>412</v>
      </c>
      <c r="S190" s="96" t="s">
        <v>407</v>
      </c>
      <c r="T190" s="96" t="s">
        <v>1200</v>
      </c>
      <c r="U190" s="97">
        <v>3.76</v>
      </c>
      <c r="V190" s="96" t="s">
        <v>3678</v>
      </c>
      <c r="W190" s="98">
        <v>2.3429999999999999E-2</v>
      </c>
      <c r="X190" s="96"/>
      <c r="Y190" s="96"/>
      <c r="Z190" s="96"/>
      <c r="AA190" s="98">
        <v>2.64E-2</v>
      </c>
      <c r="AB190" s="100">
        <v>47119</v>
      </c>
      <c r="AC190" s="96" t="s">
        <v>411</v>
      </c>
      <c r="AD190" s="96"/>
      <c r="AE190" s="96"/>
      <c r="AF190" s="96"/>
      <c r="AG190" s="100">
        <v>44957</v>
      </c>
      <c r="AH190" s="96"/>
      <c r="AI190" s="96"/>
      <c r="AJ190" s="96"/>
      <c r="AK190" s="96" t="s">
        <v>337</v>
      </c>
      <c r="AL190" s="96" t="s">
        <v>887</v>
      </c>
      <c r="AM190" s="96"/>
      <c r="AN190" s="96" t="s">
        <v>890</v>
      </c>
      <c r="AO190" s="100">
        <v>45473</v>
      </c>
      <c r="AP190" s="100">
        <v>45473</v>
      </c>
      <c r="AQ190" s="96"/>
      <c r="AR190" s="97">
        <v>8699.0355220000001</v>
      </c>
      <c r="AS190" s="97">
        <v>112.7</v>
      </c>
      <c r="AT190" s="97">
        <v>1</v>
      </c>
      <c r="AU190" s="97">
        <v>9.8038129999999999</v>
      </c>
      <c r="AV190" s="97">
        <v>9.8038129999999999</v>
      </c>
      <c r="AW190" s="96"/>
      <c r="AX190" s="96"/>
      <c r="AY190" s="96"/>
      <c r="AZ190" s="96"/>
      <c r="BA190" s="98">
        <v>5.457E-3</v>
      </c>
      <c r="BB190" s="98">
        <v>1.8599999999999999E-4</v>
      </c>
      <c r="BC190" s="106"/>
    </row>
    <row r="191" spans="1:55" ht="15" customHeight="1">
      <c r="A191" s="106"/>
      <c r="B191" s="96">
        <v>286</v>
      </c>
      <c r="C191" s="96">
        <v>1445</v>
      </c>
      <c r="D191" s="96"/>
      <c r="E191" s="96"/>
      <c r="F191" s="96"/>
      <c r="G191" s="96">
        <v>25000365</v>
      </c>
      <c r="H191" s="96" t="s">
        <v>1013</v>
      </c>
      <c r="I191" s="96"/>
      <c r="J191" s="96" t="s">
        <v>203</v>
      </c>
      <c r="K191" s="96"/>
      <c r="L191" s="96" t="s">
        <v>450</v>
      </c>
      <c r="M191" s="96" t="s">
        <v>338</v>
      </c>
      <c r="N191" s="96" t="s">
        <v>338</v>
      </c>
      <c r="O191" s="96"/>
      <c r="P191" s="100">
        <v>43380</v>
      </c>
      <c r="Q191" s="96" t="s">
        <v>1320</v>
      </c>
      <c r="R191" s="96" t="s">
        <v>412</v>
      </c>
      <c r="S191" s="96" t="s">
        <v>407</v>
      </c>
      <c r="T191" s="96" t="s">
        <v>1200</v>
      </c>
      <c r="U191" s="97">
        <v>2</v>
      </c>
      <c r="V191" s="96" t="s">
        <v>3678</v>
      </c>
      <c r="W191" s="98">
        <v>3.6799999999999999E-2</v>
      </c>
      <c r="X191" s="96"/>
      <c r="Y191" s="96"/>
      <c r="Z191" s="96"/>
      <c r="AA191" s="98">
        <v>5.7599999999999998E-2</v>
      </c>
      <c r="AB191" s="100">
        <v>47033</v>
      </c>
      <c r="AC191" s="96" t="s">
        <v>411</v>
      </c>
      <c r="AD191" s="96"/>
      <c r="AE191" s="96"/>
      <c r="AF191" s="96"/>
      <c r="AG191" s="100"/>
      <c r="AH191" s="96"/>
      <c r="AI191" s="96"/>
      <c r="AJ191" s="96"/>
      <c r="AK191" s="96" t="s">
        <v>337</v>
      </c>
      <c r="AL191" s="96" t="s">
        <v>887</v>
      </c>
      <c r="AM191" s="96"/>
      <c r="AN191" s="96" t="s">
        <v>890</v>
      </c>
      <c r="AO191" s="100">
        <v>45473</v>
      </c>
      <c r="AP191" s="100">
        <v>45473</v>
      </c>
      <c r="AQ191" s="96"/>
      <c r="AR191" s="97">
        <v>6753.3076520000004</v>
      </c>
      <c r="AS191" s="97">
        <v>96.99</v>
      </c>
      <c r="AT191" s="97">
        <v>1</v>
      </c>
      <c r="AU191" s="97">
        <v>6.550033</v>
      </c>
      <c r="AV191" s="97">
        <v>6.550033</v>
      </c>
      <c r="AW191" s="96"/>
      <c r="AX191" s="96"/>
      <c r="AY191" s="96"/>
      <c r="AZ191" s="96"/>
      <c r="BA191" s="98">
        <v>3.6449999999999998E-3</v>
      </c>
      <c r="BB191" s="98">
        <v>1.2400000000000001E-4</v>
      </c>
      <c r="BC191" s="106"/>
    </row>
    <row r="192" spans="1:55" ht="15" customHeight="1">
      <c r="A192" s="106"/>
      <c r="B192" s="96">
        <v>286</v>
      </c>
      <c r="C192" s="96">
        <v>1445</v>
      </c>
      <c r="D192" s="96"/>
      <c r="E192" s="96"/>
      <c r="F192" s="96"/>
      <c r="G192" s="96">
        <v>25000364</v>
      </c>
      <c r="H192" s="96" t="s">
        <v>1013</v>
      </c>
      <c r="I192" s="96" t="s">
        <v>812</v>
      </c>
      <c r="J192" s="96" t="s">
        <v>203</v>
      </c>
      <c r="K192" s="96"/>
      <c r="L192" s="96" t="s">
        <v>454</v>
      </c>
      <c r="M192" s="96" t="s">
        <v>338</v>
      </c>
      <c r="N192" s="96" t="s">
        <v>337</v>
      </c>
      <c r="O192" s="96"/>
      <c r="P192" s="100">
        <v>43377</v>
      </c>
      <c r="Q192" s="96" t="s">
        <v>1357</v>
      </c>
      <c r="R192" s="96" t="s">
        <v>414</v>
      </c>
      <c r="S192" s="96" t="s">
        <v>407</v>
      </c>
      <c r="T192" s="96" t="s">
        <v>1200</v>
      </c>
      <c r="U192" s="97">
        <v>7.28</v>
      </c>
      <c r="V192" s="96" t="s">
        <v>3678</v>
      </c>
      <c r="W192" s="98">
        <v>4.0099999999999997E-2</v>
      </c>
      <c r="X192" s="96"/>
      <c r="Y192" s="96"/>
      <c r="Z192" s="96"/>
      <c r="AA192" s="98">
        <v>0.04</v>
      </c>
      <c r="AB192" s="100">
        <v>51677</v>
      </c>
      <c r="AC192" s="96" t="s">
        <v>411</v>
      </c>
      <c r="AD192" s="96"/>
      <c r="AE192" s="96"/>
      <c r="AF192" s="96"/>
      <c r="AG192" s="100">
        <v>45291</v>
      </c>
      <c r="AH192" s="96"/>
      <c r="AI192" s="96"/>
      <c r="AJ192" s="96"/>
      <c r="AK192" s="96" t="s">
        <v>337</v>
      </c>
      <c r="AL192" s="96" t="s">
        <v>887</v>
      </c>
      <c r="AM192" s="96"/>
      <c r="AN192" s="96" t="s">
        <v>890</v>
      </c>
      <c r="AO192" s="100">
        <v>45473</v>
      </c>
      <c r="AP192" s="100">
        <v>45473</v>
      </c>
      <c r="AQ192" s="96"/>
      <c r="AR192" s="97">
        <v>13946.8</v>
      </c>
      <c r="AS192" s="97">
        <v>110.91</v>
      </c>
      <c r="AT192" s="97">
        <v>1</v>
      </c>
      <c r="AU192" s="97">
        <v>15.468400000000001</v>
      </c>
      <c r="AV192" s="97">
        <v>15.468400000000001</v>
      </c>
      <c r="AW192" s="96"/>
      <c r="AX192" s="96"/>
      <c r="AY192" s="96"/>
      <c r="AZ192" s="96"/>
      <c r="BA192" s="98">
        <v>8.6099999999999996E-3</v>
      </c>
      <c r="BB192" s="98">
        <v>2.9399999999999999E-4</v>
      </c>
      <c r="BC192" s="106"/>
    </row>
    <row r="193" spans="1:55" ht="15" customHeight="1">
      <c r="A193" s="106"/>
      <c r="B193" s="96">
        <v>286</v>
      </c>
      <c r="C193" s="96">
        <v>1445</v>
      </c>
      <c r="D193" s="96"/>
      <c r="E193" s="96"/>
      <c r="F193" s="96"/>
      <c r="G193" s="96">
        <v>25000357</v>
      </c>
      <c r="H193" s="96" t="s">
        <v>1013</v>
      </c>
      <c r="I193" s="96" t="s">
        <v>3680</v>
      </c>
      <c r="J193" s="96" t="s">
        <v>203</v>
      </c>
      <c r="K193" s="96"/>
      <c r="L193" s="96" t="s">
        <v>446</v>
      </c>
      <c r="M193" s="96" t="s">
        <v>338</v>
      </c>
      <c r="N193" s="96" t="s">
        <v>338</v>
      </c>
      <c r="O193" s="96"/>
      <c r="P193" s="100">
        <v>43311</v>
      </c>
      <c r="Q193" s="96" t="s">
        <v>1328</v>
      </c>
      <c r="R193" s="96" t="s">
        <v>412</v>
      </c>
      <c r="S193" s="96" t="s">
        <v>407</v>
      </c>
      <c r="T193" s="96" t="s">
        <v>1200</v>
      </c>
      <c r="U193" s="97">
        <v>1.23</v>
      </c>
      <c r="V193" s="96" t="s">
        <v>3678</v>
      </c>
      <c r="W193" s="98">
        <v>3.5799999999999998E-2</v>
      </c>
      <c r="X193" s="96"/>
      <c r="Y193" s="96"/>
      <c r="Z193" s="96"/>
      <c r="AA193" s="98">
        <v>2.9499999999999998E-2</v>
      </c>
      <c r="AB193" s="100">
        <v>46228</v>
      </c>
      <c r="AC193" s="96" t="s">
        <v>411</v>
      </c>
      <c r="AD193" s="96"/>
      <c r="AE193" s="96"/>
      <c r="AF193" s="96"/>
      <c r="AG193" s="100">
        <v>45382</v>
      </c>
      <c r="AH193" s="96"/>
      <c r="AI193" s="96"/>
      <c r="AJ193" s="96"/>
      <c r="AK193" s="96" t="s">
        <v>337</v>
      </c>
      <c r="AL193" s="96" t="s">
        <v>887</v>
      </c>
      <c r="AM193" s="96"/>
      <c r="AN193" s="96" t="s">
        <v>890</v>
      </c>
      <c r="AO193" s="100">
        <v>45473</v>
      </c>
      <c r="AP193" s="100">
        <v>45473</v>
      </c>
      <c r="AQ193" s="96"/>
      <c r="AR193" s="97">
        <v>710.40725499999996</v>
      </c>
      <c r="AS193" s="97">
        <v>114.3</v>
      </c>
      <c r="AT193" s="97">
        <v>1</v>
      </c>
      <c r="AU193" s="97">
        <v>0.81199500000000002</v>
      </c>
      <c r="AV193" s="97">
        <v>0.81199500000000002</v>
      </c>
      <c r="AW193" s="96"/>
      <c r="AX193" s="96"/>
      <c r="AY193" s="96"/>
      <c r="AZ193" s="96"/>
      <c r="BA193" s="98">
        <v>4.5100000000000001E-4</v>
      </c>
      <c r="BB193" s="98">
        <v>1.5E-5</v>
      </c>
      <c r="BC193" s="106"/>
    </row>
    <row r="194" spans="1:55" ht="15" customHeight="1">
      <c r="A194" s="106"/>
      <c r="B194" s="96">
        <v>286</v>
      </c>
      <c r="C194" s="96">
        <v>1445</v>
      </c>
      <c r="D194" s="96"/>
      <c r="E194" s="96"/>
      <c r="F194" s="96"/>
      <c r="G194" s="96">
        <v>25000355</v>
      </c>
      <c r="H194" s="96" t="s">
        <v>1013</v>
      </c>
      <c r="I194" s="96"/>
      <c r="J194" s="96" t="s">
        <v>203</v>
      </c>
      <c r="K194" s="96"/>
      <c r="L194" s="96" t="s">
        <v>461</v>
      </c>
      <c r="M194" s="96" t="s">
        <v>338</v>
      </c>
      <c r="N194" s="96" t="s">
        <v>338</v>
      </c>
      <c r="O194" s="96"/>
      <c r="P194" s="100">
        <v>43300</v>
      </c>
      <c r="Q194" s="96" t="s">
        <v>1208</v>
      </c>
      <c r="R194" s="96" t="s">
        <v>311</v>
      </c>
      <c r="S194" s="96" t="s">
        <v>407</v>
      </c>
      <c r="T194" s="96" t="s">
        <v>1200</v>
      </c>
      <c r="U194" s="97">
        <v>1.03</v>
      </c>
      <c r="V194" s="96" t="s">
        <v>3678</v>
      </c>
      <c r="W194" s="98">
        <v>2.9499999999999998E-2</v>
      </c>
      <c r="X194" s="96"/>
      <c r="Y194" s="96"/>
      <c r="Z194" s="96"/>
      <c r="AA194" s="98">
        <v>5.6000000000000001E-2</v>
      </c>
      <c r="AB194" s="100">
        <v>46221</v>
      </c>
      <c r="AC194" s="96" t="s">
        <v>411</v>
      </c>
      <c r="AD194" s="96"/>
      <c r="AE194" s="96"/>
      <c r="AF194" s="96"/>
      <c r="AG194" s="100"/>
      <c r="AH194" s="96"/>
      <c r="AI194" s="96"/>
      <c r="AJ194" s="96"/>
      <c r="AK194" s="96" t="s">
        <v>337</v>
      </c>
      <c r="AL194" s="96" t="s">
        <v>887</v>
      </c>
      <c r="AM194" s="96"/>
      <c r="AN194" s="96" t="s">
        <v>890</v>
      </c>
      <c r="AO194" s="100">
        <v>45473</v>
      </c>
      <c r="AP194" s="100">
        <v>45473</v>
      </c>
      <c r="AQ194" s="96"/>
      <c r="AR194" s="97">
        <v>6486.6502879999998</v>
      </c>
      <c r="AS194" s="97">
        <v>98.7</v>
      </c>
      <c r="AT194" s="97">
        <v>1</v>
      </c>
      <c r="AU194" s="97">
        <v>6.402323</v>
      </c>
      <c r="AV194" s="97">
        <v>6.402323</v>
      </c>
      <c r="AW194" s="96"/>
      <c r="AX194" s="96"/>
      <c r="AY194" s="96"/>
      <c r="AZ194" s="96"/>
      <c r="BA194" s="98">
        <v>3.5630000000000002E-3</v>
      </c>
      <c r="BB194" s="98">
        <v>1.21E-4</v>
      </c>
      <c r="BC194" s="106"/>
    </row>
    <row r="195" spans="1:55" ht="15" customHeight="1">
      <c r="A195" s="106"/>
      <c r="B195" s="96">
        <v>286</v>
      </c>
      <c r="C195" s="96">
        <v>1445</v>
      </c>
      <c r="D195" s="96"/>
      <c r="E195" s="96"/>
      <c r="F195" s="96"/>
      <c r="G195" s="96">
        <v>25000349</v>
      </c>
      <c r="H195" s="96" t="s">
        <v>1013</v>
      </c>
      <c r="I195" s="96" t="s">
        <v>812</v>
      </c>
      <c r="J195" s="96" t="s">
        <v>203</v>
      </c>
      <c r="K195" s="96"/>
      <c r="L195" s="96" t="s">
        <v>454</v>
      </c>
      <c r="M195" s="96" t="s">
        <v>338</v>
      </c>
      <c r="N195" s="96" t="s">
        <v>337</v>
      </c>
      <c r="O195" s="96"/>
      <c r="P195" s="100">
        <v>43285</v>
      </c>
      <c r="Q195" s="96" t="s">
        <v>1357</v>
      </c>
      <c r="R195" s="96" t="s">
        <v>414</v>
      </c>
      <c r="S195" s="96" t="s">
        <v>407</v>
      </c>
      <c r="T195" s="96" t="s">
        <v>1200</v>
      </c>
      <c r="U195" s="97">
        <v>7.29</v>
      </c>
      <c r="V195" s="96" t="s">
        <v>3678</v>
      </c>
      <c r="W195" s="98">
        <v>4.0099999999999997E-2</v>
      </c>
      <c r="X195" s="96"/>
      <c r="Y195" s="96"/>
      <c r="Z195" s="96"/>
      <c r="AA195" s="98">
        <v>3.9E-2</v>
      </c>
      <c r="AB195" s="100">
        <v>51677</v>
      </c>
      <c r="AC195" s="96" t="s">
        <v>411</v>
      </c>
      <c r="AD195" s="96"/>
      <c r="AE195" s="96"/>
      <c r="AF195" s="96"/>
      <c r="AG195" s="100">
        <v>45291</v>
      </c>
      <c r="AH195" s="96"/>
      <c r="AI195" s="96"/>
      <c r="AJ195" s="96"/>
      <c r="AK195" s="96" t="s">
        <v>337</v>
      </c>
      <c r="AL195" s="96" t="s">
        <v>887</v>
      </c>
      <c r="AM195" s="96"/>
      <c r="AN195" s="96" t="s">
        <v>890</v>
      </c>
      <c r="AO195" s="100">
        <v>45473</v>
      </c>
      <c r="AP195" s="100">
        <v>45473</v>
      </c>
      <c r="AQ195" s="96"/>
      <c r="AR195" s="97">
        <v>6975.74</v>
      </c>
      <c r="AS195" s="97">
        <v>112.29</v>
      </c>
      <c r="AT195" s="97">
        <v>1</v>
      </c>
      <c r="AU195" s="97">
        <v>7.8330599999999997</v>
      </c>
      <c r="AV195" s="97">
        <v>7.8330599999999997</v>
      </c>
      <c r="AW195" s="96"/>
      <c r="AX195" s="96"/>
      <c r="AY195" s="96"/>
      <c r="AZ195" s="96"/>
      <c r="BA195" s="98">
        <v>4.3600000000000002E-3</v>
      </c>
      <c r="BB195" s="98">
        <v>1.4899999999999999E-4</v>
      </c>
      <c r="BC195" s="106"/>
    </row>
    <row r="196" spans="1:55" ht="15" customHeight="1">
      <c r="A196" s="106"/>
      <c r="B196" s="96">
        <v>286</v>
      </c>
      <c r="C196" s="96">
        <v>1445</v>
      </c>
      <c r="D196" s="96"/>
      <c r="E196" s="96"/>
      <c r="F196" s="96"/>
      <c r="G196" s="96">
        <v>25000337</v>
      </c>
      <c r="H196" s="96" t="s">
        <v>1013</v>
      </c>
      <c r="I196" s="96" t="s">
        <v>812</v>
      </c>
      <c r="J196" s="96" t="s">
        <v>203</v>
      </c>
      <c r="K196" s="96"/>
      <c r="L196" s="96" t="s">
        <v>454</v>
      </c>
      <c r="M196" s="96" t="s">
        <v>338</v>
      </c>
      <c r="N196" s="96" t="s">
        <v>337</v>
      </c>
      <c r="O196" s="96"/>
      <c r="P196" s="100">
        <v>43194</v>
      </c>
      <c r="Q196" s="96" t="s">
        <v>1357</v>
      </c>
      <c r="R196" s="96" t="s">
        <v>414</v>
      </c>
      <c r="S196" s="96" t="s">
        <v>407</v>
      </c>
      <c r="T196" s="96" t="s">
        <v>1200</v>
      </c>
      <c r="U196" s="97">
        <v>7.33</v>
      </c>
      <c r="V196" s="96" t="s">
        <v>3678</v>
      </c>
      <c r="W196" s="98">
        <v>3.8199999999999998E-2</v>
      </c>
      <c r="X196" s="96"/>
      <c r="Y196" s="96"/>
      <c r="Z196" s="96"/>
      <c r="AA196" s="98">
        <v>3.8899999999999997E-2</v>
      </c>
      <c r="AB196" s="100">
        <v>51677</v>
      </c>
      <c r="AC196" s="96" t="s">
        <v>411</v>
      </c>
      <c r="AD196" s="96"/>
      <c r="AE196" s="96"/>
      <c r="AF196" s="96"/>
      <c r="AG196" s="100">
        <v>45291</v>
      </c>
      <c r="AH196" s="96"/>
      <c r="AI196" s="96"/>
      <c r="AJ196" s="96"/>
      <c r="AK196" s="96" t="s">
        <v>337</v>
      </c>
      <c r="AL196" s="96" t="s">
        <v>887</v>
      </c>
      <c r="AM196" s="96"/>
      <c r="AN196" s="96" t="s">
        <v>890</v>
      </c>
      <c r="AO196" s="100">
        <v>45473</v>
      </c>
      <c r="AP196" s="100">
        <v>45473</v>
      </c>
      <c r="AQ196" s="96"/>
      <c r="AR196" s="97">
        <v>5228.93</v>
      </c>
      <c r="AS196" s="97">
        <v>111.85</v>
      </c>
      <c r="AT196" s="97">
        <v>1</v>
      </c>
      <c r="AU196" s="97">
        <v>5.84856</v>
      </c>
      <c r="AV196" s="97">
        <v>5.84856</v>
      </c>
      <c r="AW196" s="96"/>
      <c r="AX196" s="96"/>
      <c r="AY196" s="96"/>
      <c r="AZ196" s="96"/>
      <c r="BA196" s="98">
        <v>3.2550000000000001E-3</v>
      </c>
      <c r="BB196" s="98">
        <v>1.11E-4</v>
      </c>
      <c r="BC196" s="106"/>
    </row>
    <row r="197" spans="1:55" ht="15" customHeight="1">
      <c r="A197" s="106"/>
      <c r="B197" s="96">
        <v>286</v>
      </c>
      <c r="C197" s="96">
        <v>1445</v>
      </c>
      <c r="D197" s="96"/>
      <c r="E197" s="96"/>
      <c r="F197" s="96"/>
      <c r="G197" s="96">
        <v>25000336</v>
      </c>
      <c r="H197" s="96" t="s">
        <v>1013</v>
      </c>
      <c r="I197" s="96" t="s">
        <v>785</v>
      </c>
      <c r="J197" s="96" t="s">
        <v>203</v>
      </c>
      <c r="K197" s="96"/>
      <c r="L197" s="96" t="s">
        <v>463</v>
      </c>
      <c r="M197" s="96" t="s">
        <v>338</v>
      </c>
      <c r="N197" s="96" t="s">
        <v>338</v>
      </c>
      <c r="O197" s="96"/>
      <c r="P197" s="100">
        <v>43181</v>
      </c>
      <c r="Q197" s="96" t="s">
        <v>1309</v>
      </c>
      <c r="R197" s="96" t="s">
        <v>414</v>
      </c>
      <c r="S197" s="96" t="s">
        <v>407</v>
      </c>
      <c r="T197" s="96" t="s">
        <v>1200</v>
      </c>
      <c r="U197" s="97">
        <v>2.17</v>
      </c>
      <c r="V197" s="96" t="s">
        <v>3678</v>
      </c>
      <c r="W197" s="98">
        <v>2.8500000000000001E-2</v>
      </c>
      <c r="X197" s="96"/>
      <c r="Y197" s="96"/>
      <c r="Z197" s="96"/>
      <c r="AA197" s="98">
        <v>3.7900000000000003E-2</v>
      </c>
      <c r="AB197" s="100">
        <v>47036</v>
      </c>
      <c r="AC197" s="96" t="s">
        <v>411</v>
      </c>
      <c r="AD197" s="96"/>
      <c r="AE197" s="96"/>
      <c r="AF197" s="96"/>
      <c r="AG197" s="100">
        <v>45004</v>
      </c>
      <c r="AH197" s="96"/>
      <c r="AI197" s="96"/>
      <c r="AJ197" s="96"/>
      <c r="AK197" s="96" t="s">
        <v>337</v>
      </c>
      <c r="AL197" s="96" t="s">
        <v>887</v>
      </c>
      <c r="AM197" s="96"/>
      <c r="AN197" s="96" t="s">
        <v>890</v>
      </c>
      <c r="AO197" s="100">
        <v>45473</v>
      </c>
      <c r="AP197" s="100">
        <v>45473</v>
      </c>
      <c r="AQ197" s="96"/>
      <c r="AR197" s="97">
        <v>2568.510096</v>
      </c>
      <c r="AS197" s="97">
        <v>113.38</v>
      </c>
      <c r="AT197" s="97">
        <v>1</v>
      </c>
      <c r="AU197" s="97">
        <v>2.9121760000000001</v>
      </c>
      <c r="AV197" s="97">
        <v>2.9121760000000001</v>
      </c>
      <c r="AW197" s="96"/>
      <c r="AX197" s="96"/>
      <c r="AY197" s="96"/>
      <c r="AZ197" s="96"/>
      <c r="BA197" s="98">
        <v>1.621E-3</v>
      </c>
      <c r="BB197" s="98">
        <v>5.5000000000000002E-5</v>
      </c>
      <c r="BC197" s="106"/>
    </row>
    <row r="198" spans="1:55" ht="15" customHeight="1">
      <c r="A198" s="106"/>
      <c r="B198" s="96">
        <v>286</v>
      </c>
      <c r="C198" s="96">
        <v>1445</v>
      </c>
      <c r="D198" s="96"/>
      <c r="E198" s="96"/>
      <c r="F198" s="96"/>
      <c r="G198" s="96">
        <v>25000328</v>
      </c>
      <c r="H198" s="96" t="s">
        <v>1013</v>
      </c>
      <c r="I198" s="96" t="s">
        <v>812</v>
      </c>
      <c r="J198" s="96" t="s">
        <v>203</v>
      </c>
      <c r="K198" s="96"/>
      <c r="L198" s="96" t="s">
        <v>454</v>
      </c>
      <c r="M198" s="96" t="s">
        <v>338</v>
      </c>
      <c r="N198" s="96" t="s">
        <v>337</v>
      </c>
      <c r="O198" s="96"/>
      <c r="P198" s="100">
        <v>43104</v>
      </c>
      <c r="Q198" s="96" t="s">
        <v>1357</v>
      </c>
      <c r="R198" s="96" t="s">
        <v>414</v>
      </c>
      <c r="S198" s="96" t="s">
        <v>407</v>
      </c>
      <c r="T198" s="96" t="s">
        <v>1200</v>
      </c>
      <c r="U198" s="97">
        <v>7.23</v>
      </c>
      <c r="V198" s="96" t="s">
        <v>3678</v>
      </c>
      <c r="W198" s="98">
        <v>3.8199999999999998E-2</v>
      </c>
      <c r="X198" s="96"/>
      <c r="Y198" s="96"/>
      <c r="Z198" s="96"/>
      <c r="AA198" s="98">
        <v>4.3299999999999998E-2</v>
      </c>
      <c r="AB198" s="100">
        <v>51677</v>
      </c>
      <c r="AC198" s="96" t="s">
        <v>411</v>
      </c>
      <c r="AD198" s="96"/>
      <c r="AE198" s="96"/>
      <c r="AF198" s="96"/>
      <c r="AG198" s="100">
        <v>45291</v>
      </c>
      <c r="AH198" s="96"/>
      <c r="AI198" s="96"/>
      <c r="AJ198" s="96"/>
      <c r="AK198" s="96" t="s">
        <v>337</v>
      </c>
      <c r="AL198" s="96" t="s">
        <v>887</v>
      </c>
      <c r="AM198" s="96"/>
      <c r="AN198" s="96" t="s">
        <v>890</v>
      </c>
      <c r="AO198" s="100">
        <v>45473</v>
      </c>
      <c r="AP198" s="100">
        <v>45473</v>
      </c>
      <c r="AQ198" s="96"/>
      <c r="AR198" s="97">
        <v>8104.4</v>
      </c>
      <c r="AS198" s="97">
        <v>108.33</v>
      </c>
      <c r="AT198" s="97">
        <v>1</v>
      </c>
      <c r="AU198" s="97">
        <v>8.7795000000000005</v>
      </c>
      <c r="AV198" s="97">
        <v>8.7795000000000005</v>
      </c>
      <c r="AW198" s="96"/>
      <c r="AX198" s="96"/>
      <c r="AY198" s="96"/>
      <c r="AZ198" s="96"/>
      <c r="BA198" s="98">
        <v>4.8869999999999999E-3</v>
      </c>
      <c r="BB198" s="98">
        <v>1.6699999999999999E-4</v>
      </c>
      <c r="BC198" s="106"/>
    </row>
    <row r="199" spans="1:55" ht="15" customHeight="1">
      <c r="A199" s="106"/>
      <c r="B199" s="96">
        <v>286</v>
      </c>
      <c r="C199" s="96">
        <v>1445</v>
      </c>
      <c r="D199" s="96"/>
      <c r="E199" s="96"/>
      <c r="F199" s="96"/>
      <c r="G199" s="96">
        <v>25000760</v>
      </c>
      <c r="H199" s="96" t="s">
        <v>1013</v>
      </c>
      <c r="I199" s="96" t="s">
        <v>806</v>
      </c>
      <c r="J199" s="96" t="s">
        <v>203</v>
      </c>
      <c r="K199" s="96"/>
      <c r="L199" s="96" t="s">
        <v>446</v>
      </c>
      <c r="M199" s="96" t="s">
        <v>338</v>
      </c>
      <c r="N199" s="96" t="s">
        <v>338</v>
      </c>
      <c r="O199" s="96"/>
      <c r="P199" s="100">
        <v>44928</v>
      </c>
      <c r="Q199" s="96" t="s">
        <v>1328</v>
      </c>
      <c r="R199" s="96" t="s">
        <v>412</v>
      </c>
      <c r="S199" s="96" t="s">
        <v>407</v>
      </c>
      <c r="T199" s="96" t="s">
        <v>1200</v>
      </c>
      <c r="U199" s="97">
        <v>2.2400000000000002</v>
      </c>
      <c r="V199" s="96" t="s">
        <v>3678</v>
      </c>
      <c r="W199" s="98">
        <v>3.2199999999999999E-2</v>
      </c>
      <c r="X199" s="96"/>
      <c r="Y199" s="96"/>
      <c r="Z199" s="96"/>
      <c r="AA199" s="98">
        <v>3.2899999999999999E-2</v>
      </c>
      <c r="AB199" s="100">
        <v>46316</v>
      </c>
      <c r="AC199" s="96" t="s">
        <v>411</v>
      </c>
      <c r="AD199" s="96"/>
      <c r="AE199" s="96"/>
      <c r="AF199" s="96"/>
      <c r="AG199" s="100">
        <v>44921</v>
      </c>
      <c r="AH199" s="96"/>
      <c r="AI199" s="96"/>
      <c r="AJ199" s="96"/>
      <c r="AK199" s="96" t="s">
        <v>337</v>
      </c>
      <c r="AL199" s="96" t="s">
        <v>887</v>
      </c>
      <c r="AM199" s="96"/>
      <c r="AN199" s="96" t="s">
        <v>890</v>
      </c>
      <c r="AO199" s="100">
        <v>45473</v>
      </c>
      <c r="AP199" s="100">
        <v>45473</v>
      </c>
      <c r="AQ199" s="96"/>
      <c r="AR199" s="97">
        <v>32236.116768</v>
      </c>
      <c r="AS199" s="97">
        <v>105.2</v>
      </c>
      <c r="AT199" s="97">
        <v>1</v>
      </c>
      <c r="AU199" s="97">
        <v>33.912393999999999</v>
      </c>
      <c r="AV199" s="97">
        <v>33.912393999999999</v>
      </c>
      <c r="AW199" s="96"/>
      <c r="AX199" s="96"/>
      <c r="AY199" s="96"/>
      <c r="AZ199" s="96"/>
      <c r="BA199" s="98">
        <v>1.8876E-2</v>
      </c>
      <c r="BB199" s="98">
        <v>6.4499999999999996E-4</v>
      </c>
      <c r="BC199" s="106"/>
    </row>
    <row r="200" spans="1:55" ht="15" customHeight="1">
      <c r="A200" s="106"/>
      <c r="B200" s="96">
        <v>286</v>
      </c>
      <c r="C200" s="96">
        <v>1445</v>
      </c>
      <c r="D200" s="96"/>
      <c r="E200" s="96"/>
      <c r="F200" s="96"/>
      <c r="G200" s="96">
        <v>25000324</v>
      </c>
      <c r="H200" s="96" t="s">
        <v>1013</v>
      </c>
      <c r="I200" s="96" t="s">
        <v>818</v>
      </c>
      <c r="J200" s="96" t="s">
        <v>203</v>
      </c>
      <c r="K200" s="96"/>
      <c r="L200" s="96" t="s">
        <v>473</v>
      </c>
      <c r="M200" s="96" t="s">
        <v>338</v>
      </c>
      <c r="N200" s="96" t="s">
        <v>337</v>
      </c>
      <c r="O200" s="96"/>
      <c r="P200" s="100">
        <v>43095</v>
      </c>
      <c r="Q200" s="96" t="s">
        <v>409</v>
      </c>
      <c r="R200" s="96" t="s">
        <v>409</v>
      </c>
      <c r="S200" s="96" t="s">
        <v>409</v>
      </c>
      <c r="T200" s="96" t="s">
        <v>1200</v>
      </c>
      <c r="U200" s="97">
        <v>4.05</v>
      </c>
      <c r="V200" s="96" t="s">
        <v>3678</v>
      </c>
      <c r="W200" s="98">
        <v>2.3300000000000001E-2</v>
      </c>
      <c r="X200" s="96"/>
      <c r="Y200" s="96"/>
      <c r="Z200" s="96"/>
      <c r="AA200" s="98">
        <v>3.2500000000000001E-2</v>
      </c>
      <c r="AB200" s="100">
        <v>48574</v>
      </c>
      <c r="AC200" s="96" t="s">
        <v>411</v>
      </c>
      <c r="AD200" s="96"/>
      <c r="AE200" s="96"/>
      <c r="AF200" s="96"/>
      <c r="AG200" s="100">
        <v>45199</v>
      </c>
      <c r="AH200" s="96"/>
      <c r="AI200" s="96"/>
      <c r="AJ200" s="96"/>
      <c r="AK200" s="96" t="s">
        <v>337</v>
      </c>
      <c r="AL200" s="96" t="s">
        <v>887</v>
      </c>
      <c r="AM200" s="96"/>
      <c r="AN200" s="96" t="s">
        <v>890</v>
      </c>
      <c r="AO200" s="100">
        <v>45473</v>
      </c>
      <c r="AP200" s="100">
        <v>45473</v>
      </c>
      <c r="AQ200" s="96"/>
      <c r="AR200" s="97">
        <v>19393.78</v>
      </c>
      <c r="AS200" s="97">
        <v>110.56</v>
      </c>
      <c r="AT200" s="97">
        <v>1</v>
      </c>
      <c r="AU200" s="97">
        <v>21.441759999999999</v>
      </c>
      <c r="AV200" s="97">
        <v>21.441759999999999</v>
      </c>
      <c r="AW200" s="96"/>
      <c r="AX200" s="96"/>
      <c r="AY200" s="96"/>
      <c r="AZ200" s="96"/>
      <c r="BA200" s="98">
        <v>1.1934999999999999E-2</v>
      </c>
      <c r="BB200" s="98">
        <v>4.08E-4</v>
      </c>
      <c r="BC200" s="106"/>
    </row>
    <row r="201" spans="1:55" ht="15" customHeight="1">
      <c r="A201" s="106"/>
      <c r="B201" s="96">
        <v>286</v>
      </c>
      <c r="C201" s="96">
        <v>1445</v>
      </c>
      <c r="D201" s="96"/>
      <c r="E201" s="96"/>
      <c r="F201" s="96"/>
      <c r="G201" s="96">
        <v>25000305</v>
      </c>
      <c r="H201" s="96" t="s">
        <v>1013</v>
      </c>
      <c r="I201" s="96" t="s">
        <v>3687</v>
      </c>
      <c r="J201" s="96" t="s">
        <v>203</v>
      </c>
      <c r="K201" s="96"/>
      <c r="L201" s="96" t="s">
        <v>477</v>
      </c>
      <c r="M201" s="96" t="s">
        <v>338</v>
      </c>
      <c r="N201" s="96" t="s">
        <v>338</v>
      </c>
      <c r="O201" s="96"/>
      <c r="P201" s="100">
        <v>42674</v>
      </c>
      <c r="Q201" s="96" t="s">
        <v>409</v>
      </c>
      <c r="R201" s="96" t="s">
        <v>409</v>
      </c>
      <c r="S201" s="96" t="s">
        <v>409</v>
      </c>
      <c r="T201" s="96" t="s">
        <v>1200</v>
      </c>
      <c r="U201" s="97">
        <v>5.56</v>
      </c>
      <c r="V201" s="96" t="s">
        <v>824</v>
      </c>
      <c r="W201" s="98">
        <v>5.5300000000000002E-2</v>
      </c>
      <c r="X201" s="96"/>
      <c r="Y201" s="96"/>
      <c r="Z201" s="96"/>
      <c r="AA201" s="98">
        <v>5.7799999999999997E-2</v>
      </c>
      <c r="AB201" s="100">
        <v>52627</v>
      </c>
      <c r="AC201" s="96" t="s">
        <v>411</v>
      </c>
      <c r="AD201" s="96"/>
      <c r="AE201" s="96"/>
      <c r="AF201" s="96"/>
      <c r="AG201" s="100">
        <v>44986</v>
      </c>
      <c r="AH201" s="96"/>
      <c r="AI201" s="96"/>
      <c r="AJ201" s="96"/>
      <c r="AK201" s="96" t="s">
        <v>337</v>
      </c>
      <c r="AL201" s="96" t="s">
        <v>887</v>
      </c>
      <c r="AM201" s="96"/>
      <c r="AN201" s="96" t="s">
        <v>890</v>
      </c>
      <c r="AO201" s="100">
        <v>45473</v>
      </c>
      <c r="AP201" s="100">
        <v>45473</v>
      </c>
      <c r="AQ201" s="96"/>
      <c r="AR201" s="97">
        <v>3503.072118</v>
      </c>
      <c r="AS201" s="97">
        <v>105.3</v>
      </c>
      <c r="AT201" s="97">
        <v>1</v>
      </c>
      <c r="AU201" s="97">
        <v>3.6887340000000002</v>
      </c>
      <c r="AV201" s="97">
        <v>3.6887340000000002</v>
      </c>
      <c r="AW201" s="96"/>
      <c r="AX201" s="96"/>
      <c r="AY201" s="96"/>
      <c r="AZ201" s="96"/>
      <c r="BA201" s="98">
        <v>2.0530000000000001E-3</v>
      </c>
      <c r="BB201" s="98">
        <v>6.9999999999999994E-5</v>
      </c>
      <c r="BC201" s="106"/>
    </row>
    <row r="202" spans="1:55" ht="15" customHeight="1">
      <c r="A202" s="106"/>
      <c r="B202" s="96">
        <v>286</v>
      </c>
      <c r="C202" s="96">
        <v>1445</v>
      </c>
      <c r="D202" s="96"/>
      <c r="E202" s="96"/>
      <c r="F202" s="96"/>
      <c r="G202" s="96">
        <v>25000304</v>
      </c>
      <c r="H202" s="96" t="s">
        <v>1013</v>
      </c>
      <c r="I202" s="96" t="s">
        <v>3687</v>
      </c>
      <c r="J202" s="96" t="s">
        <v>203</v>
      </c>
      <c r="K202" s="96"/>
      <c r="L202" s="96" t="s">
        <v>477</v>
      </c>
      <c r="M202" s="96" t="s">
        <v>338</v>
      </c>
      <c r="N202" s="96" t="s">
        <v>338</v>
      </c>
      <c r="O202" s="96"/>
      <c r="P202" s="100">
        <v>42674</v>
      </c>
      <c r="Q202" s="96" t="s">
        <v>409</v>
      </c>
      <c r="R202" s="96" t="s">
        <v>409</v>
      </c>
      <c r="S202" s="96" t="s">
        <v>409</v>
      </c>
      <c r="T202" s="96" t="s">
        <v>1200</v>
      </c>
      <c r="U202" s="97">
        <v>5.7</v>
      </c>
      <c r="V202" s="96" t="s">
        <v>824</v>
      </c>
      <c r="W202" s="98">
        <v>5.3699999999999998E-2</v>
      </c>
      <c r="X202" s="96"/>
      <c r="Y202" s="96"/>
      <c r="Z202" s="96"/>
      <c r="AA202" s="98">
        <v>6.3E-2</v>
      </c>
      <c r="AB202" s="100">
        <v>52535</v>
      </c>
      <c r="AC202" s="96" t="s">
        <v>411</v>
      </c>
      <c r="AD202" s="96"/>
      <c r="AE202" s="96"/>
      <c r="AF202" s="96"/>
      <c r="AG202" s="100">
        <v>44986</v>
      </c>
      <c r="AH202" s="96"/>
      <c r="AI202" s="96"/>
      <c r="AJ202" s="96"/>
      <c r="AK202" s="96" t="s">
        <v>337</v>
      </c>
      <c r="AL202" s="96" t="s">
        <v>887</v>
      </c>
      <c r="AM202" s="96"/>
      <c r="AN202" s="96" t="s">
        <v>890</v>
      </c>
      <c r="AO202" s="100">
        <v>45473</v>
      </c>
      <c r="AP202" s="100">
        <v>45473</v>
      </c>
      <c r="AQ202" s="96"/>
      <c r="AR202" s="97">
        <v>2953.2512059999999</v>
      </c>
      <c r="AS202" s="97">
        <v>100.42</v>
      </c>
      <c r="AT202" s="97">
        <v>1</v>
      </c>
      <c r="AU202" s="97">
        <v>2.9656539999999998</v>
      </c>
      <c r="AV202" s="97">
        <v>2.9656539999999998</v>
      </c>
      <c r="AW202" s="96"/>
      <c r="AX202" s="96"/>
      <c r="AY202" s="96"/>
      <c r="AZ202" s="96"/>
      <c r="BA202" s="98">
        <v>1.65E-3</v>
      </c>
      <c r="BB202" s="98">
        <v>5.5999999999999999E-5</v>
      </c>
      <c r="BC202" s="106"/>
    </row>
    <row r="203" spans="1:55" ht="15" customHeight="1">
      <c r="A203" s="106"/>
      <c r="B203" s="96">
        <v>286</v>
      </c>
      <c r="C203" s="96">
        <v>1445</v>
      </c>
      <c r="D203" s="96"/>
      <c r="E203" s="96"/>
      <c r="F203" s="96"/>
      <c r="G203" s="96">
        <v>25000302</v>
      </c>
      <c r="H203" s="96" t="s">
        <v>1013</v>
      </c>
      <c r="I203" s="96" t="s">
        <v>3687</v>
      </c>
      <c r="J203" s="96" t="s">
        <v>203</v>
      </c>
      <c r="K203" s="96"/>
      <c r="L203" s="96" t="s">
        <v>477</v>
      </c>
      <c r="M203" s="96" t="s">
        <v>338</v>
      </c>
      <c r="N203" s="96" t="s">
        <v>338</v>
      </c>
      <c r="O203" s="96"/>
      <c r="P203" s="100">
        <v>42674</v>
      </c>
      <c r="Q203" s="96" t="s">
        <v>409</v>
      </c>
      <c r="R203" s="96" t="s">
        <v>409</v>
      </c>
      <c r="S203" s="96" t="s">
        <v>409</v>
      </c>
      <c r="T203" s="96" t="s">
        <v>1200</v>
      </c>
      <c r="U203" s="97">
        <v>3.76</v>
      </c>
      <c r="V203" s="96" t="s">
        <v>3678</v>
      </c>
      <c r="W203" s="98">
        <v>4.8760999999999999E-2</v>
      </c>
      <c r="X203" s="96"/>
      <c r="Y203" s="96"/>
      <c r="Z203" s="96"/>
      <c r="AA203" s="98">
        <v>4.8399999999999999E-2</v>
      </c>
      <c r="AB203" s="100">
        <v>52262</v>
      </c>
      <c r="AC203" s="96" t="s">
        <v>411</v>
      </c>
      <c r="AD203" s="96"/>
      <c r="AE203" s="96"/>
      <c r="AF203" s="96"/>
      <c r="AG203" s="100">
        <v>44986</v>
      </c>
      <c r="AH203" s="96"/>
      <c r="AI203" s="96"/>
      <c r="AJ203" s="96"/>
      <c r="AK203" s="96" t="s">
        <v>337</v>
      </c>
      <c r="AL203" s="96" t="s">
        <v>887</v>
      </c>
      <c r="AM203" s="96"/>
      <c r="AN203" s="96" t="s">
        <v>890</v>
      </c>
      <c r="AO203" s="100">
        <v>45473</v>
      </c>
      <c r="AP203" s="100">
        <v>45473</v>
      </c>
      <c r="AQ203" s="96"/>
      <c r="AR203" s="97">
        <v>3390.614783</v>
      </c>
      <c r="AS203" s="97">
        <v>101.58</v>
      </c>
      <c r="AT203" s="97">
        <v>1</v>
      </c>
      <c r="AU203" s="97">
        <v>3.4441860000000002</v>
      </c>
      <c r="AV203" s="97">
        <v>3.4441860000000002</v>
      </c>
      <c r="AW203" s="96"/>
      <c r="AX203" s="96"/>
      <c r="AY203" s="96"/>
      <c r="AZ203" s="96"/>
      <c r="BA203" s="98">
        <v>1.9170000000000001E-3</v>
      </c>
      <c r="BB203" s="98">
        <v>6.4999999999999994E-5</v>
      </c>
      <c r="BC203" s="106"/>
    </row>
    <row r="204" spans="1:55" ht="15" customHeight="1">
      <c r="A204" s="106"/>
      <c r="B204" s="96">
        <v>286</v>
      </c>
      <c r="C204" s="96">
        <v>1445</v>
      </c>
      <c r="D204" s="96"/>
      <c r="E204" s="96"/>
      <c r="F204" s="96"/>
      <c r="G204" s="96">
        <v>25000581</v>
      </c>
      <c r="H204" s="96" t="s">
        <v>1013</v>
      </c>
      <c r="I204" s="96" t="s">
        <v>813</v>
      </c>
      <c r="J204" s="96" t="s">
        <v>203</v>
      </c>
      <c r="K204" s="96"/>
      <c r="L204" s="96" t="s">
        <v>470</v>
      </c>
      <c r="M204" s="96" t="s">
        <v>338</v>
      </c>
      <c r="N204" s="96" t="s">
        <v>337</v>
      </c>
      <c r="O204" s="96"/>
      <c r="P204" s="100">
        <v>44230</v>
      </c>
      <c r="Q204" s="96" t="s">
        <v>1520</v>
      </c>
      <c r="R204" s="96" t="s">
        <v>414</v>
      </c>
      <c r="S204" s="96" t="s">
        <v>407</v>
      </c>
      <c r="T204" s="96" t="s">
        <v>1200</v>
      </c>
      <c r="U204" s="97">
        <v>5.38</v>
      </c>
      <c r="V204" s="96" t="s">
        <v>3678</v>
      </c>
      <c r="W204" s="98">
        <v>8.9820000000000004E-3</v>
      </c>
      <c r="X204" s="96"/>
      <c r="Y204" s="96"/>
      <c r="Z204" s="96"/>
      <c r="AA204" s="98">
        <v>2.7900000000000001E-2</v>
      </c>
      <c r="AB204" s="100">
        <v>49582</v>
      </c>
      <c r="AC204" s="96" t="s">
        <v>411</v>
      </c>
      <c r="AD204" s="96"/>
      <c r="AE204" s="96"/>
      <c r="AF204" s="96"/>
      <c r="AG204" s="100">
        <v>45291</v>
      </c>
      <c r="AH204" s="96"/>
      <c r="AI204" s="96"/>
      <c r="AJ204" s="96"/>
      <c r="AK204" s="96" t="s">
        <v>337</v>
      </c>
      <c r="AL204" s="96" t="s">
        <v>887</v>
      </c>
      <c r="AM204" s="96"/>
      <c r="AN204" s="96" t="s">
        <v>890</v>
      </c>
      <c r="AO204" s="100">
        <v>45473</v>
      </c>
      <c r="AP204" s="100">
        <v>45473</v>
      </c>
      <c r="AQ204" s="96"/>
      <c r="AR204" s="97">
        <v>4748.1015690000004</v>
      </c>
      <c r="AS204" s="97">
        <v>102.68</v>
      </c>
      <c r="AT204" s="97">
        <v>1</v>
      </c>
      <c r="AU204" s="97">
        <v>4.8753500000000001</v>
      </c>
      <c r="AV204" s="97">
        <v>4.8753500000000001</v>
      </c>
      <c r="AW204" s="96"/>
      <c r="AX204" s="96"/>
      <c r="AY204" s="96"/>
      <c r="AZ204" s="96"/>
      <c r="BA204" s="98">
        <v>2.7130000000000001E-3</v>
      </c>
      <c r="BB204" s="98">
        <v>9.2E-5</v>
      </c>
      <c r="BC204" s="106"/>
    </row>
    <row r="205" spans="1:55" ht="15" customHeight="1">
      <c r="A205" s="106"/>
      <c r="B205" s="96">
        <v>286</v>
      </c>
      <c r="C205" s="96">
        <v>1445</v>
      </c>
      <c r="D205" s="96"/>
      <c r="E205" s="96"/>
      <c r="F205" s="96"/>
      <c r="G205" s="96">
        <v>25000325</v>
      </c>
      <c r="H205" s="96" t="s">
        <v>1013</v>
      </c>
      <c r="I205" s="96" t="s">
        <v>818</v>
      </c>
      <c r="J205" s="96" t="s">
        <v>203</v>
      </c>
      <c r="K205" s="96"/>
      <c r="L205" s="96" t="s">
        <v>473</v>
      </c>
      <c r="M205" s="96" t="s">
        <v>338</v>
      </c>
      <c r="N205" s="96" t="s">
        <v>337</v>
      </c>
      <c r="O205" s="96"/>
      <c r="P205" s="100">
        <v>43095</v>
      </c>
      <c r="Q205" s="96" t="s">
        <v>409</v>
      </c>
      <c r="R205" s="96" t="s">
        <v>409</v>
      </c>
      <c r="S205" s="96" t="s">
        <v>409</v>
      </c>
      <c r="T205" s="96" t="s">
        <v>1200</v>
      </c>
      <c r="U205" s="97">
        <v>3.84</v>
      </c>
      <c r="V205" s="96" t="s">
        <v>3678</v>
      </c>
      <c r="W205" s="98">
        <v>3.5299999999999998E-2</v>
      </c>
      <c r="X205" s="96"/>
      <c r="Y205" s="96"/>
      <c r="Z205" s="96"/>
      <c r="AA205" s="98">
        <v>5.9499999999999997E-2</v>
      </c>
      <c r="AB205" s="100">
        <v>48574</v>
      </c>
      <c r="AC205" s="96" t="s">
        <v>411</v>
      </c>
      <c r="AD205" s="96"/>
      <c r="AE205" s="96"/>
      <c r="AF205" s="96"/>
      <c r="AG205" s="100">
        <v>45199</v>
      </c>
      <c r="AH205" s="96"/>
      <c r="AI205" s="96"/>
      <c r="AJ205" s="96"/>
      <c r="AK205" s="96" t="s">
        <v>337</v>
      </c>
      <c r="AL205" s="96" t="s">
        <v>887</v>
      </c>
      <c r="AM205" s="96"/>
      <c r="AN205" s="96" t="s">
        <v>890</v>
      </c>
      <c r="AO205" s="100">
        <v>45473</v>
      </c>
      <c r="AP205" s="100">
        <v>45473</v>
      </c>
      <c r="AQ205" s="96"/>
      <c r="AR205" s="97">
        <v>19393.78</v>
      </c>
      <c r="AS205" s="97">
        <v>91.56</v>
      </c>
      <c r="AT205" s="97">
        <v>1</v>
      </c>
      <c r="AU205" s="97">
        <v>17.75694</v>
      </c>
      <c r="AV205" s="97">
        <v>17.75694</v>
      </c>
      <c r="AW205" s="96"/>
      <c r="AX205" s="96"/>
      <c r="AY205" s="96"/>
      <c r="AZ205" s="96"/>
      <c r="BA205" s="98">
        <v>9.8840000000000004E-3</v>
      </c>
      <c r="BB205" s="98">
        <v>3.3799999999999998E-4</v>
      </c>
      <c r="BC205" s="106"/>
    </row>
    <row r="206" spans="1:55" ht="15" customHeight="1">
      <c r="A206" s="106"/>
      <c r="B206" s="96">
        <v>286</v>
      </c>
      <c r="C206" s="96">
        <v>1445</v>
      </c>
      <c r="D206" s="96"/>
      <c r="E206" s="96"/>
      <c r="F206" s="96"/>
      <c r="G206" s="96">
        <v>25000583</v>
      </c>
      <c r="H206" s="96" t="s">
        <v>1013</v>
      </c>
      <c r="I206" s="96" t="s">
        <v>813</v>
      </c>
      <c r="J206" s="96" t="s">
        <v>203</v>
      </c>
      <c r="K206" s="96"/>
      <c r="L206" s="96" t="s">
        <v>470</v>
      </c>
      <c r="M206" s="96" t="s">
        <v>338</v>
      </c>
      <c r="N206" s="96" t="s">
        <v>337</v>
      </c>
      <c r="O206" s="96"/>
      <c r="P206" s="100">
        <v>44230</v>
      </c>
      <c r="Q206" s="96" t="s">
        <v>1357</v>
      </c>
      <c r="R206" s="96" t="s">
        <v>414</v>
      </c>
      <c r="S206" s="96" t="s">
        <v>407</v>
      </c>
      <c r="T206" s="96" t="s">
        <v>1200</v>
      </c>
      <c r="U206" s="97">
        <v>4.34</v>
      </c>
      <c r="V206" s="96" t="s">
        <v>3678</v>
      </c>
      <c r="W206" s="98">
        <v>7.9399999999999991E-3</v>
      </c>
      <c r="X206" s="96"/>
      <c r="Y206" s="96"/>
      <c r="Z206" s="96"/>
      <c r="AA206" s="98">
        <v>3.5299999999999998E-2</v>
      </c>
      <c r="AB206" s="100">
        <v>48760</v>
      </c>
      <c r="AC206" s="96" t="s">
        <v>411</v>
      </c>
      <c r="AD206" s="96"/>
      <c r="AE206" s="96"/>
      <c r="AF206" s="96"/>
      <c r="AG206" s="100">
        <v>45291</v>
      </c>
      <c r="AH206" s="96"/>
      <c r="AI206" s="96"/>
      <c r="AJ206" s="96"/>
      <c r="AK206" s="96" t="s">
        <v>337</v>
      </c>
      <c r="AL206" s="96" t="s">
        <v>887</v>
      </c>
      <c r="AM206" s="96"/>
      <c r="AN206" s="96" t="s">
        <v>890</v>
      </c>
      <c r="AO206" s="100">
        <v>45473</v>
      </c>
      <c r="AP206" s="100">
        <v>45473</v>
      </c>
      <c r="AQ206" s="96"/>
      <c r="AR206" s="97">
        <v>1977.6686259999999</v>
      </c>
      <c r="AS206" s="97">
        <v>100.94</v>
      </c>
      <c r="AT206" s="97">
        <v>1</v>
      </c>
      <c r="AU206" s="97">
        <v>1.9962580000000001</v>
      </c>
      <c r="AV206" s="97">
        <v>1.9962580000000001</v>
      </c>
      <c r="AW206" s="96"/>
      <c r="AX206" s="96"/>
      <c r="AY206" s="96"/>
      <c r="AZ206" s="96"/>
      <c r="BA206" s="98">
        <v>1.111E-3</v>
      </c>
      <c r="BB206" s="98">
        <v>3.8000000000000002E-5</v>
      </c>
      <c r="BC206" s="106"/>
    </row>
    <row r="207" spans="1:55" ht="15" customHeight="1">
      <c r="A207" s="106"/>
      <c r="B207" s="96">
        <v>286</v>
      </c>
      <c r="C207" s="96">
        <v>1445</v>
      </c>
      <c r="D207" s="96"/>
      <c r="E207" s="96"/>
      <c r="F207" s="96"/>
      <c r="G207" s="96">
        <v>25000719</v>
      </c>
      <c r="H207" s="96" t="s">
        <v>1013</v>
      </c>
      <c r="I207" s="96" t="s">
        <v>812</v>
      </c>
      <c r="J207" s="96" t="s">
        <v>203</v>
      </c>
      <c r="K207" s="96"/>
      <c r="L207" s="96" t="s">
        <v>454</v>
      </c>
      <c r="M207" s="96" t="s">
        <v>338</v>
      </c>
      <c r="N207" s="96" t="s">
        <v>337</v>
      </c>
      <c r="O207" s="96"/>
      <c r="P207" s="100">
        <v>44753</v>
      </c>
      <c r="Q207" s="96" t="s">
        <v>1357</v>
      </c>
      <c r="R207" s="96" t="s">
        <v>414</v>
      </c>
      <c r="S207" s="96" t="s">
        <v>407</v>
      </c>
      <c r="T207" s="96" t="s">
        <v>1200</v>
      </c>
      <c r="U207" s="97">
        <v>7.36</v>
      </c>
      <c r="V207" s="96" t="s">
        <v>3678</v>
      </c>
      <c r="W207" s="98">
        <v>3.2599999999999997E-2</v>
      </c>
      <c r="X207" s="96"/>
      <c r="Y207" s="96"/>
      <c r="Z207" s="96"/>
      <c r="AA207" s="98">
        <v>4.1300000000000003E-2</v>
      </c>
      <c r="AB207" s="100">
        <v>51677</v>
      </c>
      <c r="AC207" s="96" t="s">
        <v>411</v>
      </c>
      <c r="AD207" s="96"/>
      <c r="AE207" s="96"/>
      <c r="AF207" s="96"/>
      <c r="AG207" s="100">
        <v>45291</v>
      </c>
      <c r="AH207" s="96"/>
      <c r="AI207" s="96"/>
      <c r="AJ207" s="96"/>
      <c r="AK207" s="96" t="s">
        <v>337</v>
      </c>
      <c r="AL207" s="96" t="s">
        <v>887</v>
      </c>
      <c r="AM207" s="96"/>
      <c r="AN207" s="96" t="s">
        <v>890</v>
      </c>
      <c r="AO207" s="100">
        <v>45473</v>
      </c>
      <c r="AP207" s="100">
        <v>45473</v>
      </c>
      <c r="AQ207" s="96"/>
      <c r="AR207" s="97">
        <v>14821.48</v>
      </c>
      <c r="AS207" s="97">
        <v>98.87</v>
      </c>
      <c r="AT207" s="97">
        <v>1</v>
      </c>
      <c r="AU207" s="97">
        <v>14.654</v>
      </c>
      <c r="AV207" s="97">
        <v>14.654</v>
      </c>
      <c r="AW207" s="96"/>
      <c r="AX207" s="96"/>
      <c r="AY207" s="96"/>
      <c r="AZ207" s="96"/>
      <c r="BA207" s="98">
        <v>8.1560000000000001E-3</v>
      </c>
      <c r="BB207" s="98">
        <v>2.7900000000000001E-4</v>
      </c>
      <c r="BC207" s="106"/>
    </row>
    <row r="208" spans="1:55" ht="15" customHeight="1">
      <c r="A208" s="106"/>
      <c r="B208" s="96">
        <v>286</v>
      </c>
      <c r="C208" s="96">
        <v>1445</v>
      </c>
      <c r="D208" s="96"/>
      <c r="E208" s="96"/>
      <c r="F208" s="96"/>
      <c r="G208" s="96">
        <v>25000718</v>
      </c>
      <c r="H208" s="96" t="s">
        <v>1013</v>
      </c>
      <c r="I208" s="96"/>
      <c r="J208" s="96" t="s">
        <v>203</v>
      </c>
      <c r="K208" s="96"/>
      <c r="L208" s="96" t="s">
        <v>477</v>
      </c>
      <c r="M208" s="96" t="s">
        <v>338</v>
      </c>
      <c r="N208" s="96" t="s">
        <v>338</v>
      </c>
      <c r="O208" s="96"/>
      <c r="P208" s="100">
        <v>44762</v>
      </c>
      <c r="Q208" s="96" t="s">
        <v>409</v>
      </c>
      <c r="R208" s="96" t="s">
        <v>409</v>
      </c>
      <c r="S208" s="96" t="s">
        <v>409</v>
      </c>
      <c r="T208" s="96" t="s">
        <v>1200</v>
      </c>
      <c r="U208" s="97">
        <v>1.63</v>
      </c>
      <c r="V208" s="96" t="s">
        <v>824</v>
      </c>
      <c r="W208" s="98">
        <v>7.4999999999999997E-2</v>
      </c>
      <c r="X208" s="96"/>
      <c r="Y208" s="96"/>
      <c r="Z208" s="96"/>
      <c r="AA208" s="98">
        <v>7.17E-2</v>
      </c>
      <c r="AB208" s="100">
        <v>46588</v>
      </c>
      <c r="AC208" s="96" t="s">
        <v>411</v>
      </c>
      <c r="AD208" s="96"/>
      <c r="AE208" s="96"/>
      <c r="AF208" s="96"/>
      <c r="AG208" s="100">
        <v>45097</v>
      </c>
      <c r="AH208" s="96"/>
      <c r="AI208" s="96"/>
      <c r="AJ208" s="96"/>
      <c r="AK208" s="96" t="s">
        <v>337</v>
      </c>
      <c r="AL208" s="96" t="s">
        <v>887</v>
      </c>
      <c r="AM208" s="96"/>
      <c r="AN208" s="96" t="s">
        <v>890</v>
      </c>
      <c r="AO208" s="100">
        <v>45473</v>
      </c>
      <c r="AP208" s="100">
        <v>45473</v>
      </c>
      <c r="AQ208" s="96"/>
      <c r="AR208" s="97">
        <v>1014.477505</v>
      </c>
      <c r="AS208" s="97">
        <v>102.42</v>
      </c>
      <c r="AT208" s="97">
        <v>1</v>
      </c>
      <c r="AU208" s="97">
        <v>1.0390269999999999</v>
      </c>
      <c r="AV208" s="97">
        <v>1.0390269999999999</v>
      </c>
      <c r="AW208" s="96"/>
      <c r="AX208" s="96"/>
      <c r="AY208" s="96"/>
      <c r="AZ208" s="96"/>
      <c r="BA208" s="98">
        <v>5.7799999999999995E-4</v>
      </c>
      <c r="BB208" s="98">
        <v>1.9000000000000001E-5</v>
      </c>
      <c r="BC208" s="106"/>
    </row>
    <row r="209" spans="1:55" ht="15" customHeight="1">
      <c r="A209" s="106"/>
      <c r="B209" s="96">
        <v>286</v>
      </c>
      <c r="C209" s="96">
        <v>1445</v>
      </c>
      <c r="D209" s="96"/>
      <c r="E209" s="96"/>
      <c r="F209" s="96"/>
      <c r="G209" s="96">
        <v>25000717</v>
      </c>
      <c r="H209" s="96" t="s">
        <v>1013</v>
      </c>
      <c r="I209" s="96" t="s">
        <v>804</v>
      </c>
      <c r="J209" s="96" t="s">
        <v>203</v>
      </c>
      <c r="K209" s="96"/>
      <c r="L209" s="96" t="s">
        <v>477</v>
      </c>
      <c r="M209" s="96" t="s">
        <v>338</v>
      </c>
      <c r="N209" s="96" t="s">
        <v>338</v>
      </c>
      <c r="O209" s="96"/>
      <c r="P209" s="100">
        <v>44762</v>
      </c>
      <c r="Q209" s="96" t="s">
        <v>409</v>
      </c>
      <c r="R209" s="96" t="s">
        <v>409</v>
      </c>
      <c r="S209" s="96" t="s">
        <v>409</v>
      </c>
      <c r="T209" s="96" t="s">
        <v>1200</v>
      </c>
      <c r="U209" s="97">
        <v>2.77</v>
      </c>
      <c r="V209" s="96" t="s">
        <v>824</v>
      </c>
      <c r="W209" s="98">
        <v>7.4999999999999997E-2</v>
      </c>
      <c r="X209" s="96"/>
      <c r="Y209" s="96"/>
      <c r="Z209" s="96"/>
      <c r="AA209" s="98">
        <v>7.2999999999999995E-2</v>
      </c>
      <c r="AB209" s="100">
        <v>46588</v>
      </c>
      <c r="AC209" s="96" t="s">
        <v>411</v>
      </c>
      <c r="AD209" s="96"/>
      <c r="AE209" s="96"/>
      <c r="AF209" s="96"/>
      <c r="AG209" s="100">
        <v>45097</v>
      </c>
      <c r="AH209" s="96"/>
      <c r="AI209" s="96"/>
      <c r="AJ209" s="96"/>
      <c r="AK209" s="96" t="s">
        <v>337</v>
      </c>
      <c r="AL209" s="96" t="s">
        <v>887</v>
      </c>
      <c r="AM209" s="96"/>
      <c r="AN209" s="96" t="s">
        <v>890</v>
      </c>
      <c r="AO209" s="100">
        <v>45473</v>
      </c>
      <c r="AP209" s="100">
        <v>45473</v>
      </c>
      <c r="AQ209" s="96"/>
      <c r="AR209" s="97">
        <v>1001.4172600000001</v>
      </c>
      <c r="AS209" s="97">
        <v>102.79</v>
      </c>
      <c r="AT209" s="97">
        <v>1</v>
      </c>
      <c r="AU209" s="97">
        <v>1.0293559999999999</v>
      </c>
      <c r="AV209" s="97">
        <v>1.0293559999999999</v>
      </c>
      <c r="AW209" s="96"/>
      <c r="AX209" s="96"/>
      <c r="AY209" s="96"/>
      <c r="AZ209" s="96"/>
      <c r="BA209" s="98">
        <v>5.7200000000000003E-4</v>
      </c>
      <c r="BB209" s="98">
        <v>1.9000000000000001E-5</v>
      </c>
      <c r="BC209" s="106"/>
    </row>
    <row r="210" spans="1:55" ht="15" customHeight="1">
      <c r="A210" s="106"/>
      <c r="B210" s="96">
        <v>286</v>
      </c>
      <c r="C210" s="96">
        <v>1445</v>
      </c>
      <c r="D210" s="96"/>
      <c r="E210" s="96"/>
      <c r="F210" s="96"/>
      <c r="G210" s="96">
        <v>25000716</v>
      </c>
      <c r="H210" s="96" t="s">
        <v>1013</v>
      </c>
      <c r="I210" s="96" t="s">
        <v>806</v>
      </c>
      <c r="J210" s="96" t="s">
        <v>203</v>
      </c>
      <c r="K210" s="96"/>
      <c r="L210" s="96" t="s">
        <v>446</v>
      </c>
      <c r="M210" s="96" t="s">
        <v>338</v>
      </c>
      <c r="N210" s="96" t="s">
        <v>337</v>
      </c>
      <c r="O210" s="96"/>
      <c r="P210" s="100">
        <v>44748</v>
      </c>
      <c r="Q210" s="96" t="s">
        <v>3681</v>
      </c>
      <c r="R210" s="96" t="s">
        <v>311</v>
      </c>
      <c r="S210" s="96" t="s">
        <v>407</v>
      </c>
      <c r="T210" s="96" t="s">
        <v>1200</v>
      </c>
      <c r="U210" s="97">
        <v>0.99</v>
      </c>
      <c r="V210" s="96" t="s">
        <v>824</v>
      </c>
      <c r="W210" s="98">
        <v>7.3160000000000003E-2</v>
      </c>
      <c r="X210" s="96"/>
      <c r="Y210" s="96"/>
      <c r="Z210" s="96"/>
      <c r="AA210" s="98">
        <v>6.7299999999999999E-2</v>
      </c>
      <c r="AB210" s="100">
        <v>45844</v>
      </c>
      <c r="AC210" s="96" t="s">
        <v>411</v>
      </c>
      <c r="AD210" s="96"/>
      <c r="AE210" s="96"/>
      <c r="AF210" s="96"/>
      <c r="AG210" s="100">
        <v>45137</v>
      </c>
      <c r="AH210" s="96"/>
      <c r="AI210" s="96"/>
      <c r="AJ210" s="96"/>
      <c r="AK210" s="96" t="s">
        <v>337</v>
      </c>
      <c r="AL210" s="96" t="s">
        <v>887</v>
      </c>
      <c r="AM210" s="96"/>
      <c r="AN210" s="96" t="s">
        <v>890</v>
      </c>
      <c r="AO210" s="100">
        <v>45473</v>
      </c>
      <c r="AP210" s="100">
        <v>45473</v>
      </c>
      <c r="AQ210" s="96"/>
      <c r="AR210" s="97">
        <v>36599.179541999998</v>
      </c>
      <c r="AS210" s="97">
        <v>100.46</v>
      </c>
      <c r="AT210" s="97">
        <v>1</v>
      </c>
      <c r="AU210" s="97">
        <v>36.767535000000002</v>
      </c>
      <c r="AV210" s="97">
        <v>36.767535000000002</v>
      </c>
      <c r="AW210" s="96"/>
      <c r="AX210" s="96"/>
      <c r="AY210" s="96"/>
      <c r="AZ210" s="96"/>
      <c r="BA210" s="98">
        <v>2.0466000000000002E-2</v>
      </c>
      <c r="BB210" s="98">
        <v>6.9999999999999999E-4</v>
      </c>
      <c r="BC210" s="106"/>
    </row>
    <row r="211" spans="1:55" ht="15" customHeight="1">
      <c r="A211" s="106"/>
      <c r="B211" s="96">
        <v>286</v>
      </c>
      <c r="C211" s="96">
        <v>1445</v>
      </c>
      <c r="D211" s="96"/>
      <c r="E211" s="96"/>
      <c r="F211" s="96"/>
      <c r="G211" s="96">
        <v>25000715</v>
      </c>
      <c r="H211" s="96" t="s">
        <v>1013</v>
      </c>
      <c r="I211" s="96"/>
      <c r="J211" s="96" t="s">
        <v>203</v>
      </c>
      <c r="K211" s="96"/>
      <c r="L211" s="96" t="s">
        <v>446</v>
      </c>
      <c r="M211" s="96" t="s">
        <v>338</v>
      </c>
      <c r="N211" s="96" t="s">
        <v>338</v>
      </c>
      <c r="O211" s="96"/>
      <c r="P211" s="100">
        <v>44740</v>
      </c>
      <c r="Q211" s="96" t="s">
        <v>1309</v>
      </c>
      <c r="R211" s="96" t="s">
        <v>414</v>
      </c>
      <c r="S211" s="96" t="s">
        <v>407</v>
      </c>
      <c r="T211" s="96" t="s">
        <v>1200</v>
      </c>
      <c r="U211" s="97">
        <v>0.98</v>
      </c>
      <c r="V211" s="96" t="s">
        <v>3678</v>
      </c>
      <c r="W211" s="98">
        <v>6.6100000000000006E-2</v>
      </c>
      <c r="X211" s="96"/>
      <c r="Y211" s="96"/>
      <c r="Z211" s="96"/>
      <c r="AA211" s="98">
        <v>6.7000000000000004E-2</v>
      </c>
      <c r="AB211" s="100">
        <v>45838</v>
      </c>
      <c r="AC211" s="96" t="s">
        <v>411</v>
      </c>
      <c r="AD211" s="96"/>
      <c r="AE211" s="96"/>
      <c r="AF211" s="96"/>
      <c r="AG211" s="100"/>
      <c r="AH211" s="96"/>
      <c r="AI211" s="96"/>
      <c r="AJ211" s="96"/>
      <c r="AK211" s="96" t="s">
        <v>337</v>
      </c>
      <c r="AL211" s="96" t="s">
        <v>887</v>
      </c>
      <c r="AM211" s="96"/>
      <c r="AN211" s="96" t="s">
        <v>890</v>
      </c>
      <c r="AO211" s="100">
        <v>45473</v>
      </c>
      <c r="AP211" s="100">
        <v>45473</v>
      </c>
      <c r="AQ211" s="96"/>
      <c r="AR211" s="97">
        <v>962.009637</v>
      </c>
      <c r="AS211" s="97">
        <v>100.01</v>
      </c>
      <c r="AT211" s="97">
        <v>1</v>
      </c>
      <c r="AU211" s="97">
        <v>0.96210499999999999</v>
      </c>
      <c r="AV211" s="97">
        <v>0.96210499999999999</v>
      </c>
      <c r="AW211" s="96"/>
      <c r="AX211" s="96"/>
      <c r="AY211" s="96"/>
      <c r="AZ211" s="96"/>
      <c r="BA211" s="98">
        <v>5.3499999999999999E-4</v>
      </c>
      <c r="BB211" s="98">
        <v>1.8E-5</v>
      </c>
      <c r="BC211" s="106"/>
    </row>
    <row r="212" spans="1:55" ht="15" customHeight="1">
      <c r="A212" s="106"/>
      <c r="B212" s="96">
        <v>286</v>
      </c>
      <c r="C212" s="96">
        <v>1445</v>
      </c>
      <c r="D212" s="96"/>
      <c r="E212" s="96"/>
      <c r="F212" s="96"/>
      <c r="G212" s="96">
        <v>25000720</v>
      </c>
      <c r="H212" s="96" t="s">
        <v>1013</v>
      </c>
      <c r="I212" s="96" t="s">
        <v>3688</v>
      </c>
      <c r="J212" s="96" t="s">
        <v>203</v>
      </c>
      <c r="K212" s="96"/>
      <c r="L212" s="96" t="s">
        <v>450</v>
      </c>
      <c r="M212" s="96" t="s">
        <v>338</v>
      </c>
      <c r="N212" s="96" t="s">
        <v>338</v>
      </c>
      <c r="O212" s="96"/>
      <c r="P212" s="100">
        <v>44761</v>
      </c>
      <c r="Q212" s="96" t="s">
        <v>1332</v>
      </c>
      <c r="R212" s="96" t="s">
        <v>412</v>
      </c>
      <c r="S212" s="96" t="s">
        <v>407</v>
      </c>
      <c r="T212" s="96" t="s">
        <v>1200</v>
      </c>
      <c r="U212" s="97">
        <v>2.92</v>
      </c>
      <c r="V212" s="96" t="s">
        <v>3678</v>
      </c>
      <c r="W212" s="98">
        <v>2.4500000000000001E-2</v>
      </c>
      <c r="X212" s="96"/>
      <c r="Y212" s="96"/>
      <c r="Z212" s="96"/>
      <c r="AA212" s="98">
        <v>4.1500000000000002E-2</v>
      </c>
      <c r="AB212" s="100">
        <v>46660</v>
      </c>
      <c r="AC212" s="96" t="s">
        <v>411</v>
      </c>
      <c r="AD212" s="96"/>
      <c r="AE212" s="96"/>
      <c r="AF212" s="96"/>
      <c r="AG212" s="100">
        <v>45035</v>
      </c>
      <c r="AH212" s="96"/>
      <c r="AI212" s="96"/>
      <c r="AJ212" s="96"/>
      <c r="AK212" s="96" t="s">
        <v>337</v>
      </c>
      <c r="AL212" s="96" t="s">
        <v>887</v>
      </c>
      <c r="AM212" s="96"/>
      <c r="AN212" s="96" t="s">
        <v>890</v>
      </c>
      <c r="AO212" s="100">
        <v>45473</v>
      </c>
      <c r="AP212" s="100">
        <v>45473</v>
      </c>
      <c r="AQ212" s="96"/>
      <c r="AR212" s="97">
        <v>5735.1166519999997</v>
      </c>
      <c r="AS212" s="97">
        <v>102.1</v>
      </c>
      <c r="AT212" s="97">
        <v>1</v>
      </c>
      <c r="AU212" s="97">
        <v>5.8555539999999997</v>
      </c>
      <c r="AV212" s="97">
        <v>5.8555539999999997</v>
      </c>
      <c r="AW212" s="96"/>
      <c r="AX212" s="96"/>
      <c r="AY212" s="96"/>
      <c r="AZ212" s="96"/>
      <c r="BA212" s="98">
        <v>3.2590000000000002E-3</v>
      </c>
      <c r="BB212" s="98">
        <v>1.11E-4</v>
      </c>
      <c r="BC212" s="106"/>
    </row>
    <row r="213" spans="1:55" ht="15" customHeight="1">
      <c r="A213" s="106"/>
      <c r="B213" s="96">
        <v>286</v>
      </c>
      <c r="C213" s="96">
        <v>1445</v>
      </c>
      <c r="D213" s="96"/>
      <c r="E213" s="96"/>
      <c r="F213" s="96"/>
      <c r="G213" s="96">
        <v>25000714</v>
      </c>
      <c r="H213" s="96" t="s">
        <v>1013</v>
      </c>
      <c r="I213" s="96"/>
      <c r="J213" s="96" t="s">
        <v>203</v>
      </c>
      <c r="K213" s="96"/>
      <c r="L213" s="96" t="s">
        <v>476</v>
      </c>
      <c r="M213" s="96" t="s">
        <v>338</v>
      </c>
      <c r="N213" s="96" t="s">
        <v>338</v>
      </c>
      <c r="O213" s="96"/>
      <c r="P213" s="100">
        <v>44739</v>
      </c>
      <c r="Q213" s="96" t="s">
        <v>3681</v>
      </c>
      <c r="R213" s="96" t="s">
        <v>311</v>
      </c>
      <c r="S213" s="96" t="s">
        <v>407</v>
      </c>
      <c r="T213" s="96" t="s">
        <v>1200</v>
      </c>
      <c r="U213" s="97">
        <v>1.01</v>
      </c>
      <c r="V213" s="96" t="s">
        <v>3678</v>
      </c>
      <c r="W213" s="98">
        <v>1.7600000000000001E-2</v>
      </c>
      <c r="X213" s="96"/>
      <c r="Y213" s="96"/>
      <c r="Z213" s="96"/>
      <c r="AA213" s="98">
        <v>2.92E-2</v>
      </c>
      <c r="AB213" s="100">
        <v>45957</v>
      </c>
      <c r="AC213" s="96" t="s">
        <v>411</v>
      </c>
      <c r="AD213" s="96"/>
      <c r="AE213" s="96"/>
      <c r="AF213" s="96"/>
      <c r="AG213" s="100">
        <v>45173</v>
      </c>
      <c r="AH213" s="96"/>
      <c r="AI213" s="96"/>
      <c r="AJ213" s="96"/>
      <c r="AK213" s="96" t="s">
        <v>337</v>
      </c>
      <c r="AL213" s="96" t="s">
        <v>887</v>
      </c>
      <c r="AM213" s="96"/>
      <c r="AN213" s="96" t="s">
        <v>890</v>
      </c>
      <c r="AO213" s="100">
        <v>45473</v>
      </c>
      <c r="AP213" s="100">
        <v>45473</v>
      </c>
      <c r="AQ213" s="96"/>
      <c r="AR213" s="97">
        <v>1780.297094</v>
      </c>
      <c r="AS213" s="97">
        <v>106.33</v>
      </c>
      <c r="AT213" s="97">
        <v>1</v>
      </c>
      <c r="AU213" s="97">
        <v>1.892989</v>
      </c>
      <c r="AV213" s="97">
        <v>1.892989</v>
      </c>
      <c r="AW213" s="96"/>
      <c r="AX213" s="96"/>
      <c r="AY213" s="96"/>
      <c r="AZ213" s="96"/>
      <c r="BA213" s="98">
        <v>1.0529999999999999E-3</v>
      </c>
      <c r="BB213" s="98">
        <v>3.6000000000000001E-5</v>
      </c>
      <c r="BC213" s="106"/>
    </row>
    <row r="214" spans="1:55" ht="15" customHeight="1">
      <c r="A214" s="106"/>
      <c r="B214" s="96">
        <v>286</v>
      </c>
      <c r="C214" s="96">
        <v>1445</v>
      </c>
      <c r="D214" s="96"/>
      <c r="E214" s="96"/>
      <c r="F214" s="96"/>
      <c r="G214" s="96">
        <v>25000708</v>
      </c>
      <c r="H214" s="96" t="s">
        <v>1013</v>
      </c>
      <c r="I214" s="96" t="s">
        <v>813</v>
      </c>
      <c r="J214" s="96" t="s">
        <v>203</v>
      </c>
      <c r="K214" s="96"/>
      <c r="L214" s="96" t="s">
        <v>454</v>
      </c>
      <c r="M214" s="96" t="s">
        <v>338</v>
      </c>
      <c r="N214" s="96" t="s">
        <v>337</v>
      </c>
      <c r="O214" s="96"/>
      <c r="P214" s="100">
        <v>44712</v>
      </c>
      <c r="Q214" s="96" t="s">
        <v>3686</v>
      </c>
      <c r="R214" s="96" t="s">
        <v>414</v>
      </c>
      <c r="S214" s="96" t="s">
        <v>407</v>
      </c>
      <c r="T214" s="96" t="s">
        <v>1200</v>
      </c>
      <c r="U214" s="97">
        <v>7.32</v>
      </c>
      <c r="V214" s="96" t="s">
        <v>3678</v>
      </c>
      <c r="W214" s="98">
        <v>2.6634999999999999E-2</v>
      </c>
      <c r="X214" s="96"/>
      <c r="Y214" s="96"/>
      <c r="Z214" s="96"/>
      <c r="AA214" s="98">
        <v>5.0200000000000002E-2</v>
      </c>
      <c r="AB214" s="100">
        <v>49856</v>
      </c>
      <c r="AC214" s="96" t="s">
        <v>411</v>
      </c>
      <c r="AD214" s="96"/>
      <c r="AE214" s="96"/>
      <c r="AF214" s="96"/>
      <c r="AG214" s="100">
        <v>45291</v>
      </c>
      <c r="AH214" s="96"/>
      <c r="AI214" s="96"/>
      <c r="AJ214" s="96"/>
      <c r="AK214" s="96" t="s">
        <v>337</v>
      </c>
      <c r="AL214" s="96" t="s">
        <v>887</v>
      </c>
      <c r="AM214" s="96"/>
      <c r="AN214" s="96" t="s">
        <v>890</v>
      </c>
      <c r="AO214" s="100">
        <v>45473</v>
      </c>
      <c r="AP214" s="100">
        <v>45473</v>
      </c>
      <c r="AQ214" s="96"/>
      <c r="AR214" s="97">
        <v>7171.2488309999999</v>
      </c>
      <c r="AS214" s="97">
        <v>94.86</v>
      </c>
      <c r="AT214" s="97">
        <v>1</v>
      </c>
      <c r="AU214" s="97">
        <v>6.8026460000000002</v>
      </c>
      <c r="AV214" s="97">
        <v>6.8026460000000002</v>
      </c>
      <c r="AW214" s="96"/>
      <c r="AX214" s="96"/>
      <c r="AY214" s="96"/>
      <c r="AZ214" s="96"/>
      <c r="BA214" s="98">
        <v>3.7859999999999999E-3</v>
      </c>
      <c r="BB214" s="98">
        <v>1.2899999999999999E-4</v>
      </c>
      <c r="BC214" s="106"/>
    </row>
    <row r="215" spans="1:55" ht="15" customHeight="1">
      <c r="A215" s="106"/>
      <c r="B215" s="96">
        <v>286</v>
      </c>
      <c r="C215" s="96">
        <v>1445</v>
      </c>
      <c r="D215" s="96"/>
      <c r="E215" s="96"/>
      <c r="F215" s="96"/>
      <c r="G215" s="96">
        <v>25000707</v>
      </c>
      <c r="H215" s="96" t="s">
        <v>1013</v>
      </c>
      <c r="I215" s="96" t="s">
        <v>813</v>
      </c>
      <c r="J215" s="96" t="s">
        <v>203</v>
      </c>
      <c r="K215" s="96"/>
      <c r="L215" s="96" t="s">
        <v>454</v>
      </c>
      <c r="M215" s="96" t="s">
        <v>338</v>
      </c>
      <c r="N215" s="96" t="s">
        <v>337</v>
      </c>
      <c r="O215" s="96"/>
      <c r="P215" s="100">
        <v>44712</v>
      </c>
      <c r="Q215" s="96" t="s">
        <v>1357</v>
      </c>
      <c r="R215" s="96" t="s">
        <v>414</v>
      </c>
      <c r="S215" s="96" t="s">
        <v>407</v>
      </c>
      <c r="T215" s="96" t="s">
        <v>1202</v>
      </c>
      <c r="U215" s="97">
        <v>5.78</v>
      </c>
      <c r="V215" s="96" t="s">
        <v>3678</v>
      </c>
      <c r="W215" s="98">
        <v>3.8077E-2</v>
      </c>
      <c r="X215" s="96"/>
      <c r="Y215" s="96"/>
      <c r="Z215" s="96"/>
      <c r="AA215" s="98">
        <v>5.1499999999999997E-2</v>
      </c>
      <c r="AB215" s="100">
        <v>50130</v>
      </c>
      <c r="AC215" s="96" t="s">
        <v>411</v>
      </c>
      <c r="AD215" s="96"/>
      <c r="AE215" s="96"/>
      <c r="AF215" s="96"/>
      <c r="AG215" s="100">
        <v>45291</v>
      </c>
      <c r="AH215" s="96"/>
      <c r="AI215" s="96"/>
      <c r="AJ215" s="96"/>
      <c r="AK215" s="96" t="s">
        <v>337</v>
      </c>
      <c r="AL215" s="96" t="s">
        <v>887</v>
      </c>
      <c r="AM215" s="96"/>
      <c r="AN215" s="96" t="s">
        <v>890</v>
      </c>
      <c r="AO215" s="100">
        <v>45473</v>
      </c>
      <c r="AP215" s="100">
        <v>45473</v>
      </c>
      <c r="AQ215" s="96"/>
      <c r="AR215" s="97">
        <v>2729.1242940000002</v>
      </c>
      <c r="AS215" s="97">
        <v>92.98</v>
      </c>
      <c r="AT215" s="97">
        <v>4.0202</v>
      </c>
      <c r="AU215" s="97">
        <v>10.201416999999999</v>
      </c>
      <c r="AV215" s="97">
        <v>2.5375390000000002</v>
      </c>
      <c r="AW215" s="96"/>
      <c r="AX215" s="96"/>
      <c r="AY215" s="96"/>
      <c r="AZ215" s="96"/>
      <c r="BA215" s="98">
        <v>5.6779999999999999E-3</v>
      </c>
      <c r="BB215" s="98">
        <v>1.94E-4</v>
      </c>
      <c r="BC215" s="106"/>
    </row>
    <row r="216" spans="1:55" ht="15" customHeight="1">
      <c r="A216" s="106"/>
      <c r="B216" s="96">
        <v>286</v>
      </c>
      <c r="C216" s="96">
        <v>1445</v>
      </c>
      <c r="D216" s="96"/>
      <c r="E216" s="96"/>
      <c r="F216" s="96"/>
      <c r="G216" s="96">
        <v>25000706</v>
      </c>
      <c r="H216" s="96" t="s">
        <v>1013</v>
      </c>
      <c r="I216" s="96" t="s">
        <v>813</v>
      </c>
      <c r="J216" s="96" t="s">
        <v>203</v>
      </c>
      <c r="K216" s="96"/>
      <c r="L216" s="96" t="s">
        <v>454</v>
      </c>
      <c r="M216" s="96" t="s">
        <v>338</v>
      </c>
      <c r="N216" s="96" t="s">
        <v>337</v>
      </c>
      <c r="O216" s="96"/>
      <c r="P216" s="100">
        <v>44712</v>
      </c>
      <c r="Q216" s="96" t="s">
        <v>1357</v>
      </c>
      <c r="R216" s="96" t="s">
        <v>414</v>
      </c>
      <c r="S216" s="96" t="s">
        <v>407</v>
      </c>
      <c r="T216" s="96" t="s">
        <v>1200</v>
      </c>
      <c r="U216" s="97">
        <v>6.22</v>
      </c>
      <c r="V216" s="96" t="s">
        <v>3678</v>
      </c>
      <c r="W216" s="98">
        <v>1.9046E-2</v>
      </c>
      <c r="X216" s="96"/>
      <c r="Y216" s="96"/>
      <c r="Z216" s="96"/>
      <c r="AA216" s="98">
        <v>3.39E-2</v>
      </c>
      <c r="AB216" s="100">
        <v>50130</v>
      </c>
      <c r="AC216" s="96" t="s">
        <v>411</v>
      </c>
      <c r="AD216" s="96"/>
      <c r="AE216" s="96"/>
      <c r="AF216" s="96"/>
      <c r="AG216" s="100">
        <v>45291</v>
      </c>
      <c r="AH216" s="96"/>
      <c r="AI216" s="96"/>
      <c r="AJ216" s="96"/>
      <c r="AK216" s="96" t="s">
        <v>337</v>
      </c>
      <c r="AL216" s="96" t="s">
        <v>887</v>
      </c>
      <c r="AM216" s="96"/>
      <c r="AN216" s="96" t="s">
        <v>890</v>
      </c>
      <c r="AO216" s="100">
        <v>45473</v>
      </c>
      <c r="AP216" s="100">
        <v>45473</v>
      </c>
      <c r="AQ216" s="96"/>
      <c r="AR216" s="97">
        <v>30165.874689</v>
      </c>
      <c r="AS216" s="97">
        <v>98.72</v>
      </c>
      <c r="AT216" s="97">
        <v>1</v>
      </c>
      <c r="AU216" s="97">
        <v>29.779751000000001</v>
      </c>
      <c r="AV216" s="97">
        <v>29.779751000000001</v>
      </c>
      <c r="AW216" s="96"/>
      <c r="AX216" s="96"/>
      <c r="AY216" s="96"/>
      <c r="AZ216" s="96"/>
      <c r="BA216" s="98">
        <v>1.6576E-2</v>
      </c>
      <c r="BB216" s="98">
        <v>5.6700000000000001E-4</v>
      </c>
      <c r="BC216" s="106"/>
    </row>
    <row r="217" spans="1:55" ht="15" customHeight="1">
      <c r="A217" s="106"/>
      <c r="B217" s="96">
        <v>286</v>
      </c>
      <c r="C217" s="96">
        <v>1445</v>
      </c>
      <c r="D217" s="96"/>
      <c r="E217" s="96"/>
      <c r="F217" s="96"/>
      <c r="G217" s="96">
        <v>25000705</v>
      </c>
      <c r="H217" s="96" t="s">
        <v>1013</v>
      </c>
      <c r="I217" s="96" t="s">
        <v>806</v>
      </c>
      <c r="J217" s="96" t="s">
        <v>203</v>
      </c>
      <c r="K217" s="96"/>
      <c r="L217" s="96" t="s">
        <v>446</v>
      </c>
      <c r="M217" s="96" t="s">
        <v>338</v>
      </c>
      <c r="N217" s="96" t="s">
        <v>338</v>
      </c>
      <c r="O217" s="96"/>
      <c r="P217" s="100">
        <v>44712</v>
      </c>
      <c r="Q217" s="96" t="s">
        <v>3679</v>
      </c>
      <c r="R217" s="96" t="s">
        <v>311</v>
      </c>
      <c r="S217" s="96" t="s">
        <v>407</v>
      </c>
      <c r="T217" s="96" t="s">
        <v>1200</v>
      </c>
      <c r="U217" s="97">
        <v>0.01</v>
      </c>
      <c r="V217" s="96" t="s">
        <v>824</v>
      </c>
      <c r="W217" s="98">
        <v>6.8000000000000005E-2</v>
      </c>
      <c r="X217" s="96"/>
      <c r="Y217" s="96"/>
      <c r="Z217" s="96"/>
      <c r="AA217" s="98">
        <v>6.2799999999999995E-2</v>
      </c>
      <c r="AB217" s="100">
        <v>45476</v>
      </c>
      <c r="AC217" s="96" t="s">
        <v>411</v>
      </c>
      <c r="AD217" s="96"/>
      <c r="AE217" s="96"/>
      <c r="AF217" s="96"/>
      <c r="AG217" s="100">
        <v>45084</v>
      </c>
      <c r="AH217" s="96"/>
      <c r="AI217" s="96"/>
      <c r="AJ217" s="96"/>
      <c r="AK217" s="96" t="s">
        <v>337</v>
      </c>
      <c r="AL217" s="96" t="s">
        <v>887</v>
      </c>
      <c r="AM217" s="96"/>
      <c r="AN217" s="96" t="s">
        <v>890</v>
      </c>
      <c r="AO217" s="100">
        <v>45473</v>
      </c>
      <c r="AP217" s="100">
        <v>45473</v>
      </c>
      <c r="AQ217" s="96"/>
      <c r="AR217" s="97">
        <v>9504.4818890000006</v>
      </c>
      <c r="AS217" s="97">
        <v>100.58</v>
      </c>
      <c r="AT217" s="97">
        <v>1</v>
      </c>
      <c r="AU217" s="97">
        <v>9.5596069999999997</v>
      </c>
      <c r="AV217" s="97">
        <v>9.5596069999999997</v>
      </c>
      <c r="AW217" s="96"/>
      <c r="AX217" s="96"/>
      <c r="AY217" s="96"/>
      <c r="AZ217" s="96"/>
      <c r="BA217" s="98">
        <v>5.3210000000000002E-3</v>
      </c>
      <c r="BB217" s="98">
        <v>1.8200000000000001E-4</v>
      </c>
      <c r="BC217" s="106"/>
    </row>
    <row r="218" spans="1:55" ht="15" customHeight="1">
      <c r="A218" s="106"/>
      <c r="B218" s="96">
        <v>286</v>
      </c>
      <c r="C218" s="96">
        <v>1445</v>
      </c>
      <c r="D218" s="96"/>
      <c r="E218" s="96"/>
      <c r="F218" s="96"/>
      <c r="G218" s="96">
        <v>25000704</v>
      </c>
      <c r="H218" s="96" t="s">
        <v>1013</v>
      </c>
      <c r="I218" s="96" t="s">
        <v>806</v>
      </c>
      <c r="J218" s="96" t="s">
        <v>203</v>
      </c>
      <c r="K218" s="96"/>
      <c r="L218" s="96" t="s">
        <v>446</v>
      </c>
      <c r="M218" s="96" t="s">
        <v>338</v>
      </c>
      <c r="N218" s="96" t="s">
        <v>338</v>
      </c>
      <c r="O218" s="96"/>
      <c r="P218" s="100">
        <v>44712</v>
      </c>
      <c r="Q218" s="96" t="s">
        <v>3679</v>
      </c>
      <c r="R218" s="96" t="s">
        <v>311</v>
      </c>
      <c r="S218" s="96" t="s">
        <v>407</v>
      </c>
      <c r="T218" s="96" t="s">
        <v>1200</v>
      </c>
      <c r="U218" s="97">
        <v>0.01</v>
      </c>
      <c r="V218" s="96" t="s">
        <v>824</v>
      </c>
      <c r="W218" s="98">
        <v>6.8000000000000005E-2</v>
      </c>
      <c r="X218" s="96"/>
      <c r="Y218" s="96"/>
      <c r="Z218" s="96"/>
      <c r="AA218" s="98">
        <v>6.2799999999999995E-2</v>
      </c>
      <c r="AB218" s="100">
        <v>45476</v>
      </c>
      <c r="AC218" s="96" t="s">
        <v>411</v>
      </c>
      <c r="AD218" s="96"/>
      <c r="AE218" s="96"/>
      <c r="AF218" s="96"/>
      <c r="AG218" s="100">
        <v>45084</v>
      </c>
      <c r="AH218" s="96"/>
      <c r="AI218" s="96"/>
      <c r="AJ218" s="96"/>
      <c r="AK218" s="96" t="s">
        <v>337</v>
      </c>
      <c r="AL218" s="96" t="s">
        <v>887</v>
      </c>
      <c r="AM218" s="96"/>
      <c r="AN218" s="96" t="s">
        <v>890</v>
      </c>
      <c r="AO218" s="100">
        <v>45473</v>
      </c>
      <c r="AP218" s="100">
        <v>45473</v>
      </c>
      <c r="AQ218" s="96"/>
      <c r="AR218" s="97">
        <v>15530.949645000001</v>
      </c>
      <c r="AS218" s="97">
        <v>100.58</v>
      </c>
      <c r="AT218" s="97">
        <v>1</v>
      </c>
      <c r="AU218" s="97">
        <v>15.621029</v>
      </c>
      <c r="AV218" s="97">
        <v>15.621029</v>
      </c>
      <c r="AW218" s="96"/>
      <c r="AX218" s="96"/>
      <c r="AY218" s="96"/>
      <c r="AZ218" s="96"/>
      <c r="BA218" s="98">
        <v>8.6949999999999996E-3</v>
      </c>
      <c r="BB218" s="98">
        <v>2.9700000000000001E-4</v>
      </c>
      <c r="BC218" s="106"/>
    </row>
    <row r="219" spans="1:55" ht="15" customHeight="1">
      <c r="A219" s="106"/>
      <c r="B219" s="96">
        <v>286</v>
      </c>
      <c r="C219" s="96">
        <v>1445</v>
      </c>
      <c r="D219" s="96"/>
      <c r="E219" s="96"/>
      <c r="F219" s="96"/>
      <c r="G219" s="96">
        <v>25000709</v>
      </c>
      <c r="H219" s="96" t="s">
        <v>1013</v>
      </c>
      <c r="I219" s="96" t="s">
        <v>813</v>
      </c>
      <c r="J219" s="96" t="s">
        <v>203</v>
      </c>
      <c r="K219" s="96"/>
      <c r="L219" s="96" t="s">
        <v>454</v>
      </c>
      <c r="M219" s="96" t="s">
        <v>338</v>
      </c>
      <c r="N219" s="96" t="s">
        <v>337</v>
      </c>
      <c r="O219" s="96"/>
      <c r="P219" s="100">
        <v>44712</v>
      </c>
      <c r="Q219" s="96" t="s">
        <v>3686</v>
      </c>
      <c r="R219" s="96" t="s">
        <v>414</v>
      </c>
      <c r="S219" s="96" t="s">
        <v>407</v>
      </c>
      <c r="T219" s="96" t="s">
        <v>1200</v>
      </c>
      <c r="U219" s="97">
        <v>6.17</v>
      </c>
      <c r="V219" s="96" t="s">
        <v>824</v>
      </c>
      <c r="W219" s="98">
        <v>7.0999999999999994E-2</v>
      </c>
      <c r="X219" s="96"/>
      <c r="Y219" s="96"/>
      <c r="Z219" s="96"/>
      <c r="AA219" s="98">
        <v>8.4500000000000006E-2</v>
      </c>
      <c r="AB219" s="100">
        <v>49856</v>
      </c>
      <c r="AC219" s="96" t="s">
        <v>411</v>
      </c>
      <c r="AD219" s="96"/>
      <c r="AE219" s="96"/>
      <c r="AF219" s="96"/>
      <c r="AG219" s="100">
        <v>45291</v>
      </c>
      <c r="AH219" s="96"/>
      <c r="AI219" s="96"/>
      <c r="AJ219" s="96"/>
      <c r="AK219" s="96" t="s">
        <v>337</v>
      </c>
      <c r="AL219" s="96" t="s">
        <v>887</v>
      </c>
      <c r="AM219" s="96"/>
      <c r="AN219" s="96" t="s">
        <v>890</v>
      </c>
      <c r="AO219" s="100">
        <v>45473</v>
      </c>
      <c r="AP219" s="100">
        <v>45473</v>
      </c>
      <c r="AQ219" s="96"/>
      <c r="AR219" s="97">
        <v>2998.5697479999999</v>
      </c>
      <c r="AS219" s="97">
        <v>97.9</v>
      </c>
      <c r="AT219" s="97">
        <v>1</v>
      </c>
      <c r="AU219" s="97">
        <v>2.9355989999999998</v>
      </c>
      <c r="AV219" s="97">
        <v>2.9355989999999998</v>
      </c>
      <c r="AW219" s="96"/>
      <c r="AX219" s="96"/>
      <c r="AY219" s="96"/>
      <c r="AZ219" s="96"/>
      <c r="BA219" s="98">
        <v>1.634E-3</v>
      </c>
      <c r="BB219" s="98">
        <v>5.5000000000000002E-5</v>
      </c>
      <c r="BC219" s="106"/>
    </row>
    <row r="220" spans="1:55" ht="15" customHeight="1">
      <c r="A220" s="106"/>
      <c r="B220" s="96">
        <v>286</v>
      </c>
      <c r="C220" s="96">
        <v>1445</v>
      </c>
      <c r="D220" s="96"/>
      <c r="E220" s="96"/>
      <c r="F220" s="96"/>
      <c r="G220" s="96">
        <v>25000721</v>
      </c>
      <c r="H220" s="96" t="s">
        <v>1013</v>
      </c>
      <c r="I220" s="96"/>
      <c r="J220" s="96" t="s">
        <v>203</v>
      </c>
      <c r="K220" s="96"/>
      <c r="L220" s="96" t="s">
        <v>477</v>
      </c>
      <c r="M220" s="96" t="s">
        <v>338</v>
      </c>
      <c r="N220" s="96" t="s">
        <v>338</v>
      </c>
      <c r="O220" s="96"/>
      <c r="P220" s="100">
        <v>44770</v>
      </c>
      <c r="Q220" s="96" t="s">
        <v>409</v>
      </c>
      <c r="R220" s="96" t="s">
        <v>409</v>
      </c>
      <c r="S220" s="96" t="s">
        <v>409</v>
      </c>
      <c r="T220" s="96" t="s">
        <v>1200</v>
      </c>
      <c r="U220" s="97">
        <v>1.33</v>
      </c>
      <c r="V220" s="96" t="s">
        <v>3678</v>
      </c>
      <c r="W220" s="98">
        <v>8.9099999999999999E-2</v>
      </c>
      <c r="X220" s="96"/>
      <c r="Y220" s="96"/>
      <c r="Z220" s="96"/>
      <c r="AA220" s="98">
        <v>6.6100000000000006E-2</v>
      </c>
      <c r="AB220" s="100">
        <v>47907</v>
      </c>
      <c r="AC220" s="96" t="s">
        <v>411</v>
      </c>
      <c r="AD220" s="96"/>
      <c r="AE220" s="96"/>
      <c r="AF220" s="96"/>
      <c r="AG220" s="100">
        <v>44770</v>
      </c>
      <c r="AH220" s="96"/>
      <c r="AI220" s="96"/>
      <c r="AJ220" s="96"/>
      <c r="AK220" s="96" t="s">
        <v>337</v>
      </c>
      <c r="AL220" s="96" t="s">
        <v>887</v>
      </c>
      <c r="AM220" s="96"/>
      <c r="AN220" s="96" t="s">
        <v>890</v>
      </c>
      <c r="AO220" s="100">
        <v>45473</v>
      </c>
      <c r="AP220" s="100">
        <v>45473</v>
      </c>
      <c r="AQ220" s="96"/>
      <c r="AR220" s="97">
        <v>7418.2107910000004</v>
      </c>
      <c r="AS220" s="97">
        <v>112.65</v>
      </c>
      <c r="AT220" s="97">
        <v>1</v>
      </c>
      <c r="AU220" s="97">
        <v>8.3566140000000004</v>
      </c>
      <c r="AV220" s="97">
        <v>8.3566140000000004</v>
      </c>
      <c r="AW220" s="96"/>
      <c r="AX220" s="96"/>
      <c r="AY220" s="96"/>
      <c r="AZ220" s="96"/>
      <c r="BA220" s="98">
        <v>4.6509999999999998E-3</v>
      </c>
      <c r="BB220" s="98">
        <v>1.5899999999999999E-4</v>
      </c>
      <c r="BC220" s="106"/>
    </row>
    <row r="221" spans="1:55" ht="15" customHeight="1">
      <c r="A221" s="106"/>
      <c r="B221" s="96">
        <v>286</v>
      </c>
      <c r="C221" s="96">
        <v>1445</v>
      </c>
      <c r="D221" s="96"/>
      <c r="E221" s="96"/>
      <c r="F221" s="96"/>
      <c r="G221" s="96">
        <v>25000722</v>
      </c>
      <c r="H221" s="96" t="s">
        <v>1013</v>
      </c>
      <c r="I221" s="96" t="s">
        <v>785</v>
      </c>
      <c r="J221" s="96" t="s">
        <v>203</v>
      </c>
      <c r="K221" s="96"/>
      <c r="L221" s="96" t="s">
        <v>463</v>
      </c>
      <c r="M221" s="96" t="s">
        <v>338</v>
      </c>
      <c r="N221" s="96" t="s">
        <v>338</v>
      </c>
      <c r="O221" s="96"/>
      <c r="P221" s="100">
        <v>44777</v>
      </c>
      <c r="Q221" s="96" t="s">
        <v>1208</v>
      </c>
      <c r="R221" s="96" t="s">
        <v>311</v>
      </c>
      <c r="S221" s="96" t="s">
        <v>407</v>
      </c>
      <c r="T221" s="96" t="s">
        <v>1200</v>
      </c>
      <c r="U221" s="97">
        <v>3.39</v>
      </c>
      <c r="V221" s="96" t="s">
        <v>3678</v>
      </c>
      <c r="W221" s="98">
        <v>2.4729999999999999E-2</v>
      </c>
      <c r="X221" s="96"/>
      <c r="Y221" s="96"/>
      <c r="Z221" s="96"/>
      <c r="AA221" s="98">
        <v>4.3700000000000003E-2</v>
      </c>
      <c r="AB221" s="100">
        <v>46969</v>
      </c>
      <c r="AC221" s="96" t="s">
        <v>411</v>
      </c>
      <c r="AD221" s="96"/>
      <c r="AE221" s="96"/>
      <c r="AF221" s="96"/>
      <c r="AG221" s="100">
        <v>45062</v>
      </c>
      <c r="AH221" s="96"/>
      <c r="AI221" s="96"/>
      <c r="AJ221" s="96"/>
      <c r="AK221" s="96" t="s">
        <v>337</v>
      </c>
      <c r="AL221" s="96" t="s">
        <v>887</v>
      </c>
      <c r="AM221" s="96"/>
      <c r="AN221" s="96" t="s">
        <v>890</v>
      </c>
      <c r="AO221" s="100">
        <v>45473</v>
      </c>
      <c r="AP221" s="100">
        <v>45473</v>
      </c>
      <c r="AQ221" s="96"/>
      <c r="AR221" s="97">
        <v>3304.6769599999998</v>
      </c>
      <c r="AS221" s="97">
        <v>100.65</v>
      </c>
      <c r="AT221" s="97">
        <v>1</v>
      </c>
      <c r="AU221" s="97">
        <v>3.3261569999999998</v>
      </c>
      <c r="AV221" s="97">
        <v>3.3261569999999998</v>
      </c>
      <c r="AW221" s="96"/>
      <c r="AX221" s="96"/>
      <c r="AY221" s="96"/>
      <c r="AZ221" s="96"/>
      <c r="BA221" s="98">
        <v>1.851E-3</v>
      </c>
      <c r="BB221" s="98">
        <v>6.3E-5</v>
      </c>
      <c r="BC221" s="106"/>
    </row>
    <row r="222" spans="1:55" ht="15" customHeight="1">
      <c r="A222" s="106"/>
      <c r="B222" s="96">
        <v>286</v>
      </c>
      <c r="C222" s="96">
        <v>1445</v>
      </c>
      <c r="D222" s="96"/>
      <c r="E222" s="96"/>
      <c r="F222" s="96"/>
      <c r="G222" s="96">
        <v>25000723</v>
      </c>
      <c r="H222" s="96" t="s">
        <v>1013</v>
      </c>
      <c r="I222" s="96" t="s">
        <v>818</v>
      </c>
      <c r="J222" s="96" t="s">
        <v>203</v>
      </c>
      <c r="K222" s="96"/>
      <c r="L222" s="96" t="s">
        <v>464</v>
      </c>
      <c r="M222" s="96" t="s">
        <v>338</v>
      </c>
      <c r="N222" s="96" t="s">
        <v>338</v>
      </c>
      <c r="O222" s="96"/>
      <c r="P222" s="100">
        <v>44783</v>
      </c>
      <c r="Q222" s="96" t="s">
        <v>1320</v>
      </c>
      <c r="R222" s="96" t="s">
        <v>412</v>
      </c>
      <c r="S222" s="96" t="s">
        <v>407</v>
      </c>
      <c r="T222" s="96" t="s">
        <v>1200</v>
      </c>
      <c r="U222" s="97">
        <v>2.2000000000000002</v>
      </c>
      <c r="V222" s="96" t="s">
        <v>3678</v>
      </c>
      <c r="W222" s="98">
        <v>4.82E-2</v>
      </c>
      <c r="X222" s="96"/>
      <c r="Y222" s="96"/>
      <c r="Z222" s="96"/>
      <c r="AA222" s="98">
        <v>6.7299999999999999E-2</v>
      </c>
      <c r="AB222" s="100">
        <v>46573</v>
      </c>
      <c r="AC222" s="96" t="s">
        <v>410</v>
      </c>
      <c r="AD222" s="96"/>
      <c r="AE222" s="96"/>
      <c r="AF222" s="96"/>
      <c r="AG222" s="100"/>
      <c r="AH222" s="96"/>
      <c r="AI222" s="96"/>
      <c r="AJ222" s="96"/>
      <c r="AK222" s="96" t="s">
        <v>337</v>
      </c>
      <c r="AL222" s="96" t="s">
        <v>887</v>
      </c>
      <c r="AM222" s="96"/>
      <c r="AN222" s="96" t="s">
        <v>890</v>
      </c>
      <c r="AO222" s="100">
        <v>45473</v>
      </c>
      <c r="AP222" s="100">
        <v>45473</v>
      </c>
      <c r="AQ222" s="96"/>
      <c r="AR222" s="97">
        <v>31157.90193</v>
      </c>
      <c r="AS222" s="97">
        <v>98.45</v>
      </c>
      <c r="AT222" s="97">
        <v>1</v>
      </c>
      <c r="AU222" s="97">
        <v>30.674954</v>
      </c>
      <c r="AV222" s="97">
        <v>30.674954</v>
      </c>
      <c r="AW222" s="96"/>
      <c r="AX222" s="96"/>
      <c r="AY222" s="96"/>
      <c r="AZ222" s="96"/>
      <c r="BA222" s="98">
        <v>1.7073999999999999E-2</v>
      </c>
      <c r="BB222" s="98">
        <v>5.8399999999999999E-4</v>
      </c>
      <c r="BC222" s="106"/>
    </row>
    <row r="223" spans="1:55" ht="15" customHeight="1">
      <c r="A223" s="106"/>
      <c r="B223" s="96">
        <v>286</v>
      </c>
      <c r="C223" s="96">
        <v>1445</v>
      </c>
      <c r="D223" s="96"/>
      <c r="E223" s="96"/>
      <c r="F223" s="96"/>
      <c r="G223" s="96">
        <v>25000746</v>
      </c>
      <c r="H223" s="96" t="s">
        <v>1013</v>
      </c>
      <c r="I223" s="96" t="s">
        <v>812</v>
      </c>
      <c r="J223" s="96" t="s">
        <v>203</v>
      </c>
      <c r="K223" s="96"/>
      <c r="L223" s="96" t="s">
        <v>463</v>
      </c>
      <c r="M223" s="96" t="s">
        <v>338</v>
      </c>
      <c r="N223" s="96" t="s">
        <v>337</v>
      </c>
      <c r="O223" s="96"/>
      <c r="P223" s="100">
        <v>44859</v>
      </c>
      <c r="Q223" s="96" t="s">
        <v>1320</v>
      </c>
      <c r="R223" s="96" t="s">
        <v>412</v>
      </c>
      <c r="S223" s="96" t="s">
        <v>407</v>
      </c>
      <c r="T223" s="96" t="s">
        <v>1200</v>
      </c>
      <c r="U223" s="97">
        <v>8.51</v>
      </c>
      <c r="V223" s="96" t="s">
        <v>824</v>
      </c>
      <c r="W223" s="98">
        <v>7.1499999999999994E-2</v>
      </c>
      <c r="X223" s="96"/>
      <c r="Y223" s="96"/>
      <c r="Z223" s="96"/>
      <c r="AA223" s="98">
        <v>7.7100000000000002E-2</v>
      </c>
      <c r="AB223" s="100">
        <v>52962</v>
      </c>
      <c r="AC223" s="96" t="s">
        <v>411</v>
      </c>
      <c r="AD223" s="96"/>
      <c r="AE223" s="96"/>
      <c r="AF223" s="96"/>
      <c r="AG223" s="100">
        <v>45291</v>
      </c>
      <c r="AH223" s="96"/>
      <c r="AI223" s="96"/>
      <c r="AJ223" s="96"/>
      <c r="AK223" s="96" t="s">
        <v>337</v>
      </c>
      <c r="AL223" s="96" t="s">
        <v>887</v>
      </c>
      <c r="AM223" s="96"/>
      <c r="AN223" s="96" t="s">
        <v>890</v>
      </c>
      <c r="AO223" s="100">
        <v>45473</v>
      </c>
      <c r="AP223" s="100">
        <v>45473</v>
      </c>
      <c r="AQ223" s="96"/>
      <c r="AR223" s="97">
        <v>9498.7246890000006</v>
      </c>
      <c r="AS223" s="97">
        <v>100.75</v>
      </c>
      <c r="AT223" s="97">
        <v>1</v>
      </c>
      <c r="AU223" s="97">
        <v>9.5699649999999998</v>
      </c>
      <c r="AV223" s="97">
        <v>9.5699649999999998</v>
      </c>
      <c r="AW223" s="96"/>
      <c r="AX223" s="96"/>
      <c r="AY223" s="96"/>
      <c r="AZ223" s="96"/>
      <c r="BA223" s="98">
        <v>5.3270000000000001E-3</v>
      </c>
      <c r="BB223" s="98">
        <v>1.8200000000000001E-4</v>
      </c>
      <c r="BC223" s="106"/>
    </row>
    <row r="224" spans="1:55" ht="15" customHeight="1">
      <c r="A224" s="106"/>
      <c r="B224" s="96">
        <v>286</v>
      </c>
      <c r="C224" s="96">
        <v>1445</v>
      </c>
      <c r="D224" s="96"/>
      <c r="E224" s="96"/>
      <c r="F224" s="96"/>
      <c r="G224" s="96">
        <v>25000751</v>
      </c>
      <c r="H224" s="96" t="s">
        <v>1013</v>
      </c>
      <c r="I224" s="96" t="s">
        <v>818</v>
      </c>
      <c r="J224" s="96" t="s">
        <v>203</v>
      </c>
      <c r="K224" s="96"/>
      <c r="L224" s="96" t="s">
        <v>463</v>
      </c>
      <c r="M224" s="96" t="s">
        <v>338</v>
      </c>
      <c r="N224" s="96" t="s">
        <v>338</v>
      </c>
      <c r="O224" s="96"/>
      <c r="P224" s="100">
        <v>44900</v>
      </c>
      <c r="Q224" s="96" t="s">
        <v>1208</v>
      </c>
      <c r="R224" s="96" t="s">
        <v>311</v>
      </c>
      <c r="S224" s="96" t="s">
        <v>407</v>
      </c>
      <c r="T224" s="96" t="s">
        <v>1200</v>
      </c>
      <c r="U224" s="97">
        <v>4.18</v>
      </c>
      <c r="V224" s="96" t="s">
        <v>3678</v>
      </c>
      <c r="W224" s="98">
        <v>2.5479999999999999E-2</v>
      </c>
      <c r="X224" s="96"/>
      <c r="Y224" s="96"/>
      <c r="Z224" s="96"/>
      <c r="AA224" s="98">
        <v>3.4200000000000001E-2</v>
      </c>
      <c r="AB224" s="100">
        <v>47274</v>
      </c>
      <c r="AC224" s="96" t="s">
        <v>410</v>
      </c>
      <c r="AD224" s="96"/>
      <c r="AE224" s="96"/>
      <c r="AF224" s="96"/>
      <c r="AG224" s="100"/>
      <c r="AH224" s="96"/>
      <c r="AI224" s="96"/>
      <c r="AJ224" s="96"/>
      <c r="AK224" s="96" t="s">
        <v>337</v>
      </c>
      <c r="AL224" s="96" t="s">
        <v>887</v>
      </c>
      <c r="AM224" s="96"/>
      <c r="AN224" s="96" t="s">
        <v>890</v>
      </c>
      <c r="AO224" s="100">
        <v>45473</v>
      </c>
      <c r="AP224" s="100">
        <v>45473</v>
      </c>
      <c r="AQ224" s="96"/>
      <c r="AR224" s="97">
        <v>9689.5882369999999</v>
      </c>
      <c r="AS224" s="97">
        <v>101.83</v>
      </c>
      <c r="AT224" s="97">
        <v>1</v>
      </c>
      <c r="AU224" s="97">
        <v>9.8669069999999994</v>
      </c>
      <c r="AV224" s="97">
        <v>9.8669069999999994</v>
      </c>
      <c r="AW224" s="96"/>
      <c r="AX224" s="96"/>
      <c r="AY224" s="96"/>
      <c r="AZ224" s="96"/>
      <c r="BA224" s="98">
        <v>5.4920000000000004E-3</v>
      </c>
      <c r="BB224" s="98">
        <v>1.8699999999999999E-4</v>
      </c>
      <c r="BC224" s="106"/>
    </row>
    <row r="225" spans="1:55" ht="15" customHeight="1">
      <c r="A225" s="106"/>
      <c r="B225" s="96">
        <v>286</v>
      </c>
      <c r="C225" s="96">
        <v>1445</v>
      </c>
      <c r="D225" s="96"/>
      <c r="E225" s="96"/>
      <c r="F225" s="96"/>
      <c r="G225" s="96">
        <v>25000753</v>
      </c>
      <c r="H225" s="96" t="s">
        <v>1013</v>
      </c>
      <c r="I225" s="96" t="s">
        <v>3684</v>
      </c>
      <c r="J225" s="96" t="s">
        <v>203</v>
      </c>
      <c r="K225" s="96"/>
      <c r="L225" s="96" t="s">
        <v>463</v>
      </c>
      <c r="M225" s="96" t="s">
        <v>338</v>
      </c>
      <c r="N225" s="96" t="s">
        <v>337</v>
      </c>
      <c r="O225" s="96"/>
      <c r="P225" s="100">
        <v>44900</v>
      </c>
      <c r="Q225" s="96" t="s">
        <v>3681</v>
      </c>
      <c r="R225" s="96" t="s">
        <v>311</v>
      </c>
      <c r="S225" s="96" t="s">
        <v>407</v>
      </c>
      <c r="T225" s="96" t="s">
        <v>1200</v>
      </c>
      <c r="U225" s="97">
        <v>0.43</v>
      </c>
      <c r="V225" s="96" t="s">
        <v>824</v>
      </c>
      <c r="W225" s="98">
        <v>7.8E-2</v>
      </c>
      <c r="X225" s="96"/>
      <c r="Y225" s="96"/>
      <c r="Z225" s="96"/>
      <c r="AA225" s="98">
        <v>6.4199999999999993E-2</v>
      </c>
      <c r="AB225" s="100">
        <v>45631</v>
      </c>
      <c r="AC225" s="96" t="s">
        <v>411</v>
      </c>
      <c r="AD225" s="96"/>
      <c r="AE225" s="96"/>
      <c r="AF225" s="96"/>
      <c r="AG225" s="100">
        <v>45075</v>
      </c>
      <c r="AH225" s="96"/>
      <c r="AI225" s="96"/>
      <c r="AJ225" s="96"/>
      <c r="AK225" s="96" t="s">
        <v>337</v>
      </c>
      <c r="AL225" s="96" t="s">
        <v>887</v>
      </c>
      <c r="AM225" s="96"/>
      <c r="AN225" s="96" t="s">
        <v>890</v>
      </c>
      <c r="AO225" s="100">
        <v>45473</v>
      </c>
      <c r="AP225" s="100">
        <v>45473</v>
      </c>
      <c r="AQ225" s="96"/>
      <c r="AR225" s="97">
        <v>303.30097499999999</v>
      </c>
      <c r="AS225" s="97">
        <v>100.78</v>
      </c>
      <c r="AT225" s="97">
        <v>1</v>
      </c>
      <c r="AU225" s="97">
        <v>0.30566599999999999</v>
      </c>
      <c r="AV225" s="97">
        <v>0.30566599999999999</v>
      </c>
      <c r="AW225" s="96"/>
      <c r="AX225" s="96"/>
      <c r="AY225" s="96"/>
      <c r="AZ225" s="96"/>
      <c r="BA225" s="98">
        <v>1.7000000000000001E-4</v>
      </c>
      <c r="BB225" s="98">
        <v>5.0000000000000004E-6</v>
      </c>
      <c r="BC225" s="106"/>
    </row>
    <row r="226" spans="1:55" ht="15" customHeight="1">
      <c r="A226" s="106"/>
      <c r="B226" s="96">
        <v>286</v>
      </c>
      <c r="C226" s="96">
        <v>1445</v>
      </c>
      <c r="D226" s="96"/>
      <c r="E226" s="96"/>
      <c r="F226" s="96"/>
      <c r="G226" s="96">
        <v>25000754</v>
      </c>
      <c r="H226" s="96" t="s">
        <v>1013</v>
      </c>
      <c r="I226" s="96" t="s">
        <v>797</v>
      </c>
      <c r="J226" s="96" t="s">
        <v>203</v>
      </c>
      <c r="K226" s="96"/>
      <c r="L226" s="96" t="s">
        <v>463</v>
      </c>
      <c r="M226" s="96" t="s">
        <v>338</v>
      </c>
      <c r="N226" s="96" t="s">
        <v>338</v>
      </c>
      <c r="O226" s="96"/>
      <c r="P226" s="100">
        <v>44896</v>
      </c>
      <c r="Q226" s="96" t="s">
        <v>3679</v>
      </c>
      <c r="R226" s="96" t="s">
        <v>311</v>
      </c>
      <c r="S226" s="96" t="s">
        <v>407</v>
      </c>
      <c r="T226" s="96" t="s">
        <v>1200</v>
      </c>
      <c r="U226" s="97">
        <v>1.33</v>
      </c>
      <c r="V226" s="96" t="s">
        <v>824</v>
      </c>
      <c r="W226" s="98">
        <v>6.5000000000000002E-2</v>
      </c>
      <c r="X226" s="96"/>
      <c r="Y226" s="96"/>
      <c r="Z226" s="96"/>
      <c r="AA226" s="98">
        <v>5.8700000000000002E-2</v>
      </c>
      <c r="AB226" s="100">
        <v>45978</v>
      </c>
      <c r="AC226" s="96" t="s">
        <v>411</v>
      </c>
      <c r="AD226" s="96"/>
      <c r="AE226" s="96"/>
      <c r="AF226" s="96"/>
      <c r="AG226" s="100">
        <v>45351</v>
      </c>
      <c r="AH226" s="96"/>
      <c r="AI226" s="96"/>
      <c r="AJ226" s="96"/>
      <c r="AK226" s="96" t="s">
        <v>337</v>
      </c>
      <c r="AL226" s="96" t="s">
        <v>887</v>
      </c>
      <c r="AM226" s="96"/>
      <c r="AN226" s="96" t="s">
        <v>890</v>
      </c>
      <c r="AO226" s="100">
        <v>45473</v>
      </c>
      <c r="AP226" s="100">
        <v>45473</v>
      </c>
      <c r="AQ226" s="96"/>
      <c r="AR226" s="97">
        <v>7102.7690039999998</v>
      </c>
      <c r="AS226" s="97">
        <v>101.68</v>
      </c>
      <c r="AT226" s="97">
        <v>1</v>
      </c>
      <c r="AU226" s="97">
        <v>7.2220950000000004</v>
      </c>
      <c r="AV226" s="97">
        <v>7.2220950000000004</v>
      </c>
      <c r="AW226" s="96"/>
      <c r="AX226" s="96"/>
      <c r="AY226" s="96"/>
      <c r="AZ226" s="96"/>
      <c r="BA226" s="98">
        <v>4.0200000000000001E-3</v>
      </c>
      <c r="BB226" s="98">
        <v>1.37E-4</v>
      </c>
      <c r="BC226" s="106"/>
    </row>
    <row r="227" spans="1:55" ht="15" customHeight="1">
      <c r="A227" s="106"/>
      <c r="B227" s="96">
        <v>286</v>
      </c>
      <c r="C227" s="96">
        <v>1445</v>
      </c>
      <c r="D227" s="96"/>
      <c r="E227" s="96"/>
      <c r="F227" s="96"/>
      <c r="G227" s="96">
        <v>25000756</v>
      </c>
      <c r="H227" s="96" t="s">
        <v>1013</v>
      </c>
      <c r="I227" s="96" t="s">
        <v>812</v>
      </c>
      <c r="J227" s="96" t="s">
        <v>203</v>
      </c>
      <c r="K227" s="96"/>
      <c r="L227" s="96" t="s">
        <v>454</v>
      </c>
      <c r="M227" s="96" t="s">
        <v>338</v>
      </c>
      <c r="N227" s="96" t="s">
        <v>337</v>
      </c>
      <c r="O227" s="96"/>
      <c r="P227" s="100">
        <v>44910</v>
      </c>
      <c r="Q227" s="96" t="s">
        <v>3683</v>
      </c>
      <c r="R227" s="96" t="s">
        <v>412</v>
      </c>
      <c r="S227" s="96" t="s">
        <v>407</v>
      </c>
      <c r="T227" s="96" t="s">
        <v>1200</v>
      </c>
      <c r="U227" s="97">
        <v>7.42</v>
      </c>
      <c r="V227" s="96" t="s">
        <v>3678</v>
      </c>
      <c r="W227" s="98">
        <v>3.2759999999999997E-2</v>
      </c>
      <c r="X227" s="96"/>
      <c r="Y227" s="96"/>
      <c r="Z227" s="96"/>
      <c r="AA227" s="98">
        <v>6.5000000000000002E-2</v>
      </c>
      <c r="AB227" s="100">
        <v>52768</v>
      </c>
      <c r="AC227" s="96" t="s">
        <v>411</v>
      </c>
      <c r="AD227" s="96"/>
      <c r="AE227" s="96"/>
      <c r="AF227" s="96"/>
      <c r="AG227" s="100">
        <v>45291</v>
      </c>
      <c r="AH227" s="96"/>
      <c r="AI227" s="96"/>
      <c r="AJ227" s="96"/>
      <c r="AK227" s="96" t="s">
        <v>337</v>
      </c>
      <c r="AL227" s="96" t="s">
        <v>887</v>
      </c>
      <c r="AM227" s="96"/>
      <c r="AN227" s="96" t="s">
        <v>890</v>
      </c>
      <c r="AO227" s="100">
        <v>45473</v>
      </c>
      <c r="AP227" s="100">
        <v>45473</v>
      </c>
      <c r="AQ227" s="96"/>
      <c r="AR227" s="97">
        <v>36.480491000000001</v>
      </c>
      <c r="AS227" s="97">
        <v>83.21</v>
      </c>
      <c r="AT227" s="97">
        <v>1</v>
      </c>
      <c r="AU227" s="97">
        <v>3.0355E-2</v>
      </c>
      <c r="AV227" s="97">
        <v>3.0355E-2</v>
      </c>
      <c r="AW227" s="96"/>
      <c r="AX227" s="96"/>
      <c r="AY227" s="96"/>
      <c r="AZ227" s="96"/>
      <c r="BA227" s="98">
        <v>1.5999999999999999E-5</v>
      </c>
      <c r="BB227" s="98">
        <v>0</v>
      </c>
      <c r="BC227" s="106"/>
    </row>
    <row r="228" spans="1:55" ht="15" customHeight="1">
      <c r="A228" s="106"/>
      <c r="B228" s="96">
        <v>286</v>
      </c>
      <c r="C228" s="96">
        <v>1445</v>
      </c>
      <c r="D228" s="96"/>
      <c r="E228" s="96"/>
      <c r="F228" s="96"/>
      <c r="G228" s="96">
        <v>25000757</v>
      </c>
      <c r="H228" s="96" t="s">
        <v>1013</v>
      </c>
      <c r="I228" s="96"/>
      <c r="J228" s="96" t="s">
        <v>203</v>
      </c>
      <c r="K228" s="96"/>
      <c r="L228" s="96" t="s">
        <v>476</v>
      </c>
      <c r="M228" s="96" t="s">
        <v>338</v>
      </c>
      <c r="N228" s="96" t="s">
        <v>338</v>
      </c>
      <c r="O228" s="96"/>
      <c r="P228" s="100">
        <v>44917</v>
      </c>
      <c r="Q228" s="96" t="s">
        <v>3681</v>
      </c>
      <c r="R228" s="96" t="s">
        <v>311</v>
      </c>
      <c r="S228" s="96" t="s">
        <v>407</v>
      </c>
      <c r="T228" s="96" t="s">
        <v>1200</v>
      </c>
      <c r="U228" s="97">
        <v>1.23</v>
      </c>
      <c r="V228" s="96" t="s">
        <v>3678</v>
      </c>
      <c r="W228" s="98">
        <v>3.09E-2</v>
      </c>
      <c r="X228" s="96"/>
      <c r="Y228" s="96"/>
      <c r="Z228" s="96"/>
      <c r="AA228" s="98">
        <v>3.1199999999999999E-2</v>
      </c>
      <c r="AB228" s="100">
        <v>46134</v>
      </c>
      <c r="AC228" s="96" t="s">
        <v>411</v>
      </c>
      <c r="AD228" s="96"/>
      <c r="AE228" s="96"/>
      <c r="AF228" s="96"/>
      <c r="AG228" s="100">
        <v>45173</v>
      </c>
      <c r="AH228" s="96"/>
      <c r="AI228" s="96"/>
      <c r="AJ228" s="96"/>
      <c r="AK228" s="96" t="s">
        <v>337</v>
      </c>
      <c r="AL228" s="96" t="s">
        <v>887</v>
      </c>
      <c r="AM228" s="96"/>
      <c r="AN228" s="96" t="s">
        <v>890</v>
      </c>
      <c r="AO228" s="100">
        <v>45473</v>
      </c>
      <c r="AP228" s="100">
        <v>45473</v>
      </c>
      <c r="AQ228" s="96"/>
      <c r="AR228" s="97">
        <v>1627.3031189999999</v>
      </c>
      <c r="AS228" s="97">
        <v>105.38</v>
      </c>
      <c r="AT228" s="97">
        <v>1</v>
      </c>
      <c r="AU228" s="97">
        <v>1.714852</v>
      </c>
      <c r="AV228" s="97">
        <v>1.714852</v>
      </c>
      <c r="AW228" s="96"/>
      <c r="AX228" s="96"/>
      <c r="AY228" s="96"/>
      <c r="AZ228" s="96"/>
      <c r="BA228" s="98">
        <v>9.5399999999999999E-4</v>
      </c>
      <c r="BB228" s="98">
        <v>3.1999999999999999E-5</v>
      </c>
      <c r="BC228" s="106"/>
    </row>
    <row r="229" spans="1:55" ht="15" customHeight="1">
      <c r="A229" s="106"/>
      <c r="B229" s="96">
        <v>286</v>
      </c>
      <c r="C229" s="96">
        <v>1445</v>
      </c>
      <c r="D229" s="96"/>
      <c r="E229" s="96"/>
      <c r="F229" s="96"/>
      <c r="G229" s="96">
        <v>25000745</v>
      </c>
      <c r="H229" s="96" t="s">
        <v>1013</v>
      </c>
      <c r="I229" s="96"/>
      <c r="J229" s="96" t="s">
        <v>203</v>
      </c>
      <c r="K229" s="96"/>
      <c r="L229" s="96" t="s">
        <v>476</v>
      </c>
      <c r="M229" s="96" t="s">
        <v>338</v>
      </c>
      <c r="N229" s="96" t="s">
        <v>338</v>
      </c>
      <c r="O229" s="96"/>
      <c r="P229" s="100">
        <v>44854</v>
      </c>
      <c r="Q229" s="96" t="s">
        <v>3681</v>
      </c>
      <c r="R229" s="96" t="s">
        <v>311</v>
      </c>
      <c r="S229" s="96" t="s">
        <v>407</v>
      </c>
      <c r="T229" s="96" t="s">
        <v>1200</v>
      </c>
      <c r="U229" s="97">
        <v>1.08</v>
      </c>
      <c r="V229" s="96" t="s">
        <v>3678</v>
      </c>
      <c r="W229" s="98">
        <v>5.4600000000000003E-2</v>
      </c>
      <c r="X229" s="96"/>
      <c r="Y229" s="96"/>
      <c r="Z229" s="96"/>
      <c r="AA229" s="98">
        <v>5.96E-2</v>
      </c>
      <c r="AB229" s="100">
        <v>46073</v>
      </c>
      <c r="AC229" s="96" t="s">
        <v>411</v>
      </c>
      <c r="AD229" s="96"/>
      <c r="AE229" s="96"/>
      <c r="AF229" s="96"/>
      <c r="AG229" s="100">
        <v>45173</v>
      </c>
      <c r="AH229" s="96"/>
      <c r="AI229" s="96"/>
      <c r="AJ229" s="96"/>
      <c r="AK229" s="96" t="s">
        <v>337</v>
      </c>
      <c r="AL229" s="96" t="s">
        <v>887</v>
      </c>
      <c r="AM229" s="96"/>
      <c r="AN229" s="96" t="s">
        <v>890</v>
      </c>
      <c r="AO229" s="100">
        <v>45473</v>
      </c>
      <c r="AP229" s="100">
        <v>45473</v>
      </c>
      <c r="AQ229" s="96"/>
      <c r="AR229" s="97">
        <v>1627.30312</v>
      </c>
      <c r="AS229" s="97">
        <v>100.65</v>
      </c>
      <c r="AT229" s="97">
        <v>1</v>
      </c>
      <c r="AU229" s="97">
        <v>1.63788</v>
      </c>
      <c r="AV229" s="97">
        <v>1.63788</v>
      </c>
      <c r="AW229" s="96"/>
      <c r="AX229" s="96"/>
      <c r="AY229" s="96"/>
      <c r="AZ229" s="96"/>
      <c r="BA229" s="98">
        <v>9.1100000000000003E-4</v>
      </c>
      <c r="BB229" s="98">
        <v>3.1000000000000001E-5</v>
      </c>
      <c r="BC229" s="106"/>
    </row>
    <row r="230" spans="1:55" ht="15" customHeight="1">
      <c r="A230" s="106"/>
      <c r="B230" s="96">
        <v>286</v>
      </c>
      <c r="C230" s="96">
        <v>1445</v>
      </c>
      <c r="D230" s="96"/>
      <c r="E230" s="96"/>
      <c r="F230" s="96"/>
      <c r="G230" s="96">
        <v>25000744</v>
      </c>
      <c r="H230" s="96" t="s">
        <v>1013</v>
      </c>
      <c r="I230" s="96"/>
      <c r="J230" s="96" t="s">
        <v>203</v>
      </c>
      <c r="K230" s="96"/>
      <c r="L230" s="96" t="s">
        <v>477</v>
      </c>
      <c r="M230" s="96" t="s">
        <v>338</v>
      </c>
      <c r="N230" s="96" t="s">
        <v>338</v>
      </c>
      <c r="O230" s="96"/>
      <c r="P230" s="100">
        <v>44845</v>
      </c>
      <c r="Q230" s="96" t="s">
        <v>409</v>
      </c>
      <c r="R230" s="96" t="s">
        <v>409</v>
      </c>
      <c r="S230" s="96" t="s">
        <v>409</v>
      </c>
      <c r="T230" s="96" t="s">
        <v>1200</v>
      </c>
      <c r="U230" s="97">
        <v>1.74</v>
      </c>
      <c r="V230" s="96" t="s">
        <v>824</v>
      </c>
      <c r="W230" s="98">
        <v>7.4999999999999997E-2</v>
      </c>
      <c r="X230" s="96"/>
      <c r="Y230" s="96"/>
      <c r="Z230" s="96"/>
      <c r="AA230" s="98">
        <v>6.93E-2</v>
      </c>
      <c r="AB230" s="100">
        <v>46671</v>
      </c>
      <c r="AC230" s="96" t="s">
        <v>411</v>
      </c>
      <c r="AD230" s="96"/>
      <c r="AE230" s="96"/>
      <c r="AF230" s="96"/>
      <c r="AG230" s="100">
        <v>45097</v>
      </c>
      <c r="AH230" s="96"/>
      <c r="AI230" s="96"/>
      <c r="AJ230" s="96"/>
      <c r="AK230" s="96" t="s">
        <v>337</v>
      </c>
      <c r="AL230" s="96" t="s">
        <v>887</v>
      </c>
      <c r="AM230" s="96"/>
      <c r="AN230" s="96" t="s">
        <v>890</v>
      </c>
      <c r="AO230" s="100">
        <v>45473</v>
      </c>
      <c r="AP230" s="100">
        <v>45473</v>
      </c>
      <c r="AQ230" s="96"/>
      <c r="AR230" s="97">
        <v>650.955737</v>
      </c>
      <c r="AS230" s="97">
        <v>102.86</v>
      </c>
      <c r="AT230" s="97">
        <v>1</v>
      </c>
      <c r="AU230" s="97">
        <v>0.66957299999999997</v>
      </c>
      <c r="AV230" s="97">
        <v>0.66957299999999997</v>
      </c>
      <c r="AW230" s="96"/>
      <c r="AX230" s="96"/>
      <c r="AY230" s="96"/>
      <c r="AZ230" s="96"/>
      <c r="BA230" s="98">
        <v>3.7199999999999999E-4</v>
      </c>
      <c r="BB230" s="98">
        <v>1.2E-5</v>
      </c>
      <c r="BC230" s="106"/>
    </row>
    <row r="231" spans="1:55" ht="15" customHeight="1">
      <c r="A231" s="106"/>
      <c r="B231" s="96">
        <v>286</v>
      </c>
      <c r="C231" s="96">
        <v>1445</v>
      </c>
      <c r="D231" s="96"/>
      <c r="E231" s="96"/>
      <c r="F231" s="96"/>
      <c r="G231" s="96">
        <v>25000743</v>
      </c>
      <c r="H231" s="96" t="s">
        <v>1013</v>
      </c>
      <c r="I231" s="96"/>
      <c r="J231" s="96" t="s">
        <v>203</v>
      </c>
      <c r="K231" s="96"/>
      <c r="L231" s="96" t="s">
        <v>477</v>
      </c>
      <c r="M231" s="96" t="s">
        <v>338</v>
      </c>
      <c r="N231" s="96" t="s">
        <v>338</v>
      </c>
      <c r="O231" s="96"/>
      <c r="P231" s="100">
        <v>44845</v>
      </c>
      <c r="Q231" s="96" t="s">
        <v>409</v>
      </c>
      <c r="R231" s="96" t="s">
        <v>409</v>
      </c>
      <c r="S231" s="96" t="s">
        <v>409</v>
      </c>
      <c r="T231" s="96" t="s">
        <v>1200</v>
      </c>
      <c r="U231" s="97">
        <v>2.95</v>
      </c>
      <c r="V231" s="96" t="s">
        <v>824</v>
      </c>
      <c r="W231" s="98">
        <v>7.4999999999999997E-2</v>
      </c>
      <c r="X231" s="96"/>
      <c r="Y231" s="96"/>
      <c r="Z231" s="96"/>
      <c r="AA231" s="98">
        <v>7.0699999999999999E-2</v>
      </c>
      <c r="AB231" s="100">
        <v>46671</v>
      </c>
      <c r="AC231" s="96" t="s">
        <v>411</v>
      </c>
      <c r="AD231" s="96"/>
      <c r="AE231" s="96"/>
      <c r="AF231" s="96"/>
      <c r="AG231" s="100">
        <v>45097</v>
      </c>
      <c r="AH231" s="96"/>
      <c r="AI231" s="96"/>
      <c r="AJ231" s="96"/>
      <c r="AK231" s="96" t="s">
        <v>337</v>
      </c>
      <c r="AL231" s="96" t="s">
        <v>887</v>
      </c>
      <c r="AM231" s="96"/>
      <c r="AN231" s="96" t="s">
        <v>890</v>
      </c>
      <c r="AO231" s="100">
        <v>45473</v>
      </c>
      <c r="AP231" s="100">
        <v>45473</v>
      </c>
      <c r="AQ231" s="96"/>
      <c r="AR231" s="97">
        <v>600.85035600000003</v>
      </c>
      <c r="AS231" s="97">
        <v>103.54</v>
      </c>
      <c r="AT231" s="97">
        <v>1</v>
      </c>
      <c r="AU231" s="97">
        <v>0.62212000000000001</v>
      </c>
      <c r="AV231" s="97">
        <v>0.62212000000000001</v>
      </c>
      <c r="AW231" s="96"/>
      <c r="AX231" s="96"/>
      <c r="AY231" s="96"/>
      <c r="AZ231" s="96"/>
      <c r="BA231" s="98">
        <v>3.4600000000000001E-4</v>
      </c>
      <c r="BB231" s="98">
        <v>1.1E-5</v>
      </c>
      <c r="BC231" s="106"/>
    </row>
    <row r="232" spans="1:55" ht="15" customHeight="1">
      <c r="A232" s="106"/>
      <c r="B232" s="96">
        <v>286</v>
      </c>
      <c r="C232" s="96">
        <v>1445</v>
      </c>
      <c r="D232" s="96"/>
      <c r="E232" s="96"/>
      <c r="F232" s="96"/>
      <c r="G232" s="96">
        <v>25000741</v>
      </c>
      <c r="H232" s="96" t="s">
        <v>1013</v>
      </c>
      <c r="I232" s="96" t="s">
        <v>3687</v>
      </c>
      <c r="J232" s="96" t="s">
        <v>203</v>
      </c>
      <c r="K232" s="96"/>
      <c r="L232" s="96" t="s">
        <v>446</v>
      </c>
      <c r="M232" s="96" t="s">
        <v>338</v>
      </c>
      <c r="N232" s="96" t="s">
        <v>338</v>
      </c>
      <c r="O232" s="96"/>
      <c r="P232" s="100">
        <v>44824</v>
      </c>
      <c r="Q232" s="96" t="s">
        <v>3679</v>
      </c>
      <c r="R232" s="96" t="s">
        <v>311</v>
      </c>
      <c r="S232" s="96" t="s">
        <v>407</v>
      </c>
      <c r="T232" s="96" t="s">
        <v>1200</v>
      </c>
      <c r="U232" s="97">
        <v>6.93</v>
      </c>
      <c r="V232" s="96" t="s">
        <v>3678</v>
      </c>
      <c r="W232" s="98">
        <v>2.402E-2</v>
      </c>
      <c r="X232" s="96"/>
      <c r="Y232" s="96"/>
      <c r="Z232" s="96"/>
      <c r="AA232" s="98">
        <v>3.6900000000000002E-2</v>
      </c>
      <c r="AB232" s="100">
        <v>48477</v>
      </c>
      <c r="AC232" s="96" t="s">
        <v>411</v>
      </c>
      <c r="AD232" s="96"/>
      <c r="AE232" s="96"/>
      <c r="AF232" s="96"/>
      <c r="AG232" s="100">
        <v>45110</v>
      </c>
      <c r="AH232" s="96"/>
      <c r="AI232" s="96"/>
      <c r="AJ232" s="96"/>
      <c r="AK232" s="96" t="s">
        <v>337</v>
      </c>
      <c r="AL232" s="96" t="s">
        <v>887</v>
      </c>
      <c r="AM232" s="96"/>
      <c r="AN232" s="96" t="s">
        <v>890</v>
      </c>
      <c r="AO232" s="100">
        <v>45473</v>
      </c>
      <c r="AP232" s="100">
        <v>45473</v>
      </c>
      <c r="AQ232" s="96"/>
      <c r="AR232" s="97">
        <v>8285.7264149999992</v>
      </c>
      <c r="AS232" s="97">
        <v>97.51</v>
      </c>
      <c r="AT232" s="97">
        <v>1</v>
      </c>
      <c r="AU232" s="97">
        <v>8.0794110000000003</v>
      </c>
      <c r="AV232" s="97">
        <v>8.0794110000000003</v>
      </c>
      <c r="AW232" s="96"/>
      <c r="AX232" s="96"/>
      <c r="AY232" s="96"/>
      <c r="AZ232" s="96"/>
      <c r="BA232" s="98">
        <v>4.4970000000000001E-3</v>
      </c>
      <c r="BB232" s="98">
        <v>1.5300000000000001E-4</v>
      </c>
      <c r="BC232" s="106"/>
    </row>
    <row r="233" spans="1:55" ht="15" customHeight="1">
      <c r="A233" s="106"/>
      <c r="B233" s="96">
        <v>286</v>
      </c>
      <c r="C233" s="96">
        <v>1445</v>
      </c>
      <c r="D233" s="96"/>
      <c r="E233" s="96"/>
      <c r="F233" s="96"/>
      <c r="G233" s="96">
        <v>25000740</v>
      </c>
      <c r="H233" s="96" t="s">
        <v>1013</v>
      </c>
      <c r="I233" s="96" t="s">
        <v>3684</v>
      </c>
      <c r="J233" s="96" t="s">
        <v>203</v>
      </c>
      <c r="K233" s="96"/>
      <c r="L233" s="96" t="s">
        <v>463</v>
      </c>
      <c r="M233" s="96" t="s">
        <v>338</v>
      </c>
      <c r="N233" s="96" t="s">
        <v>337</v>
      </c>
      <c r="O233" s="96"/>
      <c r="P233" s="100">
        <v>44812</v>
      </c>
      <c r="Q233" s="96" t="s">
        <v>3681</v>
      </c>
      <c r="R233" s="96" t="s">
        <v>311</v>
      </c>
      <c r="S233" s="96" t="s">
        <v>407</v>
      </c>
      <c r="T233" s="96" t="s">
        <v>1200</v>
      </c>
      <c r="U233" s="97">
        <v>0.56999999999999995</v>
      </c>
      <c r="V233" s="96" t="s">
        <v>824</v>
      </c>
      <c r="W233" s="98">
        <v>7.7299999999999994E-2</v>
      </c>
      <c r="X233" s="96"/>
      <c r="Y233" s="96"/>
      <c r="Z233" s="96"/>
      <c r="AA233" s="98">
        <v>7.9500000000000001E-2</v>
      </c>
      <c r="AB233" s="100">
        <v>45688</v>
      </c>
      <c r="AC233" s="96" t="s">
        <v>411</v>
      </c>
      <c r="AD233" s="96"/>
      <c r="AE233" s="96"/>
      <c r="AF233" s="96"/>
      <c r="AG233" s="100">
        <v>45075</v>
      </c>
      <c r="AH233" s="96"/>
      <c r="AI233" s="96"/>
      <c r="AJ233" s="96"/>
      <c r="AK233" s="96" t="s">
        <v>337</v>
      </c>
      <c r="AL233" s="96" t="s">
        <v>887</v>
      </c>
      <c r="AM233" s="96"/>
      <c r="AN233" s="96" t="s">
        <v>890</v>
      </c>
      <c r="AO233" s="100">
        <v>45473</v>
      </c>
      <c r="AP233" s="100">
        <v>45473</v>
      </c>
      <c r="AQ233" s="96"/>
      <c r="AR233" s="97">
        <v>1610.50802</v>
      </c>
      <c r="AS233" s="97">
        <v>101.32</v>
      </c>
      <c r="AT233" s="97">
        <v>1</v>
      </c>
      <c r="AU233" s="97">
        <v>1.631766</v>
      </c>
      <c r="AV233" s="97">
        <v>1.631766</v>
      </c>
      <c r="AW233" s="96"/>
      <c r="AX233" s="96"/>
      <c r="AY233" s="96"/>
      <c r="AZ233" s="96"/>
      <c r="BA233" s="98">
        <v>9.0799999999999995E-4</v>
      </c>
      <c r="BB233" s="98">
        <v>3.1000000000000001E-5</v>
      </c>
      <c r="BC233" s="106"/>
    </row>
    <row r="234" spans="1:55" ht="15" customHeight="1">
      <c r="A234" s="106"/>
      <c r="B234" s="96">
        <v>286</v>
      </c>
      <c r="C234" s="96">
        <v>1445</v>
      </c>
      <c r="D234" s="96"/>
      <c r="E234" s="96"/>
      <c r="F234" s="96"/>
      <c r="G234" s="96">
        <v>25000739</v>
      </c>
      <c r="H234" s="96" t="s">
        <v>1013</v>
      </c>
      <c r="I234" s="96"/>
      <c r="J234" s="96" t="s">
        <v>203</v>
      </c>
      <c r="K234" s="96"/>
      <c r="L234" s="96" t="s">
        <v>477</v>
      </c>
      <c r="M234" s="96" t="s">
        <v>338</v>
      </c>
      <c r="N234" s="96" t="s">
        <v>338</v>
      </c>
      <c r="O234" s="96"/>
      <c r="P234" s="100">
        <v>44801</v>
      </c>
      <c r="Q234" s="96" t="s">
        <v>409</v>
      </c>
      <c r="R234" s="96" t="s">
        <v>409</v>
      </c>
      <c r="S234" s="96" t="s">
        <v>409</v>
      </c>
      <c r="T234" s="96" t="s">
        <v>1200</v>
      </c>
      <c r="U234" s="97">
        <v>1.64</v>
      </c>
      <c r="V234" s="96" t="s">
        <v>824</v>
      </c>
      <c r="W234" s="98">
        <v>7.4999999999999997E-2</v>
      </c>
      <c r="X234" s="96"/>
      <c r="Y234" s="96"/>
      <c r="Z234" s="96"/>
      <c r="AA234" s="98">
        <v>7.8600000000000003E-2</v>
      </c>
      <c r="AB234" s="100">
        <v>46627</v>
      </c>
      <c r="AC234" s="96" t="s">
        <v>411</v>
      </c>
      <c r="AD234" s="96"/>
      <c r="AE234" s="96"/>
      <c r="AF234" s="96"/>
      <c r="AG234" s="100">
        <v>45097</v>
      </c>
      <c r="AH234" s="96"/>
      <c r="AI234" s="96"/>
      <c r="AJ234" s="96"/>
      <c r="AK234" s="96" t="s">
        <v>337</v>
      </c>
      <c r="AL234" s="96" t="s">
        <v>887</v>
      </c>
      <c r="AM234" s="96"/>
      <c r="AN234" s="96" t="s">
        <v>890</v>
      </c>
      <c r="AO234" s="100">
        <v>45473</v>
      </c>
      <c r="AP234" s="100">
        <v>45473</v>
      </c>
      <c r="AQ234" s="96"/>
      <c r="AR234" s="97">
        <v>405.79100199999999</v>
      </c>
      <c r="AS234" s="97">
        <v>101.44</v>
      </c>
      <c r="AT234" s="97">
        <v>1</v>
      </c>
      <c r="AU234" s="97">
        <v>0.411634</v>
      </c>
      <c r="AV234" s="97">
        <v>0.411634</v>
      </c>
      <c r="AW234" s="96"/>
      <c r="AX234" s="96"/>
      <c r="AY234" s="96"/>
      <c r="AZ234" s="96"/>
      <c r="BA234" s="98">
        <v>2.2900000000000001E-4</v>
      </c>
      <c r="BB234" s="98">
        <v>6.9999999999999999E-6</v>
      </c>
      <c r="BC234" s="106"/>
    </row>
    <row r="235" spans="1:55" ht="15" customHeight="1">
      <c r="A235" s="106"/>
      <c r="B235" s="96">
        <v>286</v>
      </c>
      <c r="C235" s="96">
        <v>1445</v>
      </c>
      <c r="D235" s="96"/>
      <c r="E235" s="96"/>
      <c r="F235" s="96"/>
      <c r="G235" s="96">
        <v>25000738</v>
      </c>
      <c r="H235" s="96" t="s">
        <v>1013</v>
      </c>
      <c r="I235" s="96"/>
      <c r="J235" s="96" t="s">
        <v>203</v>
      </c>
      <c r="K235" s="96"/>
      <c r="L235" s="96" t="s">
        <v>477</v>
      </c>
      <c r="M235" s="96" t="s">
        <v>338</v>
      </c>
      <c r="N235" s="96" t="s">
        <v>338</v>
      </c>
      <c r="O235" s="96"/>
      <c r="P235" s="100">
        <v>44801</v>
      </c>
      <c r="Q235" s="96" t="s">
        <v>409</v>
      </c>
      <c r="R235" s="96" t="s">
        <v>409</v>
      </c>
      <c r="S235" s="96" t="s">
        <v>409</v>
      </c>
      <c r="T235" s="96" t="s">
        <v>1200</v>
      </c>
      <c r="U235" s="97">
        <v>2.85</v>
      </c>
      <c r="V235" s="96" t="s">
        <v>824</v>
      </c>
      <c r="W235" s="98">
        <v>7.4999999999999997E-2</v>
      </c>
      <c r="X235" s="96"/>
      <c r="Y235" s="96"/>
      <c r="Z235" s="96"/>
      <c r="AA235" s="98">
        <v>7.9899999999999999E-2</v>
      </c>
      <c r="AB235" s="100">
        <v>46627</v>
      </c>
      <c r="AC235" s="96" t="s">
        <v>411</v>
      </c>
      <c r="AD235" s="96"/>
      <c r="AE235" s="96"/>
      <c r="AF235" s="96"/>
      <c r="AG235" s="100">
        <v>45097</v>
      </c>
      <c r="AH235" s="96"/>
      <c r="AI235" s="96"/>
      <c r="AJ235" s="96"/>
      <c r="AK235" s="96" t="s">
        <v>337</v>
      </c>
      <c r="AL235" s="96" t="s">
        <v>887</v>
      </c>
      <c r="AM235" s="96"/>
      <c r="AN235" s="96" t="s">
        <v>890</v>
      </c>
      <c r="AO235" s="100">
        <v>45473</v>
      </c>
      <c r="AP235" s="100">
        <v>45473</v>
      </c>
      <c r="AQ235" s="96"/>
      <c r="AR235" s="97">
        <v>400.56690400000002</v>
      </c>
      <c r="AS235" s="97">
        <v>101.01</v>
      </c>
      <c r="AT235" s="97">
        <v>1</v>
      </c>
      <c r="AU235" s="97">
        <v>0.40461200000000003</v>
      </c>
      <c r="AV235" s="97">
        <v>0.40461200000000003</v>
      </c>
      <c r="AW235" s="96"/>
      <c r="AX235" s="96"/>
      <c r="AY235" s="96"/>
      <c r="AZ235" s="96"/>
      <c r="BA235" s="98">
        <v>2.2499999999999999E-4</v>
      </c>
      <c r="BB235" s="98">
        <v>6.9999999999999999E-6</v>
      </c>
      <c r="BC235" s="106"/>
    </row>
    <row r="236" spans="1:55" ht="15" customHeight="1">
      <c r="A236" s="106"/>
      <c r="B236" s="96">
        <v>286</v>
      </c>
      <c r="C236" s="96">
        <v>1445</v>
      </c>
      <c r="D236" s="96"/>
      <c r="E236" s="96"/>
      <c r="F236" s="96"/>
      <c r="G236" s="96">
        <v>25000747</v>
      </c>
      <c r="H236" s="96" t="s">
        <v>1013</v>
      </c>
      <c r="I236" s="96" t="s">
        <v>818</v>
      </c>
      <c r="J236" s="96" t="s">
        <v>203</v>
      </c>
      <c r="K236" s="96"/>
      <c r="L236" s="96" t="s">
        <v>450</v>
      </c>
      <c r="M236" s="96" t="s">
        <v>338</v>
      </c>
      <c r="N236" s="96" t="s">
        <v>338</v>
      </c>
      <c r="O236" s="96"/>
      <c r="P236" s="100">
        <v>44861</v>
      </c>
      <c r="Q236" s="96" t="s">
        <v>1328</v>
      </c>
      <c r="R236" s="96" t="s">
        <v>412</v>
      </c>
      <c r="S236" s="96" t="s">
        <v>407</v>
      </c>
      <c r="T236" s="96" t="s">
        <v>1200</v>
      </c>
      <c r="U236" s="97">
        <v>2.99</v>
      </c>
      <c r="V236" s="96" t="s">
        <v>3678</v>
      </c>
      <c r="W236" s="98">
        <v>5.9900000000000002E-2</v>
      </c>
      <c r="X236" s="96"/>
      <c r="Y236" s="96"/>
      <c r="Z236" s="96"/>
      <c r="AA236" s="98">
        <v>6.7900000000000002E-2</v>
      </c>
      <c r="AB236" s="100">
        <v>46687</v>
      </c>
      <c r="AC236" s="96" t="s">
        <v>411</v>
      </c>
      <c r="AD236" s="96"/>
      <c r="AE236" s="96"/>
      <c r="AF236" s="96"/>
      <c r="AG236" s="100"/>
      <c r="AH236" s="96"/>
      <c r="AI236" s="96"/>
      <c r="AJ236" s="96"/>
      <c r="AK236" s="96" t="s">
        <v>337</v>
      </c>
      <c r="AL236" s="96" t="s">
        <v>887</v>
      </c>
      <c r="AM236" s="96"/>
      <c r="AN236" s="96" t="s">
        <v>890</v>
      </c>
      <c r="AO236" s="100">
        <v>45473</v>
      </c>
      <c r="AP236" s="100">
        <v>45473</v>
      </c>
      <c r="AQ236" s="96"/>
      <c r="AR236" s="97">
        <v>4589.829111</v>
      </c>
      <c r="AS236" s="97">
        <v>99.59</v>
      </c>
      <c r="AT236" s="97">
        <v>1</v>
      </c>
      <c r="AU236" s="97">
        <v>4.5710100000000002</v>
      </c>
      <c r="AV236" s="97">
        <v>4.5710100000000002</v>
      </c>
      <c r="AW236" s="96"/>
      <c r="AX236" s="96"/>
      <c r="AY236" s="96"/>
      <c r="AZ236" s="96"/>
      <c r="BA236" s="98">
        <v>2.5439999999999998E-3</v>
      </c>
      <c r="BB236" s="98">
        <v>8.7000000000000001E-5</v>
      </c>
      <c r="BC236" s="106"/>
    </row>
    <row r="237" spans="1:55" ht="15" customHeight="1">
      <c r="A237" s="106"/>
      <c r="B237" s="96">
        <v>286</v>
      </c>
      <c r="C237" s="96">
        <v>1445</v>
      </c>
      <c r="D237" s="96"/>
      <c r="E237" s="96"/>
      <c r="F237" s="96"/>
      <c r="G237" s="96">
        <v>25000662</v>
      </c>
      <c r="H237" s="96" t="s">
        <v>1013</v>
      </c>
      <c r="I237" s="96" t="s">
        <v>3680</v>
      </c>
      <c r="J237" s="96" t="s">
        <v>203</v>
      </c>
      <c r="K237" s="96"/>
      <c r="L237" s="96" t="s">
        <v>463</v>
      </c>
      <c r="M237" s="96" t="s">
        <v>338</v>
      </c>
      <c r="N237" s="96" t="s">
        <v>337</v>
      </c>
      <c r="O237" s="96"/>
      <c r="P237" s="100">
        <v>44710</v>
      </c>
      <c r="Q237" s="96" t="s">
        <v>1208</v>
      </c>
      <c r="R237" s="96" t="s">
        <v>311</v>
      </c>
      <c r="S237" s="96" t="s">
        <v>407</v>
      </c>
      <c r="T237" s="96" t="s">
        <v>1200</v>
      </c>
      <c r="U237" s="97">
        <v>5.05</v>
      </c>
      <c r="V237" s="96" t="s">
        <v>824</v>
      </c>
      <c r="W237" s="98">
        <v>6.1499999999999999E-2</v>
      </c>
      <c r="X237" s="96"/>
      <c r="Y237" s="96"/>
      <c r="Z237" s="96"/>
      <c r="AA237" s="98">
        <v>6.25E-2</v>
      </c>
      <c r="AB237" s="100">
        <v>47654</v>
      </c>
      <c r="AC237" s="96" t="s">
        <v>411</v>
      </c>
      <c r="AD237" s="96"/>
      <c r="AE237" s="96"/>
      <c r="AF237" s="96"/>
      <c r="AG237" s="100">
        <v>45382</v>
      </c>
      <c r="AH237" s="96"/>
      <c r="AI237" s="96"/>
      <c r="AJ237" s="96"/>
      <c r="AK237" s="96" t="s">
        <v>337</v>
      </c>
      <c r="AL237" s="96" t="s">
        <v>887</v>
      </c>
      <c r="AM237" s="96"/>
      <c r="AN237" s="96" t="s">
        <v>890</v>
      </c>
      <c r="AO237" s="100">
        <v>45473</v>
      </c>
      <c r="AP237" s="100">
        <v>45473</v>
      </c>
      <c r="AQ237" s="96"/>
      <c r="AR237" s="97">
        <v>575.81492400000002</v>
      </c>
      <c r="AS237" s="97">
        <v>101.06</v>
      </c>
      <c r="AT237" s="97">
        <v>1</v>
      </c>
      <c r="AU237" s="97">
        <v>0.58191800000000005</v>
      </c>
      <c r="AV237" s="97">
        <v>0.58191800000000005</v>
      </c>
      <c r="AW237" s="96"/>
      <c r="AX237" s="96"/>
      <c r="AY237" s="96"/>
      <c r="AZ237" s="96"/>
      <c r="BA237" s="98">
        <v>3.2299999999999999E-4</v>
      </c>
      <c r="BB237" s="98">
        <v>1.1E-5</v>
      </c>
      <c r="BC237" s="106"/>
    </row>
    <row r="238" spans="1:55" ht="15" customHeight="1">
      <c r="A238" s="106"/>
      <c r="B238" s="96">
        <v>286</v>
      </c>
      <c r="C238" s="96">
        <v>1445</v>
      </c>
      <c r="D238" s="96"/>
      <c r="E238" s="96"/>
      <c r="F238" s="96"/>
      <c r="G238" s="96">
        <v>25000664</v>
      </c>
      <c r="H238" s="96" t="s">
        <v>1013</v>
      </c>
      <c r="I238" s="96"/>
      <c r="J238" s="96" t="s">
        <v>203</v>
      </c>
      <c r="K238" s="96"/>
      <c r="L238" s="96" t="s">
        <v>477</v>
      </c>
      <c r="M238" s="96" t="s">
        <v>338</v>
      </c>
      <c r="N238" s="96" t="s">
        <v>338</v>
      </c>
      <c r="O238" s="96"/>
      <c r="P238" s="100">
        <v>44679</v>
      </c>
      <c r="Q238" s="96" t="s">
        <v>409</v>
      </c>
      <c r="R238" s="96" t="s">
        <v>409</v>
      </c>
      <c r="S238" s="96" t="s">
        <v>409</v>
      </c>
      <c r="T238" s="96" t="s">
        <v>1200</v>
      </c>
      <c r="U238" s="97">
        <v>1.25</v>
      </c>
      <c r="V238" s="96" t="s">
        <v>3678</v>
      </c>
      <c r="W238" s="98">
        <v>8.7999999999999995E-2</v>
      </c>
      <c r="X238" s="96"/>
      <c r="Y238" s="96"/>
      <c r="Z238" s="96"/>
      <c r="AA238" s="98">
        <v>8.6900000000000005E-2</v>
      </c>
      <c r="AB238" s="100">
        <v>47756</v>
      </c>
      <c r="AC238" s="96" t="s">
        <v>411</v>
      </c>
      <c r="AD238" s="96"/>
      <c r="AE238" s="96"/>
      <c r="AF238" s="96"/>
      <c r="AG238" s="100">
        <v>44679</v>
      </c>
      <c r="AH238" s="96"/>
      <c r="AI238" s="96"/>
      <c r="AJ238" s="96"/>
      <c r="AK238" s="96" t="s">
        <v>337</v>
      </c>
      <c r="AL238" s="96" t="s">
        <v>887</v>
      </c>
      <c r="AM238" s="96"/>
      <c r="AN238" s="96" t="s">
        <v>890</v>
      </c>
      <c r="AO238" s="100">
        <v>45473</v>
      </c>
      <c r="AP238" s="100">
        <v>45473</v>
      </c>
      <c r="AQ238" s="96"/>
      <c r="AR238" s="97">
        <v>6814.8189929999999</v>
      </c>
      <c r="AS238" s="97">
        <v>111.35</v>
      </c>
      <c r="AT238" s="97">
        <v>1</v>
      </c>
      <c r="AU238" s="97">
        <v>7.5883000000000003</v>
      </c>
      <c r="AV238" s="97">
        <v>7.5883000000000003</v>
      </c>
      <c r="AW238" s="96"/>
      <c r="AX238" s="96"/>
      <c r="AY238" s="96"/>
      <c r="AZ238" s="96"/>
      <c r="BA238" s="98">
        <v>4.2230000000000002E-3</v>
      </c>
      <c r="BB238" s="98">
        <v>1.44E-4</v>
      </c>
      <c r="BC238" s="106"/>
    </row>
    <row r="239" spans="1:55" ht="15" customHeight="1">
      <c r="A239" s="106"/>
      <c r="B239" s="96">
        <v>286</v>
      </c>
      <c r="C239" s="96">
        <v>1445</v>
      </c>
      <c r="D239" s="96"/>
      <c r="E239" s="96"/>
      <c r="F239" s="96"/>
      <c r="G239" s="96">
        <v>25000656</v>
      </c>
      <c r="H239" s="96" t="s">
        <v>1013</v>
      </c>
      <c r="I239" s="96" t="s">
        <v>785</v>
      </c>
      <c r="J239" s="96" t="s">
        <v>203</v>
      </c>
      <c r="K239" s="96"/>
      <c r="L239" s="96" t="s">
        <v>460</v>
      </c>
      <c r="M239" s="96" t="s">
        <v>338</v>
      </c>
      <c r="N239" s="96" t="s">
        <v>338</v>
      </c>
      <c r="O239" s="96"/>
      <c r="P239" s="100">
        <v>44619</v>
      </c>
      <c r="Q239" s="96" t="s">
        <v>2258</v>
      </c>
      <c r="R239" s="96" t="s">
        <v>311</v>
      </c>
      <c r="S239" s="96" t="s">
        <v>407</v>
      </c>
      <c r="T239" s="96" t="s">
        <v>1200</v>
      </c>
      <c r="U239" s="97">
        <v>2.27</v>
      </c>
      <c r="V239" s="96" t="s">
        <v>3678</v>
      </c>
      <c r="W239" s="98">
        <v>1.7160000000000002E-2</v>
      </c>
      <c r="X239" s="96"/>
      <c r="Y239" s="96"/>
      <c r="Z239" s="96"/>
      <c r="AA239" s="98">
        <v>5.5599999999999997E-2</v>
      </c>
      <c r="AB239" s="100">
        <v>46686</v>
      </c>
      <c r="AC239" s="96" t="s">
        <v>411</v>
      </c>
      <c r="AD239" s="96"/>
      <c r="AE239" s="96"/>
      <c r="AF239" s="96"/>
      <c r="AG239" s="100"/>
      <c r="AH239" s="96"/>
      <c r="AI239" s="96"/>
      <c r="AJ239" s="96"/>
      <c r="AK239" s="96" t="s">
        <v>337</v>
      </c>
      <c r="AL239" s="96" t="s">
        <v>887</v>
      </c>
      <c r="AM239" s="96"/>
      <c r="AN239" s="96" t="s">
        <v>890</v>
      </c>
      <c r="AO239" s="100">
        <v>45473</v>
      </c>
      <c r="AP239" s="100">
        <v>45473</v>
      </c>
      <c r="AQ239" s="96"/>
      <c r="AR239" s="97">
        <v>3963.943323</v>
      </c>
      <c r="AS239" s="97">
        <v>101.32</v>
      </c>
      <c r="AT239" s="97">
        <v>1</v>
      </c>
      <c r="AU239" s="97">
        <v>4.016267</v>
      </c>
      <c r="AV239" s="97">
        <v>4.016267</v>
      </c>
      <c r="AW239" s="96"/>
      <c r="AX239" s="96"/>
      <c r="AY239" s="96"/>
      <c r="AZ239" s="96"/>
      <c r="BA239" s="98">
        <v>2.235E-3</v>
      </c>
      <c r="BB239" s="98">
        <v>7.6000000000000004E-5</v>
      </c>
      <c r="BC239" s="106"/>
    </row>
    <row r="240" spans="1:55" ht="15" customHeight="1">
      <c r="A240" s="106"/>
      <c r="B240" s="96">
        <v>286</v>
      </c>
      <c r="C240" s="96">
        <v>1445</v>
      </c>
      <c r="D240" s="96"/>
      <c r="E240" s="96"/>
      <c r="F240" s="96"/>
      <c r="G240" s="96">
        <v>25000661</v>
      </c>
      <c r="H240" s="96" t="s">
        <v>1013</v>
      </c>
      <c r="I240" s="96" t="s">
        <v>3684</v>
      </c>
      <c r="J240" s="96" t="s">
        <v>203</v>
      </c>
      <c r="K240" s="96"/>
      <c r="L240" s="96" t="s">
        <v>446</v>
      </c>
      <c r="M240" s="96" t="s">
        <v>338</v>
      </c>
      <c r="N240" s="96" t="s">
        <v>338</v>
      </c>
      <c r="O240" s="96"/>
      <c r="P240" s="100">
        <v>44689</v>
      </c>
      <c r="Q240" s="96" t="s">
        <v>1208</v>
      </c>
      <c r="R240" s="96" t="s">
        <v>311</v>
      </c>
      <c r="S240" s="96" t="s">
        <v>407</v>
      </c>
      <c r="T240" s="96" t="s">
        <v>1200</v>
      </c>
      <c r="U240" s="97">
        <v>2.78</v>
      </c>
      <c r="V240" s="96" t="s">
        <v>824</v>
      </c>
      <c r="W240" s="98">
        <v>6.3E-2</v>
      </c>
      <c r="X240" s="96"/>
      <c r="Y240" s="96"/>
      <c r="Z240" s="96"/>
      <c r="AA240" s="98">
        <v>6.1499999999999999E-2</v>
      </c>
      <c r="AB240" s="100">
        <v>47611</v>
      </c>
      <c r="AC240" s="96" t="s">
        <v>411</v>
      </c>
      <c r="AD240" s="96"/>
      <c r="AE240" s="96"/>
      <c r="AF240" s="96"/>
      <c r="AG240" s="100">
        <v>45057</v>
      </c>
      <c r="AH240" s="96"/>
      <c r="AI240" s="96"/>
      <c r="AJ240" s="96"/>
      <c r="AK240" s="96" t="s">
        <v>337</v>
      </c>
      <c r="AL240" s="96" t="s">
        <v>887</v>
      </c>
      <c r="AM240" s="96"/>
      <c r="AN240" s="96" t="s">
        <v>890</v>
      </c>
      <c r="AO240" s="100">
        <v>45473</v>
      </c>
      <c r="AP240" s="100">
        <v>45473</v>
      </c>
      <c r="AQ240" s="96"/>
      <c r="AR240" s="97">
        <v>22453.156747000001</v>
      </c>
      <c r="AS240" s="97">
        <v>101.24</v>
      </c>
      <c r="AT240" s="97">
        <v>1</v>
      </c>
      <c r="AU240" s="97">
        <v>22.731574999999999</v>
      </c>
      <c r="AV240" s="97">
        <v>22.731574999999999</v>
      </c>
      <c r="AW240" s="96"/>
      <c r="AX240" s="96"/>
      <c r="AY240" s="96"/>
      <c r="AZ240" s="96"/>
      <c r="BA240" s="98">
        <v>1.2652999999999999E-2</v>
      </c>
      <c r="BB240" s="98">
        <v>4.3199999999999998E-4</v>
      </c>
      <c r="BC240" s="106"/>
    </row>
    <row r="241" spans="1:55" ht="15" customHeight="1">
      <c r="A241" s="106"/>
      <c r="B241" s="96">
        <v>286</v>
      </c>
      <c r="C241" s="96">
        <v>1445</v>
      </c>
      <c r="D241" s="96"/>
      <c r="E241" s="96"/>
      <c r="F241" s="96"/>
      <c r="G241" s="96">
        <v>25000616</v>
      </c>
      <c r="H241" s="96" t="s">
        <v>1013</v>
      </c>
      <c r="I241" s="96"/>
      <c r="J241" s="96" t="s">
        <v>203</v>
      </c>
      <c r="K241" s="96"/>
      <c r="L241" s="96" t="s">
        <v>461</v>
      </c>
      <c r="M241" s="96" t="s">
        <v>338</v>
      </c>
      <c r="N241" s="96" t="s">
        <v>338</v>
      </c>
      <c r="O241" s="96"/>
      <c r="P241" s="100">
        <v>44390</v>
      </c>
      <c r="Q241" s="96" t="s">
        <v>3685</v>
      </c>
      <c r="R241" s="96" t="s">
        <v>311</v>
      </c>
      <c r="S241" s="96" t="s">
        <v>407</v>
      </c>
      <c r="T241" s="96" t="s">
        <v>1200</v>
      </c>
      <c r="U241" s="97">
        <v>0.53</v>
      </c>
      <c r="V241" s="96" t="s">
        <v>3678</v>
      </c>
      <c r="W241" s="98">
        <v>0.02</v>
      </c>
      <c r="X241" s="96"/>
      <c r="Y241" s="96"/>
      <c r="Z241" s="96"/>
      <c r="AA241" s="98">
        <v>5.8299999999999998E-2</v>
      </c>
      <c r="AB241" s="100">
        <v>45851</v>
      </c>
      <c r="AC241" s="96" t="s">
        <v>411</v>
      </c>
      <c r="AD241" s="96"/>
      <c r="AE241" s="96"/>
      <c r="AF241" s="96"/>
      <c r="AG241" s="100"/>
      <c r="AH241" s="96"/>
      <c r="AI241" s="96"/>
      <c r="AJ241" s="96"/>
      <c r="AK241" s="96" t="s">
        <v>337</v>
      </c>
      <c r="AL241" s="96" t="s">
        <v>887</v>
      </c>
      <c r="AM241" s="96"/>
      <c r="AN241" s="96" t="s">
        <v>890</v>
      </c>
      <c r="AO241" s="100">
        <v>45473</v>
      </c>
      <c r="AP241" s="100">
        <v>45473</v>
      </c>
      <c r="AQ241" s="96"/>
      <c r="AR241" s="97">
        <v>2679.7432939999999</v>
      </c>
      <c r="AS241" s="97">
        <v>98.48</v>
      </c>
      <c r="AT241" s="97">
        <v>1</v>
      </c>
      <c r="AU241" s="97">
        <v>2.639011</v>
      </c>
      <c r="AV241" s="97">
        <v>2.639011</v>
      </c>
      <c r="AW241" s="96"/>
      <c r="AX241" s="96"/>
      <c r="AY241" s="96"/>
      <c r="AZ241" s="96"/>
      <c r="BA241" s="98">
        <v>1.4679999999999999E-3</v>
      </c>
      <c r="BB241" s="98">
        <v>5.0000000000000002E-5</v>
      </c>
      <c r="BC241" s="106"/>
    </row>
    <row r="242" spans="1:55" ht="15" customHeight="1">
      <c r="A242" s="106"/>
      <c r="B242" s="96">
        <v>286</v>
      </c>
      <c r="C242" s="96">
        <v>1445</v>
      </c>
      <c r="D242" s="96"/>
      <c r="E242" s="96"/>
      <c r="F242" s="96"/>
      <c r="G242" s="96">
        <v>25000613</v>
      </c>
      <c r="H242" s="96" t="s">
        <v>1013</v>
      </c>
      <c r="I242" s="96"/>
      <c r="J242" s="96" t="s">
        <v>203</v>
      </c>
      <c r="K242" s="96"/>
      <c r="L242" s="96" t="s">
        <v>477</v>
      </c>
      <c r="M242" s="96" t="s">
        <v>338</v>
      </c>
      <c r="N242" s="96" t="s">
        <v>338</v>
      </c>
      <c r="O242" s="96"/>
      <c r="P242" s="100">
        <v>44376</v>
      </c>
      <c r="Q242" s="96" t="s">
        <v>409</v>
      </c>
      <c r="R242" s="96" t="s">
        <v>409</v>
      </c>
      <c r="S242" s="96" t="s">
        <v>409</v>
      </c>
      <c r="T242" s="96" t="s">
        <v>1200</v>
      </c>
      <c r="U242" s="97">
        <v>1.18</v>
      </c>
      <c r="V242" s="96" t="s">
        <v>3678</v>
      </c>
      <c r="W242" s="98">
        <v>4.3900000000000002E-2</v>
      </c>
      <c r="X242" s="96"/>
      <c r="Y242" s="96"/>
      <c r="Z242" s="96"/>
      <c r="AA242" s="98">
        <v>6.8199999999999997E-2</v>
      </c>
      <c r="AB242" s="100">
        <v>47603</v>
      </c>
      <c r="AC242" s="96" t="s">
        <v>411</v>
      </c>
      <c r="AD242" s="96"/>
      <c r="AE242" s="96"/>
      <c r="AF242" s="96"/>
      <c r="AG242" s="100">
        <v>44376</v>
      </c>
      <c r="AH242" s="96"/>
      <c r="AI242" s="96"/>
      <c r="AJ242" s="96"/>
      <c r="AK242" s="96" t="s">
        <v>337</v>
      </c>
      <c r="AL242" s="96" t="s">
        <v>887</v>
      </c>
      <c r="AM242" s="96"/>
      <c r="AN242" s="96" t="s">
        <v>890</v>
      </c>
      <c r="AO242" s="100">
        <v>45473</v>
      </c>
      <c r="AP242" s="100">
        <v>45473</v>
      </c>
      <c r="AQ242" s="96"/>
      <c r="AR242" s="97">
        <v>3679.1068989999999</v>
      </c>
      <c r="AS242" s="97">
        <v>116.18</v>
      </c>
      <c r="AT242" s="97">
        <v>1</v>
      </c>
      <c r="AU242" s="97">
        <v>4.2743859999999998</v>
      </c>
      <c r="AV242" s="97">
        <v>4.2743859999999998</v>
      </c>
      <c r="AW242" s="96"/>
      <c r="AX242" s="96"/>
      <c r="AY242" s="96"/>
      <c r="AZ242" s="96"/>
      <c r="BA242" s="98">
        <v>2.379E-3</v>
      </c>
      <c r="BB242" s="98">
        <v>8.1000000000000004E-5</v>
      </c>
      <c r="BC242" s="106"/>
    </row>
    <row r="243" spans="1:55" ht="15" customHeight="1">
      <c r="A243" s="106"/>
      <c r="B243" s="96">
        <v>286</v>
      </c>
      <c r="C243" s="96">
        <v>1445</v>
      </c>
      <c r="D243" s="96"/>
      <c r="E243" s="96"/>
      <c r="F243" s="96"/>
      <c r="G243" s="96">
        <v>25000611</v>
      </c>
      <c r="H243" s="96" t="s">
        <v>1013</v>
      </c>
      <c r="I243" s="96"/>
      <c r="J243" s="96" t="s">
        <v>203</v>
      </c>
      <c r="K243" s="96"/>
      <c r="L243" s="96" t="s">
        <v>446</v>
      </c>
      <c r="M243" s="96" t="s">
        <v>338</v>
      </c>
      <c r="N243" s="96" t="s">
        <v>338</v>
      </c>
      <c r="O243" s="96"/>
      <c r="P243" s="100">
        <v>44370</v>
      </c>
      <c r="Q243" s="96" t="s">
        <v>1309</v>
      </c>
      <c r="R243" s="96" t="s">
        <v>414</v>
      </c>
      <c r="S243" s="96" t="s">
        <v>407</v>
      </c>
      <c r="T243" s="96" t="s">
        <v>1200</v>
      </c>
      <c r="U243" s="97">
        <v>0.99</v>
      </c>
      <c r="V243" s="96" t="s">
        <v>3678</v>
      </c>
      <c r="W243" s="98">
        <v>4.7899999999999998E-2</v>
      </c>
      <c r="X243" s="96"/>
      <c r="Y243" s="96"/>
      <c r="Z243" s="96"/>
      <c r="AA243" s="98">
        <v>9.1800000000000007E-2</v>
      </c>
      <c r="AB243" s="100">
        <v>45838</v>
      </c>
      <c r="AC243" s="96" t="s">
        <v>411</v>
      </c>
      <c r="AD243" s="96"/>
      <c r="AE243" s="96"/>
      <c r="AF243" s="96"/>
      <c r="AG243" s="100"/>
      <c r="AH243" s="96"/>
      <c r="AI243" s="96"/>
      <c r="AJ243" s="96"/>
      <c r="AK243" s="96" t="s">
        <v>337</v>
      </c>
      <c r="AL243" s="96" t="s">
        <v>887</v>
      </c>
      <c r="AM243" s="96"/>
      <c r="AN243" s="96" t="s">
        <v>890</v>
      </c>
      <c r="AO243" s="100">
        <v>45473</v>
      </c>
      <c r="AP243" s="100">
        <v>45473</v>
      </c>
      <c r="AQ243" s="96"/>
      <c r="AR243" s="97">
        <v>769.607709</v>
      </c>
      <c r="AS243" s="97">
        <v>96.07</v>
      </c>
      <c r="AT243" s="97">
        <v>1</v>
      </c>
      <c r="AU243" s="97">
        <v>0.73936199999999996</v>
      </c>
      <c r="AV243" s="97">
        <v>0.73936199999999996</v>
      </c>
      <c r="AW243" s="96"/>
      <c r="AX243" s="96"/>
      <c r="AY243" s="96"/>
      <c r="AZ243" s="96"/>
      <c r="BA243" s="98">
        <v>4.1100000000000002E-4</v>
      </c>
      <c r="BB243" s="98">
        <v>1.4E-5</v>
      </c>
      <c r="BC243" s="106"/>
    </row>
    <row r="244" spans="1:55" ht="15" customHeight="1">
      <c r="A244" s="106"/>
      <c r="B244" s="96">
        <v>286</v>
      </c>
      <c r="C244" s="96">
        <v>1445</v>
      </c>
      <c r="D244" s="96"/>
      <c r="E244" s="96"/>
      <c r="F244" s="96"/>
      <c r="G244" s="96">
        <v>25000609</v>
      </c>
      <c r="H244" s="96" t="s">
        <v>1013</v>
      </c>
      <c r="I244" s="96" t="s">
        <v>785</v>
      </c>
      <c r="J244" s="96" t="s">
        <v>203</v>
      </c>
      <c r="K244" s="96"/>
      <c r="L244" s="96" t="s">
        <v>463</v>
      </c>
      <c r="M244" s="96" t="s">
        <v>338</v>
      </c>
      <c r="N244" s="96" t="s">
        <v>338</v>
      </c>
      <c r="O244" s="96"/>
      <c r="P244" s="100">
        <v>44388</v>
      </c>
      <c r="Q244" s="96" t="s">
        <v>3681</v>
      </c>
      <c r="R244" s="96" t="s">
        <v>311</v>
      </c>
      <c r="S244" s="96" t="s">
        <v>407</v>
      </c>
      <c r="T244" s="96" t="s">
        <v>1200</v>
      </c>
      <c r="U244" s="97">
        <v>3.45</v>
      </c>
      <c r="V244" s="96" t="s">
        <v>3678</v>
      </c>
      <c r="W244" s="98">
        <v>1.7500000000000002E-2</v>
      </c>
      <c r="X244" s="96"/>
      <c r="Y244" s="96"/>
      <c r="Z244" s="96"/>
      <c r="AA244" s="98">
        <v>4.5999999999999999E-2</v>
      </c>
      <c r="AB244" s="100">
        <v>46945</v>
      </c>
      <c r="AC244" s="96" t="s">
        <v>411</v>
      </c>
      <c r="AD244" s="96"/>
      <c r="AE244" s="96"/>
      <c r="AF244" s="96"/>
      <c r="AG244" s="100">
        <v>44928</v>
      </c>
      <c r="AH244" s="96"/>
      <c r="AI244" s="96"/>
      <c r="AJ244" s="96"/>
      <c r="AK244" s="96" t="s">
        <v>337</v>
      </c>
      <c r="AL244" s="96" t="s">
        <v>887</v>
      </c>
      <c r="AM244" s="96"/>
      <c r="AN244" s="96" t="s">
        <v>890</v>
      </c>
      <c r="AO244" s="100">
        <v>45473</v>
      </c>
      <c r="AP244" s="100">
        <v>45473</v>
      </c>
      <c r="AQ244" s="96"/>
      <c r="AR244" s="97">
        <v>6088.3665739999997</v>
      </c>
      <c r="AS244" s="97">
        <v>102.14</v>
      </c>
      <c r="AT244" s="97">
        <v>1</v>
      </c>
      <c r="AU244" s="97">
        <v>6.2186570000000003</v>
      </c>
      <c r="AV244" s="97">
        <v>6.2186570000000003</v>
      </c>
      <c r="AW244" s="96"/>
      <c r="AX244" s="96"/>
      <c r="AY244" s="96"/>
      <c r="AZ244" s="96"/>
      <c r="BA244" s="98">
        <v>3.4610000000000001E-3</v>
      </c>
      <c r="BB244" s="98">
        <v>1.18E-4</v>
      </c>
      <c r="BC244" s="106"/>
    </row>
    <row r="245" spans="1:55" ht="15" customHeight="1">
      <c r="A245" s="106"/>
      <c r="B245" s="96">
        <v>286</v>
      </c>
      <c r="C245" s="96">
        <v>1445</v>
      </c>
      <c r="D245" s="96"/>
      <c r="E245" s="96"/>
      <c r="F245" s="96"/>
      <c r="G245" s="96">
        <v>25000608</v>
      </c>
      <c r="H245" s="96" t="s">
        <v>1013</v>
      </c>
      <c r="I245" s="96" t="s">
        <v>785</v>
      </c>
      <c r="J245" s="96" t="s">
        <v>203</v>
      </c>
      <c r="K245" s="96"/>
      <c r="L245" s="96" t="s">
        <v>463</v>
      </c>
      <c r="M245" s="96" t="s">
        <v>338</v>
      </c>
      <c r="N245" s="96" t="s">
        <v>338</v>
      </c>
      <c r="O245" s="96"/>
      <c r="P245" s="100">
        <v>44388</v>
      </c>
      <c r="Q245" s="96" t="s">
        <v>3681</v>
      </c>
      <c r="R245" s="96" t="s">
        <v>311</v>
      </c>
      <c r="S245" s="96" t="s">
        <v>407</v>
      </c>
      <c r="T245" s="96" t="s">
        <v>1200</v>
      </c>
      <c r="U245" s="97">
        <v>3.45</v>
      </c>
      <c r="V245" s="96" t="s">
        <v>3678</v>
      </c>
      <c r="W245" s="98">
        <v>1.7500000000000002E-2</v>
      </c>
      <c r="X245" s="96"/>
      <c r="Y245" s="96"/>
      <c r="Z245" s="96"/>
      <c r="AA245" s="98">
        <v>4.6100000000000002E-2</v>
      </c>
      <c r="AB245" s="100">
        <v>46945</v>
      </c>
      <c r="AC245" s="96" t="s">
        <v>411</v>
      </c>
      <c r="AD245" s="96"/>
      <c r="AE245" s="96"/>
      <c r="AF245" s="96"/>
      <c r="AG245" s="100">
        <v>44928</v>
      </c>
      <c r="AH245" s="96"/>
      <c r="AI245" s="96"/>
      <c r="AJ245" s="96"/>
      <c r="AK245" s="96" t="s">
        <v>337</v>
      </c>
      <c r="AL245" s="96" t="s">
        <v>887</v>
      </c>
      <c r="AM245" s="96"/>
      <c r="AN245" s="96" t="s">
        <v>890</v>
      </c>
      <c r="AO245" s="100">
        <v>45473</v>
      </c>
      <c r="AP245" s="100">
        <v>45473</v>
      </c>
      <c r="AQ245" s="96"/>
      <c r="AR245" s="97">
        <v>20294.555245</v>
      </c>
      <c r="AS245" s="97">
        <v>102.14</v>
      </c>
      <c r="AT245" s="97">
        <v>1</v>
      </c>
      <c r="AU245" s="97">
        <v>20.728857999999999</v>
      </c>
      <c r="AV245" s="97">
        <v>20.728857999999999</v>
      </c>
      <c r="AW245" s="96"/>
      <c r="AX245" s="96"/>
      <c r="AY245" s="96"/>
      <c r="AZ245" s="96"/>
      <c r="BA245" s="98">
        <v>1.1538E-2</v>
      </c>
      <c r="BB245" s="98">
        <v>3.9399999999999998E-4</v>
      </c>
      <c r="BC245" s="106"/>
    </row>
    <row r="246" spans="1:55" ht="15" customHeight="1">
      <c r="A246" s="106"/>
      <c r="B246" s="96">
        <v>286</v>
      </c>
      <c r="C246" s="96">
        <v>1445</v>
      </c>
      <c r="D246" s="96"/>
      <c r="E246" s="96"/>
      <c r="F246" s="96"/>
      <c r="G246" s="96">
        <v>25000607</v>
      </c>
      <c r="H246" s="96" t="s">
        <v>1013</v>
      </c>
      <c r="I246" s="96" t="s">
        <v>812</v>
      </c>
      <c r="J246" s="96" t="s">
        <v>203</v>
      </c>
      <c r="K246" s="96"/>
      <c r="L246" s="96" t="s">
        <v>463</v>
      </c>
      <c r="M246" s="96" t="s">
        <v>338</v>
      </c>
      <c r="N246" s="96" t="s">
        <v>337</v>
      </c>
      <c r="O246" s="96"/>
      <c r="P246" s="100">
        <v>44376</v>
      </c>
      <c r="Q246" s="96" t="s">
        <v>1320</v>
      </c>
      <c r="R246" s="96" t="s">
        <v>412</v>
      </c>
      <c r="S246" s="96" t="s">
        <v>407</v>
      </c>
      <c r="T246" s="96" t="s">
        <v>1200</v>
      </c>
      <c r="U246" s="97">
        <v>8.5</v>
      </c>
      <c r="V246" s="96" t="s">
        <v>824</v>
      </c>
      <c r="W246" s="98">
        <v>7.1499999999999994E-2</v>
      </c>
      <c r="X246" s="96"/>
      <c r="Y246" s="96"/>
      <c r="Z246" s="96"/>
      <c r="AA246" s="98">
        <v>7.7399999999999997E-2</v>
      </c>
      <c r="AB246" s="100">
        <v>52962</v>
      </c>
      <c r="AC246" s="96" t="s">
        <v>411</v>
      </c>
      <c r="AD246" s="96"/>
      <c r="AE246" s="96"/>
      <c r="AF246" s="96"/>
      <c r="AG246" s="100">
        <v>45291</v>
      </c>
      <c r="AH246" s="96"/>
      <c r="AI246" s="96"/>
      <c r="AJ246" s="96"/>
      <c r="AK246" s="96" t="s">
        <v>337</v>
      </c>
      <c r="AL246" s="96" t="s">
        <v>887</v>
      </c>
      <c r="AM246" s="96"/>
      <c r="AN246" s="96" t="s">
        <v>890</v>
      </c>
      <c r="AO246" s="100">
        <v>45473</v>
      </c>
      <c r="AP246" s="100">
        <v>45473</v>
      </c>
      <c r="AQ246" s="96"/>
      <c r="AR246" s="97">
        <v>18080.709633999999</v>
      </c>
      <c r="AS246" s="97">
        <v>100.52</v>
      </c>
      <c r="AT246" s="97">
        <v>1</v>
      </c>
      <c r="AU246" s="97">
        <v>18.174728999999999</v>
      </c>
      <c r="AV246" s="97">
        <v>18.174728999999999</v>
      </c>
      <c r="AW246" s="96"/>
      <c r="AX246" s="96"/>
      <c r="AY246" s="96"/>
      <c r="AZ246" s="96"/>
      <c r="BA246" s="98">
        <v>1.0116E-2</v>
      </c>
      <c r="BB246" s="98">
        <v>3.4600000000000001E-4</v>
      </c>
      <c r="BC246" s="106"/>
    </row>
    <row r="247" spans="1:55" ht="15" customHeight="1">
      <c r="A247" s="106"/>
      <c r="B247" s="96">
        <v>286</v>
      </c>
      <c r="C247" s="96">
        <v>1445</v>
      </c>
      <c r="D247" s="96"/>
      <c r="E247" s="96"/>
      <c r="F247" s="96"/>
      <c r="G247" s="96">
        <v>25000596</v>
      </c>
      <c r="H247" s="96" t="s">
        <v>1013</v>
      </c>
      <c r="I247" s="96" t="s">
        <v>785</v>
      </c>
      <c r="J247" s="96" t="s">
        <v>203</v>
      </c>
      <c r="K247" s="96"/>
      <c r="L247" s="96" t="s">
        <v>463</v>
      </c>
      <c r="M247" s="96" t="s">
        <v>338</v>
      </c>
      <c r="N247" s="96" t="s">
        <v>338</v>
      </c>
      <c r="O247" s="96"/>
      <c r="P247" s="100">
        <v>44334</v>
      </c>
      <c r="Q247" s="96" t="s">
        <v>3679</v>
      </c>
      <c r="R247" s="96" t="s">
        <v>311</v>
      </c>
      <c r="S247" s="96" t="s">
        <v>407</v>
      </c>
      <c r="T247" s="96" t="s">
        <v>1200</v>
      </c>
      <c r="U247" s="97">
        <v>7.04</v>
      </c>
      <c r="V247" s="96" t="s">
        <v>3678</v>
      </c>
      <c r="W247" s="98">
        <v>3.9932000000000002E-2</v>
      </c>
      <c r="X247" s="96"/>
      <c r="Y247" s="96"/>
      <c r="Z247" s="96"/>
      <c r="AA247" s="98">
        <v>6.83E-2</v>
      </c>
      <c r="AB247" s="100">
        <v>51732</v>
      </c>
      <c r="AC247" s="96" t="s">
        <v>411</v>
      </c>
      <c r="AD247" s="96"/>
      <c r="AE247" s="96"/>
      <c r="AF247" s="96"/>
      <c r="AG247" s="100">
        <v>44926</v>
      </c>
      <c r="AH247" s="96"/>
      <c r="AI247" s="96"/>
      <c r="AJ247" s="96"/>
      <c r="AK247" s="96" t="s">
        <v>337</v>
      </c>
      <c r="AL247" s="96" t="s">
        <v>887</v>
      </c>
      <c r="AM247" s="96"/>
      <c r="AN247" s="96" t="s">
        <v>890</v>
      </c>
      <c r="AO247" s="100">
        <v>45473</v>
      </c>
      <c r="AP247" s="100">
        <v>45473</v>
      </c>
      <c r="AQ247" s="96"/>
      <c r="AR247" s="97">
        <v>5325.4375849999997</v>
      </c>
      <c r="AS247" s="97">
        <v>92.97</v>
      </c>
      <c r="AT247" s="97">
        <v>1</v>
      </c>
      <c r="AU247" s="97">
        <v>4.9510589999999999</v>
      </c>
      <c r="AV247" s="97">
        <v>4.9510589999999999</v>
      </c>
      <c r="AW247" s="96"/>
      <c r="AX247" s="96"/>
      <c r="AY247" s="96"/>
      <c r="AZ247" s="96"/>
      <c r="BA247" s="98">
        <v>2.7550000000000001E-3</v>
      </c>
      <c r="BB247" s="98">
        <v>9.3999999999999994E-5</v>
      </c>
      <c r="BC247" s="106"/>
    </row>
    <row r="248" spans="1:55" ht="15" customHeight="1">
      <c r="A248" s="106"/>
      <c r="B248" s="96">
        <v>286</v>
      </c>
      <c r="C248" s="96">
        <v>1445</v>
      </c>
      <c r="D248" s="96"/>
      <c r="E248" s="96"/>
      <c r="F248" s="96"/>
      <c r="G248" s="96">
        <v>25000595</v>
      </c>
      <c r="H248" s="96" t="s">
        <v>1013</v>
      </c>
      <c r="I248" s="96"/>
      <c r="J248" s="96" t="s">
        <v>203</v>
      </c>
      <c r="K248" s="96"/>
      <c r="L248" s="96" t="s">
        <v>461</v>
      </c>
      <c r="M248" s="96" t="s">
        <v>338</v>
      </c>
      <c r="N248" s="96" t="s">
        <v>338</v>
      </c>
      <c r="O248" s="96"/>
      <c r="P248" s="100">
        <v>44315</v>
      </c>
      <c r="Q248" s="96" t="s">
        <v>3685</v>
      </c>
      <c r="R248" s="96" t="s">
        <v>311</v>
      </c>
      <c r="S248" s="96" t="s">
        <v>407</v>
      </c>
      <c r="T248" s="96" t="s">
        <v>1200</v>
      </c>
      <c r="U248" s="97">
        <v>0.45</v>
      </c>
      <c r="V248" s="96" t="s">
        <v>3678</v>
      </c>
      <c r="W248" s="98">
        <v>3.5999999999999999E-3</v>
      </c>
      <c r="X248" s="96"/>
      <c r="Y248" s="96"/>
      <c r="Z248" s="96"/>
      <c r="AA248" s="98">
        <v>2.7E-2</v>
      </c>
      <c r="AB248" s="100">
        <v>45776</v>
      </c>
      <c r="AC248" s="96" t="s">
        <v>411</v>
      </c>
      <c r="AD248" s="96"/>
      <c r="AE248" s="96"/>
      <c r="AF248" s="96"/>
      <c r="AG248" s="100"/>
      <c r="AH248" s="96"/>
      <c r="AI248" s="96"/>
      <c r="AJ248" s="96"/>
      <c r="AK248" s="96" t="s">
        <v>337</v>
      </c>
      <c r="AL248" s="96" t="s">
        <v>887</v>
      </c>
      <c r="AM248" s="96"/>
      <c r="AN248" s="96" t="s">
        <v>890</v>
      </c>
      <c r="AO248" s="100">
        <v>45473</v>
      </c>
      <c r="AP248" s="100">
        <v>45473</v>
      </c>
      <c r="AQ248" s="96"/>
      <c r="AR248" s="97">
        <v>2097.5604549999998</v>
      </c>
      <c r="AS248" s="97">
        <v>111.63</v>
      </c>
      <c r="AT248" s="97">
        <v>1</v>
      </c>
      <c r="AU248" s="97">
        <v>2.3415059999999999</v>
      </c>
      <c r="AV248" s="97">
        <v>2.3415059999999999</v>
      </c>
      <c r="AW248" s="96"/>
      <c r="AX248" s="96"/>
      <c r="AY248" s="96"/>
      <c r="AZ248" s="96"/>
      <c r="BA248" s="98">
        <v>1.3029999999999999E-3</v>
      </c>
      <c r="BB248" s="98">
        <v>4.3999999999999999E-5</v>
      </c>
      <c r="BC248" s="106"/>
    </row>
    <row r="249" spans="1:55" ht="15" customHeight="1">
      <c r="A249" s="106"/>
      <c r="B249" s="96">
        <v>286</v>
      </c>
      <c r="C249" s="96">
        <v>1445</v>
      </c>
      <c r="D249" s="96"/>
      <c r="E249" s="96"/>
      <c r="F249" s="96"/>
      <c r="G249" s="96">
        <v>25000594</v>
      </c>
      <c r="H249" s="96" t="s">
        <v>1013</v>
      </c>
      <c r="I249" s="96"/>
      <c r="J249" s="96" t="s">
        <v>203</v>
      </c>
      <c r="K249" s="96"/>
      <c r="L249" s="96" t="s">
        <v>477</v>
      </c>
      <c r="M249" s="96" t="s">
        <v>338</v>
      </c>
      <c r="N249" s="96" t="s">
        <v>338</v>
      </c>
      <c r="O249" s="96"/>
      <c r="P249" s="100">
        <v>44314</v>
      </c>
      <c r="Q249" s="96" t="s">
        <v>409</v>
      </c>
      <c r="R249" s="96" t="s">
        <v>409</v>
      </c>
      <c r="S249" s="96" t="s">
        <v>409</v>
      </c>
      <c r="T249" s="96" t="s">
        <v>1200</v>
      </c>
      <c r="U249" s="97">
        <v>1.27</v>
      </c>
      <c r="V249" s="96" t="s">
        <v>3678</v>
      </c>
      <c r="W249" s="98">
        <v>4.6699999999999998E-2</v>
      </c>
      <c r="X249" s="96"/>
      <c r="Y249" s="96"/>
      <c r="Z249" s="96"/>
      <c r="AA249" s="98">
        <v>6.7900000000000002E-2</v>
      </c>
      <c r="AB249" s="100">
        <v>47391</v>
      </c>
      <c r="AC249" s="96" t="s">
        <v>411</v>
      </c>
      <c r="AD249" s="96"/>
      <c r="AE249" s="96"/>
      <c r="AF249" s="96"/>
      <c r="AG249" s="100">
        <v>44314</v>
      </c>
      <c r="AH249" s="96"/>
      <c r="AI249" s="96"/>
      <c r="AJ249" s="96"/>
      <c r="AK249" s="96" t="s">
        <v>337</v>
      </c>
      <c r="AL249" s="96" t="s">
        <v>887</v>
      </c>
      <c r="AM249" s="96"/>
      <c r="AN249" s="96" t="s">
        <v>890</v>
      </c>
      <c r="AO249" s="100">
        <v>45473</v>
      </c>
      <c r="AP249" s="100">
        <v>45473</v>
      </c>
      <c r="AQ249" s="96"/>
      <c r="AR249" s="97">
        <v>3785.8281179999999</v>
      </c>
      <c r="AS249" s="97">
        <v>116.93</v>
      </c>
      <c r="AT249" s="97">
        <v>1</v>
      </c>
      <c r="AU249" s="97">
        <v>4.426768</v>
      </c>
      <c r="AV249" s="97">
        <v>4.426768</v>
      </c>
      <c r="AW249" s="96"/>
      <c r="AX249" s="96"/>
      <c r="AY249" s="96"/>
      <c r="AZ249" s="96"/>
      <c r="BA249" s="98">
        <v>2.464E-3</v>
      </c>
      <c r="BB249" s="98">
        <v>8.3999999999999995E-5</v>
      </c>
      <c r="BC249" s="106"/>
    </row>
    <row r="250" spans="1:55" ht="15" customHeight="1">
      <c r="A250" s="106"/>
      <c r="B250" s="96">
        <v>286</v>
      </c>
      <c r="C250" s="96">
        <v>1445</v>
      </c>
      <c r="D250" s="96"/>
      <c r="E250" s="96"/>
      <c r="F250" s="96"/>
      <c r="G250" s="96">
        <v>25000591</v>
      </c>
      <c r="H250" s="96" t="s">
        <v>1013</v>
      </c>
      <c r="I250" s="96" t="s">
        <v>812</v>
      </c>
      <c r="J250" s="96" t="s">
        <v>203</v>
      </c>
      <c r="K250" s="96"/>
      <c r="L250" s="96" t="s">
        <v>454</v>
      </c>
      <c r="M250" s="96" t="s">
        <v>338</v>
      </c>
      <c r="N250" s="96" t="s">
        <v>337</v>
      </c>
      <c r="O250" s="96"/>
      <c r="P250" s="100">
        <v>44290</v>
      </c>
      <c r="Q250" s="96" t="s">
        <v>1357</v>
      </c>
      <c r="R250" s="96" t="s">
        <v>414</v>
      </c>
      <c r="S250" s="96" t="s">
        <v>407</v>
      </c>
      <c r="T250" s="96" t="s">
        <v>1200</v>
      </c>
      <c r="U250" s="97">
        <v>7.2</v>
      </c>
      <c r="V250" s="96" t="s">
        <v>3678</v>
      </c>
      <c r="W250" s="98">
        <v>3.1E-2</v>
      </c>
      <c r="X250" s="96"/>
      <c r="Y250" s="96"/>
      <c r="Z250" s="96"/>
      <c r="AA250" s="98">
        <v>4.9799999999999997E-2</v>
      </c>
      <c r="AB250" s="100">
        <v>51677</v>
      </c>
      <c r="AC250" s="96" t="s">
        <v>411</v>
      </c>
      <c r="AD250" s="96"/>
      <c r="AE250" s="96"/>
      <c r="AF250" s="96"/>
      <c r="AG250" s="100">
        <v>45291</v>
      </c>
      <c r="AH250" s="96"/>
      <c r="AI250" s="96"/>
      <c r="AJ250" s="96"/>
      <c r="AK250" s="96" t="s">
        <v>337</v>
      </c>
      <c r="AL250" s="96" t="s">
        <v>887</v>
      </c>
      <c r="AM250" s="96"/>
      <c r="AN250" s="96" t="s">
        <v>890</v>
      </c>
      <c r="AO250" s="100">
        <v>45473</v>
      </c>
      <c r="AP250" s="100">
        <v>45473</v>
      </c>
      <c r="AQ250" s="96"/>
      <c r="AR250" s="97">
        <v>7383.48</v>
      </c>
      <c r="AS250" s="97">
        <v>97.06</v>
      </c>
      <c r="AT250" s="97">
        <v>1</v>
      </c>
      <c r="AU250" s="97">
        <v>7.1664099999999999</v>
      </c>
      <c r="AV250" s="97">
        <v>7.1664099999999999</v>
      </c>
      <c r="AW250" s="96"/>
      <c r="AX250" s="96"/>
      <c r="AY250" s="96"/>
      <c r="AZ250" s="96"/>
      <c r="BA250" s="98">
        <v>3.9890000000000004E-3</v>
      </c>
      <c r="BB250" s="98">
        <v>1.36E-4</v>
      </c>
      <c r="BC250" s="106"/>
    </row>
    <row r="251" spans="1:55" ht="15" customHeight="1">
      <c r="A251" s="106"/>
      <c r="B251" s="96">
        <v>286</v>
      </c>
      <c r="C251" s="96">
        <v>1445</v>
      </c>
      <c r="D251" s="96"/>
      <c r="E251" s="96"/>
      <c r="F251" s="96"/>
      <c r="G251" s="96">
        <v>25000585</v>
      </c>
      <c r="H251" s="96" t="s">
        <v>1013</v>
      </c>
      <c r="I251" s="96" t="s">
        <v>813</v>
      </c>
      <c r="J251" s="96" t="s">
        <v>203</v>
      </c>
      <c r="K251" s="96"/>
      <c r="L251" s="96" t="s">
        <v>470</v>
      </c>
      <c r="M251" s="96" t="s">
        <v>338</v>
      </c>
      <c r="N251" s="96" t="s">
        <v>337</v>
      </c>
      <c r="O251" s="96"/>
      <c r="P251" s="100">
        <v>44230</v>
      </c>
      <c r="Q251" s="96" t="s">
        <v>1520</v>
      </c>
      <c r="R251" s="96" t="s">
        <v>414</v>
      </c>
      <c r="S251" s="96" t="s">
        <v>407</v>
      </c>
      <c r="T251" s="96" t="s">
        <v>1200</v>
      </c>
      <c r="U251" s="97">
        <v>4.22</v>
      </c>
      <c r="V251" s="96" t="s">
        <v>3678</v>
      </c>
      <c r="W251" s="98">
        <v>7.9209999999999992E-3</v>
      </c>
      <c r="X251" s="96"/>
      <c r="Y251" s="96"/>
      <c r="Z251" s="96"/>
      <c r="AA251" s="98">
        <v>3.3599999999999998E-2</v>
      </c>
      <c r="AB251" s="100">
        <v>48852</v>
      </c>
      <c r="AC251" s="96" t="s">
        <v>411</v>
      </c>
      <c r="AD251" s="96"/>
      <c r="AE251" s="96"/>
      <c r="AF251" s="96"/>
      <c r="AG251" s="100">
        <v>45291</v>
      </c>
      <c r="AH251" s="96"/>
      <c r="AI251" s="96"/>
      <c r="AJ251" s="96"/>
      <c r="AK251" s="96" t="s">
        <v>337</v>
      </c>
      <c r="AL251" s="96" t="s">
        <v>887</v>
      </c>
      <c r="AM251" s="96"/>
      <c r="AN251" s="96" t="s">
        <v>890</v>
      </c>
      <c r="AO251" s="100">
        <v>45473</v>
      </c>
      <c r="AP251" s="100">
        <v>45473</v>
      </c>
      <c r="AQ251" s="96"/>
      <c r="AR251" s="97">
        <v>657.740364</v>
      </c>
      <c r="AS251" s="97">
        <v>101.98</v>
      </c>
      <c r="AT251" s="97">
        <v>1</v>
      </c>
      <c r="AU251" s="97">
        <v>0.670763</v>
      </c>
      <c r="AV251" s="97">
        <v>0.670763</v>
      </c>
      <c r="AW251" s="96"/>
      <c r="AX251" s="96"/>
      <c r="AY251" s="96"/>
      <c r="AZ251" s="96"/>
      <c r="BA251" s="98">
        <v>3.7300000000000001E-4</v>
      </c>
      <c r="BB251" s="98">
        <v>1.2E-5</v>
      </c>
      <c r="BC251" s="106"/>
    </row>
    <row r="252" spans="1:55" ht="15" customHeight="1">
      <c r="A252" s="106"/>
      <c r="B252" s="96">
        <v>286</v>
      </c>
      <c r="C252" s="96">
        <v>1445</v>
      </c>
      <c r="D252" s="96"/>
      <c r="E252" s="96"/>
      <c r="F252" s="96"/>
      <c r="G252" s="96">
        <v>25000584</v>
      </c>
      <c r="H252" s="96" t="s">
        <v>1013</v>
      </c>
      <c r="I252" s="96" t="s">
        <v>813</v>
      </c>
      <c r="J252" s="96" t="s">
        <v>203</v>
      </c>
      <c r="K252" s="96"/>
      <c r="L252" s="96" t="s">
        <v>470</v>
      </c>
      <c r="M252" s="96" t="s">
        <v>338</v>
      </c>
      <c r="N252" s="96" t="s">
        <v>337</v>
      </c>
      <c r="O252" s="96"/>
      <c r="P252" s="100">
        <v>44230</v>
      </c>
      <c r="Q252" s="96" t="s">
        <v>1520</v>
      </c>
      <c r="R252" s="96" t="s">
        <v>414</v>
      </c>
      <c r="S252" s="96" t="s">
        <v>407</v>
      </c>
      <c r="T252" s="96" t="s">
        <v>1200</v>
      </c>
      <c r="U252" s="97">
        <v>4.49</v>
      </c>
      <c r="V252" s="96" t="s">
        <v>3678</v>
      </c>
      <c r="W252" s="98">
        <v>8.1700000000000002E-3</v>
      </c>
      <c r="X252" s="96"/>
      <c r="Y252" s="96"/>
      <c r="Z252" s="96"/>
      <c r="AA252" s="98">
        <v>3.5700000000000003E-2</v>
      </c>
      <c r="AB252" s="100">
        <v>48852</v>
      </c>
      <c r="AC252" s="96" t="s">
        <v>411</v>
      </c>
      <c r="AD252" s="96"/>
      <c r="AE252" s="96"/>
      <c r="AF252" s="96"/>
      <c r="AG252" s="100">
        <v>45291</v>
      </c>
      <c r="AH252" s="96"/>
      <c r="AI252" s="96"/>
      <c r="AJ252" s="96"/>
      <c r="AK252" s="96" t="s">
        <v>337</v>
      </c>
      <c r="AL252" s="96" t="s">
        <v>887</v>
      </c>
      <c r="AM252" s="96"/>
      <c r="AN252" s="96" t="s">
        <v>890</v>
      </c>
      <c r="AO252" s="100">
        <v>45473</v>
      </c>
      <c r="AP252" s="100">
        <v>45473</v>
      </c>
      <c r="AQ252" s="96"/>
      <c r="AR252" s="97">
        <v>239.93136000000001</v>
      </c>
      <c r="AS252" s="97">
        <v>100.44</v>
      </c>
      <c r="AT252" s="97">
        <v>1</v>
      </c>
      <c r="AU252" s="97">
        <v>0.24098700000000001</v>
      </c>
      <c r="AV252" s="97">
        <v>0.24098700000000001</v>
      </c>
      <c r="AW252" s="96"/>
      <c r="AX252" s="96"/>
      <c r="AY252" s="96"/>
      <c r="AZ252" s="96"/>
      <c r="BA252" s="98">
        <v>1.34E-4</v>
      </c>
      <c r="BB252" s="98">
        <v>3.9999999999999998E-6</v>
      </c>
      <c r="BC252" s="106"/>
    </row>
    <row r="253" spans="1:55" ht="15" customHeight="1">
      <c r="A253" s="106"/>
      <c r="B253" s="96">
        <v>286</v>
      </c>
      <c r="C253" s="96">
        <v>1445</v>
      </c>
      <c r="D253" s="96"/>
      <c r="E253" s="96"/>
      <c r="F253" s="96"/>
      <c r="G253" s="96">
        <v>25000619</v>
      </c>
      <c r="H253" s="96" t="s">
        <v>1013</v>
      </c>
      <c r="I253" s="96"/>
      <c r="J253" s="96" t="s">
        <v>203</v>
      </c>
      <c r="K253" s="96"/>
      <c r="L253" s="96" t="s">
        <v>446</v>
      </c>
      <c r="M253" s="96" t="s">
        <v>338</v>
      </c>
      <c r="N253" s="96" t="s">
        <v>338</v>
      </c>
      <c r="O253" s="96"/>
      <c r="P253" s="100">
        <v>44405</v>
      </c>
      <c r="Q253" s="96" t="s">
        <v>1328</v>
      </c>
      <c r="R253" s="96" t="s">
        <v>412</v>
      </c>
      <c r="S253" s="96" t="s">
        <v>407</v>
      </c>
      <c r="T253" s="96" t="s">
        <v>1200</v>
      </c>
      <c r="U253" s="97">
        <v>0.08</v>
      </c>
      <c r="V253" s="96" t="s">
        <v>3678</v>
      </c>
      <c r="W253" s="98">
        <v>1.9199999999999998E-2</v>
      </c>
      <c r="X253" s="96"/>
      <c r="Y253" s="96"/>
      <c r="Z253" s="96"/>
      <c r="AA253" s="98">
        <v>6.1400000000000003E-2</v>
      </c>
      <c r="AB253" s="100">
        <v>45501</v>
      </c>
      <c r="AC253" s="96" t="s">
        <v>411</v>
      </c>
      <c r="AD253" s="96"/>
      <c r="AE253" s="96"/>
      <c r="AF253" s="96"/>
      <c r="AG253" s="100"/>
      <c r="AH253" s="96"/>
      <c r="AI253" s="96"/>
      <c r="AJ253" s="96"/>
      <c r="AK253" s="96" t="s">
        <v>337</v>
      </c>
      <c r="AL253" s="96" t="s">
        <v>887</v>
      </c>
      <c r="AM253" s="96"/>
      <c r="AN253" s="96" t="s">
        <v>890</v>
      </c>
      <c r="AO253" s="100">
        <v>45473</v>
      </c>
      <c r="AP253" s="100">
        <v>45473</v>
      </c>
      <c r="AQ253" s="96"/>
      <c r="AR253" s="97">
        <v>16690.287679000001</v>
      </c>
      <c r="AS253" s="97">
        <v>100.02</v>
      </c>
      <c r="AT253" s="97">
        <v>1</v>
      </c>
      <c r="AU253" s="97">
        <v>16.693625000000001</v>
      </c>
      <c r="AV253" s="97">
        <v>16.693625000000001</v>
      </c>
      <c r="AW253" s="96"/>
      <c r="AX253" s="96"/>
      <c r="AY253" s="96"/>
      <c r="AZ253" s="96"/>
      <c r="BA253" s="98">
        <v>9.2919999999999999E-3</v>
      </c>
      <c r="BB253" s="98">
        <v>3.1700000000000001E-4</v>
      </c>
      <c r="BC253" s="106"/>
    </row>
    <row r="254" spans="1:55" ht="15" customHeight="1">
      <c r="A254" s="106"/>
      <c r="B254" s="96">
        <v>286</v>
      </c>
      <c r="C254" s="96">
        <v>1445</v>
      </c>
      <c r="D254" s="96"/>
      <c r="E254" s="96"/>
      <c r="F254" s="96"/>
      <c r="G254" s="96">
        <v>25000621</v>
      </c>
      <c r="H254" s="96" t="s">
        <v>1013</v>
      </c>
      <c r="I254" s="96" t="s">
        <v>812</v>
      </c>
      <c r="J254" s="96" t="s">
        <v>203</v>
      </c>
      <c r="K254" s="96"/>
      <c r="L254" s="96" t="s">
        <v>463</v>
      </c>
      <c r="M254" s="96" t="s">
        <v>338</v>
      </c>
      <c r="N254" s="96" t="s">
        <v>337</v>
      </c>
      <c r="O254" s="96"/>
      <c r="P254" s="100">
        <v>44431</v>
      </c>
      <c r="Q254" s="96" t="s">
        <v>1320</v>
      </c>
      <c r="R254" s="96" t="s">
        <v>412</v>
      </c>
      <c r="S254" s="96" t="s">
        <v>407</v>
      </c>
      <c r="T254" s="96" t="s">
        <v>1200</v>
      </c>
      <c r="U254" s="97">
        <v>8.5</v>
      </c>
      <c r="V254" s="96" t="s">
        <v>824</v>
      </c>
      <c r="W254" s="98">
        <v>7.1499999999999994E-2</v>
      </c>
      <c r="X254" s="96"/>
      <c r="Y254" s="96"/>
      <c r="Z254" s="96"/>
      <c r="AA254" s="98">
        <v>7.7399999999999997E-2</v>
      </c>
      <c r="AB254" s="100">
        <v>52962</v>
      </c>
      <c r="AC254" s="96" t="s">
        <v>411</v>
      </c>
      <c r="AD254" s="96"/>
      <c r="AE254" s="96"/>
      <c r="AF254" s="96"/>
      <c r="AG254" s="100">
        <v>45291</v>
      </c>
      <c r="AH254" s="96"/>
      <c r="AI254" s="96"/>
      <c r="AJ254" s="96"/>
      <c r="AK254" s="96" t="s">
        <v>337</v>
      </c>
      <c r="AL254" s="96" t="s">
        <v>887</v>
      </c>
      <c r="AM254" s="96"/>
      <c r="AN254" s="96" t="s">
        <v>890</v>
      </c>
      <c r="AO254" s="100">
        <v>45473</v>
      </c>
      <c r="AP254" s="100">
        <v>45473</v>
      </c>
      <c r="AQ254" s="96"/>
      <c r="AR254" s="97">
        <v>3120.8795230000001</v>
      </c>
      <c r="AS254" s="97">
        <v>100.53</v>
      </c>
      <c r="AT254" s="97">
        <v>1</v>
      </c>
      <c r="AU254" s="97">
        <v>3.1374200000000001</v>
      </c>
      <c r="AV254" s="97">
        <v>3.1374200000000001</v>
      </c>
      <c r="AW254" s="96"/>
      <c r="AX254" s="96"/>
      <c r="AY254" s="96"/>
      <c r="AZ254" s="96"/>
      <c r="BA254" s="98">
        <v>1.7459999999999999E-3</v>
      </c>
      <c r="BB254" s="98">
        <v>5.8999999999999998E-5</v>
      </c>
      <c r="BC254" s="106"/>
    </row>
    <row r="255" spans="1:55" ht="15" customHeight="1">
      <c r="A255" s="106"/>
      <c r="B255" s="96">
        <v>286</v>
      </c>
      <c r="C255" s="96">
        <v>1445</v>
      </c>
      <c r="D255" s="96"/>
      <c r="E255" s="96"/>
      <c r="F255" s="96"/>
      <c r="G255" s="96">
        <v>25000617</v>
      </c>
      <c r="H255" s="96" t="s">
        <v>1013</v>
      </c>
      <c r="I255" s="96" t="s">
        <v>785</v>
      </c>
      <c r="J255" s="96" t="s">
        <v>203</v>
      </c>
      <c r="K255" s="96"/>
      <c r="L255" s="96" t="s">
        <v>463</v>
      </c>
      <c r="M255" s="96" t="s">
        <v>338</v>
      </c>
      <c r="N255" s="96" t="s">
        <v>338</v>
      </c>
      <c r="O255" s="96"/>
      <c r="P255" s="100">
        <v>44390</v>
      </c>
      <c r="Q255" s="96" t="s">
        <v>3679</v>
      </c>
      <c r="R255" s="96" t="s">
        <v>311</v>
      </c>
      <c r="S255" s="96" t="s">
        <v>407</v>
      </c>
      <c r="T255" s="96" t="s">
        <v>1200</v>
      </c>
      <c r="U255" s="97">
        <v>7.05</v>
      </c>
      <c r="V255" s="96" t="s">
        <v>3678</v>
      </c>
      <c r="W255" s="98">
        <v>3.9932000000000002E-2</v>
      </c>
      <c r="X255" s="96"/>
      <c r="Y255" s="96"/>
      <c r="Z255" s="96"/>
      <c r="AA255" s="98">
        <v>6.7799999999999999E-2</v>
      </c>
      <c r="AB255" s="100">
        <v>51732</v>
      </c>
      <c r="AC255" s="96" t="s">
        <v>411</v>
      </c>
      <c r="AD255" s="96"/>
      <c r="AE255" s="96"/>
      <c r="AF255" s="96"/>
      <c r="AG255" s="100">
        <v>44926</v>
      </c>
      <c r="AH255" s="96"/>
      <c r="AI255" s="96"/>
      <c r="AJ255" s="96"/>
      <c r="AK255" s="96" t="s">
        <v>337</v>
      </c>
      <c r="AL255" s="96" t="s">
        <v>887</v>
      </c>
      <c r="AM255" s="96"/>
      <c r="AN255" s="96" t="s">
        <v>890</v>
      </c>
      <c r="AO255" s="100">
        <v>45473</v>
      </c>
      <c r="AP255" s="100">
        <v>45473</v>
      </c>
      <c r="AQ255" s="96"/>
      <c r="AR255" s="97">
        <v>266.32089200000001</v>
      </c>
      <c r="AS255" s="97">
        <v>92.92</v>
      </c>
      <c r="AT255" s="97">
        <v>1</v>
      </c>
      <c r="AU255" s="97">
        <v>0.24746499999999999</v>
      </c>
      <c r="AV255" s="97">
        <v>0.24746499999999999</v>
      </c>
      <c r="AW255" s="96"/>
      <c r="AX255" s="96"/>
      <c r="AY255" s="96"/>
      <c r="AZ255" s="96"/>
      <c r="BA255" s="98">
        <v>1.37E-4</v>
      </c>
      <c r="BB255" s="98">
        <v>3.9999999999999998E-6</v>
      </c>
      <c r="BC255" s="106"/>
    </row>
    <row r="256" spans="1:55" ht="15" customHeight="1">
      <c r="A256" s="106"/>
      <c r="B256" s="96">
        <v>286</v>
      </c>
      <c r="C256" s="96">
        <v>1445</v>
      </c>
      <c r="D256" s="96"/>
      <c r="E256" s="96"/>
      <c r="F256" s="96"/>
      <c r="G256" s="96">
        <v>25000624</v>
      </c>
      <c r="H256" s="96" t="s">
        <v>1013</v>
      </c>
      <c r="I256" s="96"/>
      <c r="J256" s="96" t="s">
        <v>203</v>
      </c>
      <c r="K256" s="96"/>
      <c r="L256" s="96" t="s">
        <v>446</v>
      </c>
      <c r="M256" s="96" t="s">
        <v>338</v>
      </c>
      <c r="N256" s="96" t="s">
        <v>338</v>
      </c>
      <c r="O256" s="96"/>
      <c r="P256" s="100">
        <v>44458</v>
      </c>
      <c r="Q256" s="96" t="s">
        <v>1309</v>
      </c>
      <c r="R256" s="96" t="s">
        <v>414</v>
      </c>
      <c r="S256" s="96" t="s">
        <v>407</v>
      </c>
      <c r="T256" s="96" t="s">
        <v>1200</v>
      </c>
      <c r="U256" s="97">
        <v>1.66</v>
      </c>
      <c r="V256" s="96" t="s">
        <v>3678</v>
      </c>
      <c r="W256" s="98">
        <v>1.6E-2</v>
      </c>
      <c r="X256" s="96"/>
      <c r="Y256" s="96"/>
      <c r="Z256" s="96"/>
      <c r="AA256" s="98">
        <v>0.05</v>
      </c>
      <c r="AB256" s="100">
        <v>46649</v>
      </c>
      <c r="AC256" s="96" t="s">
        <v>411</v>
      </c>
      <c r="AD256" s="96"/>
      <c r="AE256" s="96"/>
      <c r="AF256" s="96"/>
      <c r="AG256" s="100"/>
      <c r="AH256" s="96"/>
      <c r="AI256" s="96"/>
      <c r="AJ256" s="96"/>
      <c r="AK256" s="96" t="s">
        <v>337</v>
      </c>
      <c r="AL256" s="96" t="s">
        <v>887</v>
      </c>
      <c r="AM256" s="96"/>
      <c r="AN256" s="96" t="s">
        <v>890</v>
      </c>
      <c r="AO256" s="100">
        <v>45473</v>
      </c>
      <c r="AP256" s="100">
        <v>45473</v>
      </c>
      <c r="AQ256" s="96"/>
      <c r="AR256" s="97">
        <v>3651.0004290000002</v>
      </c>
      <c r="AS256" s="97">
        <v>105.61</v>
      </c>
      <c r="AT256" s="97">
        <v>1</v>
      </c>
      <c r="AU256" s="97">
        <v>3.8558210000000002</v>
      </c>
      <c r="AV256" s="97">
        <v>3.8558210000000002</v>
      </c>
      <c r="AW256" s="96"/>
      <c r="AX256" s="96"/>
      <c r="AY256" s="96"/>
      <c r="AZ256" s="96"/>
      <c r="BA256" s="98">
        <v>2.1459999999999999E-3</v>
      </c>
      <c r="BB256" s="98">
        <v>7.2999999999999999E-5</v>
      </c>
      <c r="BC256" s="106"/>
    </row>
    <row r="257" spans="1:55" ht="15" customHeight="1">
      <c r="A257" s="106"/>
      <c r="B257" s="96">
        <v>286</v>
      </c>
      <c r="C257" s="96">
        <v>1445</v>
      </c>
      <c r="D257" s="96"/>
      <c r="E257" s="96"/>
      <c r="F257" s="96"/>
      <c r="G257" s="96">
        <v>25000655</v>
      </c>
      <c r="H257" s="96" t="s">
        <v>1013</v>
      </c>
      <c r="I257" s="96" t="s">
        <v>812</v>
      </c>
      <c r="J257" s="96" t="s">
        <v>203</v>
      </c>
      <c r="K257" s="96"/>
      <c r="L257" s="96" t="s">
        <v>454</v>
      </c>
      <c r="M257" s="96" t="s">
        <v>338</v>
      </c>
      <c r="N257" s="96" t="s">
        <v>337</v>
      </c>
      <c r="O257" s="96"/>
      <c r="P257" s="100">
        <v>44615</v>
      </c>
      <c r="Q257" s="96" t="s">
        <v>1357</v>
      </c>
      <c r="R257" s="96" t="s">
        <v>414</v>
      </c>
      <c r="S257" s="96" t="s">
        <v>407</v>
      </c>
      <c r="T257" s="96" t="s">
        <v>1200</v>
      </c>
      <c r="U257" s="97">
        <v>7.05</v>
      </c>
      <c r="V257" s="96" t="s">
        <v>3678</v>
      </c>
      <c r="W257" s="98">
        <v>3.1E-2</v>
      </c>
      <c r="X257" s="96"/>
      <c r="Y257" s="96"/>
      <c r="Z257" s="96"/>
      <c r="AA257" s="98">
        <v>5.7200000000000001E-2</v>
      </c>
      <c r="AB257" s="100">
        <v>51677</v>
      </c>
      <c r="AC257" s="96" t="s">
        <v>411</v>
      </c>
      <c r="AD257" s="96"/>
      <c r="AE257" s="96"/>
      <c r="AF257" s="96"/>
      <c r="AG257" s="100">
        <v>45291</v>
      </c>
      <c r="AH257" s="96"/>
      <c r="AI257" s="96"/>
      <c r="AJ257" s="96"/>
      <c r="AK257" s="96" t="s">
        <v>337</v>
      </c>
      <c r="AL257" s="96" t="s">
        <v>887</v>
      </c>
      <c r="AM257" s="96"/>
      <c r="AN257" s="96" t="s">
        <v>890</v>
      </c>
      <c r="AO257" s="100">
        <v>45473</v>
      </c>
      <c r="AP257" s="100">
        <v>45473</v>
      </c>
      <c r="AQ257" s="96"/>
      <c r="AR257" s="97">
        <v>10040.34</v>
      </c>
      <c r="AS257" s="97">
        <v>89.83</v>
      </c>
      <c r="AT257" s="97">
        <v>1</v>
      </c>
      <c r="AU257" s="97">
        <v>9.0192399999999999</v>
      </c>
      <c r="AV257" s="97">
        <v>9.0192399999999999</v>
      </c>
      <c r="AW257" s="96"/>
      <c r="AX257" s="96"/>
      <c r="AY257" s="96"/>
      <c r="AZ257" s="96"/>
      <c r="BA257" s="98">
        <v>5.0200000000000002E-3</v>
      </c>
      <c r="BB257" s="98">
        <v>1.7100000000000001E-4</v>
      </c>
      <c r="BC257" s="106"/>
    </row>
    <row r="258" spans="1:55" ht="15" customHeight="1">
      <c r="A258" s="106"/>
      <c r="B258" s="96">
        <v>286</v>
      </c>
      <c r="C258" s="96">
        <v>1445</v>
      </c>
      <c r="D258" s="96"/>
      <c r="E258" s="96"/>
      <c r="F258" s="96"/>
      <c r="G258" s="96">
        <v>25000653</v>
      </c>
      <c r="H258" s="96" t="s">
        <v>1013</v>
      </c>
      <c r="I258" s="96" t="s">
        <v>3680</v>
      </c>
      <c r="J258" s="96" t="s">
        <v>203</v>
      </c>
      <c r="K258" s="96"/>
      <c r="L258" s="96" t="s">
        <v>463</v>
      </c>
      <c r="M258" s="96" t="s">
        <v>338</v>
      </c>
      <c r="N258" s="96" t="s">
        <v>337</v>
      </c>
      <c r="O258" s="96"/>
      <c r="P258" s="100">
        <v>44588</v>
      </c>
      <c r="Q258" s="96" t="s">
        <v>1208</v>
      </c>
      <c r="R258" s="96" t="s">
        <v>311</v>
      </c>
      <c r="S258" s="96" t="s">
        <v>407</v>
      </c>
      <c r="T258" s="96" t="s">
        <v>1200</v>
      </c>
      <c r="U258" s="97">
        <v>2.82</v>
      </c>
      <c r="V258" s="96" t="s">
        <v>824</v>
      </c>
      <c r="W258" s="98">
        <v>6.1499999999999999E-2</v>
      </c>
      <c r="X258" s="96"/>
      <c r="Y258" s="96"/>
      <c r="Z258" s="96"/>
      <c r="AA258" s="98">
        <v>6.0600000000000001E-2</v>
      </c>
      <c r="AB258" s="100">
        <v>47654</v>
      </c>
      <c r="AC258" s="96" t="s">
        <v>411</v>
      </c>
      <c r="AD258" s="96"/>
      <c r="AE258" s="96"/>
      <c r="AF258" s="96"/>
      <c r="AG258" s="100">
        <v>45382</v>
      </c>
      <c r="AH258" s="96"/>
      <c r="AI258" s="96"/>
      <c r="AJ258" s="96"/>
      <c r="AK258" s="96" t="s">
        <v>337</v>
      </c>
      <c r="AL258" s="96" t="s">
        <v>887</v>
      </c>
      <c r="AM258" s="96"/>
      <c r="AN258" s="96" t="s">
        <v>890</v>
      </c>
      <c r="AO258" s="100">
        <v>45473</v>
      </c>
      <c r="AP258" s="100">
        <v>45473</v>
      </c>
      <c r="AQ258" s="96"/>
      <c r="AR258" s="97">
        <v>3776.2488309999999</v>
      </c>
      <c r="AS258" s="97">
        <v>100.77</v>
      </c>
      <c r="AT258" s="97">
        <v>1</v>
      </c>
      <c r="AU258" s="97">
        <v>3.8053249999999998</v>
      </c>
      <c r="AV258" s="97">
        <v>3.8053249999999998</v>
      </c>
      <c r="AW258" s="96"/>
      <c r="AX258" s="96"/>
      <c r="AY258" s="96"/>
      <c r="AZ258" s="96"/>
      <c r="BA258" s="98">
        <v>2.1180000000000001E-3</v>
      </c>
      <c r="BB258" s="98">
        <v>7.2000000000000002E-5</v>
      </c>
      <c r="BC258" s="106"/>
    </row>
    <row r="259" spans="1:55" ht="15" customHeight="1">
      <c r="A259" s="106"/>
      <c r="B259" s="96">
        <v>286</v>
      </c>
      <c r="C259" s="96">
        <v>1445</v>
      </c>
      <c r="D259" s="96"/>
      <c r="E259" s="96"/>
      <c r="F259" s="96"/>
      <c r="G259" s="96">
        <v>25000652</v>
      </c>
      <c r="H259" s="96" t="s">
        <v>1013</v>
      </c>
      <c r="I259" s="96" t="s">
        <v>3680</v>
      </c>
      <c r="J259" s="96" t="s">
        <v>203</v>
      </c>
      <c r="K259" s="96"/>
      <c r="L259" s="96" t="s">
        <v>463</v>
      </c>
      <c r="M259" s="96" t="s">
        <v>338</v>
      </c>
      <c r="N259" s="96" t="s">
        <v>337</v>
      </c>
      <c r="O259" s="96"/>
      <c r="P259" s="100">
        <v>44581</v>
      </c>
      <c r="Q259" s="96" t="s">
        <v>1208</v>
      </c>
      <c r="R259" s="96" t="s">
        <v>311</v>
      </c>
      <c r="S259" s="96" t="s">
        <v>407</v>
      </c>
      <c r="T259" s="96" t="s">
        <v>1200</v>
      </c>
      <c r="U259" s="97">
        <v>2.82</v>
      </c>
      <c r="V259" s="96" t="s">
        <v>824</v>
      </c>
      <c r="W259" s="98">
        <v>6.1499999999999999E-2</v>
      </c>
      <c r="X259" s="96"/>
      <c r="Y259" s="96"/>
      <c r="Z259" s="96"/>
      <c r="AA259" s="98">
        <v>6.0999999999999999E-2</v>
      </c>
      <c r="AB259" s="100">
        <v>47654</v>
      </c>
      <c r="AC259" s="96" t="s">
        <v>411</v>
      </c>
      <c r="AD259" s="96"/>
      <c r="AE259" s="96"/>
      <c r="AF259" s="96"/>
      <c r="AG259" s="100">
        <v>45382</v>
      </c>
      <c r="AH259" s="96"/>
      <c r="AI259" s="96"/>
      <c r="AJ259" s="96"/>
      <c r="AK259" s="96" t="s">
        <v>337</v>
      </c>
      <c r="AL259" s="96" t="s">
        <v>887</v>
      </c>
      <c r="AM259" s="96"/>
      <c r="AN259" s="96" t="s">
        <v>890</v>
      </c>
      <c r="AO259" s="100">
        <v>45473</v>
      </c>
      <c r="AP259" s="100">
        <v>45473</v>
      </c>
      <c r="AQ259" s="96"/>
      <c r="AR259" s="97">
        <v>8024.5287669999998</v>
      </c>
      <c r="AS259" s="97">
        <v>100.67</v>
      </c>
      <c r="AT259" s="97">
        <v>1</v>
      </c>
      <c r="AU259" s="97">
        <v>8.0782930000000004</v>
      </c>
      <c r="AV259" s="97">
        <v>8.0782930000000004</v>
      </c>
      <c r="AW259" s="96"/>
      <c r="AX259" s="96"/>
      <c r="AY259" s="96"/>
      <c r="AZ259" s="96"/>
      <c r="BA259" s="98">
        <v>4.496E-3</v>
      </c>
      <c r="BB259" s="98">
        <v>1.5300000000000001E-4</v>
      </c>
      <c r="BC259" s="106"/>
    </row>
    <row r="260" spans="1:55" ht="15" customHeight="1">
      <c r="A260" s="106"/>
      <c r="B260" s="96">
        <v>286</v>
      </c>
      <c r="C260" s="96">
        <v>1445</v>
      </c>
      <c r="D260" s="96"/>
      <c r="E260" s="96"/>
      <c r="F260" s="96"/>
      <c r="G260" s="96">
        <v>25000648</v>
      </c>
      <c r="H260" s="96" t="s">
        <v>1013</v>
      </c>
      <c r="I260" s="96" t="s">
        <v>818</v>
      </c>
      <c r="J260" s="96" t="s">
        <v>203</v>
      </c>
      <c r="K260" s="96"/>
      <c r="L260" s="96" t="s">
        <v>463</v>
      </c>
      <c r="M260" s="96" t="s">
        <v>338</v>
      </c>
      <c r="N260" s="96" t="s">
        <v>338</v>
      </c>
      <c r="O260" s="96"/>
      <c r="P260" s="100">
        <v>44570</v>
      </c>
      <c r="Q260" s="96" t="s">
        <v>3679</v>
      </c>
      <c r="R260" s="96" t="s">
        <v>311</v>
      </c>
      <c r="S260" s="96" t="s">
        <v>407</v>
      </c>
      <c r="T260" s="96" t="s">
        <v>1200</v>
      </c>
      <c r="U260" s="97">
        <v>3.65</v>
      </c>
      <c r="V260" s="96" t="s">
        <v>3678</v>
      </c>
      <c r="W260" s="98">
        <v>0</v>
      </c>
      <c r="X260" s="96"/>
      <c r="Y260" s="96"/>
      <c r="Z260" s="96"/>
      <c r="AA260" s="98">
        <v>3.5799999999999998E-2</v>
      </c>
      <c r="AB260" s="100">
        <v>47006</v>
      </c>
      <c r="AC260" s="96" t="s">
        <v>410</v>
      </c>
      <c r="AD260" s="96"/>
      <c r="AE260" s="96"/>
      <c r="AF260" s="96"/>
      <c r="AG260" s="100"/>
      <c r="AH260" s="96"/>
      <c r="AI260" s="96"/>
      <c r="AJ260" s="96"/>
      <c r="AK260" s="96" t="s">
        <v>337</v>
      </c>
      <c r="AL260" s="96" t="s">
        <v>887</v>
      </c>
      <c r="AM260" s="96"/>
      <c r="AN260" s="96" t="s">
        <v>890</v>
      </c>
      <c r="AO260" s="100">
        <v>45473</v>
      </c>
      <c r="AP260" s="100">
        <v>45473</v>
      </c>
      <c r="AQ260" s="96"/>
      <c r="AR260" s="97">
        <v>3630.1374289999999</v>
      </c>
      <c r="AS260" s="97">
        <v>97.42</v>
      </c>
      <c r="AT260" s="97">
        <v>1</v>
      </c>
      <c r="AU260" s="97">
        <v>3.5364789999999999</v>
      </c>
      <c r="AV260" s="97">
        <v>3.5364789999999999</v>
      </c>
      <c r="AW260" s="96"/>
      <c r="AX260" s="96"/>
      <c r="AY260" s="96"/>
      <c r="AZ260" s="96"/>
      <c r="BA260" s="98">
        <v>1.9680000000000001E-3</v>
      </c>
      <c r="BB260" s="98">
        <v>6.7000000000000002E-5</v>
      </c>
      <c r="BC260" s="106"/>
    </row>
    <row r="261" spans="1:55" ht="15" customHeight="1">
      <c r="A261" s="106"/>
      <c r="B261" s="96">
        <v>286</v>
      </c>
      <c r="C261" s="96">
        <v>1445</v>
      </c>
      <c r="D261" s="96"/>
      <c r="E261" s="96"/>
      <c r="F261" s="96"/>
      <c r="G261" s="96">
        <v>25000643</v>
      </c>
      <c r="H261" s="96" t="s">
        <v>1013</v>
      </c>
      <c r="I261" s="96" t="s">
        <v>795</v>
      </c>
      <c r="J261" s="96" t="s">
        <v>203</v>
      </c>
      <c r="K261" s="96"/>
      <c r="L261" s="96" t="s">
        <v>446</v>
      </c>
      <c r="M261" s="96" t="s">
        <v>338</v>
      </c>
      <c r="N261" s="96" t="s">
        <v>338</v>
      </c>
      <c r="O261" s="96"/>
      <c r="P261" s="100">
        <v>44556</v>
      </c>
      <c r="Q261" s="96" t="s">
        <v>2074</v>
      </c>
      <c r="R261" s="96" t="s">
        <v>311</v>
      </c>
      <c r="S261" s="96" t="s">
        <v>407</v>
      </c>
      <c r="T261" s="96" t="s">
        <v>1200</v>
      </c>
      <c r="U261" s="97">
        <v>1.6</v>
      </c>
      <c r="V261" s="96" t="s">
        <v>3678</v>
      </c>
      <c r="W261" s="98">
        <v>8.3000000000000004E-2</v>
      </c>
      <c r="X261" s="96"/>
      <c r="Y261" s="96"/>
      <c r="Z261" s="96"/>
      <c r="AA261" s="98">
        <v>0.13109999999999999</v>
      </c>
      <c r="AB261" s="100">
        <v>46574</v>
      </c>
      <c r="AC261" s="96" t="s">
        <v>410</v>
      </c>
      <c r="AD261" s="96"/>
      <c r="AE261" s="96"/>
      <c r="AF261" s="96"/>
      <c r="AG261" s="100">
        <v>45291</v>
      </c>
      <c r="AH261" s="96"/>
      <c r="AI261" s="96"/>
      <c r="AJ261" s="96"/>
      <c r="AK261" s="96" t="s">
        <v>337</v>
      </c>
      <c r="AL261" s="96" t="s">
        <v>887</v>
      </c>
      <c r="AM261" s="96"/>
      <c r="AN261" s="96" t="s">
        <v>890</v>
      </c>
      <c r="AO261" s="100">
        <v>45473</v>
      </c>
      <c r="AP261" s="100">
        <v>45473</v>
      </c>
      <c r="AQ261" s="96"/>
      <c r="AR261" s="97">
        <v>1271.799921</v>
      </c>
      <c r="AS261" s="97">
        <v>97.41</v>
      </c>
      <c r="AT261" s="97">
        <v>1</v>
      </c>
      <c r="AU261" s="97">
        <v>1.2388600000000001</v>
      </c>
      <c r="AV261" s="97">
        <v>1.2388600000000001</v>
      </c>
      <c r="AW261" s="96"/>
      <c r="AX261" s="96"/>
      <c r="AY261" s="96"/>
      <c r="AZ261" s="96"/>
      <c r="BA261" s="98">
        <v>6.8900000000000005E-4</v>
      </c>
      <c r="BB261" s="98">
        <v>2.3E-5</v>
      </c>
      <c r="BC261" s="106"/>
    </row>
    <row r="262" spans="1:55" ht="15" customHeight="1">
      <c r="A262" s="106"/>
      <c r="B262" s="96">
        <v>286</v>
      </c>
      <c r="C262" s="96">
        <v>1445</v>
      </c>
      <c r="D262" s="96"/>
      <c r="E262" s="96"/>
      <c r="F262" s="96"/>
      <c r="G262" s="96">
        <v>25000639</v>
      </c>
      <c r="H262" s="96" t="s">
        <v>1013</v>
      </c>
      <c r="I262" s="96" t="s">
        <v>3684</v>
      </c>
      <c r="J262" s="96" t="s">
        <v>203</v>
      </c>
      <c r="K262" s="96"/>
      <c r="L262" s="96" t="s">
        <v>463</v>
      </c>
      <c r="M262" s="96" t="s">
        <v>338</v>
      </c>
      <c r="N262" s="96" t="s">
        <v>338</v>
      </c>
      <c r="O262" s="96"/>
      <c r="P262" s="100">
        <v>44530</v>
      </c>
      <c r="Q262" s="96" t="s">
        <v>2074</v>
      </c>
      <c r="R262" s="96" t="s">
        <v>311</v>
      </c>
      <c r="S262" s="96" t="s">
        <v>407</v>
      </c>
      <c r="T262" s="96" t="s">
        <v>1200</v>
      </c>
      <c r="U262" s="97">
        <v>4.09</v>
      </c>
      <c r="V262" s="96" t="s">
        <v>3678</v>
      </c>
      <c r="W262" s="98">
        <v>1.7000000000000001E-2</v>
      </c>
      <c r="X262" s="96"/>
      <c r="Y262" s="96"/>
      <c r="Z262" s="96"/>
      <c r="AA262" s="98">
        <v>5.7599999999999998E-2</v>
      </c>
      <c r="AB262" s="100">
        <v>47452</v>
      </c>
      <c r="AC262" s="96" t="s">
        <v>411</v>
      </c>
      <c r="AD262" s="96"/>
      <c r="AE262" s="96"/>
      <c r="AF262" s="96"/>
      <c r="AG262" s="100">
        <v>44977</v>
      </c>
      <c r="AH262" s="96"/>
      <c r="AI262" s="96"/>
      <c r="AJ262" s="96"/>
      <c r="AK262" s="96" t="s">
        <v>337</v>
      </c>
      <c r="AL262" s="96" t="s">
        <v>887</v>
      </c>
      <c r="AM262" s="96"/>
      <c r="AN262" s="96" t="s">
        <v>890</v>
      </c>
      <c r="AO262" s="100">
        <v>45473</v>
      </c>
      <c r="AP262" s="100">
        <v>45473</v>
      </c>
      <c r="AQ262" s="96"/>
      <c r="AR262" s="97">
        <v>10226.768609999999</v>
      </c>
      <c r="AS262" s="97">
        <v>94.19</v>
      </c>
      <c r="AT262" s="97">
        <v>1</v>
      </c>
      <c r="AU262" s="97">
        <v>9.632593</v>
      </c>
      <c r="AV262" s="97">
        <v>9.632593</v>
      </c>
      <c r="AW262" s="96"/>
      <c r="AX262" s="96"/>
      <c r="AY262" s="96"/>
      <c r="AZ262" s="96"/>
      <c r="BA262" s="98">
        <v>5.3610000000000003E-3</v>
      </c>
      <c r="BB262" s="98">
        <v>1.83E-4</v>
      </c>
      <c r="BC262" s="106"/>
    </row>
    <row r="263" spans="1:55" ht="15" customHeight="1">
      <c r="A263" s="106"/>
      <c r="B263" s="96">
        <v>286</v>
      </c>
      <c r="C263" s="96">
        <v>1445</v>
      </c>
      <c r="D263" s="96"/>
      <c r="E263" s="96"/>
      <c r="F263" s="96"/>
      <c r="G263" s="96">
        <v>25000634</v>
      </c>
      <c r="H263" s="96" t="s">
        <v>1013</v>
      </c>
      <c r="I263" s="96" t="s">
        <v>818</v>
      </c>
      <c r="J263" s="96" t="s">
        <v>203</v>
      </c>
      <c r="K263" s="96"/>
      <c r="L263" s="96" t="s">
        <v>450</v>
      </c>
      <c r="M263" s="96" t="s">
        <v>338</v>
      </c>
      <c r="N263" s="96" t="s">
        <v>338</v>
      </c>
      <c r="O263" s="96"/>
      <c r="P263" s="100">
        <v>44503</v>
      </c>
      <c r="Q263" s="96" t="s">
        <v>1328</v>
      </c>
      <c r="R263" s="96" t="s">
        <v>412</v>
      </c>
      <c r="S263" s="96" t="s">
        <v>407</v>
      </c>
      <c r="T263" s="96" t="s">
        <v>1200</v>
      </c>
      <c r="U263" s="97">
        <v>2.2400000000000002</v>
      </c>
      <c r="V263" s="96" t="s">
        <v>3678</v>
      </c>
      <c r="W263" s="98">
        <v>3.4200000000000001E-2</v>
      </c>
      <c r="X263" s="96"/>
      <c r="Y263" s="96"/>
      <c r="Z263" s="96"/>
      <c r="AA263" s="98">
        <v>7.4099999999999999E-2</v>
      </c>
      <c r="AB263" s="100">
        <v>46329</v>
      </c>
      <c r="AC263" s="96" t="s">
        <v>411</v>
      </c>
      <c r="AD263" s="96"/>
      <c r="AE263" s="96"/>
      <c r="AF263" s="96"/>
      <c r="AG263" s="100"/>
      <c r="AH263" s="96"/>
      <c r="AI263" s="96"/>
      <c r="AJ263" s="96"/>
      <c r="AK263" s="96" t="s">
        <v>337</v>
      </c>
      <c r="AL263" s="96" t="s">
        <v>887</v>
      </c>
      <c r="AM263" s="96"/>
      <c r="AN263" s="96" t="s">
        <v>890</v>
      </c>
      <c r="AO263" s="100">
        <v>45473</v>
      </c>
      <c r="AP263" s="100">
        <v>45473</v>
      </c>
      <c r="AQ263" s="96"/>
      <c r="AR263" s="97">
        <v>2086.2859589999998</v>
      </c>
      <c r="AS263" s="97">
        <v>92.71</v>
      </c>
      <c r="AT263" s="97">
        <v>1</v>
      </c>
      <c r="AU263" s="97">
        <v>1.9341950000000001</v>
      </c>
      <c r="AV263" s="97">
        <v>1.9341950000000001</v>
      </c>
      <c r="AW263" s="96"/>
      <c r="AX263" s="96"/>
      <c r="AY263" s="96"/>
      <c r="AZ263" s="96"/>
      <c r="BA263" s="98">
        <v>1.0759999999999999E-3</v>
      </c>
      <c r="BB263" s="98">
        <v>3.6000000000000001E-5</v>
      </c>
      <c r="BC263" s="106"/>
    </row>
    <row r="264" spans="1:55" ht="15" customHeight="1">
      <c r="A264" s="106"/>
      <c r="B264" s="96">
        <v>286</v>
      </c>
      <c r="C264" s="96">
        <v>1445</v>
      </c>
      <c r="D264" s="96"/>
      <c r="E264" s="96"/>
      <c r="F264" s="96"/>
      <c r="G264" s="96">
        <v>25000623</v>
      </c>
      <c r="H264" s="96" t="s">
        <v>1013</v>
      </c>
      <c r="I264" s="96"/>
      <c r="J264" s="96" t="s">
        <v>203</v>
      </c>
      <c r="K264" s="96"/>
      <c r="L264" s="96" t="s">
        <v>446</v>
      </c>
      <c r="M264" s="96" t="s">
        <v>338</v>
      </c>
      <c r="N264" s="96" t="s">
        <v>338</v>
      </c>
      <c r="O264" s="96"/>
      <c r="P264" s="100">
        <v>44458</v>
      </c>
      <c r="Q264" s="96" t="s">
        <v>1309</v>
      </c>
      <c r="R264" s="96" t="s">
        <v>414</v>
      </c>
      <c r="S264" s="96" t="s">
        <v>407</v>
      </c>
      <c r="T264" s="96" t="s">
        <v>1200</v>
      </c>
      <c r="U264" s="97">
        <v>1.18</v>
      </c>
      <c r="V264" s="96" t="s">
        <v>3678</v>
      </c>
      <c r="W264" s="98">
        <v>2.8899999999999999E-2</v>
      </c>
      <c r="X264" s="96"/>
      <c r="Y264" s="96"/>
      <c r="Z264" s="96"/>
      <c r="AA264" s="98">
        <v>6.3399999999999998E-2</v>
      </c>
      <c r="AB264" s="100">
        <v>46284</v>
      </c>
      <c r="AC264" s="96" t="s">
        <v>411</v>
      </c>
      <c r="AD264" s="96"/>
      <c r="AE264" s="96"/>
      <c r="AF264" s="96"/>
      <c r="AG264" s="100"/>
      <c r="AH264" s="96"/>
      <c r="AI264" s="96"/>
      <c r="AJ264" s="96"/>
      <c r="AK264" s="96" t="s">
        <v>337</v>
      </c>
      <c r="AL264" s="96" t="s">
        <v>887</v>
      </c>
      <c r="AM264" s="96"/>
      <c r="AN264" s="96" t="s">
        <v>890</v>
      </c>
      <c r="AO264" s="100">
        <v>45473</v>
      </c>
      <c r="AP264" s="100">
        <v>45473</v>
      </c>
      <c r="AQ264" s="96"/>
      <c r="AR264" s="97">
        <v>6258.8578790000001</v>
      </c>
      <c r="AS264" s="97">
        <v>107.72</v>
      </c>
      <c r="AT264" s="97">
        <v>1</v>
      </c>
      <c r="AU264" s="97">
        <v>6.7420410000000004</v>
      </c>
      <c r="AV264" s="97">
        <v>6.7420410000000004</v>
      </c>
      <c r="AW264" s="96"/>
      <c r="AX264" s="96"/>
      <c r="AY264" s="96"/>
      <c r="AZ264" s="96"/>
      <c r="BA264" s="98">
        <v>3.7520000000000001E-3</v>
      </c>
      <c r="BB264" s="98">
        <v>1.2799999999999999E-4</v>
      </c>
      <c r="BC264" s="106"/>
    </row>
    <row r="265" spans="1:55" ht="15" customHeight="1">
      <c r="A265" s="106"/>
      <c r="B265" s="96">
        <v>286</v>
      </c>
      <c r="C265" s="96">
        <v>1445</v>
      </c>
      <c r="D265" s="96"/>
      <c r="E265" s="96"/>
      <c r="F265" s="96"/>
      <c r="G265" s="96">
        <v>25000632</v>
      </c>
      <c r="H265" s="96" t="s">
        <v>1013</v>
      </c>
      <c r="I265" s="96" t="s">
        <v>785</v>
      </c>
      <c r="J265" s="96" t="s">
        <v>203</v>
      </c>
      <c r="K265" s="96"/>
      <c r="L265" s="96" t="s">
        <v>460</v>
      </c>
      <c r="M265" s="96" t="s">
        <v>338</v>
      </c>
      <c r="N265" s="96" t="s">
        <v>338</v>
      </c>
      <c r="O265" s="96"/>
      <c r="P265" s="100">
        <v>44495</v>
      </c>
      <c r="Q265" s="96" t="s">
        <v>2258</v>
      </c>
      <c r="R265" s="96" t="s">
        <v>311</v>
      </c>
      <c r="S265" s="96" t="s">
        <v>407</v>
      </c>
      <c r="T265" s="96" t="s">
        <v>1200</v>
      </c>
      <c r="U265" s="97">
        <v>2.2799999999999998</v>
      </c>
      <c r="V265" s="96" t="s">
        <v>3678</v>
      </c>
      <c r="W265" s="98">
        <v>1.3899999999999999E-2</v>
      </c>
      <c r="X265" s="96"/>
      <c r="Y265" s="96"/>
      <c r="Z265" s="96"/>
      <c r="AA265" s="98">
        <v>5.57E-2</v>
      </c>
      <c r="AB265" s="100">
        <v>46686</v>
      </c>
      <c r="AC265" s="96" t="s">
        <v>411</v>
      </c>
      <c r="AD265" s="96"/>
      <c r="AE265" s="96"/>
      <c r="AF265" s="96"/>
      <c r="AG265" s="100"/>
      <c r="AH265" s="96"/>
      <c r="AI265" s="96"/>
      <c r="AJ265" s="96"/>
      <c r="AK265" s="96" t="s">
        <v>337</v>
      </c>
      <c r="AL265" s="96" t="s">
        <v>887</v>
      </c>
      <c r="AM265" s="96"/>
      <c r="AN265" s="96" t="s">
        <v>890</v>
      </c>
      <c r="AO265" s="100">
        <v>45473</v>
      </c>
      <c r="AP265" s="100">
        <v>45473</v>
      </c>
      <c r="AQ265" s="96"/>
      <c r="AR265" s="97">
        <v>7927.8866470000003</v>
      </c>
      <c r="AS265" s="97">
        <v>101</v>
      </c>
      <c r="AT265" s="97">
        <v>1</v>
      </c>
      <c r="AU265" s="97">
        <v>8.0071650000000005</v>
      </c>
      <c r="AV265" s="97">
        <v>8.0071650000000005</v>
      </c>
      <c r="AW265" s="96"/>
      <c r="AX265" s="96"/>
      <c r="AY265" s="96"/>
      <c r="AZ265" s="96"/>
      <c r="BA265" s="98">
        <v>4.457E-3</v>
      </c>
      <c r="BB265" s="98">
        <v>1.5200000000000001E-4</v>
      </c>
      <c r="BC265" s="106"/>
    </row>
    <row r="266" spans="1:55" ht="15" customHeight="1">
      <c r="A266" s="106"/>
      <c r="B266" s="96">
        <v>286</v>
      </c>
      <c r="C266" s="96">
        <v>1445</v>
      </c>
      <c r="D266" s="96"/>
      <c r="E266" s="96"/>
      <c r="F266" s="96"/>
      <c r="G266" s="96">
        <v>25000582</v>
      </c>
      <c r="H266" s="96" t="s">
        <v>1013</v>
      </c>
      <c r="I266" s="96" t="s">
        <v>813</v>
      </c>
      <c r="J266" s="96" t="s">
        <v>203</v>
      </c>
      <c r="K266" s="96"/>
      <c r="L266" s="96" t="s">
        <v>470</v>
      </c>
      <c r="M266" s="96" t="s">
        <v>338</v>
      </c>
      <c r="N266" s="96" t="s">
        <v>337</v>
      </c>
      <c r="O266" s="96"/>
      <c r="P266" s="100">
        <v>44230</v>
      </c>
      <c r="Q266" s="96" t="s">
        <v>1520</v>
      </c>
      <c r="R266" s="96" t="s">
        <v>414</v>
      </c>
      <c r="S266" s="96" t="s">
        <v>407</v>
      </c>
      <c r="T266" s="96" t="s">
        <v>1200</v>
      </c>
      <c r="U266" s="97">
        <v>4.5999999999999996</v>
      </c>
      <c r="V266" s="96" t="s">
        <v>3678</v>
      </c>
      <c r="W266" s="98">
        <v>8.2660000000000008E-3</v>
      </c>
      <c r="X266" s="96"/>
      <c r="Y266" s="96"/>
      <c r="Z266" s="96"/>
      <c r="AA266" s="98">
        <v>3.5799999999999998E-2</v>
      </c>
      <c r="AB266" s="100">
        <v>48944</v>
      </c>
      <c r="AC266" s="96" t="s">
        <v>411</v>
      </c>
      <c r="AD266" s="96"/>
      <c r="AE266" s="96"/>
      <c r="AF266" s="96"/>
      <c r="AG266" s="100">
        <v>45291</v>
      </c>
      <c r="AH266" s="96"/>
      <c r="AI266" s="96"/>
      <c r="AJ266" s="96"/>
      <c r="AK266" s="96" t="s">
        <v>337</v>
      </c>
      <c r="AL266" s="96" t="s">
        <v>887</v>
      </c>
      <c r="AM266" s="96"/>
      <c r="AN266" s="96" t="s">
        <v>890</v>
      </c>
      <c r="AO266" s="100">
        <v>45473</v>
      </c>
      <c r="AP266" s="100">
        <v>45473</v>
      </c>
      <c r="AQ266" s="96"/>
      <c r="AR266" s="97">
        <v>420.19030600000002</v>
      </c>
      <c r="AS266" s="97">
        <v>100.14</v>
      </c>
      <c r="AT266" s="97">
        <v>1</v>
      </c>
      <c r="AU266" s="97">
        <v>0.42077799999999999</v>
      </c>
      <c r="AV266" s="97">
        <v>0.42077799999999999</v>
      </c>
      <c r="AW266" s="96"/>
      <c r="AX266" s="96"/>
      <c r="AY266" s="96"/>
      <c r="AZ266" s="96"/>
      <c r="BA266" s="98">
        <v>2.34E-4</v>
      </c>
      <c r="BB266" s="98">
        <v>7.9999999999999996E-6</v>
      </c>
      <c r="BC266" s="106"/>
    </row>
    <row r="267" spans="1:55" ht="15" customHeight="1">
      <c r="A267" s="106"/>
      <c r="B267" s="96">
        <v>286</v>
      </c>
      <c r="C267" s="96">
        <v>1445</v>
      </c>
      <c r="D267" s="96"/>
      <c r="E267" s="96"/>
      <c r="F267" s="96"/>
      <c r="G267" s="96">
        <v>25000629</v>
      </c>
      <c r="H267" s="96" t="s">
        <v>1013</v>
      </c>
      <c r="I267" s="96"/>
      <c r="J267" s="96" t="s">
        <v>203</v>
      </c>
      <c r="K267" s="96"/>
      <c r="L267" s="96" t="s">
        <v>476</v>
      </c>
      <c r="M267" s="96" t="s">
        <v>338</v>
      </c>
      <c r="N267" s="96" t="s">
        <v>338</v>
      </c>
      <c r="O267" s="96"/>
      <c r="P267" s="100">
        <v>44480</v>
      </c>
      <c r="Q267" s="96" t="s">
        <v>1320</v>
      </c>
      <c r="R267" s="96" t="s">
        <v>412</v>
      </c>
      <c r="S267" s="96" t="s">
        <v>407</v>
      </c>
      <c r="T267" s="96" t="s">
        <v>1200</v>
      </c>
      <c r="U267" s="97">
        <v>1.22</v>
      </c>
      <c r="V267" s="96" t="s">
        <v>3678</v>
      </c>
      <c r="W267" s="98">
        <v>6.7000000000000002E-3</v>
      </c>
      <c r="X267" s="96"/>
      <c r="Y267" s="96"/>
      <c r="Z267" s="96"/>
      <c r="AA267" s="98">
        <v>7.3599999999999999E-2</v>
      </c>
      <c r="AB267" s="100">
        <v>46295</v>
      </c>
      <c r="AC267" s="96" t="s">
        <v>411</v>
      </c>
      <c r="AD267" s="96"/>
      <c r="AE267" s="96"/>
      <c r="AF267" s="96"/>
      <c r="AG267" s="100">
        <v>45158</v>
      </c>
      <c r="AH267" s="96"/>
      <c r="AI267" s="96"/>
      <c r="AJ267" s="96"/>
      <c r="AK267" s="96" t="s">
        <v>337</v>
      </c>
      <c r="AL267" s="96" t="s">
        <v>887</v>
      </c>
      <c r="AM267" s="96"/>
      <c r="AN267" s="96" t="s">
        <v>890</v>
      </c>
      <c r="AO267" s="100">
        <v>45473</v>
      </c>
      <c r="AP267" s="100">
        <v>45473</v>
      </c>
      <c r="AQ267" s="96"/>
      <c r="AR267" s="97">
        <v>2842.42497</v>
      </c>
      <c r="AS267" s="97">
        <v>102.59</v>
      </c>
      <c r="AT267" s="97">
        <v>1</v>
      </c>
      <c r="AU267" s="97">
        <v>2.9160430000000002</v>
      </c>
      <c r="AV267" s="97">
        <v>2.9160430000000002</v>
      </c>
      <c r="AW267" s="96"/>
      <c r="AX267" s="96"/>
      <c r="AY267" s="96"/>
      <c r="AZ267" s="96"/>
      <c r="BA267" s="98">
        <v>1.6230000000000001E-3</v>
      </c>
      <c r="BB267" s="98">
        <v>5.5000000000000002E-5</v>
      </c>
      <c r="BC267" s="106"/>
    </row>
    <row r="268" spans="1:55" ht="15" customHeight="1">
      <c r="A268" s="106"/>
      <c r="B268" s="96">
        <v>286</v>
      </c>
      <c r="C268" s="96">
        <v>1445</v>
      </c>
      <c r="D268" s="96"/>
      <c r="E268" s="96"/>
      <c r="F268" s="96"/>
      <c r="G268" s="96">
        <v>25000625</v>
      </c>
      <c r="H268" s="96" t="s">
        <v>1013</v>
      </c>
      <c r="I268" s="96"/>
      <c r="J268" s="96" t="s">
        <v>203</v>
      </c>
      <c r="K268" s="96"/>
      <c r="L268" s="96" t="s">
        <v>476</v>
      </c>
      <c r="M268" s="96" t="s">
        <v>338</v>
      </c>
      <c r="N268" s="96" t="s">
        <v>338</v>
      </c>
      <c r="O268" s="96"/>
      <c r="P268" s="100">
        <v>44452</v>
      </c>
      <c r="Q268" s="96" t="s">
        <v>3681</v>
      </c>
      <c r="R268" s="96" t="s">
        <v>311</v>
      </c>
      <c r="S268" s="96" t="s">
        <v>407</v>
      </c>
      <c r="T268" s="96" t="s">
        <v>1200</v>
      </c>
      <c r="U268" s="97">
        <v>0.48</v>
      </c>
      <c r="V268" s="96" t="s">
        <v>3678</v>
      </c>
      <c r="W268" s="98">
        <v>1.1999999999999999E-3</v>
      </c>
      <c r="X268" s="96"/>
      <c r="Y268" s="96"/>
      <c r="Z268" s="96"/>
      <c r="AA268" s="98">
        <v>2.7300000000000001E-2</v>
      </c>
      <c r="AB268" s="100">
        <v>45670</v>
      </c>
      <c r="AC268" s="96" t="s">
        <v>411</v>
      </c>
      <c r="AD268" s="96"/>
      <c r="AE268" s="96"/>
      <c r="AF268" s="96"/>
      <c r="AG268" s="100">
        <v>45173</v>
      </c>
      <c r="AH268" s="96"/>
      <c r="AI268" s="96"/>
      <c r="AJ268" s="96"/>
      <c r="AK268" s="96" t="s">
        <v>337</v>
      </c>
      <c r="AL268" s="96" t="s">
        <v>887</v>
      </c>
      <c r="AM268" s="96"/>
      <c r="AN268" s="96" t="s">
        <v>890</v>
      </c>
      <c r="AO268" s="100">
        <v>45473</v>
      </c>
      <c r="AP268" s="100">
        <v>45473</v>
      </c>
      <c r="AQ268" s="96"/>
      <c r="AR268" s="97">
        <v>1495.1712709999999</v>
      </c>
      <c r="AS268" s="97">
        <v>110.17</v>
      </c>
      <c r="AT268" s="97">
        <v>1</v>
      </c>
      <c r="AU268" s="97">
        <v>1.64723</v>
      </c>
      <c r="AV268" s="97">
        <v>1.64723</v>
      </c>
      <c r="AW268" s="96"/>
      <c r="AX268" s="96"/>
      <c r="AY268" s="96"/>
      <c r="AZ268" s="96"/>
      <c r="BA268" s="98">
        <v>9.1600000000000004E-4</v>
      </c>
      <c r="BB268" s="98">
        <v>3.1000000000000001E-5</v>
      </c>
      <c r="BC268" s="106"/>
    </row>
    <row r="269" spans="1:55" ht="15" customHeight="1">
      <c r="A269" s="106"/>
      <c r="B269" s="96">
        <v>286</v>
      </c>
      <c r="C269" s="96">
        <v>1445</v>
      </c>
      <c r="D269" s="96"/>
      <c r="E269" s="96"/>
      <c r="F269" s="96"/>
      <c r="G269" s="96">
        <v>25000631</v>
      </c>
      <c r="H269" s="96" t="s">
        <v>1013</v>
      </c>
      <c r="I269" s="96" t="s">
        <v>812</v>
      </c>
      <c r="J269" s="96" t="s">
        <v>203</v>
      </c>
      <c r="K269" s="96"/>
      <c r="L269" s="96" t="s">
        <v>454</v>
      </c>
      <c r="M269" s="96" t="s">
        <v>338</v>
      </c>
      <c r="N269" s="96" t="s">
        <v>337</v>
      </c>
      <c r="O269" s="96"/>
      <c r="P269" s="100">
        <v>44496</v>
      </c>
      <c r="Q269" s="96" t="s">
        <v>1357</v>
      </c>
      <c r="R269" s="96" t="s">
        <v>414</v>
      </c>
      <c r="S269" s="96" t="s">
        <v>407</v>
      </c>
      <c r="T269" s="96" t="s">
        <v>1200</v>
      </c>
      <c r="U269" s="97">
        <v>6.9</v>
      </c>
      <c r="V269" s="96" t="s">
        <v>3678</v>
      </c>
      <c r="W269" s="98">
        <v>3.1E-2</v>
      </c>
      <c r="X269" s="96"/>
      <c r="Y269" s="96"/>
      <c r="Z269" s="96"/>
      <c r="AA269" s="98">
        <v>6.4199999999999993E-2</v>
      </c>
      <c r="AB269" s="100">
        <v>51677</v>
      </c>
      <c r="AC269" s="96" t="s">
        <v>411</v>
      </c>
      <c r="AD269" s="96"/>
      <c r="AE269" s="96"/>
      <c r="AF269" s="96"/>
      <c r="AG269" s="100">
        <v>45291</v>
      </c>
      <c r="AH269" s="96"/>
      <c r="AI269" s="96"/>
      <c r="AJ269" s="96"/>
      <c r="AK269" s="96" t="s">
        <v>337</v>
      </c>
      <c r="AL269" s="96" t="s">
        <v>887</v>
      </c>
      <c r="AM269" s="96"/>
      <c r="AN269" s="96" t="s">
        <v>890</v>
      </c>
      <c r="AO269" s="100">
        <v>45473</v>
      </c>
      <c r="AP269" s="100">
        <v>45473</v>
      </c>
      <c r="AQ269" s="96"/>
      <c r="AR269" s="97">
        <v>8271.7900000000009</v>
      </c>
      <c r="AS269" s="97">
        <v>86.16</v>
      </c>
      <c r="AT269" s="97">
        <v>1</v>
      </c>
      <c r="AU269" s="97">
        <v>7.12697</v>
      </c>
      <c r="AV269" s="97">
        <v>7.12697</v>
      </c>
      <c r="AW269" s="96"/>
      <c r="AX269" s="96"/>
      <c r="AY269" s="96"/>
      <c r="AZ269" s="96"/>
      <c r="BA269" s="98">
        <v>3.967E-3</v>
      </c>
      <c r="BB269" s="98">
        <v>1.35E-4</v>
      </c>
      <c r="BC269" s="106"/>
    </row>
    <row r="270" spans="1:55" ht="15" customHeight="1">
      <c r="A270" s="106"/>
      <c r="B270" s="96">
        <v>286</v>
      </c>
      <c r="C270" s="96">
        <v>1445</v>
      </c>
      <c r="D270" s="96"/>
      <c r="E270" s="96"/>
      <c r="F270" s="96"/>
      <c r="G270" s="96">
        <v>25000749</v>
      </c>
      <c r="H270" s="96" t="s">
        <v>1013</v>
      </c>
      <c r="I270" s="96" t="s">
        <v>3684</v>
      </c>
      <c r="J270" s="96" t="s">
        <v>203</v>
      </c>
      <c r="K270" s="96"/>
      <c r="L270" s="96" t="s">
        <v>463</v>
      </c>
      <c r="M270" s="96" t="s">
        <v>338</v>
      </c>
      <c r="N270" s="96" t="s">
        <v>337</v>
      </c>
      <c r="O270" s="96"/>
      <c r="P270" s="100">
        <v>44868</v>
      </c>
      <c r="Q270" s="96" t="s">
        <v>3681</v>
      </c>
      <c r="R270" s="96" t="s">
        <v>311</v>
      </c>
      <c r="S270" s="96" t="s">
        <v>407</v>
      </c>
      <c r="T270" s="96" t="s">
        <v>1200</v>
      </c>
      <c r="U270" s="97">
        <v>0.34</v>
      </c>
      <c r="V270" s="96" t="s">
        <v>824</v>
      </c>
      <c r="W270" s="98">
        <v>7.8E-2</v>
      </c>
      <c r="X270" s="96"/>
      <c r="Y270" s="96"/>
      <c r="Z270" s="96"/>
      <c r="AA270" s="98">
        <v>6.2100000000000002E-2</v>
      </c>
      <c r="AB270" s="100">
        <v>45599</v>
      </c>
      <c r="AC270" s="96" t="s">
        <v>411</v>
      </c>
      <c r="AD270" s="96"/>
      <c r="AE270" s="96"/>
      <c r="AF270" s="96"/>
      <c r="AG270" s="100">
        <v>45075</v>
      </c>
      <c r="AH270" s="96"/>
      <c r="AI270" s="96"/>
      <c r="AJ270" s="96"/>
      <c r="AK270" s="96" t="s">
        <v>337</v>
      </c>
      <c r="AL270" s="96" t="s">
        <v>887</v>
      </c>
      <c r="AM270" s="96"/>
      <c r="AN270" s="96" t="s">
        <v>890</v>
      </c>
      <c r="AO270" s="100">
        <v>45473</v>
      </c>
      <c r="AP270" s="100">
        <v>45473</v>
      </c>
      <c r="AQ270" s="96"/>
      <c r="AR270" s="97">
        <v>653.42592200000001</v>
      </c>
      <c r="AS270" s="97">
        <v>100.74</v>
      </c>
      <c r="AT270" s="97">
        <v>1</v>
      </c>
      <c r="AU270" s="97">
        <v>0.65826099999999999</v>
      </c>
      <c r="AV270" s="97">
        <v>0.65826099999999999</v>
      </c>
      <c r="AW270" s="96"/>
      <c r="AX270" s="96"/>
      <c r="AY270" s="96"/>
      <c r="AZ270" s="96"/>
      <c r="BA270" s="98">
        <v>3.6600000000000001E-4</v>
      </c>
      <c r="BB270" s="98">
        <v>1.2E-5</v>
      </c>
      <c r="BC270" s="106"/>
    </row>
    <row r="271" spans="1:55" ht="15" customHeight="1">
      <c r="A271" s="106"/>
      <c r="B271" s="96">
        <v>286</v>
      </c>
      <c r="C271" s="96">
        <v>1445</v>
      </c>
      <c r="D271" s="96"/>
      <c r="E271" s="96"/>
      <c r="F271" s="96"/>
      <c r="G271" s="96">
        <v>25100500</v>
      </c>
      <c r="H271" s="96" t="s">
        <v>1013</v>
      </c>
      <c r="I271" s="96"/>
      <c r="J271" s="96" t="s">
        <v>204</v>
      </c>
      <c r="K271" s="96"/>
      <c r="L271" s="96" t="s">
        <v>536</v>
      </c>
      <c r="M271" s="96" t="s">
        <v>338</v>
      </c>
      <c r="N271" s="96" t="s">
        <v>338</v>
      </c>
      <c r="O271" s="96"/>
      <c r="P271" s="100">
        <v>45047</v>
      </c>
      <c r="Q271" s="96" t="s">
        <v>3681</v>
      </c>
      <c r="R271" s="96" t="s">
        <v>311</v>
      </c>
      <c r="S271" s="96" t="s">
        <v>407</v>
      </c>
      <c r="T271" s="96" t="s">
        <v>1201</v>
      </c>
      <c r="U271" s="97">
        <v>1.55</v>
      </c>
      <c r="V271" s="96" t="s">
        <v>3678</v>
      </c>
      <c r="W271" s="98">
        <v>7.0000000000000007E-2</v>
      </c>
      <c r="X271" s="96"/>
      <c r="Y271" s="96"/>
      <c r="Z271" s="96"/>
      <c r="AA271" s="98">
        <v>6.7400000000000002E-2</v>
      </c>
      <c r="AB271" s="100">
        <v>46843</v>
      </c>
      <c r="AC271" s="96" t="s">
        <v>411</v>
      </c>
      <c r="AD271" s="96"/>
      <c r="AE271" s="96"/>
      <c r="AF271" s="96"/>
      <c r="AG271" s="100">
        <v>44644</v>
      </c>
      <c r="AH271" s="96"/>
      <c r="AI271" s="96"/>
      <c r="AJ271" s="96"/>
      <c r="AK271" s="96" t="s">
        <v>337</v>
      </c>
      <c r="AL271" s="96" t="s">
        <v>887</v>
      </c>
      <c r="AM271" s="96"/>
      <c r="AN271" s="96" t="s">
        <v>890</v>
      </c>
      <c r="AO271" s="100">
        <v>45473</v>
      </c>
      <c r="AP271" s="100">
        <v>45473</v>
      </c>
      <c r="AQ271" s="96"/>
      <c r="AR271" s="97">
        <v>2725.3966850000002</v>
      </c>
      <c r="AS271" s="97">
        <v>100.48</v>
      </c>
      <c r="AT271" s="97">
        <v>3.7589999999999999</v>
      </c>
      <c r="AU271" s="97">
        <v>10.293941</v>
      </c>
      <c r="AV271" s="97">
        <v>2.7384780000000002</v>
      </c>
      <c r="AW271" s="96"/>
      <c r="AX271" s="96"/>
      <c r="AY271" s="96"/>
      <c r="AZ271" s="96"/>
      <c r="BA271" s="98">
        <v>5.7289999999999997E-3</v>
      </c>
      <c r="BB271" s="98">
        <v>1.9599999999999999E-4</v>
      </c>
      <c r="BC271" s="106"/>
    </row>
    <row r="272" spans="1:55" ht="15" customHeight="1">
      <c r="A272" s="106"/>
      <c r="B272" s="96">
        <v>286</v>
      </c>
      <c r="C272" s="96">
        <v>1445</v>
      </c>
      <c r="D272" s="96"/>
      <c r="E272" s="96"/>
      <c r="F272" s="96"/>
      <c r="G272" s="96">
        <v>25100510</v>
      </c>
      <c r="H272" s="96" t="s">
        <v>1013</v>
      </c>
      <c r="I272" s="96"/>
      <c r="J272" s="96" t="s">
        <v>204</v>
      </c>
      <c r="K272" s="96"/>
      <c r="L272" s="96" t="s">
        <v>536</v>
      </c>
      <c r="M272" s="96" t="s">
        <v>338</v>
      </c>
      <c r="N272" s="96" t="s">
        <v>338</v>
      </c>
      <c r="O272" s="96"/>
      <c r="P272" s="100">
        <v>45047</v>
      </c>
      <c r="Q272" s="96" t="s">
        <v>2102</v>
      </c>
      <c r="R272" s="96" t="s">
        <v>311</v>
      </c>
      <c r="S272" s="96" t="s">
        <v>407</v>
      </c>
      <c r="T272" s="96" t="s">
        <v>1201</v>
      </c>
      <c r="U272" s="97">
        <v>2.5499999999999998</v>
      </c>
      <c r="V272" s="96" t="s">
        <v>3678</v>
      </c>
      <c r="W272" s="98">
        <v>7.0000000000000007E-2</v>
      </c>
      <c r="X272" s="96"/>
      <c r="Y272" s="96"/>
      <c r="Z272" s="96"/>
      <c r="AA272" s="98">
        <v>7.5200000000000003E-2</v>
      </c>
      <c r="AB272" s="100">
        <v>47087</v>
      </c>
      <c r="AC272" s="96" t="s">
        <v>411</v>
      </c>
      <c r="AD272" s="96"/>
      <c r="AE272" s="96"/>
      <c r="AF272" s="96"/>
      <c r="AG272" s="100">
        <v>44644</v>
      </c>
      <c r="AH272" s="96"/>
      <c r="AI272" s="96"/>
      <c r="AJ272" s="96"/>
      <c r="AK272" s="96" t="s">
        <v>337</v>
      </c>
      <c r="AL272" s="96" t="s">
        <v>887</v>
      </c>
      <c r="AM272" s="96"/>
      <c r="AN272" s="96" t="s">
        <v>890</v>
      </c>
      <c r="AO272" s="100">
        <v>45473</v>
      </c>
      <c r="AP272" s="100">
        <v>45473</v>
      </c>
      <c r="AQ272" s="96"/>
      <c r="AR272" s="97">
        <v>632.89569500000005</v>
      </c>
      <c r="AS272" s="97">
        <v>102.32</v>
      </c>
      <c r="AT272" s="97">
        <v>3.7589999999999999</v>
      </c>
      <c r="AU272" s="97">
        <v>2.4342480000000002</v>
      </c>
      <c r="AV272" s="97">
        <v>0.64757799999999999</v>
      </c>
      <c r="AW272" s="96"/>
      <c r="AX272" s="96"/>
      <c r="AY272" s="96"/>
      <c r="AZ272" s="96"/>
      <c r="BA272" s="98">
        <v>1.354E-3</v>
      </c>
      <c r="BB272" s="98">
        <v>4.6E-5</v>
      </c>
      <c r="BC272" s="106"/>
    </row>
    <row r="273" spans="1:55" ht="15" customHeight="1">
      <c r="A273" s="106"/>
      <c r="B273" s="96">
        <v>286</v>
      </c>
      <c r="C273" s="96">
        <v>1445</v>
      </c>
      <c r="D273" s="96"/>
      <c r="E273" s="96"/>
      <c r="F273" s="96"/>
      <c r="G273" s="96">
        <v>25100520</v>
      </c>
      <c r="H273" s="96" t="s">
        <v>1013</v>
      </c>
      <c r="I273" s="96"/>
      <c r="J273" s="96" t="s">
        <v>204</v>
      </c>
      <c r="K273" s="96"/>
      <c r="L273" s="96" t="s">
        <v>536</v>
      </c>
      <c r="M273" s="96" t="s">
        <v>338</v>
      </c>
      <c r="N273" s="96" t="s">
        <v>338</v>
      </c>
      <c r="O273" s="96"/>
      <c r="P273" s="100">
        <v>45047</v>
      </c>
      <c r="Q273" s="96" t="s">
        <v>409</v>
      </c>
      <c r="R273" s="96" t="s">
        <v>409</v>
      </c>
      <c r="S273" s="96" t="s">
        <v>409</v>
      </c>
      <c r="T273" s="96" t="s">
        <v>1201</v>
      </c>
      <c r="U273" s="97">
        <v>1</v>
      </c>
      <c r="V273" s="96" t="s">
        <v>3678</v>
      </c>
      <c r="W273" s="98">
        <v>0.6</v>
      </c>
      <c r="X273" s="96"/>
      <c r="Y273" s="96"/>
      <c r="Z273" s="96"/>
      <c r="AA273" s="98">
        <v>0.8649</v>
      </c>
      <c r="AB273" s="100">
        <v>47149</v>
      </c>
      <c r="AC273" s="96" t="s">
        <v>411</v>
      </c>
      <c r="AD273" s="96"/>
      <c r="AE273" s="96"/>
      <c r="AF273" s="96"/>
      <c r="AG273" s="100">
        <v>44644</v>
      </c>
      <c r="AH273" s="96"/>
      <c r="AI273" s="96"/>
      <c r="AJ273" s="96"/>
      <c r="AK273" s="96" t="s">
        <v>337</v>
      </c>
      <c r="AL273" s="96" t="s">
        <v>887</v>
      </c>
      <c r="AM273" s="96"/>
      <c r="AN273" s="96" t="s">
        <v>890</v>
      </c>
      <c r="AO273" s="100">
        <v>45473</v>
      </c>
      <c r="AP273" s="100">
        <v>45473</v>
      </c>
      <c r="AQ273" s="96"/>
      <c r="AR273" s="97">
        <v>320.23450200000002</v>
      </c>
      <c r="AS273" s="97">
        <v>101.12</v>
      </c>
      <c r="AT273" s="97">
        <v>3.7589999999999999</v>
      </c>
      <c r="AU273" s="97">
        <v>1.2172430000000001</v>
      </c>
      <c r="AV273" s="97">
        <v>0.32382100000000003</v>
      </c>
      <c r="AW273" s="96"/>
      <c r="AX273" s="96"/>
      <c r="AY273" s="96"/>
      <c r="AZ273" s="96"/>
      <c r="BA273" s="98">
        <v>6.7699999999999998E-4</v>
      </c>
      <c r="BB273" s="98">
        <v>2.3E-5</v>
      </c>
      <c r="BC273" s="106"/>
    </row>
    <row r="274" spans="1:55" ht="15" customHeight="1">
      <c r="A274" s="106"/>
      <c r="B274" s="96">
        <v>286</v>
      </c>
      <c r="C274" s="96">
        <v>1445</v>
      </c>
      <c r="D274" s="96"/>
      <c r="E274" s="96"/>
      <c r="F274" s="96"/>
      <c r="G274" s="96">
        <v>25100350</v>
      </c>
      <c r="H274" s="96" t="s">
        <v>1013</v>
      </c>
      <c r="I274" s="96" t="s">
        <v>813</v>
      </c>
      <c r="J274" s="96" t="s">
        <v>204</v>
      </c>
      <c r="K274" s="96"/>
      <c r="L274" s="96" t="s">
        <v>485</v>
      </c>
      <c r="M274" s="96" t="s">
        <v>338</v>
      </c>
      <c r="N274" s="96" t="s">
        <v>337</v>
      </c>
      <c r="O274" s="96"/>
      <c r="P274" s="100">
        <v>45257</v>
      </c>
      <c r="Q274" s="96" t="s">
        <v>1324</v>
      </c>
      <c r="R274" s="96" t="s">
        <v>412</v>
      </c>
      <c r="S274" s="96" t="s">
        <v>407</v>
      </c>
      <c r="T274" s="96" t="s">
        <v>1201</v>
      </c>
      <c r="U274" s="97">
        <v>2.69</v>
      </c>
      <c r="V274" s="96" t="s">
        <v>824</v>
      </c>
      <c r="W274" s="98">
        <v>0.10416400000000001</v>
      </c>
      <c r="X274" s="96"/>
      <c r="Y274" s="96"/>
      <c r="Z274" s="96"/>
      <c r="AA274" s="98">
        <v>0.1008</v>
      </c>
      <c r="AB274" s="100">
        <v>46990</v>
      </c>
      <c r="AC274" s="96" t="s">
        <v>411</v>
      </c>
      <c r="AD274" s="96"/>
      <c r="AE274" s="96"/>
      <c r="AF274" s="96"/>
      <c r="AG274" s="100">
        <v>45291</v>
      </c>
      <c r="AH274" s="96"/>
      <c r="AI274" s="96"/>
      <c r="AJ274" s="96"/>
      <c r="AK274" s="96" t="s">
        <v>337</v>
      </c>
      <c r="AL274" s="96" t="s">
        <v>887</v>
      </c>
      <c r="AM274" s="96"/>
      <c r="AN274" s="96" t="s">
        <v>890</v>
      </c>
      <c r="AO274" s="100">
        <v>45473</v>
      </c>
      <c r="AP274" s="100">
        <v>45473</v>
      </c>
      <c r="AQ274" s="96"/>
      <c r="AR274" s="97">
        <v>1684.1312330000001</v>
      </c>
      <c r="AS274" s="97">
        <v>100.84</v>
      </c>
      <c r="AT274" s="97">
        <v>3.7589999999999999</v>
      </c>
      <c r="AU274" s="97">
        <v>6.383826</v>
      </c>
      <c r="AV274" s="97">
        <v>1.698277</v>
      </c>
      <c r="AW274" s="96"/>
      <c r="AX274" s="96"/>
      <c r="AY274" s="96"/>
      <c r="AZ274" s="96"/>
      <c r="BA274" s="98">
        <v>3.5530000000000002E-3</v>
      </c>
      <c r="BB274" s="98">
        <v>1.21E-4</v>
      </c>
      <c r="BC274" s="106"/>
    </row>
    <row r="275" spans="1:55" ht="15" customHeight="1">
      <c r="A275" s="106"/>
      <c r="B275" s="96">
        <v>286</v>
      </c>
      <c r="C275" s="96">
        <v>1445</v>
      </c>
      <c r="D275" s="96"/>
      <c r="E275" s="96"/>
      <c r="F275" s="96"/>
      <c r="G275" s="96">
        <v>25100610</v>
      </c>
      <c r="H275" s="96" t="s">
        <v>1013</v>
      </c>
      <c r="I275" s="96"/>
      <c r="J275" s="96" t="s">
        <v>204</v>
      </c>
      <c r="K275" s="96"/>
      <c r="L275" s="96" t="s">
        <v>536</v>
      </c>
      <c r="M275" s="96" t="s">
        <v>338</v>
      </c>
      <c r="N275" s="96" t="s">
        <v>338</v>
      </c>
      <c r="O275" s="96"/>
      <c r="P275" s="100">
        <v>45054</v>
      </c>
      <c r="Q275" s="96" t="s">
        <v>409</v>
      </c>
      <c r="R275" s="96" t="s">
        <v>409</v>
      </c>
      <c r="S275" s="96" t="s">
        <v>409</v>
      </c>
      <c r="T275" s="96" t="s">
        <v>1201</v>
      </c>
      <c r="U275" s="97">
        <v>1.21</v>
      </c>
      <c r="V275" s="96" t="s">
        <v>824</v>
      </c>
      <c r="W275" s="98">
        <v>0.67500000000000004</v>
      </c>
      <c r="X275" s="96"/>
      <c r="Y275" s="96"/>
      <c r="Z275" s="96"/>
      <c r="AA275" s="98">
        <v>0.58340000000000003</v>
      </c>
      <c r="AB275" s="100">
        <v>47149</v>
      </c>
      <c r="AC275" s="96" t="s">
        <v>411</v>
      </c>
      <c r="AD275" s="96"/>
      <c r="AE275" s="96"/>
      <c r="AF275" s="96"/>
      <c r="AG275" s="100">
        <v>45054</v>
      </c>
      <c r="AH275" s="96"/>
      <c r="AI275" s="96"/>
      <c r="AJ275" s="96"/>
      <c r="AK275" s="96" t="s">
        <v>337</v>
      </c>
      <c r="AL275" s="96" t="s">
        <v>887</v>
      </c>
      <c r="AM275" s="96"/>
      <c r="AN275" s="96" t="s">
        <v>890</v>
      </c>
      <c r="AO275" s="100">
        <v>45473</v>
      </c>
      <c r="AP275" s="100">
        <v>45473</v>
      </c>
      <c r="AQ275" s="96"/>
      <c r="AR275" s="97">
        <v>560.39335100000005</v>
      </c>
      <c r="AS275" s="97">
        <v>108.3</v>
      </c>
      <c r="AT275" s="97">
        <v>3.7589999999999999</v>
      </c>
      <c r="AU275" s="97">
        <v>2.2813590000000001</v>
      </c>
      <c r="AV275" s="97">
        <v>0.60690500000000003</v>
      </c>
      <c r="AW275" s="96"/>
      <c r="AX275" s="96"/>
      <c r="AY275" s="96"/>
      <c r="AZ275" s="96"/>
      <c r="BA275" s="98">
        <v>1.2689999999999999E-3</v>
      </c>
      <c r="BB275" s="98">
        <v>4.3000000000000002E-5</v>
      </c>
      <c r="BC275" s="106"/>
    </row>
    <row r="276" spans="1:55" ht="15" customHeight="1">
      <c r="A276" s="106"/>
      <c r="B276" s="96">
        <v>286</v>
      </c>
      <c r="C276" s="96">
        <v>1445</v>
      </c>
      <c r="D276" s="96"/>
      <c r="E276" s="96"/>
      <c r="F276" s="96"/>
      <c r="G276" s="96">
        <v>25100600</v>
      </c>
      <c r="H276" s="96" t="s">
        <v>1013</v>
      </c>
      <c r="I276" s="96"/>
      <c r="J276" s="96" t="s">
        <v>204</v>
      </c>
      <c r="K276" s="96"/>
      <c r="L276" s="96" t="s">
        <v>536</v>
      </c>
      <c r="M276" s="96" t="s">
        <v>338</v>
      </c>
      <c r="N276" s="96" t="s">
        <v>338</v>
      </c>
      <c r="O276" s="96"/>
      <c r="P276" s="100">
        <v>45054</v>
      </c>
      <c r="Q276" s="96" t="s">
        <v>1698</v>
      </c>
      <c r="R276" s="96" t="s">
        <v>311</v>
      </c>
      <c r="S276" s="96" t="s">
        <v>407</v>
      </c>
      <c r="T276" s="96" t="s">
        <v>1201</v>
      </c>
      <c r="U276" s="97">
        <v>1.62</v>
      </c>
      <c r="V276" s="96" t="s">
        <v>824</v>
      </c>
      <c r="W276" s="98">
        <v>9.5000000000000001E-2</v>
      </c>
      <c r="X276" s="96"/>
      <c r="Y276" s="96"/>
      <c r="Z276" s="96"/>
      <c r="AA276" s="98">
        <v>6.2300000000000001E-2</v>
      </c>
      <c r="AB276" s="100">
        <v>47087</v>
      </c>
      <c r="AC276" s="96" t="s">
        <v>411</v>
      </c>
      <c r="AD276" s="96"/>
      <c r="AE276" s="96"/>
      <c r="AF276" s="96"/>
      <c r="AG276" s="100">
        <v>45054</v>
      </c>
      <c r="AH276" s="96"/>
      <c r="AI276" s="96"/>
      <c r="AJ276" s="96"/>
      <c r="AK276" s="96" t="s">
        <v>337</v>
      </c>
      <c r="AL276" s="96" t="s">
        <v>887</v>
      </c>
      <c r="AM276" s="96"/>
      <c r="AN276" s="96" t="s">
        <v>890</v>
      </c>
      <c r="AO276" s="100">
        <v>45473</v>
      </c>
      <c r="AP276" s="100">
        <v>45473</v>
      </c>
      <c r="AQ276" s="96"/>
      <c r="AR276" s="97">
        <v>3858.1489449999999</v>
      </c>
      <c r="AS276" s="97">
        <v>102.76</v>
      </c>
      <c r="AT276" s="97">
        <v>3.7589999999999999</v>
      </c>
      <c r="AU276" s="97">
        <v>14.903058</v>
      </c>
      <c r="AV276" s="97">
        <v>3.9646330000000001</v>
      </c>
      <c r="AW276" s="96"/>
      <c r="AX276" s="96"/>
      <c r="AY276" s="96"/>
      <c r="AZ276" s="96"/>
      <c r="BA276" s="98">
        <v>8.2950000000000003E-3</v>
      </c>
      <c r="BB276" s="98">
        <v>2.8299999999999999E-4</v>
      </c>
      <c r="BC276" s="106"/>
    </row>
    <row r="277" spans="1:55" ht="15" customHeight="1">
      <c r="A277" s="106"/>
      <c r="B277" s="96">
        <v>286</v>
      </c>
      <c r="C277" s="96">
        <v>1445</v>
      </c>
      <c r="D277" s="96"/>
      <c r="E277" s="96"/>
      <c r="F277" s="96"/>
      <c r="G277" s="96">
        <v>25100335</v>
      </c>
      <c r="H277" s="96" t="s">
        <v>1013</v>
      </c>
      <c r="I277" s="96" t="s">
        <v>812</v>
      </c>
      <c r="J277" s="96" t="s">
        <v>204</v>
      </c>
      <c r="K277" s="96"/>
      <c r="L277" s="96" t="s">
        <v>485</v>
      </c>
      <c r="M277" s="96" t="s">
        <v>338</v>
      </c>
      <c r="N277" s="96" t="s">
        <v>337</v>
      </c>
      <c r="O277" s="96"/>
      <c r="P277" s="100">
        <v>45071</v>
      </c>
      <c r="Q277" s="96" t="s">
        <v>1324</v>
      </c>
      <c r="R277" s="96" t="s">
        <v>412</v>
      </c>
      <c r="S277" s="96" t="s">
        <v>407</v>
      </c>
      <c r="T277" s="96" t="s">
        <v>1201</v>
      </c>
      <c r="U277" s="97">
        <v>2.68</v>
      </c>
      <c r="V277" s="96" t="s">
        <v>824</v>
      </c>
      <c r="W277" s="98">
        <v>5.7012E-2</v>
      </c>
      <c r="X277" s="96"/>
      <c r="Y277" s="96"/>
      <c r="Z277" s="96"/>
      <c r="AA277" s="98">
        <v>9.9500000000000005E-2</v>
      </c>
      <c r="AB277" s="100">
        <v>46990</v>
      </c>
      <c r="AC277" s="96" t="s">
        <v>411</v>
      </c>
      <c r="AD277" s="96"/>
      <c r="AE277" s="96"/>
      <c r="AF277" s="96"/>
      <c r="AG277" s="100">
        <v>45291</v>
      </c>
      <c r="AH277" s="96"/>
      <c r="AI277" s="96"/>
      <c r="AJ277" s="96"/>
      <c r="AK277" s="96" t="s">
        <v>337</v>
      </c>
      <c r="AL277" s="96" t="s">
        <v>887</v>
      </c>
      <c r="AM277" s="96"/>
      <c r="AN277" s="96" t="s">
        <v>890</v>
      </c>
      <c r="AO277" s="100">
        <v>45473</v>
      </c>
      <c r="AP277" s="100">
        <v>45473</v>
      </c>
      <c r="AQ277" s="96"/>
      <c r="AR277" s="97">
        <v>635.00329999999997</v>
      </c>
      <c r="AS277" s="97">
        <v>99.84</v>
      </c>
      <c r="AT277" s="97">
        <v>3.7589999999999999</v>
      </c>
      <c r="AU277" s="97">
        <v>2.3831579999999999</v>
      </c>
      <c r="AV277" s="97">
        <v>0.63398699999999997</v>
      </c>
      <c r="AW277" s="96"/>
      <c r="AX277" s="96"/>
      <c r="AY277" s="96"/>
      <c r="AZ277" s="96"/>
      <c r="BA277" s="98">
        <v>1.3259999999999999E-3</v>
      </c>
      <c r="BB277" s="98">
        <v>4.5000000000000003E-5</v>
      </c>
      <c r="BC277" s="106"/>
    </row>
    <row r="278" spans="1:55" ht="15" customHeight="1">
      <c r="A278" s="106"/>
      <c r="B278" s="96">
        <v>286</v>
      </c>
      <c r="C278" s="96">
        <v>1445</v>
      </c>
      <c r="D278" s="96"/>
      <c r="E278" s="96"/>
      <c r="F278" s="96"/>
      <c r="G278" s="96">
        <v>25100338</v>
      </c>
      <c r="H278" s="96" t="s">
        <v>1013</v>
      </c>
      <c r="I278" s="96" t="s">
        <v>813</v>
      </c>
      <c r="J278" s="96" t="s">
        <v>204</v>
      </c>
      <c r="K278" s="96"/>
      <c r="L278" s="96" t="s">
        <v>485</v>
      </c>
      <c r="M278" s="96" t="s">
        <v>338</v>
      </c>
      <c r="N278" s="96" t="s">
        <v>337</v>
      </c>
      <c r="O278" s="96"/>
      <c r="P278" s="100">
        <v>45020</v>
      </c>
      <c r="Q278" s="96" t="s">
        <v>3683</v>
      </c>
      <c r="R278" s="96" t="s">
        <v>412</v>
      </c>
      <c r="S278" s="96" t="s">
        <v>407</v>
      </c>
      <c r="T278" s="96" t="s">
        <v>1201</v>
      </c>
      <c r="U278" s="97">
        <v>2.21</v>
      </c>
      <c r="V278" s="96" t="s">
        <v>824</v>
      </c>
      <c r="W278" s="98">
        <v>5.1116000000000002E-2</v>
      </c>
      <c r="X278" s="96"/>
      <c r="Y278" s="96"/>
      <c r="Z278" s="96"/>
      <c r="AA278" s="98">
        <v>9.6100000000000005E-2</v>
      </c>
      <c r="AB278" s="100">
        <v>47115</v>
      </c>
      <c r="AC278" s="96" t="s">
        <v>411</v>
      </c>
      <c r="AD278" s="96"/>
      <c r="AE278" s="96"/>
      <c r="AF278" s="96"/>
      <c r="AG278" s="100">
        <v>45291</v>
      </c>
      <c r="AH278" s="96"/>
      <c r="AI278" s="96"/>
      <c r="AJ278" s="96"/>
      <c r="AK278" s="96" t="s">
        <v>337</v>
      </c>
      <c r="AL278" s="96" t="s">
        <v>887</v>
      </c>
      <c r="AM278" s="96"/>
      <c r="AN278" s="96" t="s">
        <v>890</v>
      </c>
      <c r="AO278" s="100">
        <v>45473</v>
      </c>
      <c r="AP278" s="100">
        <v>45473</v>
      </c>
      <c r="AQ278" s="96"/>
      <c r="AR278" s="97">
        <v>1645.055548</v>
      </c>
      <c r="AS278" s="97">
        <v>101.17</v>
      </c>
      <c r="AT278" s="97">
        <v>3.7589999999999999</v>
      </c>
      <c r="AU278" s="97">
        <v>6.256113</v>
      </c>
      <c r="AV278" s="97">
        <v>1.6643019999999999</v>
      </c>
      <c r="AW278" s="96"/>
      <c r="AX278" s="96"/>
      <c r="AY278" s="96"/>
      <c r="AZ278" s="96"/>
      <c r="BA278" s="98">
        <v>3.4819999999999999E-3</v>
      </c>
      <c r="BB278" s="98">
        <v>1.1900000000000001E-4</v>
      </c>
      <c r="BC278" s="106"/>
    </row>
    <row r="279" spans="1:55" ht="15" customHeight="1">
      <c r="A279" s="106"/>
      <c r="B279" s="96">
        <v>286</v>
      </c>
      <c r="C279" s="96">
        <v>1445</v>
      </c>
      <c r="D279" s="96"/>
      <c r="E279" s="96"/>
      <c r="F279" s="96"/>
      <c r="G279" s="96">
        <v>25100088</v>
      </c>
      <c r="H279" s="96" t="s">
        <v>1013</v>
      </c>
      <c r="I279" s="96" t="s">
        <v>813</v>
      </c>
      <c r="J279" s="96" t="s">
        <v>204</v>
      </c>
      <c r="K279" s="96"/>
      <c r="L279" s="96" t="s">
        <v>485</v>
      </c>
      <c r="M279" s="96" t="s">
        <v>338</v>
      </c>
      <c r="N279" s="96" t="s">
        <v>337</v>
      </c>
      <c r="O279" s="96"/>
      <c r="P279" s="100">
        <v>43546</v>
      </c>
      <c r="Q279" s="96" t="s">
        <v>2290</v>
      </c>
      <c r="R279" s="96" t="s">
        <v>430</v>
      </c>
      <c r="S279" s="96" t="s">
        <v>407</v>
      </c>
      <c r="T279" s="96" t="s">
        <v>1201</v>
      </c>
      <c r="U279" s="97">
        <v>0.71</v>
      </c>
      <c r="V279" s="96" t="s">
        <v>824</v>
      </c>
      <c r="W279" s="98">
        <v>9.3361990000000006E-2</v>
      </c>
      <c r="X279" s="96"/>
      <c r="Y279" s="96"/>
      <c r="Z279" s="96"/>
      <c r="AA279" s="98">
        <v>9.0200000000000002E-2</v>
      </c>
      <c r="AB279" s="100">
        <v>45738</v>
      </c>
      <c r="AC279" s="96" t="s">
        <v>411</v>
      </c>
      <c r="AD279" s="96"/>
      <c r="AE279" s="96"/>
      <c r="AF279" s="96"/>
      <c r="AG279" s="100">
        <v>45291</v>
      </c>
      <c r="AH279" s="96"/>
      <c r="AI279" s="96"/>
      <c r="AJ279" s="96"/>
      <c r="AK279" s="96" t="s">
        <v>337</v>
      </c>
      <c r="AL279" s="96" t="s">
        <v>887</v>
      </c>
      <c r="AM279" s="96"/>
      <c r="AN279" s="96" t="s">
        <v>890</v>
      </c>
      <c r="AO279" s="100">
        <v>45473</v>
      </c>
      <c r="AP279" s="100">
        <v>45473</v>
      </c>
      <c r="AQ279" s="96"/>
      <c r="AR279" s="97">
        <v>3592.9611340000001</v>
      </c>
      <c r="AS279" s="97">
        <v>103.16</v>
      </c>
      <c r="AT279" s="97">
        <v>3.7589999999999999</v>
      </c>
      <c r="AU279" s="97">
        <v>13.932727999999999</v>
      </c>
      <c r="AV279" s="97">
        <v>3.7064979999999998</v>
      </c>
      <c r="AW279" s="96"/>
      <c r="AX279" s="96"/>
      <c r="AY279" s="96"/>
      <c r="AZ279" s="96"/>
      <c r="BA279" s="98">
        <v>7.7549999999999997E-3</v>
      </c>
      <c r="BB279" s="98">
        <v>2.6499999999999999E-4</v>
      </c>
      <c r="BC279" s="106"/>
    </row>
    <row r="280" spans="1:55" ht="15" customHeight="1">
      <c r="A280" s="106"/>
      <c r="B280" s="96">
        <v>286</v>
      </c>
      <c r="C280" s="96">
        <v>1445</v>
      </c>
      <c r="D280" s="96"/>
      <c r="E280" s="96"/>
      <c r="F280" s="96"/>
      <c r="G280" s="96">
        <v>25100093</v>
      </c>
      <c r="H280" s="96" t="s">
        <v>1013</v>
      </c>
      <c r="I280" s="96" t="s">
        <v>813</v>
      </c>
      <c r="J280" s="96" t="s">
        <v>204</v>
      </c>
      <c r="K280" s="96"/>
      <c r="L280" s="96" t="s">
        <v>485</v>
      </c>
      <c r="M280" s="96" t="s">
        <v>338</v>
      </c>
      <c r="N280" s="96" t="s">
        <v>337</v>
      </c>
      <c r="O280" s="96"/>
      <c r="P280" s="100">
        <v>43570</v>
      </c>
      <c r="Q280" s="96" t="s">
        <v>3689</v>
      </c>
      <c r="R280" s="96" t="s">
        <v>430</v>
      </c>
      <c r="S280" s="96" t="s">
        <v>407</v>
      </c>
      <c r="T280" s="96" t="s">
        <v>1201</v>
      </c>
      <c r="U280" s="97">
        <v>1.42</v>
      </c>
      <c r="V280" s="96" t="s">
        <v>824</v>
      </c>
      <c r="W280" s="98">
        <v>3.7499999999999999E-2</v>
      </c>
      <c r="X280" s="96"/>
      <c r="Y280" s="96"/>
      <c r="Z280" s="96"/>
      <c r="AA280" s="98">
        <v>8.2799999999999999E-2</v>
      </c>
      <c r="AB280" s="100">
        <v>46053</v>
      </c>
      <c r="AC280" s="96" t="s">
        <v>411</v>
      </c>
      <c r="AD280" s="96"/>
      <c r="AE280" s="96"/>
      <c r="AF280" s="96"/>
      <c r="AG280" s="100">
        <v>44926</v>
      </c>
      <c r="AH280" s="96"/>
      <c r="AI280" s="96"/>
      <c r="AJ280" s="96"/>
      <c r="AK280" s="96" t="s">
        <v>337</v>
      </c>
      <c r="AL280" s="96" t="s">
        <v>887</v>
      </c>
      <c r="AM280" s="96"/>
      <c r="AN280" s="96" t="s">
        <v>890</v>
      </c>
      <c r="AO280" s="100">
        <v>45473</v>
      </c>
      <c r="AP280" s="100">
        <v>45473</v>
      </c>
      <c r="AQ280" s="96"/>
      <c r="AR280" s="97">
        <v>2405.824779</v>
      </c>
      <c r="AS280" s="97">
        <v>108.14</v>
      </c>
      <c r="AT280" s="97">
        <v>3.7589999999999999</v>
      </c>
      <c r="AU280" s="97">
        <v>9.7796350000000007</v>
      </c>
      <c r="AV280" s="97">
        <v>2.601658</v>
      </c>
      <c r="AW280" s="96"/>
      <c r="AX280" s="96"/>
      <c r="AY280" s="96"/>
      <c r="AZ280" s="96"/>
      <c r="BA280" s="98">
        <v>5.4429999999999999E-3</v>
      </c>
      <c r="BB280" s="98">
        <v>1.8599999999999999E-4</v>
      </c>
      <c r="BC280" s="106"/>
    </row>
    <row r="281" spans="1:55" ht="15" customHeight="1">
      <c r="A281" s="106"/>
      <c r="B281" s="96">
        <v>286</v>
      </c>
      <c r="C281" s="96">
        <v>1445</v>
      </c>
      <c r="D281" s="96"/>
      <c r="E281" s="96"/>
      <c r="F281" s="96"/>
      <c r="G281" s="96">
        <v>25100077</v>
      </c>
      <c r="H281" s="96" t="s">
        <v>1013</v>
      </c>
      <c r="I281" s="96" t="s">
        <v>813</v>
      </c>
      <c r="J281" s="96" t="s">
        <v>204</v>
      </c>
      <c r="K281" s="96"/>
      <c r="L281" s="96" t="s">
        <v>485</v>
      </c>
      <c r="M281" s="96" t="s">
        <v>338</v>
      </c>
      <c r="N281" s="96" t="s">
        <v>337</v>
      </c>
      <c r="O281" s="96"/>
      <c r="P281" s="100">
        <v>43482</v>
      </c>
      <c r="Q281" s="96" t="s">
        <v>1698</v>
      </c>
      <c r="R281" s="96" t="s">
        <v>422</v>
      </c>
      <c r="S281" s="96" t="s">
        <v>407</v>
      </c>
      <c r="T281" s="96" t="s">
        <v>1201</v>
      </c>
      <c r="U281" s="97">
        <v>6.2</v>
      </c>
      <c r="V281" s="96" t="s">
        <v>3678</v>
      </c>
      <c r="W281" s="98">
        <v>5.3900000000000003E-2</v>
      </c>
      <c r="X281" s="96"/>
      <c r="Y281" s="96"/>
      <c r="Z281" s="96"/>
      <c r="AA281" s="98">
        <v>6.5699999999999995E-2</v>
      </c>
      <c r="AB281" s="100">
        <v>50860</v>
      </c>
      <c r="AC281" s="96" t="s">
        <v>411</v>
      </c>
      <c r="AD281" s="96"/>
      <c r="AE281" s="96"/>
      <c r="AF281" s="96"/>
      <c r="AG281" s="100">
        <v>45291</v>
      </c>
      <c r="AH281" s="96"/>
      <c r="AI281" s="96"/>
      <c r="AJ281" s="96"/>
      <c r="AK281" s="96" t="s">
        <v>337</v>
      </c>
      <c r="AL281" s="96" t="s">
        <v>887</v>
      </c>
      <c r="AM281" s="96"/>
      <c r="AN281" s="96" t="s">
        <v>890</v>
      </c>
      <c r="AO281" s="100">
        <v>45473</v>
      </c>
      <c r="AP281" s="100">
        <v>45473</v>
      </c>
      <c r="AQ281" s="96"/>
      <c r="AR281" s="97">
        <v>4651.8938109999999</v>
      </c>
      <c r="AS281" s="97">
        <v>95.02</v>
      </c>
      <c r="AT281" s="97">
        <v>3.7589999999999999</v>
      </c>
      <c r="AU281" s="97">
        <v>16.615642000000001</v>
      </c>
      <c r="AV281" s="97">
        <v>4.420229</v>
      </c>
      <c r="AW281" s="96"/>
      <c r="AX281" s="96"/>
      <c r="AY281" s="96"/>
      <c r="AZ281" s="96"/>
      <c r="BA281" s="98">
        <v>9.2479999999999993E-3</v>
      </c>
      <c r="BB281" s="98">
        <v>3.1599999999999998E-4</v>
      </c>
      <c r="BC281" s="106"/>
    </row>
    <row r="282" spans="1:55" ht="15" customHeight="1">
      <c r="A282" s="106"/>
      <c r="B282" s="96">
        <v>286</v>
      </c>
      <c r="C282" s="96">
        <v>1445</v>
      </c>
      <c r="D282" s="96"/>
      <c r="E282" s="96"/>
      <c r="F282" s="96"/>
      <c r="G282" s="96">
        <v>25100239</v>
      </c>
      <c r="H282" s="96" t="s">
        <v>1013</v>
      </c>
      <c r="I282" s="96" t="s">
        <v>795</v>
      </c>
      <c r="J282" s="96" t="s">
        <v>204</v>
      </c>
      <c r="K282" s="96"/>
      <c r="L282" s="96" t="s">
        <v>567</v>
      </c>
      <c r="M282" s="96" t="s">
        <v>338</v>
      </c>
      <c r="N282" s="96" t="s">
        <v>337</v>
      </c>
      <c r="O282" s="96"/>
      <c r="P282" s="100">
        <v>44672</v>
      </c>
      <c r="Q282" s="96" t="s">
        <v>409</v>
      </c>
      <c r="R282" s="96" t="s">
        <v>409</v>
      </c>
      <c r="S282" s="96" t="s">
        <v>409</v>
      </c>
      <c r="T282" s="96" t="s">
        <v>1201</v>
      </c>
      <c r="U282" s="97">
        <v>0.01</v>
      </c>
      <c r="V282" s="96" t="s">
        <v>824</v>
      </c>
      <c r="W282" s="98">
        <v>0.13170000000000001</v>
      </c>
      <c r="X282" s="96"/>
      <c r="Y282" s="96"/>
      <c r="Z282" s="96"/>
      <c r="AA282" s="98">
        <v>7.1599999999999997E-2</v>
      </c>
      <c r="AB282" s="100">
        <v>45504</v>
      </c>
      <c r="AC282" s="96" t="s">
        <v>411</v>
      </c>
      <c r="AD282" s="96"/>
      <c r="AE282" s="96"/>
      <c r="AF282" s="96"/>
      <c r="AG282" s="100">
        <v>44903</v>
      </c>
      <c r="AH282" s="96"/>
      <c r="AI282" s="96"/>
      <c r="AJ282" s="96"/>
      <c r="AK282" s="96" t="s">
        <v>337</v>
      </c>
      <c r="AL282" s="96" t="s">
        <v>887</v>
      </c>
      <c r="AM282" s="96"/>
      <c r="AN282" s="96" t="s">
        <v>890</v>
      </c>
      <c r="AO282" s="100">
        <v>45473</v>
      </c>
      <c r="AP282" s="100">
        <v>45473</v>
      </c>
      <c r="AQ282" s="96"/>
      <c r="AR282" s="97">
        <v>2620.421351</v>
      </c>
      <c r="AS282" s="97">
        <v>103.3</v>
      </c>
      <c r="AT282" s="97">
        <v>3.7589999999999999</v>
      </c>
      <c r="AU282" s="97">
        <v>10.175219</v>
      </c>
      <c r="AV282" s="97">
        <v>2.7068949999999998</v>
      </c>
      <c r="AW282" s="96"/>
      <c r="AX282" s="96"/>
      <c r="AY282" s="96"/>
      <c r="AZ282" s="96"/>
      <c r="BA282" s="98">
        <v>5.6629999999999996E-3</v>
      </c>
      <c r="BB282" s="98">
        <v>1.93E-4</v>
      </c>
      <c r="BC282" s="106"/>
    </row>
    <row r="283" spans="1:55" ht="15" customHeight="1">
      <c r="A283" s="106"/>
      <c r="B283" s="96">
        <v>286</v>
      </c>
      <c r="C283" s="96">
        <v>1445</v>
      </c>
      <c r="D283" s="96"/>
      <c r="E283" s="96"/>
      <c r="F283" s="96"/>
      <c r="G283" s="96">
        <v>25100333</v>
      </c>
      <c r="H283" s="96" t="s">
        <v>1013</v>
      </c>
      <c r="I283" s="96" t="s">
        <v>812</v>
      </c>
      <c r="J283" s="96" t="s">
        <v>204</v>
      </c>
      <c r="K283" s="96"/>
      <c r="L283" s="96" t="s">
        <v>485</v>
      </c>
      <c r="M283" s="96" t="s">
        <v>338</v>
      </c>
      <c r="N283" s="96" t="s">
        <v>337</v>
      </c>
      <c r="O283" s="96"/>
      <c r="P283" s="100">
        <v>45071</v>
      </c>
      <c r="Q283" s="96" t="s">
        <v>1324</v>
      </c>
      <c r="R283" s="96" t="s">
        <v>412</v>
      </c>
      <c r="S283" s="96" t="s">
        <v>407</v>
      </c>
      <c r="T283" s="96" t="s">
        <v>1201</v>
      </c>
      <c r="U283" s="97">
        <v>2.67</v>
      </c>
      <c r="V283" s="96" t="s">
        <v>824</v>
      </c>
      <c r="W283" s="98">
        <v>5.1142E-2</v>
      </c>
      <c r="X283" s="96"/>
      <c r="Y283" s="96"/>
      <c r="Z283" s="96"/>
      <c r="AA283" s="98">
        <v>9.9900000000000003E-2</v>
      </c>
      <c r="AB283" s="100">
        <v>46990</v>
      </c>
      <c r="AC283" s="96" t="s">
        <v>411</v>
      </c>
      <c r="AD283" s="96"/>
      <c r="AE283" s="96"/>
      <c r="AF283" s="96"/>
      <c r="AG283" s="100">
        <v>45291</v>
      </c>
      <c r="AH283" s="96"/>
      <c r="AI283" s="96"/>
      <c r="AJ283" s="96"/>
      <c r="AK283" s="96" t="s">
        <v>337</v>
      </c>
      <c r="AL283" s="96" t="s">
        <v>887</v>
      </c>
      <c r="AM283" s="96"/>
      <c r="AN283" s="96" t="s">
        <v>890</v>
      </c>
      <c r="AO283" s="100">
        <v>45473</v>
      </c>
      <c r="AP283" s="100">
        <v>45473</v>
      </c>
      <c r="AQ283" s="96"/>
      <c r="AR283" s="97">
        <v>348.863223</v>
      </c>
      <c r="AS283" s="97">
        <v>99.74</v>
      </c>
      <c r="AT283" s="97">
        <v>3.7589999999999999</v>
      </c>
      <c r="AU283" s="97">
        <v>1.3079670000000001</v>
      </c>
      <c r="AV283" s="97">
        <v>0.34795599999999999</v>
      </c>
      <c r="AW283" s="96"/>
      <c r="AX283" s="96"/>
      <c r="AY283" s="96"/>
      <c r="AZ283" s="96"/>
      <c r="BA283" s="98">
        <v>7.2800000000000002E-4</v>
      </c>
      <c r="BB283" s="98">
        <v>2.4000000000000001E-5</v>
      </c>
      <c r="BC283" s="106"/>
    </row>
    <row r="284" spans="1:55" ht="15" customHeight="1">
      <c r="A284" s="106"/>
      <c r="B284" s="96">
        <v>286</v>
      </c>
      <c r="C284" s="96">
        <v>1445</v>
      </c>
      <c r="D284" s="96"/>
      <c r="E284" s="96"/>
      <c r="F284" s="96"/>
      <c r="G284" s="96">
        <v>25100334</v>
      </c>
      <c r="H284" s="96" t="s">
        <v>1013</v>
      </c>
      <c r="I284" s="96" t="s">
        <v>812</v>
      </c>
      <c r="J284" s="96" t="s">
        <v>204</v>
      </c>
      <c r="K284" s="96"/>
      <c r="L284" s="96" t="s">
        <v>485</v>
      </c>
      <c r="M284" s="96" t="s">
        <v>338</v>
      </c>
      <c r="N284" s="96" t="s">
        <v>337</v>
      </c>
      <c r="O284" s="96"/>
      <c r="P284" s="100">
        <v>45071</v>
      </c>
      <c r="Q284" s="96" t="s">
        <v>1324</v>
      </c>
      <c r="R284" s="96" t="s">
        <v>412</v>
      </c>
      <c r="S284" s="96" t="s">
        <v>407</v>
      </c>
      <c r="T284" s="96" t="s">
        <v>1201</v>
      </c>
      <c r="U284" s="97">
        <v>2.68</v>
      </c>
      <c r="V284" s="96" t="s">
        <v>824</v>
      </c>
      <c r="W284" s="98">
        <v>5.178E-2</v>
      </c>
      <c r="X284" s="96"/>
      <c r="Y284" s="96"/>
      <c r="Z284" s="96"/>
      <c r="AA284" s="98">
        <v>9.9400000000000002E-2</v>
      </c>
      <c r="AB284" s="100">
        <v>46990</v>
      </c>
      <c r="AC284" s="96" t="s">
        <v>411</v>
      </c>
      <c r="AD284" s="96"/>
      <c r="AE284" s="96"/>
      <c r="AF284" s="96"/>
      <c r="AG284" s="100">
        <v>45291</v>
      </c>
      <c r="AH284" s="96"/>
      <c r="AI284" s="96"/>
      <c r="AJ284" s="96"/>
      <c r="AK284" s="96" t="s">
        <v>337</v>
      </c>
      <c r="AL284" s="96" t="s">
        <v>887</v>
      </c>
      <c r="AM284" s="96"/>
      <c r="AN284" s="96" t="s">
        <v>890</v>
      </c>
      <c r="AO284" s="100">
        <v>45473</v>
      </c>
      <c r="AP284" s="100">
        <v>45473</v>
      </c>
      <c r="AQ284" s="96"/>
      <c r="AR284" s="97">
        <v>628.34613200000001</v>
      </c>
      <c r="AS284" s="97">
        <v>99.87</v>
      </c>
      <c r="AT284" s="97">
        <v>3.7589999999999999</v>
      </c>
      <c r="AU284" s="97">
        <v>2.3588819999999999</v>
      </c>
      <c r="AV284" s="97">
        <v>0.627529</v>
      </c>
      <c r="AW284" s="96"/>
      <c r="AX284" s="96"/>
      <c r="AY284" s="96"/>
      <c r="AZ284" s="96"/>
      <c r="BA284" s="98">
        <v>1.3129999999999999E-3</v>
      </c>
      <c r="BB284" s="98">
        <v>4.3999999999999999E-5</v>
      </c>
      <c r="BC284" s="106"/>
    </row>
    <row r="285" spans="1:55" ht="15" customHeight="1">
      <c r="A285" s="106"/>
      <c r="B285" s="96">
        <v>286</v>
      </c>
      <c r="C285" s="96">
        <v>1445</v>
      </c>
      <c r="D285" s="96"/>
      <c r="E285" s="96"/>
      <c r="F285" s="96"/>
      <c r="G285" s="96">
        <v>25100238</v>
      </c>
      <c r="H285" s="96" t="s">
        <v>1013</v>
      </c>
      <c r="I285" s="96" t="s">
        <v>785</v>
      </c>
      <c r="J285" s="96" t="s">
        <v>204</v>
      </c>
      <c r="K285" s="96"/>
      <c r="L285" s="96" t="s">
        <v>567</v>
      </c>
      <c r="M285" s="96" t="s">
        <v>338</v>
      </c>
      <c r="N285" s="96" t="s">
        <v>338</v>
      </c>
      <c r="O285" s="96"/>
      <c r="P285" s="100">
        <v>44665</v>
      </c>
      <c r="Q285" s="96" t="s">
        <v>3681</v>
      </c>
      <c r="R285" s="96" t="s">
        <v>311</v>
      </c>
      <c r="S285" s="96" t="s">
        <v>407</v>
      </c>
      <c r="T285" s="96" t="s">
        <v>1205</v>
      </c>
      <c r="U285" s="97">
        <v>1.26</v>
      </c>
      <c r="V285" s="96" t="s">
        <v>3678</v>
      </c>
      <c r="W285" s="98">
        <v>4.41E-2</v>
      </c>
      <c r="X285" s="96"/>
      <c r="Y285" s="96"/>
      <c r="Z285" s="96"/>
      <c r="AA285" s="98">
        <v>7.5899999999999995E-2</v>
      </c>
      <c r="AB285" s="100">
        <v>45944</v>
      </c>
      <c r="AC285" s="96" t="s">
        <v>411</v>
      </c>
      <c r="AD285" s="96"/>
      <c r="AE285" s="96"/>
      <c r="AF285" s="96"/>
      <c r="AG285" s="100">
        <v>44926</v>
      </c>
      <c r="AH285" s="96"/>
      <c r="AI285" s="96"/>
      <c r="AJ285" s="96"/>
      <c r="AK285" s="96" t="s">
        <v>337</v>
      </c>
      <c r="AL285" s="96" t="s">
        <v>887</v>
      </c>
      <c r="AM285" s="96"/>
      <c r="AN285" s="96" t="s">
        <v>890</v>
      </c>
      <c r="AO285" s="100">
        <v>45473</v>
      </c>
      <c r="AP285" s="100">
        <v>45473</v>
      </c>
      <c r="AQ285" s="96"/>
      <c r="AR285" s="97">
        <v>1977.79909</v>
      </c>
      <c r="AS285" s="97">
        <v>97.25</v>
      </c>
      <c r="AT285" s="97">
        <v>4.7504999999999997</v>
      </c>
      <c r="AU285" s="97">
        <v>9.1371570000000002</v>
      </c>
      <c r="AV285" s="97">
        <v>1.9234089999999999</v>
      </c>
      <c r="AW285" s="96"/>
      <c r="AX285" s="96"/>
      <c r="AY285" s="96"/>
      <c r="AZ285" s="96"/>
      <c r="BA285" s="98">
        <v>5.0860000000000002E-3</v>
      </c>
      <c r="BB285" s="98">
        <v>1.73E-4</v>
      </c>
      <c r="BC285" s="106"/>
    </row>
    <row r="286" spans="1:55" ht="15" customHeight="1">
      <c r="A286" s="106"/>
      <c r="B286" s="96">
        <v>286</v>
      </c>
      <c r="C286" s="96">
        <v>286</v>
      </c>
      <c r="D286" s="96"/>
      <c r="E286" s="96"/>
      <c r="F286" s="96"/>
      <c r="G286" s="96">
        <v>9862</v>
      </c>
      <c r="H286" s="96" t="s">
        <v>1013</v>
      </c>
      <c r="I286" s="96" t="s">
        <v>813</v>
      </c>
      <c r="J286" s="96" t="s">
        <v>203</v>
      </c>
      <c r="K286" s="96"/>
      <c r="L286" s="96" t="s">
        <v>484</v>
      </c>
      <c r="M286" s="96" t="s">
        <v>338</v>
      </c>
      <c r="N286" s="96" t="s">
        <v>337</v>
      </c>
      <c r="O286" s="96"/>
      <c r="P286" s="100">
        <v>37529</v>
      </c>
      <c r="Q286" s="96" t="s">
        <v>1301</v>
      </c>
      <c r="R286" s="96" t="s">
        <v>414</v>
      </c>
      <c r="S286" s="96" t="s">
        <v>407</v>
      </c>
      <c r="T286" s="96" t="s">
        <v>1200</v>
      </c>
      <c r="U286" s="97">
        <v>1.7</v>
      </c>
      <c r="V286" s="96" t="s">
        <v>3678</v>
      </c>
      <c r="W286" s="98">
        <v>6.5000000000000002E-2</v>
      </c>
      <c r="X286" s="96"/>
      <c r="Y286" s="96"/>
      <c r="Z286" s="96"/>
      <c r="AA286" s="98">
        <v>2.18E-2</v>
      </c>
      <c r="AB286" s="100">
        <v>46568</v>
      </c>
      <c r="AC286" s="96" t="s">
        <v>411</v>
      </c>
      <c r="AD286" s="96"/>
      <c r="AE286" s="96"/>
      <c r="AF286" s="96"/>
      <c r="AG286" s="100">
        <v>45291</v>
      </c>
      <c r="AH286" s="96"/>
      <c r="AI286" s="96"/>
      <c r="AJ286" s="96"/>
      <c r="AK286" s="96" t="s">
        <v>337</v>
      </c>
      <c r="AL286" s="96" t="s">
        <v>887</v>
      </c>
      <c r="AM286" s="96"/>
      <c r="AN286" s="96" t="s">
        <v>890</v>
      </c>
      <c r="AO286" s="100">
        <v>45473</v>
      </c>
      <c r="AP286" s="100">
        <v>45473</v>
      </c>
      <c r="AQ286" s="96"/>
      <c r="AR286" s="97">
        <v>148864.41</v>
      </c>
      <c r="AS286" s="97">
        <v>146.29</v>
      </c>
      <c r="AT286" s="97">
        <v>1</v>
      </c>
      <c r="AU286" s="97">
        <v>217.77375000000001</v>
      </c>
      <c r="AV286" s="97">
        <v>217.77375000000001</v>
      </c>
      <c r="AW286" s="96"/>
      <c r="AX286" s="96"/>
      <c r="AY286" s="96"/>
      <c r="AZ286" s="96"/>
      <c r="BA286" s="98">
        <v>1.423E-3</v>
      </c>
      <c r="BB286" s="98">
        <v>1.13E-4</v>
      </c>
      <c r="BC286" s="106"/>
    </row>
    <row r="287" spans="1:55" ht="15" customHeight="1">
      <c r="A287" s="106"/>
      <c r="B287" s="96">
        <v>286</v>
      </c>
      <c r="C287" s="96">
        <v>286</v>
      </c>
      <c r="D287" s="96"/>
      <c r="E287" s="96"/>
      <c r="F287" s="96"/>
      <c r="G287" s="96">
        <v>25000879</v>
      </c>
      <c r="H287" s="96" t="s">
        <v>1013</v>
      </c>
      <c r="I287" s="96" t="s">
        <v>785</v>
      </c>
      <c r="J287" s="96" t="s">
        <v>203</v>
      </c>
      <c r="K287" s="96"/>
      <c r="L287" s="96" t="s">
        <v>446</v>
      </c>
      <c r="M287" s="96" t="s">
        <v>338</v>
      </c>
      <c r="N287" s="96" t="s">
        <v>337</v>
      </c>
      <c r="O287" s="96"/>
      <c r="P287" s="100">
        <v>45291</v>
      </c>
      <c r="Q287" s="96" t="s">
        <v>2074</v>
      </c>
      <c r="R287" s="96" t="s">
        <v>311</v>
      </c>
      <c r="S287" s="96" t="s">
        <v>407</v>
      </c>
      <c r="T287" s="96" t="s">
        <v>1200</v>
      </c>
      <c r="U287" s="97">
        <v>0.5</v>
      </c>
      <c r="V287" s="96" t="s">
        <v>3678</v>
      </c>
      <c r="W287" s="98">
        <v>4.1000000000000002E-2</v>
      </c>
      <c r="X287" s="96"/>
      <c r="Y287" s="96"/>
      <c r="Z287" s="96"/>
      <c r="AA287" s="98">
        <v>2.7900000000000001E-2</v>
      </c>
      <c r="AB287" s="100">
        <v>45657</v>
      </c>
      <c r="AC287" s="96" t="s">
        <v>411</v>
      </c>
      <c r="AD287" s="96"/>
      <c r="AE287" s="96"/>
      <c r="AF287" s="96"/>
      <c r="AG287" s="100">
        <v>45238</v>
      </c>
      <c r="AH287" s="96"/>
      <c r="AI287" s="96"/>
      <c r="AJ287" s="96"/>
      <c r="AK287" s="96" t="s">
        <v>337</v>
      </c>
      <c r="AL287" s="96" t="s">
        <v>887</v>
      </c>
      <c r="AM287" s="96"/>
      <c r="AN287" s="96" t="s">
        <v>890</v>
      </c>
      <c r="AO287" s="100">
        <v>45473</v>
      </c>
      <c r="AP287" s="100">
        <v>45473</v>
      </c>
      <c r="AQ287" s="96"/>
      <c r="AR287" s="97">
        <v>1543619.6167009999</v>
      </c>
      <c r="AS287" s="97">
        <v>103.61</v>
      </c>
      <c r="AT287" s="97">
        <v>1</v>
      </c>
      <c r="AU287" s="97">
        <v>1599.344284</v>
      </c>
      <c r="AV287" s="97">
        <v>1599.344284</v>
      </c>
      <c r="AW287" s="96"/>
      <c r="AX287" s="96"/>
      <c r="AY287" s="96"/>
      <c r="AZ287" s="96"/>
      <c r="BA287" s="98">
        <v>1.0451E-2</v>
      </c>
      <c r="BB287" s="98">
        <v>8.3199999999999995E-4</v>
      </c>
      <c r="BC287" s="106"/>
    </row>
    <row r="288" spans="1:55" ht="15" customHeight="1">
      <c r="A288" s="106"/>
      <c r="B288" s="96">
        <v>286</v>
      </c>
      <c r="C288" s="96">
        <v>286</v>
      </c>
      <c r="D288" s="96"/>
      <c r="E288" s="96"/>
      <c r="F288" s="96"/>
      <c r="G288" s="96">
        <v>988001019</v>
      </c>
      <c r="H288" s="96" t="s">
        <v>1012</v>
      </c>
      <c r="I288" s="96"/>
      <c r="J288" s="96" t="s">
        <v>203</v>
      </c>
      <c r="K288" s="96"/>
      <c r="L288" s="96" t="s">
        <v>441</v>
      </c>
      <c r="M288" s="96" t="s">
        <v>338</v>
      </c>
      <c r="N288" s="96" t="s">
        <v>338</v>
      </c>
      <c r="O288" s="96"/>
      <c r="P288" s="100">
        <v>45361</v>
      </c>
      <c r="Q288" s="96" t="s">
        <v>1281</v>
      </c>
      <c r="R288" s="96" t="s">
        <v>311</v>
      </c>
      <c r="S288" s="96" t="s">
        <v>408</v>
      </c>
      <c r="T288" s="96" t="s">
        <v>1200</v>
      </c>
      <c r="U288" s="97">
        <v>0</v>
      </c>
      <c r="V288" s="96" t="s">
        <v>3678</v>
      </c>
      <c r="W288" s="98">
        <v>0</v>
      </c>
      <c r="X288" s="96"/>
      <c r="Y288" s="96"/>
      <c r="Z288" s="96"/>
      <c r="AA288" s="98">
        <v>0</v>
      </c>
      <c r="AB288" s="100">
        <v>45392</v>
      </c>
      <c r="AC288" s="96" t="s">
        <v>411</v>
      </c>
      <c r="AD288" s="96"/>
      <c r="AE288" s="96"/>
      <c r="AF288" s="96"/>
      <c r="AG288" s="100">
        <v>45473</v>
      </c>
      <c r="AH288" s="96"/>
      <c r="AI288" s="96"/>
      <c r="AJ288" s="96"/>
      <c r="AK288" s="96" t="s">
        <v>338</v>
      </c>
      <c r="AL288" s="96" t="s">
        <v>887</v>
      </c>
      <c r="AM288" s="96"/>
      <c r="AN288" s="96" t="s">
        <v>890</v>
      </c>
      <c r="AO288" s="100">
        <v>45473</v>
      </c>
      <c r="AP288" s="100">
        <v>45473</v>
      </c>
      <c r="AQ288" s="96"/>
      <c r="AR288" s="97">
        <v>141816.1</v>
      </c>
      <c r="AS288" s="97">
        <v>100.790678</v>
      </c>
      <c r="AT288" s="97">
        <v>1</v>
      </c>
      <c r="AU288" s="97">
        <v>142.93741</v>
      </c>
      <c r="AV288" s="97">
        <v>142.93741</v>
      </c>
      <c r="AW288" s="96"/>
      <c r="AX288" s="96"/>
      <c r="AY288" s="96"/>
      <c r="AZ288" s="96"/>
      <c r="BA288" s="98">
        <v>9.3400000000000004E-4</v>
      </c>
      <c r="BB288" s="98">
        <v>7.3999999999999996E-5</v>
      </c>
      <c r="BC288" s="106"/>
    </row>
    <row r="289" spans="1:55" ht="15" customHeight="1">
      <c r="A289" s="106"/>
      <c r="B289" s="96">
        <v>286</v>
      </c>
      <c r="C289" s="96">
        <v>286</v>
      </c>
      <c r="D289" s="96"/>
      <c r="E289" s="96"/>
      <c r="F289" s="96"/>
      <c r="G289" s="96">
        <v>25000884</v>
      </c>
      <c r="H289" s="96" t="s">
        <v>1013</v>
      </c>
      <c r="I289" s="96" t="s">
        <v>3680</v>
      </c>
      <c r="J289" s="96" t="s">
        <v>203</v>
      </c>
      <c r="K289" s="96"/>
      <c r="L289" s="96" t="s">
        <v>463</v>
      </c>
      <c r="M289" s="96" t="s">
        <v>338</v>
      </c>
      <c r="N289" s="96" t="s">
        <v>337</v>
      </c>
      <c r="O289" s="96"/>
      <c r="P289" s="100">
        <v>45306</v>
      </c>
      <c r="Q289" s="96" t="s">
        <v>1208</v>
      </c>
      <c r="R289" s="96" t="s">
        <v>311</v>
      </c>
      <c r="S289" s="96" t="s">
        <v>407</v>
      </c>
      <c r="T289" s="96" t="s">
        <v>1200</v>
      </c>
      <c r="U289" s="97">
        <v>5.05</v>
      </c>
      <c r="V289" s="96" t="s">
        <v>824</v>
      </c>
      <c r="W289" s="98">
        <v>6.1499999999999999E-2</v>
      </c>
      <c r="X289" s="96"/>
      <c r="Y289" s="96"/>
      <c r="Z289" s="96"/>
      <c r="AA289" s="98">
        <v>6.2899999999999998E-2</v>
      </c>
      <c r="AB289" s="100">
        <v>47654</v>
      </c>
      <c r="AC289" s="96" t="s">
        <v>411</v>
      </c>
      <c r="AD289" s="96"/>
      <c r="AE289" s="96"/>
      <c r="AF289" s="96"/>
      <c r="AG289" s="100">
        <v>45382</v>
      </c>
      <c r="AH289" s="96"/>
      <c r="AI289" s="96"/>
      <c r="AJ289" s="96"/>
      <c r="AK289" s="96" t="s">
        <v>337</v>
      </c>
      <c r="AL289" s="96" t="s">
        <v>887</v>
      </c>
      <c r="AM289" s="96"/>
      <c r="AN289" s="96" t="s">
        <v>890</v>
      </c>
      <c r="AO289" s="100">
        <v>45473</v>
      </c>
      <c r="AP289" s="100">
        <v>45473</v>
      </c>
      <c r="AQ289" s="96"/>
      <c r="AR289" s="97">
        <v>19491.335577000002</v>
      </c>
      <c r="AS289" s="97">
        <v>100.87</v>
      </c>
      <c r="AT289" s="97">
        <v>1</v>
      </c>
      <c r="AU289" s="97">
        <v>19.660910000000001</v>
      </c>
      <c r="AV289" s="97">
        <v>19.660910000000001</v>
      </c>
      <c r="AW289" s="96"/>
      <c r="AX289" s="96"/>
      <c r="AY289" s="96"/>
      <c r="AZ289" s="96"/>
      <c r="BA289" s="98">
        <v>1.2799999999999999E-4</v>
      </c>
      <c r="BB289" s="98">
        <v>1.0000000000000001E-5</v>
      </c>
      <c r="BC289" s="106"/>
    </row>
    <row r="290" spans="1:55" ht="15" customHeight="1">
      <c r="A290" s="106"/>
      <c r="B290" s="96">
        <v>286</v>
      </c>
      <c r="C290" s="96">
        <v>286</v>
      </c>
      <c r="D290" s="96"/>
      <c r="E290" s="96"/>
      <c r="F290" s="96"/>
      <c r="G290" s="96">
        <v>988001018</v>
      </c>
      <c r="H290" s="96" t="s">
        <v>1012</v>
      </c>
      <c r="I290" s="96"/>
      <c r="J290" s="96" t="s">
        <v>203</v>
      </c>
      <c r="K290" s="96"/>
      <c r="L290" s="96" t="s">
        <v>441</v>
      </c>
      <c r="M290" s="96" t="s">
        <v>338</v>
      </c>
      <c r="N290" s="96" t="s">
        <v>338</v>
      </c>
      <c r="O290" s="96"/>
      <c r="P290" s="100">
        <v>45361</v>
      </c>
      <c r="Q290" s="96" t="s">
        <v>1281</v>
      </c>
      <c r="R290" s="96" t="s">
        <v>311</v>
      </c>
      <c r="S290" s="96" t="s">
        <v>408</v>
      </c>
      <c r="T290" s="96" t="s">
        <v>1200</v>
      </c>
      <c r="U290" s="97">
        <v>0</v>
      </c>
      <c r="V290" s="96" t="s">
        <v>3678</v>
      </c>
      <c r="W290" s="98">
        <v>0</v>
      </c>
      <c r="X290" s="96"/>
      <c r="Y290" s="96"/>
      <c r="Z290" s="96"/>
      <c r="AA290" s="98">
        <v>0</v>
      </c>
      <c r="AB290" s="100">
        <v>45392</v>
      </c>
      <c r="AC290" s="96" t="s">
        <v>411</v>
      </c>
      <c r="AD290" s="96"/>
      <c r="AE290" s="96"/>
      <c r="AF290" s="96"/>
      <c r="AG290" s="100">
        <v>45473</v>
      </c>
      <c r="AH290" s="96"/>
      <c r="AI290" s="96"/>
      <c r="AJ290" s="96"/>
      <c r="AK290" s="96" t="s">
        <v>338</v>
      </c>
      <c r="AL290" s="96" t="s">
        <v>887</v>
      </c>
      <c r="AM290" s="96"/>
      <c r="AN290" s="96" t="s">
        <v>890</v>
      </c>
      <c r="AO290" s="100">
        <v>45473</v>
      </c>
      <c r="AP290" s="100">
        <v>45473</v>
      </c>
      <c r="AQ290" s="96"/>
      <c r="AR290" s="97">
        <v>58732.4</v>
      </c>
      <c r="AS290" s="97">
        <v>100.943448</v>
      </c>
      <c r="AT290" s="97">
        <v>1</v>
      </c>
      <c r="AU290" s="97">
        <v>59.28651</v>
      </c>
      <c r="AV290" s="97">
        <v>59.28651</v>
      </c>
      <c r="AW290" s="96"/>
      <c r="AX290" s="96"/>
      <c r="AY290" s="96"/>
      <c r="AZ290" s="96"/>
      <c r="BA290" s="98">
        <v>3.8699999999999997E-4</v>
      </c>
      <c r="BB290" s="98">
        <v>3.0000000000000001E-5</v>
      </c>
      <c r="BC290" s="106"/>
    </row>
    <row r="291" spans="1:55" ht="15" customHeight="1">
      <c r="A291" s="106"/>
      <c r="B291" s="96">
        <v>286</v>
      </c>
      <c r="C291" s="96">
        <v>286</v>
      </c>
      <c r="D291" s="96"/>
      <c r="E291" s="96"/>
      <c r="F291" s="96"/>
      <c r="G291" s="96">
        <v>25000883</v>
      </c>
      <c r="H291" s="96" t="s">
        <v>1013</v>
      </c>
      <c r="I291" s="96" t="s">
        <v>813</v>
      </c>
      <c r="J291" s="96" t="s">
        <v>203</v>
      </c>
      <c r="K291" s="96"/>
      <c r="L291" s="96" t="s">
        <v>463</v>
      </c>
      <c r="M291" s="96" t="s">
        <v>338</v>
      </c>
      <c r="N291" s="96" t="s">
        <v>337</v>
      </c>
      <c r="O291" s="96"/>
      <c r="P291" s="100">
        <v>45302</v>
      </c>
      <c r="Q291" s="96" t="s">
        <v>1320</v>
      </c>
      <c r="R291" s="96" t="s">
        <v>412</v>
      </c>
      <c r="S291" s="96" t="s">
        <v>407</v>
      </c>
      <c r="T291" s="96" t="s">
        <v>1200</v>
      </c>
      <c r="U291" s="97">
        <v>8.5</v>
      </c>
      <c r="V291" s="96" t="s">
        <v>824</v>
      </c>
      <c r="W291" s="98">
        <v>7.1499999999999994E-2</v>
      </c>
      <c r="X291" s="96"/>
      <c r="Y291" s="96"/>
      <c r="Z291" s="96"/>
      <c r="AA291" s="98">
        <v>7.7200000000000005E-2</v>
      </c>
      <c r="AB291" s="100">
        <v>52962</v>
      </c>
      <c r="AC291" s="96" t="s">
        <v>411</v>
      </c>
      <c r="AD291" s="96"/>
      <c r="AE291" s="96"/>
      <c r="AF291" s="96"/>
      <c r="AG291" s="100">
        <v>45291</v>
      </c>
      <c r="AH291" s="96"/>
      <c r="AI291" s="96"/>
      <c r="AJ291" s="96"/>
      <c r="AK291" s="96" t="s">
        <v>337</v>
      </c>
      <c r="AL291" s="96" t="s">
        <v>887</v>
      </c>
      <c r="AM291" s="96"/>
      <c r="AN291" s="96" t="s">
        <v>890</v>
      </c>
      <c r="AO291" s="100">
        <v>45473</v>
      </c>
      <c r="AP291" s="100">
        <v>45473</v>
      </c>
      <c r="AQ291" s="96"/>
      <c r="AR291" s="97">
        <v>115606.40333099999</v>
      </c>
      <c r="AS291" s="97">
        <v>100.69</v>
      </c>
      <c r="AT291" s="97">
        <v>1</v>
      </c>
      <c r="AU291" s="97">
        <v>116.404087</v>
      </c>
      <c r="AV291" s="97">
        <v>116.404087</v>
      </c>
      <c r="AW291" s="96"/>
      <c r="AX291" s="96"/>
      <c r="AY291" s="96"/>
      <c r="AZ291" s="96"/>
      <c r="BA291" s="98">
        <v>7.6000000000000004E-4</v>
      </c>
      <c r="BB291" s="98">
        <v>6.0000000000000002E-5</v>
      </c>
      <c r="BC291" s="106"/>
    </row>
    <row r="292" spans="1:55" ht="15" customHeight="1">
      <c r="A292" s="106"/>
      <c r="B292" s="96">
        <v>286</v>
      </c>
      <c r="C292" s="96">
        <v>286</v>
      </c>
      <c r="D292" s="96"/>
      <c r="E292" s="96"/>
      <c r="F292" s="96"/>
      <c r="G292" s="96">
        <v>988001017</v>
      </c>
      <c r="H292" s="96" t="s">
        <v>1012</v>
      </c>
      <c r="I292" s="96"/>
      <c r="J292" s="96" t="s">
        <v>203</v>
      </c>
      <c r="K292" s="96"/>
      <c r="L292" s="96" t="s">
        <v>441</v>
      </c>
      <c r="M292" s="96" t="s">
        <v>338</v>
      </c>
      <c r="N292" s="96" t="s">
        <v>338</v>
      </c>
      <c r="O292" s="96"/>
      <c r="P292" s="100">
        <v>43251</v>
      </c>
      <c r="Q292" s="96" t="s">
        <v>1281</v>
      </c>
      <c r="R292" s="96" t="s">
        <v>311</v>
      </c>
      <c r="S292" s="96" t="s">
        <v>408</v>
      </c>
      <c r="T292" s="96" t="s">
        <v>1200</v>
      </c>
      <c r="U292" s="97">
        <v>1.9942</v>
      </c>
      <c r="V292" s="96" t="s">
        <v>824</v>
      </c>
      <c r="W292" s="98">
        <v>5.9952999999999999E-2</v>
      </c>
      <c r="X292" s="96"/>
      <c r="Y292" s="96"/>
      <c r="Z292" s="96"/>
      <c r="AA292" s="98">
        <v>5.3699999999999998E-2</v>
      </c>
      <c r="AB292" s="100">
        <v>45571</v>
      </c>
      <c r="AC292" s="96" t="s">
        <v>411</v>
      </c>
      <c r="AD292" s="96"/>
      <c r="AE292" s="96"/>
      <c r="AF292" s="96"/>
      <c r="AG292" s="100">
        <v>45473</v>
      </c>
      <c r="AH292" s="96"/>
      <c r="AI292" s="96"/>
      <c r="AJ292" s="96"/>
      <c r="AK292" s="96" t="s">
        <v>338</v>
      </c>
      <c r="AL292" s="96" t="s">
        <v>887</v>
      </c>
      <c r="AM292" s="96"/>
      <c r="AN292" s="96" t="s">
        <v>890</v>
      </c>
      <c r="AO292" s="100">
        <v>45473</v>
      </c>
      <c r="AP292" s="100">
        <v>45473</v>
      </c>
      <c r="AQ292" s="96"/>
      <c r="AR292" s="97">
        <v>10481121.25</v>
      </c>
      <c r="AS292" s="97">
        <v>101.145937</v>
      </c>
      <c r="AT292" s="97">
        <v>1</v>
      </c>
      <c r="AU292" s="97">
        <v>10601.22839</v>
      </c>
      <c r="AV292" s="97">
        <v>10601.22839</v>
      </c>
      <c r="AW292" s="96"/>
      <c r="AX292" s="96"/>
      <c r="AY292" s="96"/>
      <c r="AZ292" s="96"/>
      <c r="BA292" s="98">
        <v>6.9274000000000002E-2</v>
      </c>
      <c r="BB292" s="98">
        <v>5.5199999999999997E-3</v>
      </c>
      <c r="BC292" s="106"/>
    </row>
    <row r="293" spans="1:55" ht="15" customHeight="1">
      <c r="A293" s="106"/>
      <c r="B293" s="96">
        <v>286</v>
      </c>
      <c r="C293" s="96">
        <v>286</v>
      </c>
      <c r="D293" s="96"/>
      <c r="E293" s="96"/>
      <c r="F293" s="96"/>
      <c r="G293" s="96">
        <v>25000882</v>
      </c>
      <c r="H293" s="96" t="s">
        <v>1013</v>
      </c>
      <c r="I293" s="96" t="s">
        <v>813</v>
      </c>
      <c r="J293" s="96" t="s">
        <v>203</v>
      </c>
      <c r="K293" s="96"/>
      <c r="L293" s="96" t="s">
        <v>446</v>
      </c>
      <c r="M293" s="96" t="s">
        <v>338</v>
      </c>
      <c r="N293" s="96" t="s">
        <v>337</v>
      </c>
      <c r="O293" s="96"/>
      <c r="P293" s="100">
        <v>45306</v>
      </c>
      <c r="Q293" s="96" t="s">
        <v>1357</v>
      </c>
      <c r="R293" s="96" t="s">
        <v>414</v>
      </c>
      <c r="S293" s="96" t="s">
        <v>407</v>
      </c>
      <c r="T293" s="96" t="s">
        <v>1200</v>
      </c>
      <c r="U293" s="97">
        <v>2.04</v>
      </c>
      <c r="V293" s="96" t="s">
        <v>824</v>
      </c>
      <c r="W293" s="98">
        <v>6.6000000000000003E-2</v>
      </c>
      <c r="X293" s="96"/>
      <c r="Y293" s="96"/>
      <c r="Z293" s="96"/>
      <c r="AA293" s="98">
        <v>6.2199999999999998E-2</v>
      </c>
      <c r="AB293" s="100">
        <v>46262</v>
      </c>
      <c r="AC293" s="96" t="s">
        <v>411</v>
      </c>
      <c r="AD293" s="96"/>
      <c r="AE293" s="96"/>
      <c r="AF293" s="96"/>
      <c r="AG293" s="100">
        <v>45291</v>
      </c>
      <c r="AH293" s="96"/>
      <c r="AI293" s="96"/>
      <c r="AJ293" s="96"/>
      <c r="AK293" s="96" t="s">
        <v>337</v>
      </c>
      <c r="AL293" s="96" t="s">
        <v>887</v>
      </c>
      <c r="AM293" s="96"/>
      <c r="AN293" s="96" t="s">
        <v>890</v>
      </c>
      <c r="AO293" s="100">
        <v>45473</v>
      </c>
      <c r="AP293" s="100">
        <v>45473</v>
      </c>
      <c r="AQ293" s="96"/>
      <c r="AR293" s="97">
        <v>23641.041675</v>
      </c>
      <c r="AS293" s="97">
        <v>100.78</v>
      </c>
      <c r="AT293" s="97">
        <v>1</v>
      </c>
      <c r="AU293" s="97">
        <v>23.825441000000001</v>
      </c>
      <c r="AV293" s="97">
        <v>23.825441000000001</v>
      </c>
      <c r="AW293" s="96"/>
      <c r="AX293" s="96"/>
      <c r="AY293" s="96"/>
      <c r="AZ293" s="96"/>
      <c r="BA293" s="98">
        <v>1.55E-4</v>
      </c>
      <c r="BB293" s="98">
        <v>1.2E-5</v>
      </c>
      <c r="BC293" s="106"/>
    </row>
    <row r="294" spans="1:55" ht="15" customHeight="1">
      <c r="A294" s="106"/>
      <c r="B294" s="96">
        <v>286</v>
      </c>
      <c r="C294" s="96">
        <v>286</v>
      </c>
      <c r="D294" s="96"/>
      <c r="E294" s="96"/>
      <c r="F294" s="96"/>
      <c r="G294" s="96">
        <v>988001016</v>
      </c>
      <c r="H294" s="96" t="s">
        <v>1012</v>
      </c>
      <c r="I294" s="96"/>
      <c r="J294" s="96" t="s">
        <v>203</v>
      </c>
      <c r="K294" s="96"/>
      <c r="L294" s="96" t="s">
        <v>441</v>
      </c>
      <c r="M294" s="96" t="s">
        <v>338</v>
      </c>
      <c r="N294" s="96" t="s">
        <v>338</v>
      </c>
      <c r="O294" s="96"/>
      <c r="P294" s="100">
        <v>43298</v>
      </c>
      <c r="Q294" s="96" t="s">
        <v>1281</v>
      </c>
      <c r="R294" s="96" t="s">
        <v>311</v>
      </c>
      <c r="S294" s="96" t="s">
        <v>408</v>
      </c>
      <c r="T294" s="96" t="s">
        <v>1200</v>
      </c>
      <c r="U294" s="97">
        <v>2.0387</v>
      </c>
      <c r="V294" s="96" t="s">
        <v>824</v>
      </c>
      <c r="W294" s="98">
        <v>6.0000999999999999E-2</v>
      </c>
      <c r="X294" s="96"/>
      <c r="Y294" s="96"/>
      <c r="Z294" s="96"/>
      <c r="AA294" s="98">
        <v>5.2200000000000003E-2</v>
      </c>
      <c r="AB294" s="100">
        <v>45720</v>
      </c>
      <c r="AC294" s="96" t="s">
        <v>411</v>
      </c>
      <c r="AD294" s="96"/>
      <c r="AE294" s="96"/>
      <c r="AF294" s="96"/>
      <c r="AG294" s="100">
        <v>45473</v>
      </c>
      <c r="AH294" s="96"/>
      <c r="AI294" s="96"/>
      <c r="AJ294" s="96"/>
      <c r="AK294" s="96" t="s">
        <v>338</v>
      </c>
      <c r="AL294" s="96" t="s">
        <v>887</v>
      </c>
      <c r="AM294" s="96"/>
      <c r="AN294" s="96" t="s">
        <v>890</v>
      </c>
      <c r="AO294" s="100">
        <v>45473</v>
      </c>
      <c r="AP294" s="100">
        <v>45473</v>
      </c>
      <c r="AQ294" s="96"/>
      <c r="AR294" s="97">
        <v>7486866.71</v>
      </c>
      <c r="AS294" s="97">
        <v>102.178658</v>
      </c>
      <c r="AT294" s="97">
        <v>1</v>
      </c>
      <c r="AU294" s="97">
        <v>7649.98</v>
      </c>
      <c r="AV294" s="97">
        <v>7649.98</v>
      </c>
      <c r="AW294" s="96"/>
      <c r="AX294" s="96"/>
      <c r="AY294" s="96"/>
      <c r="AZ294" s="96"/>
      <c r="BA294" s="98">
        <v>4.9988999999999999E-2</v>
      </c>
      <c r="BB294" s="98">
        <v>3.9830000000000004E-3</v>
      </c>
      <c r="BC294" s="106"/>
    </row>
    <row r="295" spans="1:55" ht="15" customHeight="1">
      <c r="A295" s="106"/>
      <c r="B295" s="96">
        <v>286</v>
      </c>
      <c r="C295" s="96">
        <v>286</v>
      </c>
      <c r="D295" s="96"/>
      <c r="E295" s="96"/>
      <c r="F295" s="96"/>
      <c r="G295" s="96">
        <v>25000881</v>
      </c>
      <c r="H295" s="96" t="s">
        <v>1013</v>
      </c>
      <c r="I295" s="96"/>
      <c r="J295" s="96" t="s">
        <v>203</v>
      </c>
      <c r="K295" s="96"/>
      <c r="L295" s="96" t="s">
        <v>477</v>
      </c>
      <c r="M295" s="96" t="s">
        <v>338</v>
      </c>
      <c r="N295" s="96" t="s">
        <v>337</v>
      </c>
      <c r="O295" s="96"/>
      <c r="P295" s="100">
        <v>45301</v>
      </c>
      <c r="Q295" s="96" t="s">
        <v>409</v>
      </c>
      <c r="R295" s="96" t="s">
        <v>409</v>
      </c>
      <c r="S295" s="96" t="s">
        <v>409</v>
      </c>
      <c r="T295" s="96" t="s">
        <v>1200</v>
      </c>
      <c r="U295" s="97">
        <v>4.07</v>
      </c>
      <c r="V295" s="96" t="s">
        <v>3678</v>
      </c>
      <c r="W295" s="98">
        <v>4.3900000000000002E-2</v>
      </c>
      <c r="X295" s="96"/>
      <c r="Y295" s="96"/>
      <c r="Z295" s="96"/>
      <c r="AA295" s="98">
        <v>4.4400000000000002E-2</v>
      </c>
      <c r="AB295" s="100">
        <v>47107</v>
      </c>
      <c r="AC295" s="96" t="s">
        <v>411</v>
      </c>
      <c r="AD295" s="96"/>
      <c r="AE295" s="96"/>
      <c r="AF295" s="96"/>
      <c r="AG295" s="100">
        <v>45190</v>
      </c>
      <c r="AH295" s="96"/>
      <c r="AI295" s="96"/>
      <c r="AJ295" s="96"/>
      <c r="AK295" s="96" t="s">
        <v>337</v>
      </c>
      <c r="AL295" s="96" t="s">
        <v>887</v>
      </c>
      <c r="AM295" s="96"/>
      <c r="AN295" s="96" t="s">
        <v>890</v>
      </c>
      <c r="AO295" s="100">
        <v>45473</v>
      </c>
      <c r="AP295" s="100">
        <v>45473</v>
      </c>
      <c r="AQ295" s="96"/>
      <c r="AR295" s="97">
        <v>8807.5752300000004</v>
      </c>
      <c r="AS295" s="97">
        <v>102.17</v>
      </c>
      <c r="AT295" s="97">
        <v>1</v>
      </c>
      <c r="AU295" s="97">
        <v>8.9986990000000002</v>
      </c>
      <c r="AV295" s="97">
        <v>8.9986990000000002</v>
      </c>
      <c r="AW295" s="96"/>
      <c r="AX295" s="96"/>
      <c r="AY295" s="96"/>
      <c r="AZ295" s="96"/>
      <c r="BA295" s="98">
        <v>5.8E-5</v>
      </c>
      <c r="BB295" s="98">
        <v>3.9999999999999998E-6</v>
      </c>
      <c r="BC295" s="106"/>
    </row>
    <row r="296" spans="1:55" ht="15" customHeight="1">
      <c r="A296" s="106"/>
      <c r="B296" s="96">
        <v>286</v>
      </c>
      <c r="C296" s="96">
        <v>286</v>
      </c>
      <c r="D296" s="96"/>
      <c r="E296" s="96"/>
      <c r="F296" s="96"/>
      <c r="G296" s="96">
        <v>988001015</v>
      </c>
      <c r="H296" s="96" t="s">
        <v>1012</v>
      </c>
      <c r="I296" s="96"/>
      <c r="J296" s="96" t="s">
        <v>203</v>
      </c>
      <c r="K296" s="96"/>
      <c r="L296" s="96" t="s">
        <v>441</v>
      </c>
      <c r="M296" s="96" t="s">
        <v>338</v>
      </c>
      <c r="N296" s="96" t="s">
        <v>338</v>
      </c>
      <c r="O296" s="96"/>
      <c r="P296" s="100">
        <v>43105</v>
      </c>
      <c r="Q296" s="96" t="s">
        <v>1281</v>
      </c>
      <c r="R296" s="96" t="s">
        <v>311</v>
      </c>
      <c r="S296" s="96" t="s">
        <v>408</v>
      </c>
      <c r="T296" s="96" t="s">
        <v>1200</v>
      </c>
      <c r="U296" s="97">
        <v>2.7149000000000001</v>
      </c>
      <c r="V296" s="96" t="s">
        <v>824</v>
      </c>
      <c r="W296" s="98">
        <v>5.9952999999999999E-2</v>
      </c>
      <c r="X296" s="96"/>
      <c r="Y296" s="96"/>
      <c r="Z296" s="96"/>
      <c r="AA296" s="98">
        <v>5.2600000000000001E-2</v>
      </c>
      <c r="AB296" s="100">
        <v>45571</v>
      </c>
      <c r="AC296" s="96" t="s">
        <v>411</v>
      </c>
      <c r="AD296" s="96"/>
      <c r="AE296" s="96"/>
      <c r="AF296" s="96"/>
      <c r="AG296" s="100">
        <v>45473</v>
      </c>
      <c r="AH296" s="96"/>
      <c r="AI296" s="96"/>
      <c r="AJ296" s="96"/>
      <c r="AK296" s="96" t="s">
        <v>338</v>
      </c>
      <c r="AL296" s="96" t="s">
        <v>887</v>
      </c>
      <c r="AM296" s="96"/>
      <c r="AN296" s="96" t="s">
        <v>890</v>
      </c>
      <c r="AO296" s="100">
        <v>45473</v>
      </c>
      <c r="AP296" s="100">
        <v>45473</v>
      </c>
      <c r="AQ296" s="96"/>
      <c r="AR296" s="97">
        <v>40267375.149999999</v>
      </c>
      <c r="AS296" s="97">
        <v>101.441517</v>
      </c>
      <c r="AT296" s="97">
        <v>1</v>
      </c>
      <c r="AU296" s="97">
        <v>40847.836230000001</v>
      </c>
      <c r="AV296" s="97">
        <v>40847.836230000001</v>
      </c>
      <c r="AW296" s="96"/>
      <c r="AX296" s="96"/>
      <c r="AY296" s="96"/>
      <c r="AZ296" s="96"/>
      <c r="BA296" s="98">
        <v>0.26692199999999999</v>
      </c>
      <c r="BB296" s="98">
        <v>2.1271000000000002E-2</v>
      </c>
      <c r="BC296" s="106"/>
    </row>
    <row r="297" spans="1:55" ht="15" customHeight="1">
      <c r="A297" s="106"/>
      <c r="B297" s="96">
        <v>286</v>
      </c>
      <c r="C297" s="96">
        <v>286</v>
      </c>
      <c r="D297" s="96"/>
      <c r="E297" s="96"/>
      <c r="F297" s="96"/>
      <c r="G297" s="96">
        <v>25000880</v>
      </c>
      <c r="H297" s="96" t="s">
        <v>1013</v>
      </c>
      <c r="I297" s="96" t="s">
        <v>794</v>
      </c>
      <c r="J297" s="96" t="s">
        <v>203</v>
      </c>
      <c r="K297" s="96"/>
      <c r="L297" s="96" t="s">
        <v>446</v>
      </c>
      <c r="M297" s="96" t="s">
        <v>338</v>
      </c>
      <c r="N297" s="96" t="s">
        <v>337</v>
      </c>
      <c r="O297" s="96"/>
      <c r="P297" s="100">
        <v>45292</v>
      </c>
      <c r="Q297" s="96" t="s">
        <v>2074</v>
      </c>
      <c r="R297" s="96" t="s">
        <v>311</v>
      </c>
      <c r="S297" s="96" t="s">
        <v>407</v>
      </c>
      <c r="T297" s="96" t="s">
        <v>1200</v>
      </c>
      <c r="U297" s="97">
        <v>3.6</v>
      </c>
      <c r="V297" s="96" t="s">
        <v>824</v>
      </c>
      <c r="W297" s="98">
        <v>0.1</v>
      </c>
      <c r="X297" s="96"/>
      <c r="Y297" s="96"/>
      <c r="Z297" s="96"/>
      <c r="AA297" s="98">
        <v>8.4599999999999995E-2</v>
      </c>
      <c r="AB297" s="100">
        <v>47028</v>
      </c>
      <c r="AC297" s="96" t="s">
        <v>410</v>
      </c>
      <c r="AD297" s="96"/>
      <c r="AE297" s="96"/>
      <c r="AF297" s="96"/>
      <c r="AG297" s="100">
        <v>45291</v>
      </c>
      <c r="AH297" s="96"/>
      <c r="AI297" s="96"/>
      <c r="AJ297" s="96"/>
      <c r="AK297" s="96" t="s">
        <v>337</v>
      </c>
      <c r="AL297" s="96" t="s">
        <v>887</v>
      </c>
      <c r="AM297" s="96"/>
      <c r="AN297" s="96" t="s">
        <v>890</v>
      </c>
      <c r="AO297" s="100">
        <v>45473</v>
      </c>
      <c r="AP297" s="100">
        <v>45473</v>
      </c>
      <c r="AQ297" s="96"/>
      <c r="AR297" s="97">
        <v>112993.24972399999</v>
      </c>
      <c r="AS297" s="97">
        <v>107.09</v>
      </c>
      <c r="AT297" s="97">
        <v>1</v>
      </c>
      <c r="AU297" s="97">
        <v>121.004471</v>
      </c>
      <c r="AV297" s="97">
        <v>121.004471</v>
      </c>
      <c r="AW297" s="96"/>
      <c r="AX297" s="96"/>
      <c r="AY297" s="96"/>
      <c r="AZ297" s="96"/>
      <c r="BA297" s="98">
        <v>7.9000000000000001E-4</v>
      </c>
      <c r="BB297" s="98">
        <v>6.3E-5</v>
      </c>
      <c r="BC297" s="106"/>
    </row>
    <row r="298" spans="1:55" ht="15" customHeight="1">
      <c r="A298" s="106"/>
      <c r="B298" s="96">
        <v>286</v>
      </c>
      <c r="C298" s="96">
        <v>286</v>
      </c>
      <c r="D298" s="96"/>
      <c r="E298" s="96"/>
      <c r="F298" s="96"/>
      <c r="G298" s="96">
        <v>988001020</v>
      </c>
      <c r="H298" s="96" t="s">
        <v>1012</v>
      </c>
      <c r="I298" s="96"/>
      <c r="J298" s="96" t="s">
        <v>203</v>
      </c>
      <c r="K298" s="96"/>
      <c r="L298" s="96" t="s">
        <v>441</v>
      </c>
      <c r="M298" s="96" t="s">
        <v>338</v>
      </c>
      <c r="N298" s="96" t="s">
        <v>338</v>
      </c>
      <c r="O298" s="96"/>
      <c r="P298" s="100">
        <v>45361</v>
      </c>
      <c r="Q298" s="96" t="s">
        <v>1281</v>
      </c>
      <c r="R298" s="96" t="s">
        <v>311</v>
      </c>
      <c r="S298" s="96" t="s">
        <v>408</v>
      </c>
      <c r="T298" s="96" t="s">
        <v>1200</v>
      </c>
      <c r="U298" s="97">
        <v>0</v>
      </c>
      <c r="V298" s="96" t="s">
        <v>3678</v>
      </c>
      <c r="W298" s="98">
        <v>0</v>
      </c>
      <c r="X298" s="96"/>
      <c r="Y298" s="96"/>
      <c r="Z298" s="96"/>
      <c r="AA298" s="98">
        <v>0</v>
      </c>
      <c r="AB298" s="100">
        <v>45392</v>
      </c>
      <c r="AC298" s="96" t="s">
        <v>411</v>
      </c>
      <c r="AD298" s="96"/>
      <c r="AE298" s="96"/>
      <c r="AF298" s="96"/>
      <c r="AG298" s="100">
        <v>45473</v>
      </c>
      <c r="AH298" s="96"/>
      <c r="AI298" s="96"/>
      <c r="AJ298" s="96"/>
      <c r="AK298" s="96" t="s">
        <v>338</v>
      </c>
      <c r="AL298" s="96" t="s">
        <v>887</v>
      </c>
      <c r="AM298" s="96"/>
      <c r="AN298" s="96" t="s">
        <v>890</v>
      </c>
      <c r="AO298" s="100">
        <v>45473</v>
      </c>
      <c r="AP298" s="100">
        <v>45473</v>
      </c>
      <c r="AQ298" s="96"/>
      <c r="AR298" s="97">
        <v>133589.66</v>
      </c>
      <c r="AS298" s="97">
        <v>100.790682</v>
      </c>
      <c r="AT298" s="97">
        <v>1</v>
      </c>
      <c r="AU298" s="97">
        <v>134.64592999999999</v>
      </c>
      <c r="AV298" s="97">
        <v>134.64592999999999</v>
      </c>
      <c r="AW298" s="96"/>
      <c r="AX298" s="96"/>
      <c r="AY298" s="96"/>
      <c r="AZ298" s="96"/>
      <c r="BA298" s="98">
        <v>8.7900000000000001E-4</v>
      </c>
      <c r="BB298" s="98">
        <v>6.9999999999999994E-5</v>
      </c>
      <c r="BC298" s="106"/>
    </row>
    <row r="299" spans="1:55" ht="15" customHeight="1">
      <c r="A299" s="106"/>
      <c r="B299" s="96">
        <v>286</v>
      </c>
      <c r="C299" s="96">
        <v>286</v>
      </c>
      <c r="D299" s="96"/>
      <c r="E299" s="96"/>
      <c r="F299" s="96"/>
      <c r="G299" s="96">
        <v>25000878</v>
      </c>
      <c r="H299" s="96" t="s">
        <v>1013</v>
      </c>
      <c r="I299" s="96" t="s">
        <v>813</v>
      </c>
      <c r="J299" s="96" t="s">
        <v>203</v>
      </c>
      <c r="K299" s="96"/>
      <c r="L299" s="96" t="s">
        <v>454</v>
      </c>
      <c r="M299" s="96" t="s">
        <v>338</v>
      </c>
      <c r="N299" s="96" t="s">
        <v>337</v>
      </c>
      <c r="O299" s="96"/>
      <c r="P299" s="100">
        <v>45292</v>
      </c>
      <c r="Q299" s="96" t="s">
        <v>3683</v>
      </c>
      <c r="R299" s="96" t="s">
        <v>412</v>
      </c>
      <c r="S299" s="96" t="s">
        <v>407</v>
      </c>
      <c r="T299" s="96" t="s">
        <v>1200</v>
      </c>
      <c r="U299" s="97">
        <v>7.29</v>
      </c>
      <c r="V299" s="96" t="s">
        <v>3678</v>
      </c>
      <c r="W299" s="98">
        <v>4.0368000000000001E-2</v>
      </c>
      <c r="X299" s="96"/>
      <c r="Y299" s="96"/>
      <c r="Z299" s="96"/>
      <c r="AA299" s="98">
        <v>6.5100000000000005E-2</v>
      </c>
      <c r="AB299" s="100">
        <v>52768</v>
      </c>
      <c r="AC299" s="96" t="s">
        <v>411</v>
      </c>
      <c r="AD299" s="96"/>
      <c r="AE299" s="96"/>
      <c r="AF299" s="96"/>
      <c r="AG299" s="100">
        <v>45291</v>
      </c>
      <c r="AH299" s="96"/>
      <c r="AI299" s="96"/>
      <c r="AJ299" s="96"/>
      <c r="AK299" s="96" t="s">
        <v>337</v>
      </c>
      <c r="AL299" s="96" t="s">
        <v>887</v>
      </c>
      <c r="AM299" s="96"/>
      <c r="AN299" s="96" t="s">
        <v>890</v>
      </c>
      <c r="AO299" s="100">
        <v>45473</v>
      </c>
      <c r="AP299" s="100">
        <v>45473</v>
      </c>
      <c r="AQ299" s="96"/>
      <c r="AR299" s="97">
        <v>103449.138127</v>
      </c>
      <c r="AS299" s="97">
        <v>85.68</v>
      </c>
      <c r="AT299" s="97">
        <v>1</v>
      </c>
      <c r="AU299" s="97">
        <v>88.635221000000001</v>
      </c>
      <c r="AV299" s="97">
        <v>88.635221000000001</v>
      </c>
      <c r="AW299" s="96"/>
      <c r="AX299" s="96"/>
      <c r="AY299" s="96"/>
      <c r="AZ299" s="96"/>
      <c r="BA299" s="98">
        <v>5.7899999999999998E-4</v>
      </c>
      <c r="BB299" s="98">
        <v>4.6E-5</v>
      </c>
      <c r="BC299" s="106"/>
    </row>
    <row r="300" spans="1:55" ht="15" customHeight="1">
      <c r="A300" s="106"/>
      <c r="B300" s="96">
        <v>286</v>
      </c>
      <c r="C300" s="96">
        <v>286</v>
      </c>
      <c r="D300" s="96"/>
      <c r="E300" s="96"/>
      <c r="F300" s="96"/>
      <c r="G300" s="96">
        <v>988001014</v>
      </c>
      <c r="H300" s="96" t="s">
        <v>1012</v>
      </c>
      <c r="I300" s="96"/>
      <c r="J300" s="96" t="s">
        <v>203</v>
      </c>
      <c r="K300" s="96"/>
      <c r="L300" s="96" t="s">
        <v>441</v>
      </c>
      <c r="M300" s="96" t="s">
        <v>338</v>
      </c>
      <c r="N300" s="96" t="s">
        <v>338</v>
      </c>
      <c r="O300" s="96"/>
      <c r="P300" s="100">
        <v>44241</v>
      </c>
      <c r="Q300" s="96" t="s">
        <v>1281</v>
      </c>
      <c r="R300" s="96" t="s">
        <v>311</v>
      </c>
      <c r="S300" s="96" t="s">
        <v>408</v>
      </c>
      <c r="T300" s="96" t="s">
        <v>1200</v>
      </c>
      <c r="U300" s="97">
        <v>3.62</v>
      </c>
      <c r="V300" s="96" t="s">
        <v>824</v>
      </c>
      <c r="W300" s="98">
        <v>0.06</v>
      </c>
      <c r="X300" s="96"/>
      <c r="Y300" s="96"/>
      <c r="Z300" s="96"/>
      <c r="AA300" s="98">
        <v>5.2200000000000003E-2</v>
      </c>
      <c r="AB300" s="100">
        <v>46793</v>
      </c>
      <c r="AC300" s="96" t="s">
        <v>411</v>
      </c>
      <c r="AD300" s="96"/>
      <c r="AE300" s="96"/>
      <c r="AF300" s="96"/>
      <c r="AG300" s="100">
        <v>45473</v>
      </c>
      <c r="AH300" s="96"/>
      <c r="AI300" s="96"/>
      <c r="AJ300" s="96"/>
      <c r="AK300" s="96" t="s">
        <v>338</v>
      </c>
      <c r="AL300" s="96" t="s">
        <v>887</v>
      </c>
      <c r="AM300" s="96"/>
      <c r="AN300" s="96" t="s">
        <v>890</v>
      </c>
      <c r="AO300" s="100">
        <v>45473</v>
      </c>
      <c r="AP300" s="100">
        <v>45473</v>
      </c>
      <c r="AQ300" s="96"/>
      <c r="AR300" s="97">
        <v>21625.56</v>
      </c>
      <c r="AS300" s="97">
        <v>103.61807899999999</v>
      </c>
      <c r="AT300" s="97">
        <v>1</v>
      </c>
      <c r="AU300" s="97">
        <v>22.407990000000002</v>
      </c>
      <c r="AV300" s="97">
        <v>22.407990000000002</v>
      </c>
      <c r="AW300" s="96"/>
      <c r="AX300" s="96"/>
      <c r="AY300" s="96"/>
      <c r="AZ300" s="96"/>
      <c r="BA300" s="98">
        <v>1.46E-4</v>
      </c>
      <c r="BB300" s="98">
        <v>1.1E-5</v>
      </c>
      <c r="BC300" s="106"/>
    </row>
    <row r="301" spans="1:55" ht="15" customHeight="1">
      <c r="A301" s="106"/>
      <c r="B301" s="96">
        <v>286</v>
      </c>
      <c r="C301" s="96">
        <v>286</v>
      </c>
      <c r="D301" s="96"/>
      <c r="E301" s="96"/>
      <c r="F301" s="96"/>
      <c r="G301" s="96">
        <v>25000834</v>
      </c>
      <c r="H301" s="96" t="s">
        <v>1013</v>
      </c>
      <c r="I301" s="96" t="s">
        <v>813</v>
      </c>
      <c r="J301" s="96" t="s">
        <v>203</v>
      </c>
      <c r="K301" s="96"/>
      <c r="L301" s="96" t="s">
        <v>470</v>
      </c>
      <c r="M301" s="96" t="s">
        <v>338</v>
      </c>
      <c r="N301" s="96" t="s">
        <v>337</v>
      </c>
      <c r="O301" s="96"/>
      <c r="P301" s="100">
        <v>45280</v>
      </c>
      <c r="Q301" s="96" t="s">
        <v>1309</v>
      </c>
      <c r="R301" s="96" t="s">
        <v>414</v>
      </c>
      <c r="S301" s="96" t="s">
        <v>407</v>
      </c>
      <c r="T301" s="96" t="s">
        <v>1200</v>
      </c>
      <c r="U301" s="97">
        <v>7.46</v>
      </c>
      <c r="V301" s="96" t="s">
        <v>3678</v>
      </c>
      <c r="W301" s="98">
        <v>4.086E-2</v>
      </c>
      <c r="X301" s="96"/>
      <c r="Y301" s="96"/>
      <c r="Z301" s="96"/>
      <c r="AA301" s="98">
        <v>4.3900000000000002E-2</v>
      </c>
      <c r="AB301" s="100">
        <v>49303</v>
      </c>
      <c r="AC301" s="96" t="s">
        <v>411</v>
      </c>
      <c r="AD301" s="96"/>
      <c r="AE301" s="96"/>
      <c r="AF301" s="96"/>
      <c r="AG301" s="100">
        <v>45291</v>
      </c>
      <c r="AH301" s="96"/>
      <c r="AI301" s="96"/>
      <c r="AJ301" s="96"/>
      <c r="AK301" s="96" t="s">
        <v>337</v>
      </c>
      <c r="AL301" s="96" t="s">
        <v>887</v>
      </c>
      <c r="AM301" s="96"/>
      <c r="AN301" s="96" t="s">
        <v>890</v>
      </c>
      <c r="AO301" s="100">
        <v>45473</v>
      </c>
      <c r="AP301" s="100">
        <v>45473</v>
      </c>
      <c r="AQ301" s="96"/>
      <c r="AR301" s="97">
        <v>12458.365659999999</v>
      </c>
      <c r="AS301" s="97">
        <v>102.39</v>
      </c>
      <c r="AT301" s="97">
        <v>1</v>
      </c>
      <c r="AU301" s="97">
        <v>12.756119999999999</v>
      </c>
      <c r="AV301" s="97">
        <v>12.756119999999999</v>
      </c>
      <c r="AW301" s="96"/>
      <c r="AX301" s="96"/>
      <c r="AY301" s="96"/>
      <c r="AZ301" s="96"/>
      <c r="BA301" s="98">
        <v>8.2999999999999998E-5</v>
      </c>
      <c r="BB301" s="98">
        <v>6.0000000000000002E-6</v>
      </c>
      <c r="BC301" s="106"/>
    </row>
    <row r="302" spans="1:55" ht="15" customHeight="1">
      <c r="A302" s="106"/>
      <c r="B302" s="96">
        <v>286</v>
      </c>
      <c r="C302" s="96">
        <v>286</v>
      </c>
      <c r="D302" s="96"/>
      <c r="E302" s="96"/>
      <c r="F302" s="96"/>
      <c r="G302" s="96">
        <v>9867</v>
      </c>
      <c r="H302" s="96" t="s">
        <v>1013</v>
      </c>
      <c r="I302" s="96" t="s">
        <v>813</v>
      </c>
      <c r="J302" s="96" t="s">
        <v>203</v>
      </c>
      <c r="K302" s="96"/>
      <c r="L302" s="96" t="s">
        <v>484</v>
      </c>
      <c r="M302" s="96" t="s">
        <v>338</v>
      </c>
      <c r="N302" s="96" t="s">
        <v>337</v>
      </c>
      <c r="O302" s="96"/>
      <c r="P302" s="100">
        <v>37985</v>
      </c>
      <c r="Q302" s="96" t="s">
        <v>1301</v>
      </c>
      <c r="R302" s="96" t="s">
        <v>414</v>
      </c>
      <c r="S302" s="96" t="s">
        <v>407</v>
      </c>
      <c r="T302" s="96" t="s">
        <v>1200</v>
      </c>
      <c r="U302" s="97">
        <v>1.7</v>
      </c>
      <c r="V302" s="96" t="s">
        <v>3678</v>
      </c>
      <c r="W302" s="98">
        <v>6.5000000000000002E-2</v>
      </c>
      <c r="X302" s="96"/>
      <c r="Y302" s="96"/>
      <c r="Z302" s="96"/>
      <c r="AA302" s="98">
        <v>2.1700000000000001E-2</v>
      </c>
      <c r="AB302" s="100">
        <v>46568</v>
      </c>
      <c r="AC302" s="96" t="s">
        <v>411</v>
      </c>
      <c r="AD302" s="96"/>
      <c r="AE302" s="96"/>
      <c r="AF302" s="96"/>
      <c r="AG302" s="100">
        <v>45291</v>
      </c>
      <c r="AH302" s="96"/>
      <c r="AI302" s="96"/>
      <c r="AJ302" s="96"/>
      <c r="AK302" s="96" t="s">
        <v>337</v>
      </c>
      <c r="AL302" s="96" t="s">
        <v>887</v>
      </c>
      <c r="AM302" s="96"/>
      <c r="AN302" s="96" t="s">
        <v>890</v>
      </c>
      <c r="AO302" s="100">
        <v>45473</v>
      </c>
      <c r="AP302" s="100">
        <v>45473</v>
      </c>
      <c r="AQ302" s="96"/>
      <c r="AR302" s="97">
        <v>55981.59</v>
      </c>
      <c r="AS302" s="97">
        <v>148.94999999999999</v>
      </c>
      <c r="AT302" s="97">
        <v>1</v>
      </c>
      <c r="AU302" s="97">
        <v>83.38458</v>
      </c>
      <c r="AV302" s="97">
        <v>83.38458</v>
      </c>
      <c r="AW302" s="96"/>
      <c r="AX302" s="96"/>
      <c r="AY302" s="96"/>
      <c r="AZ302" s="96"/>
      <c r="BA302" s="98">
        <v>5.44E-4</v>
      </c>
      <c r="BB302" s="98">
        <v>4.3000000000000002E-5</v>
      </c>
      <c r="BC302" s="106"/>
    </row>
    <row r="303" spans="1:55" ht="15" customHeight="1">
      <c r="A303" s="106"/>
      <c r="B303" s="96">
        <v>286</v>
      </c>
      <c r="C303" s="96">
        <v>286</v>
      </c>
      <c r="D303" s="96"/>
      <c r="E303" s="96"/>
      <c r="F303" s="96"/>
      <c r="G303" s="96">
        <v>25000837</v>
      </c>
      <c r="H303" s="96" t="s">
        <v>1013</v>
      </c>
      <c r="I303" s="96"/>
      <c r="J303" s="96" t="s">
        <v>203</v>
      </c>
      <c r="K303" s="96"/>
      <c r="L303" s="96" t="s">
        <v>476</v>
      </c>
      <c r="M303" s="96" t="s">
        <v>338</v>
      </c>
      <c r="N303" s="96" t="s">
        <v>338</v>
      </c>
      <c r="O303" s="96"/>
      <c r="P303" s="100">
        <v>45284</v>
      </c>
      <c r="Q303" s="96" t="s">
        <v>3681</v>
      </c>
      <c r="R303" s="96" t="s">
        <v>311</v>
      </c>
      <c r="S303" s="96" t="s">
        <v>407</v>
      </c>
      <c r="T303" s="96" t="s">
        <v>1200</v>
      </c>
      <c r="U303" s="97">
        <v>1.8</v>
      </c>
      <c r="V303" s="96" t="s">
        <v>3678</v>
      </c>
      <c r="W303" s="98">
        <v>3.73E-2</v>
      </c>
      <c r="X303" s="96"/>
      <c r="Y303" s="96"/>
      <c r="Z303" s="96"/>
      <c r="AA303" s="98">
        <v>3.5999999999999997E-2</v>
      </c>
      <c r="AB303" s="100">
        <v>46501</v>
      </c>
      <c r="AC303" s="96" t="s">
        <v>411</v>
      </c>
      <c r="AD303" s="96"/>
      <c r="AE303" s="96"/>
      <c r="AF303" s="96"/>
      <c r="AG303" s="100">
        <v>45333</v>
      </c>
      <c r="AH303" s="96"/>
      <c r="AI303" s="96"/>
      <c r="AJ303" s="96"/>
      <c r="AK303" s="96" t="s">
        <v>337</v>
      </c>
      <c r="AL303" s="96" t="s">
        <v>887</v>
      </c>
      <c r="AM303" s="96"/>
      <c r="AN303" s="96" t="s">
        <v>890</v>
      </c>
      <c r="AO303" s="100">
        <v>45473</v>
      </c>
      <c r="AP303" s="100">
        <v>45473</v>
      </c>
      <c r="AQ303" s="96"/>
      <c r="AR303" s="97">
        <v>100406.876271</v>
      </c>
      <c r="AS303" s="97">
        <v>102.28</v>
      </c>
      <c r="AT303" s="97">
        <v>1</v>
      </c>
      <c r="AU303" s="97">
        <v>102.696153</v>
      </c>
      <c r="AV303" s="97">
        <v>102.696153</v>
      </c>
      <c r="AW303" s="96"/>
      <c r="AX303" s="96"/>
      <c r="AY303" s="96"/>
      <c r="AZ303" s="96"/>
      <c r="BA303" s="98">
        <v>6.7100000000000005E-4</v>
      </c>
      <c r="BB303" s="98">
        <v>5.3000000000000001E-5</v>
      </c>
      <c r="BC303" s="106"/>
    </row>
    <row r="304" spans="1:55" ht="15" customHeight="1">
      <c r="A304" s="106"/>
      <c r="B304" s="96">
        <v>286</v>
      </c>
      <c r="C304" s="96">
        <v>286</v>
      </c>
      <c r="D304" s="96"/>
      <c r="E304" s="96"/>
      <c r="F304" s="96"/>
      <c r="G304" s="96">
        <v>9866</v>
      </c>
      <c r="H304" s="96" t="s">
        <v>1013</v>
      </c>
      <c r="I304" s="96" t="s">
        <v>813</v>
      </c>
      <c r="J304" s="96" t="s">
        <v>203</v>
      </c>
      <c r="K304" s="96"/>
      <c r="L304" s="96" t="s">
        <v>484</v>
      </c>
      <c r="M304" s="96" t="s">
        <v>338</v>
      </c>
      <c r="N304" s="96" t="s">
        <v>337</v>
      </c>
      <c r="O304" s="96"/>
      <c r="P304" s="100">
        <v>37894</v>
      </c>
      <c r="Q304" s="96" t="s">
        <v>1301</v>
      </c>
      <c r="R304" s="96" t="s">
        <v>414</v>
      </c>
      <c r="S304" s="96" t="s">
        <v>407</v>
      </c>
      <c r="T304" s="96" t="s">
        <v>1200</v>
      </c>
      <c r="U304" s="97">
        <v>1.7</v>
      </c>
      <c r="V304" s="96" t="s">
        <v>3678</v>
      </c>
      <c r="W304" s="98">
        <v>6.5000000000000002E-2</v>
      </c>
      <c r="X304" s="96"/>
      <c r="Y304" s="96"/>
      <c r="Z304" s="96"/>
      <c r="AA304" s="98">
        <v>2.1700000000000001E-2</v>
      </c>
      <c r="AB304" s="100">
        <v>46568</v>
      </c>
      <c r="AC304" s="96" t="s">
        <v>411</v>
      </c>
      <c r="AD304" s="96"/>
      <c r="AE304" s="96"/>
      <c r="AF304" s="96"/>
      <c r="AG304" s="100">
        <v>45291</v>
      </c>
      <c r="AH304" s="96"/>
      <c r="AI304" s="96"/>
      <c r="AJ304" s="96"/>
      <c r="AK304" s="96" t="s">
        <v>337</v>
      </c>
      <c r="AL304" s="96" t="s">
        <v>887</v>
      </c>
      <c r="AM304" s="96"/>
      <c r="AN304" s="96" t="s">
        <v>890</v>
      </c>
      <c r="AO304" s="100">
        <v>45473</v>
      </c>
      <c r="AP304" s="100">
        <v>45473</v>
      </c>
      <c r="AQ304" s="96"/>
      <c r="AR304" s="97">
        <v>92888.74</v>
      </c>
      <c r="AS304" s="97">
        <v>147.91</v>
      </c>
      <c r="AT304" s="97">
        <v>1</v>
      </c>
      <c r="AU304" s="97">
        <v>137.39174</v>
      </c>
      <c r="AV304" s="97">
        <v>137.39174</v>
      </c>
      <c r="AW304" s="96"/>
      <c r="AX304" s="96"/>
      <c r="AY304" s="96"/>
      <c r="AZ304" s="96"/>
      <c r="BA304" s="98">
        <v>8.9700000000000001E-4</v>
      </c>
      <c r="BB304" s="98">
        <v>7.1000000000000005E-5</v>
      </c>
      <c r="BC304" s="106"/>
    </row>
    <row r="305" spans="1:55" ht="15" customHeight="1">
      <c r="A305" s="106"/>
      <c r="B305" s="96">
        <v>286</v>
      </c>
      <c r="C305" s="96">
        <v>286</v>
      </c>
      <c r="D305" s="96"/>
      <c r="E305" s="96"/>
      <c r="F305" s="96"/>
      <c r="G305" s="96">
        <v>25000836</v>
      </c>
      <c r="H305" s="96" t="s">
        <v>1013</v>
      </c>
      <c r="I305" s="96" t="s">
        <v>813</v>
      </c>
      <c r="J305" s="96" t="s">
        <v>203</v>
      </c>
      <c r="K305" s="96"/>
      <c r="L305" s="96" t="s">
        <v>454</v>
      </c>
      <c r="M305" s="96" t="s">
        <v>338</v>
      </c>
      <c r="N305" s="96" t="s">
        <v>337</v>
      </c>
      <c r="O305" s="96"/>
      <c r="P305" s="100">
        <v>45284</v>
      </c>
      <c r="Q305" s="96" t="s">
        <v>1357</v>
      </c>
      <c r="R305" s="96" t="s">
        <v>414</v>
      </c>
      <c r="S305" s="96" t="s">
        <v>407</v>
      </c>
      <c r="T305" s="96" t="s">
        <v>1200</v>
      </c>
      <c r="U305" s="97">
        <v>7.06</v>
      </c>
      <c r="V305" s="96" t="s">
        <v>3678</v>
      </c>
      <c r="W305" s="98">
        <v>4.4499999999999998E-2</v>
      </c>
      <c r="X305" s="96"/>
      <c r="Y305" s="96"/>
      <c r="Z305" s="96"/>
      <c r="AA305" s="98">
        <v>4.5499999999999999E-2</v>
      </c>
      <c r="AB305" s="100">
        <v>51677</v>
      </c>
      <c r="AC305" s="96" t="s">
        <v>411</v>
      </c>
      <c r="AD305" s="96"/>
      <c r="AE305" s="96"/>
      <c r="AF305" s="96"/>
      <c r="AG305" s="100">
        <v>45291</v>
      </c>
      <c r="AH305" s="96"/>
      <c r="AI305" s="96"/>
      <c r="AJ305" s="96"/>
      <c r="AK305" s="96" t="s">
        <v>337</v>
      </c>
      <c r="AL305" s="96" t="s">
        <v>887</v>
      </c>
      <c r="AM305" s="96"/>
      <c r="AN305" s="96" t="s">
        <v>890</v>
      </c>
      <c r="AO305" s="100">
        <v>45473</v>
      </c>
      <c r="AP305" s="100">
        <v>45473</v>
      </c>
      <c r="AQ305" s="96"/>
      <c r="AR305" s="97">
        <v>47058.69</v>
      </c>
      <c r="AS305" s="97">
        <v>101.8</v>
      </c>
      <c r="AT305" s="97">
        <v>1</v>
      </c>
      <c r="AU305" s="97">
        <v>47.905749999999998</v>
      </c>
      <c r="AV305" s="97">
        <v>47.905749999999998</v>
      </c>
      <c r="AW305" s="96"/>
      <c r="AX305" s="96"/>
      <c r="AY305" s="96"/>
      <c r="AZ305" s="96"/>
      <c r="BA305" s="98">
        <v>3.1300000000000002E-4</v>
      </c>
      <c r="BB305" s="98">
        <v>2.4000000000000001E-5</v>
      </c>
      <c r="BC305" s="106"/>
    </row>
    <row r="306" spans="1:55" ht="15" customHeight="1">
      <c r="A306" s="106"/>
      <c r="B306" s="96">
        <v>286</v>
      </c>
      <c r="C306" s="96">
        <v>286</v>
      </c>
      <c r="D306" s="96"/>
      <c r="E306" s="96"/>
      <c r="F306" s="96"/>
      <c r="G306" s="96">
        <v>9865</v>
      </c>
      <c r="H306" s="96" t="s">
        <v>1013</v>
      </c>
      <c r="I306" s="96" t="s">
        <v>813</v>
      </c>
      <c r="J306" s="96" t="s">
        <v>203</v>
      </c>
      <c r="K306" s="96"/>
      <c r="L306" s="96" t="s">
        <v>484</v>
      </c>
      <c r="M306" s="96" t="s">
        <v>338</v>
      </c>
      <c r="N306" s="96" t="s">
        <v>337</v>
      </c>
      <c r="O306" s="96"/>
      <c r="P306" s="100">
        <v>37802</v>
      </c>
      <c r="Q306" s="96" t="s">
        <v>1301</v>
      </c>
      <c r="R306" s="96" t="s">
        <v>414</v>
      </c>
      <c r="S306" s="96" t="s">
        <v>407</v>
      </c>
      <c r="T306" s="96" t="s">
        <v>1200</v>
      </c>
      <c r="U306" s="97">
        <v>1.7</v>
      </c>
      <c r="V306" s="96" t="s">
        <v>3678</v>
      </c>
      <c r="W306" s="98">
        <v>6.5000000000000002E-2</v>
      </c>
      <c r="X306" s="96"/>
      <c r="Y306" s="96"/>
      <c r="Z306" s="96"/>
      <c r="AA306" s="98">
        <v>2.18E-2</v>
      </c>
      <c r="AB306" s="100">
        <v>46568</v>
      </c>
      <c r="AC306" s="96" t="s">
        <v>411</v>
      </c>
      <c r="AD306" s="96"/>
      <c r="AE306" s="96"/>
      <c r="AF306" s="96"/>
      <c r="AG306" s="100">
        <v>45291</v>
      </c>
      <c r="AH306" s="96"/>
      <c r="AI306" s="96"/>
      <c r="AJ306" s="96"/>
      <c r="AK306" s="96" t="s">
        <v>337</v>
      </c>
      <c r="AL306" s="96" t="s">
        <v>887</v>
      </c>
      <c r="AM306" s="96"/>
      <c r="AN306" s="96" t="s">
        <v>890</v>
      </c>
      <c r="AO306" s="100">
        <v>45473</v>
      </c>
      <c r="AP306" s="100">
        <v>45473</v>
      </c>
      <c r="AQ306" s="96"/>
      <c r="AR306" s="97">
        <v>130946.28</v>
      </c>
      <c r="AS306" s="97">
        <v>146.30000000000001</v>
      </c>
      <c r="AT306" s="97">
        <v>1</v>
      </c>
      <c r="AU306" s="97">
        <v>191.57441</v>
      </c>
      <c r="AV306" s="97">
        <v>191.57441</v>
      </c>
      <c r="AW306" s="96"/>
      <c r="AX306" s="96"/>
      <c r="AY306" s="96"/>
      <c r="AZ306" s="96"/>
      <c r="BA306" s="98">
        <v>1.2509999999999999E-3</v>
      </c>
      <c r="BB306" s="98">
        <v>9.8999999999999994E-5</v>
      </c>
      <c r="BC306" s="106"/>
    </row>
    <row r="307" spans="1:55" ht="15" customHeight="1">
      <c r="A307" s="106"/>
      <c r="B307" s="96">
        <v>286</v>
      </c>
      <c r="C307" s="96">
        <v>286</v>
      </c>
      <c r="D307" s="96"/>
      <c r="E307" s="96"/>
      <c r="F307" s="96"/>
      <c r="G307" s="96">
        <v>25000835</v>
      </c>
      <c r="H307" s="96" t="s">
        <v>1013</v>
      </c>
      <c r="I307" s="96" t="s">
        <v>813</v>
      </c>
      <c r="J307" s="96" t="s">
        <v>203</v>
      </c>
      <c r="K307" s="96"/>
      <c r="L307" s="96" t="s">
        <v>470</v>
      </c>
      <c r="M307" s="96" t="s">
        <v>338</v>
      </c>
      <c r="N307" s="96" t="s">
        <v>337</v>
      </c>
      <c r="O307" s="96"/>
      <c r="P307" s="100">
        <v>45280</v>
      </c>
      <c r="Q307" s="96" t="s">
        <v>1309</v>
      </c>
      <c r="R307" s="96" t="s">
        <v>414</v>
      </c>
      <c r="S307" s="96" t="s">
        <v>407</v>
      </c>
      <c r="T307" s="96" t="s">
        <v>1200</v>
      </c>
      <c r="U307" s="97">
        <v>6.85</v>
      </c>
      <c r="V307" s="96" t="s">
        <v>3678</v>
      </c>
      <c r="W307" s="98">
        <v>4.0719999999999999E-2</v>
      </c>
      <c r="X307" s="96"/>
      <c r="Y307" s="96"/>
      <c r="Z307" s="96"/>
      <c r="AA307" s="98">
        <v>5.2299999999999999E-2</v>
      </c>
      <c r="AB307" s="100">
        <v>49303</v>
      </c>
      <c r="AC307" s="96" t="s">
        <v>411</v>
      </c>
      <c r="AD307" s="96"/>
      <c r="AE307" s="96"/>
      <c r="AF307" s="96"/>
      <c r="AG307" s="100">
        <v>45291</v>
      </c>
      <c r="AH307" s="96"/>
      <c r="AI307" s="96"/>
      <c r="AJ307" s="96"/>
      <c r="AK307" s="96" t="s">
        <v>337</v>
      </c>
      <c r="AL307" s="96" t="s">
        <v>887</v>
      </c>
      <c r="AM307" s="96"/>
      <c r="AN307" s="96" t="s">
        <v>890</v>
      </c>
      <c r="AO307" s="100">
        <v>45473</v>
      </c>
      <c r="AP307" s="100">
        <v>45473</v>
      </c>
      <c r="AQ307" s="96"/>
      <c r="AR307" s="97">
        <v>54280.700794999997</v>
      </c>
      <c r="AS307" s="97">
        <v>96.74</v>
      </c>
      <c r="AT307" s="97">
        <v>1</v>
      </c>
      <c r="AU307" s="97">
        <v>52.511149000000003</v>
      </c>
      <c r="AV307" s="97">
        <v>52.511149000000003</v>
      </c>
      <c r="AW307" s="96"/>
      <c r="AX307" s="96"/>
      <c r="AY307" s="96"/>
      <c r="AZ307" s="96"/>
      <c r="BA307" s="98">
        <v>3.4299999999999999E-4</v>
      </c>
      <c r="BB307" s="98">
        <v>2.6999999999999999E-5</v>
      </c>
      <c r="BC307" s="106"/>
    </row>
    <row r="308" spans="1:55" ht="15" customHeight="1">
      <c r="A308" s="106"/>
      <c r="B308" s="96">
        <v>286</v>
      </c>
      <c r="C308" s="96">
        <v>286</v>
      </c>
      <c r="D308" s="96"/>
      <c r="E308" s="96"/>
      <c r="F308" s="96"/>
      <c r="G308" s="96">
        <v>9864</v>
      </c>
      <c r="H308" s="96" t="s">
        <v>1013</v>
      </c>
      <c r="I308" s="96" t="s">
        <v>813</v>
      </c>
      <c r="J308" s="96" t="s">
        <v>203</v>
      </c>
      <c r="K308" s="96"/>
      <c r="L308" s="96" t="s">
        <v>484</v>
      </c>
      <c r="M308" s="96" t="s">
        <v>338</v>
      </c>
      <c r="N308" s="96" t="s">
        <v>337</v>
      </c>
      <c r="O308" s="96"/>
      <c r="P308" s="100">
        <v>37711</v>
      </c>
      <c r="Q308" s="96" t="s">
        <v>1301</v>
      </c>
      <c r="R308" s="96" t="s">
        <v>414</v>
      </c>
      <c r="S308" s="96" t="s">
        <v>407</v>
      </c>
      <c r="T308" s="96" t="s">
        <v>1200</v>
      </c>
      <c r="U308" s="97">
        <v>1.7</v>
      </c>
      <c r="V308" s="96" t="s">
        <v>3678</v>
      </c>
      <c r="W308" s="98">
        <v>6.5000000000000002E-2</v>
      </c>
      <c r="X308" s="96"/>
      <c r="Y308" s="96"/>
      <c r="Z308" s="96"/>
      <c r="AA308" s="98">
        <v>2.18E-2</v>
      </c>
      <c r="AB308" s="100">
        <v>46568</v>
      </c>
      <c r="AC308" s="96" t="s">
        <v>411</v>
      </c>
      <c r="AD308" s="96"/>
      <c r="AE308" s="96"/>
      <c r="AF308" s="96"/>
      <c r="AG308" s="100">
        <v>45291</v>
      </c>
      <c r="AH308" s="96"/>
      <c r="AI308" s="96"/>
      <c r="AJ308" s="96"/>
      <c r="AK308" s="96" t="s">
        <v>337</v>
      </c>
      <c r="AL308" s="96" t="s">
        <v>887</v>
      </c>
      <c r="AM308" s="96"/>
      <c r="AN308" s="96" t="s">
        <v>890</v>
      </c>
      <c r="AO308" s="100">
        <v>45473</v>
      </c>
      <c r="AP308" s="100">
        <v>45473</v>
      </c>
      <c r="AQ308" s="96"/>
      <c r="AR308" s="97">
        <v>126305.13</v>
      </c>
      <c r="AS308" s="97">
        <v>145.58000000000001</v>
      </c>
      <c r="AT308" s="97">
        <v>1</v>
      </c>
      <c r="AU308" s="97">
        <v>183.87501</v>
      </c>
      <c r="AV308" s="97">
        <v>183.87501</v>
      </c>
      <c r="AW308" s="96"/>
      <c r="AX308" s="96"/>
      <c r="AY308" s="96"/>
      <c r="AZ308" s="96"/>
      <c r="BA308" s="98">
        <v>1.201E-3</v>
      </c>
      <c r="BB308" s="98">
        <v>9.5000000000000005E-5</v>
      </c>
      <c r="BC308" s="106"/>
    </row>
    <row r="309" spans="1:55" ht="15" customHeight="1">
      <c r="A309" s="106"/>
      <c r="B309" s="96">
        <v>286</v>
      </c>
      <c r="C309" s="96">
        <v>286</v>
      </c>
      <c r="D309" s="96"/>
      <c r="E309" s="96"/>
      <c r="F309" s="96"/>
      <c r="G309" s="96">
        <v>25000885</v>
      </c>
      <c r="H309" s="96" t="s">
        <v>1013</v>
      </c>
      <c r="I309" s="96"/>
      <c r="J309" s="96" t="s">
        <v>203</v>
      </c>
      <c r="K309" s="96"/>
      <c r="L309" s="96" t="s">
        <v>477</v>
      </c>
      <c r="M309" s="96" t="s">
        <v>338</v>
      </c>
      <c r="N309" s="96" t="s">
        <v>337</v>
      </c>
      <c r="O309" s="96"/>
      <c r="P309" s="100">
        <v>45308</v>
      </c>
      <c r="Q309" s="96" t="s">
        <v>409</v>
      </c>
      <c r="R309" s="96" t="s">
        <v>409</v>
      </c>
      <c r="S309" s="96" t="s">
        <v>409</v>
      </c>
      <c r="T309" s="96" t="s">
        <v>1200</v>
      </c>
      <c r="U309" s="97">
        <v>7.64</v>
      </c>
      <c r="V309" s="96" t="s">
        <v>3678</v>
      </c>
      <c r="W309" s="98">
        <v>3.9927999999999998E-2</v>
      </c>
      <c r="X309" s="96"/>
      <c r="Y309" s="96"/>
      <c r="Z309" s="96"/>
      <c r="AA309" s="98">
        <v>4.1300000000000003E-2</v>
      </c>
      <c r="AB309" s="100">
        <v>56230</v>
      </c>
      <c r="AC309" s="96" t="s">
        <v>411</v>
      </c>
      <c r="AD309" s="96"/>
      <c r="AE309" s="96"/>
      <c r="AF309" s="96"/>
      <c r="AG309" s="100"/>
      <c r="AH309" s="96"/>
      <c r="AI309" s="96"/>
      <c r="AJ309" s="96"/>
      <c r="AK309" s="96" t="s">
        <v>337</v>
      </c>
      <c r="AL309" s="96" t="s">
        <v>887</v>
      </c>
      <c r="AM309" s="96"/>
      <c r="AN309" s="96" t="s">
        <v>890</v>
      </c>
      <c r="AO309" s="100">
        <v>45473</v>
      </c>
      <c r="AP309" s="100">
        <v>45473</v>
      </c>
      <c r="AQ309" s="96"/>
      <c r="AR309" s="97">
        <v>312638.206382</v>
      </c>
      <c r="AS309" s="97">
        <v>101.67</v>
      </c>
      <c r="AT309" s="97">
        <v>1</v>
      </c>
      <c r="AU309" s="97">
        <v>317.859264</v>
      </c>
      <c r="AV309" s="97">
        <v>317.859264</v>
      </c>
      <c r="AW309" s="96"/>
      <c r="AX309" s="96"/>
      <c r="AY309" s="96"/>
      <c r="AZ309" s="96"/>
      <c r="BA309" s="98">
        <v>2.0769999999999999E-3</v>
      </c>
      <c r="BB309" s="98">
        <v>1.65E-4</v>
      </c>
      <c r="BC309" s="106"/>
    </row>
    <row r="310" spans="1:55" ht="15" customHeight="1">
      <c r="A310" s="106"/>
      <c r="B310" s="96">
        <v>286</v>
      </c>
      <c r="C310" s="96">
        <v>286</v>
      </c>
      <c r="D310" s="96"/>
      <c r="E310" s="96"/>
      <c r="F310" s="96"/>
      <c r="G310" s="96">
        <v>9863</v>
      </c>
      <c r="H310" s="96" t="s">
        <v>1013</v>
      </c>
      <c r="I310" s="96" t="s">
        <v>813</v>
      </c>
      <c r="J310" s="96" t="s">
        <v>203</v>
      </c>
      <c r="K310" s="96"/>
      <c r="L310" s="96" t="s">
        <v>484</v>
      </c>
      <c r="M310" s="96" t="s">
        <v>338</v>
      </c>
      <c r="N310" s="96" t="s">
        <v>337</v>
      </c>
      <c r="O310" s="96"/>
      <c r="P310" s="100">
        <v>37621</v>
      </c>
      <c r="Q310" s="96" t="s">
        <v>1301</v>
      </c>
      <c r="R310" s="96" t="s">
        <v>414</v>
      </c>
      <c r="S310" s="96" t="s">
        <v>407</v>
      </c>
      <c r="T310" s="96" t="s">
        <v>1200</v>
      </c>
      <c r="U310" s="97">
        <v>1.7</v>
      </c>
      <c r="V310" s="96" t="s">
        <v>3678</v>
      </c>
      <c r="W310" s="98">
        <v>6.5000000000000002E-2</v>
      </c>
      <c r="X310" s="96"/>
      <c r="Y310" s="96"/>
      <c r="Z310" s="96"/>
      <c r="AA310" s="98">
        <v>2.18E-2</v>
      </c>
      <c r="AB310" s="100">
        <v>46568</v>
      </c>
      <c r="AC310" s="96" t="s">
        <v>411</v>
      </c>
      <c r="AD310" s="96"/>
      <c r="AE310" s="96"/>
      <c r="AF310" s="96"/>
      <c r="AG310" s="100">
        <v>45291</v>
      </c>
      <c r="AH310" s="96"/>
      <c r="AI310" s="96"/>
      <c r="AJ310" s="96"/>
      <c r="AK310" s="96" t="s">
        <v>337</v>
      </c>
      <c r="AL310" s="96" t="s">
        <v>887</v>
      </c>
      <c r="AM310" s="96"/>
      <c r="AN310" s="96" t="s">
        <v>890</v>
      </c>
      <c r="AO310" s="100">
        <v>45473</v>
      </c>
      <c r="AP310" s="100">
        <v>45473</v>
      </c>
      <c r="AQ310" s="96"/>
      <c r="AR310" s="97">
        <v>143352.85</v>
      </c>
      <c r="AS310" s="97">
        <v>146.02000000000001</v>
      </c>
      <c r="AT310" s="97">
        <v>1</v>
      </c>
      <c r="AU310" s="97">
        <v>209.32382999999999</v>
      </c>
      <c r="AV310" s="97">
        <v>209.32382999999999</v>
      </c>
      <c r="AW310" s="96"/>
      <c r="AX310" s="96"/>
      <c r="AY310" s="96"/>
      <c r="AZ310" s="96"/>
      <c r="BA310" s="98">
        <v>1.3669999999999999E-3</v>
      </c>
      <c r="BB310" s="98">
        <v>1.0900000000000001E-4</v>
      </c>
      <c r="BC310" s="106"/>
    </row>
    <row r="311" spans="1:55" ht="15" customHeight="1">
      <c r="A311" s="106"/>
      <c r="B311" s="96">
        <v>286</v>
      </c>
      <c r="C311" s="96">
        <v>286</v>
      </c>
      <c r="D311" s="96"/>
      <c r="E311" s="96"/>
      <c r="F311" s="96"/>
      <c r="G311" s="96">
        <v>25000832</v>
      </c>
      <c r="H311" s="96" t="s">
        <v>1013</v>
      </c>
      <c r="I311" s="96" t="s">
        <v>813</v>
      </c>
      <c r="J311" s="96" t="s">
        <v>203</v>
      </c>
      <c r="K311" s="96"/>
      <c r="L311" s="96" t="s">
        <v>470</v>
      </c>
      <c r="M311" s="96" t="s">
        <v>338</v>
      </c>
      <c r="N311" s="96" t="s">
        <v>337</v>
      </c>
      <c r="O311" s="96"/>
      <c r="P311" s="100">
        <v>45278</v>
      </c>
      <c r="Q311" s="96" t="s">
        <v>1520</v>
      </c>
      <c r="R311" s="96" t="s">
        <v>414</v>
      </c>
      <c r="S311" s="96" t="s">
        <v>407</v>
      </c>
      <c r="T311" s="96" t="s">
        <v>1200</v>
      </c>
      <c r="U311" s="97">
        <v>7.1</v>
      </c>
      <c r="V311" s="96" t="s">
        <v>3678</v>
      </c>
      <c r="W311" s="98">
        <v>3.8157000000000003E-2</v>
      </c>
      <c r="X311" s="96"/>
      <c r="Y311" s="96"/>
      <c r="Z311" s="96"/>
      <c r="AA311" s="98">
        <v>4.4200000000000003E-2</v>
      </c>
      <c r="AB311" s="100">
        <v>49583</v>
      </c>
      <c r="AC311" s="96" t="s">
        <v>411</v>
      </c>
      <c r="AD311" s="96"/>
      <c r="AE311" s="96"/>
      <c r="AF311" s="96"/>
      <c r="AG311" s="100">
        <v>45291</v>
      </c>
      <c r="AH311" s="96"/>
      <c r="AI311" s="96"/>
      <c r="AJ311" s="96"/>
      <c r="AK311" s="96" t="s">
        <v>337</v>
      </c>
      <c r="AL311" s="96" t="s">
        <v>887</v>
      </c>
      <c r="AM311" s="96"/>
      <c r="AN311" s="96" t="s">
        <v>890</v>
      </c>
      <c r="AO311" s="100">
        <v>45473</v>
      </c>
      <c r="AP311" s="100">
        <v>45473</v>
      </c>
      <c r="AQ311" s="96"/>
      <c r="AR311" s="97">
        <v>12638.520064</v>
      </c>
      <c r="AS311" s="97">
        <v>100.51</v>
      </c>
      <c r="AT311" s="97">
        <v>1</v>
      </c>
      <c r="AU311" s="97">
        <v>12.702976</v>
      </c>
      <c r="AV311" s="97">
        <v>12.702976</v>
      </c>
      <c r="AW311" s="96"/>
      <c r="AX311" s="96"/>
      <c r="AY311" s="96"/>
      <c r="AZ311" s="96"/>
      <c r="BA311" s="98">
        <v>8.2999999999999998E-5</v>
      </c>
      <c r="BB311" s="98">
        <v>6.0000000000000002E-6</v>
      </c>
      <c r="BC311" s="106"/>
    </row>
    <row r="312" spans="1:55" ht="15" customHeight="1">
      <c r="A312" s="106"/>
      <c r="B312" s="96">
        <v>286</v>
      </c>
      <c r="C312" s="96">
        <v>286</v>
      </c>
      <c r="D312" s="96"/>
      <c r="E312" s="96"/>
      <c r="F312" s="96"/>
      <c r="G312" s="96">
        <v>9868</v>
      </c>
      <c r="H312" s="96" t="s">
        <v>1013</v>
      </c>
      <c r="I312" s="96" t="s">
        <v>813</v>
      </c>
      <c r="J312" s="96" t="s">
        <v>203</v>
      </c>
      <c r="K312" s="96"/>
      <c r="L312" s="96" t="s">
        <v>484</v>
      </c>
      <c r="M312" s="96" t="s">
        <v>338</v>
      </c>
      <c r="N312" s="96" t="s">
        <v>337</v>
      </c>
      <c r="O312" s="96"/>
      <c r="P312" s="100">
        <v>38107</v>
      </c>
      <c r="Q312" s="96" t="s">
        <v>1301</v>
      </c>
      <c r="R312" s="96" t="s">
        <v>414</v>
      </c>
      <c r="S312" s="96" t="s">
        <v>407</v>
      </c>
      <c r="T312" s="96" t="s">
        <v>1200</v>
      </c>
      <c r="U312" s="97">
        <v>1.7</v>
      </c>
      <c r="V312" s="96" t="s">
        <v>3678</v>
      </c>
      <c r="W312" s="98">
        <v>6.5000000000000002E-2</v>
      </c>
      <c r="X312" s="96"/>
      <c r="Y312" s="96"/>
      <c r="Z312" s="96"/>
      <c r="AA312" s="98">
        <v>2.1700000000000001E-2</v>
      </c>
      <c r="AB312" s="100">
        <v>46568</v>
      </c>
      <c r="AC312" s="96" t="s">
        <v>411</v>
      </c>
      <c r="AD312" s="96"/>
      <c r="AE312" s="96"/>
      <c r="AF312" s="96"/>
      <c r="AG312" s="100">
        <v>45291</v>
      </c>
      <c r="AH312" s="96"/>
      <c r="AI312" s="96"/>
      <c r="AJ312" s="96"/>
      <c r="AK312" s="96" t="s">
        <v>337</v>
      </c>
      <c r="AL312" s="96" t="s">
        <v>887</v>
      </c>
      <c r="AM312" s="96"/>
      <c r="AN312" s="96" t="s">
        <v>890</v>
      </c>
      <c r="AO312" s="100">
        <v>45473</v>
      </c>
      <c r="AP312" s="100">
        <v>45473</v>
      </c>
      <c r="AQ312" s="96"/>
      <c r="AR312" s="97">
        <v>56291.7</v>
      </c>
      <c r="AS312" s="97">
        <v>149.4</v>
      </c>
      <c r="AT312" s="97">
        <v>1</v>
      </c>
      <c r="AU312" s="97">
        <v>84.099800000000002</v>
      </c>
      <c r="AV312" s="97">
        <v>84.099800000000002</v>
      </c>
      <c r="AW312" s="96"/>
      <c r="AX312" s="96"/>
      <c r="AY312" s="96"/>
      <c r="AZ312" s="96"/>
      <c r="BA312" s="98">
        <v>5.4900000000000001E-4</v>
      </c>
      <c r="BB312" s="98">
        <v>4.3000000000000002E-5</v>
      </c>
      <c r="BC312" s="106"/>
    </row>
    <row r="313" spans="1:55" ht="15" customHeight="1">
      <c r="A313" s="106"/>
      <c r="B313" s="96">
        <v>286</v>
      </c>
      <c r="C313" s="96">
        <v>286</v>
      </c>
      <c r="D313" s="96"/>
      <c r="E313" s="96"/>
      <c r="F313" s="96"/>
      <c r="G313" s="96">
        <v>25000831</v>
      </c>
      <c r="H313" s="96" t="s">
        <v>1013</v>
      </c>
      <c r="I313" s="96" t="s">
        <v>804</v>
      </c>
      <c r="J313" s="96" t="s">
        <v>203</v>
      </c>
      <c r="K313" s="96"/>
      <c r="L313" s="96" t="s">
        <v>463</v>
      </c>
      <c r="M313" s="96" t="s">
        <v>338</v>
      </c>
      <c r="N313" s="96" t="s">
        <v>337</v>
      </c>
      <c r="O313" s="96"/>
      <c r="P313" s="100">
        <v>45275</v>
      </c>
      <c r="Q313" s="96" t="s">
        <v>1208</v>
      </c>
      <c r="R313" s="96" t="s">
        <v>311</v>
      </c>
      <c r="S313" s="96" t="s">
        <v>407</v>
      </c>
      <c r="T313" s="96" t="s">
        <v>1200</v>
      </c>
      <c r="U313" s="97">
        <v>2.29</v>
      </c>
      <c r="V313" s="96" t="s">
        <v>824</v>
      </c>
      <c r="W313" s="98">
        <v>6.5000000000000002E-2</v>
      </c>
      <c r="X313" s="96"/>
      <c r="Y313" s="96"/>
      <c r="Z313" s="96"/>
      <c r="AA313" s="98">
        <v>6.0400000000000002E-2</v>
      </c>
      <c r="AB313" s="100">
        <v>46371</v>
      </c>
      <c r="AC313" s="96" t="s">
        <v>411</v>
      </c>
      <c r="AD313" s="96"/>
      <c r="AE313" s="96"/>
      <c r="AF313" s="96"/>
      <c r="AG313" s="100">
        <v>44986</v>
      </c>
      <c r="AH313" s="96"/>
      <c r="AI313" s="96"/>
      <c r="AJ313" s="96"/>
      <c r="AK313" s="96" t="s">
        <v>337</v>
      </c>
      <c r="AL313" s="96" t="s">
        <v>887</v>
      </c>
      <c r="AM313" s="96"/>
      <c r="AN313" s="96" t="s">
        <v>890</v>
      </c>
      <c r="AO313" s="100">
        <v>45473</v>
      </c>
      <c r="AP313" s="100">
        <v>45473</v>
      </c>
      <c r="AQ313" s="96"/>
      <c r="AR313" s="97">
        <v>141241.562156</v>
      </c>
      <c r="AS313" s="97">
        <v>101.31</v>
      </c>
      <c r="AT313" s="97">
        <v>1</v>
      </c>
      <c r="AU313" s="97">
        <v>143.091826</v>
      </c>
      <c r="AV313" s="97">
        <v>143.091826</v>
      </c>
      <c r="AW313" s="96"/>
      <c r="AX313" s="96"/>
      <c r="AY313" s="96"/>
      <c r="AZ313" s="96"/>
      <c r="BA313" s="98">
        <v>9.3499999999999996E-4</v>
      </c>
      <c r="BB313" s="98">
        <v>7.3999999999999996E-5</v>
      </c>
      <c r="BC313" s="106"/>
    </row>
    <row r="314" spans="1:55" ht="15" customHeight="1">
      <c r="A314" s="106"/>
      <c r="B314" s="96">
        <v>286</v>
      </c>
      <c r="C314" s="96">
        <v>286</v>
      </c>
      <c r="D314" s="96"/>
      <c r="E314" s="96"/>
      <c r="F314" s="96"/>
      <c r="G314" s="96">
        <v>25000830</v>
      </c>
      <c r="H314" s="96" t="s">
        <v>1013</v>
      </c>
      <c r="I314" s="96" t="s">
        <v>813</v>
      </c>
      <c r="J314" s="96" t="s">
        <v>203</v>
      </c>
      <c r="K314" s="96"/>
      <c r="L314" s="96" t="s">
        <v>476</v>
      </c>
      <c r="M314" s="96" t="s">
        <v>338</v>
      </c>
      <c r="N314" s="96" t="s">
        <v>337</v>
      </c>
      <c r="O314" s="96"/>
      <c r="P314" s="100">
        <v>45273</v>
      </c>
      <c r="Q314" s="96" t="s">
        <v>1357</v>
      </c>
      <c r="R314" s="96" t="s">
        <v>414</v>
      </c>
      <c r="S314" s="96" t="s">
        <v>407</v>
      </c>
      <c r="T314" s="96" t="s">
        <v>1200</v>
      </c>
      <c r="U314" s="97">
        <v>3.16</v>
      </c>
      <c r="V314" s="96" t="s">
        <v>824</v>
      </c>
      <c r="W314" s="98">
        <v>6.7000000000000004E-2</v>
      </c>
      <c r="X314" s="96"/>
      <c r="Y314" s="96"/>
      <c r="Z314" s="96"/>
      <c r="AA314" s="98">
        <v>6.6799999999999998E-2</v>
      </c>
      <c r="AB314" s="100">
        <v>46753</v>
      </c>
      <c r="AC314" s="96" t="s">
        <v>411</v>
      </c>
      <c r="AD314" s="96"/>
      <c r="AE314" s="96"/>
      <c r="AF314" s="96"/>
      <c r="AG314" s="100">
        <v>45291</v>
      </c>
      <c r="AH314" s="96"/>
      <c r="AI314" s="96"/>
      <c r="AJ314" s="96"/>
      <c r="AK314" s="96" t="s">
        <v>337</v>
      </c>
      <c r="AL314" s="96" t="s">
        <v>887</v>
      </c>
      <c r="AM314" s="96"/>
      <c r="AN314" s="96" t="s">
        <v>890</v>
      </c>
      <c r="AO314" s="100">
        <v>45473</v>
      </c>
      <c r="AP314" s="100">
        <v>45473</v>
      </c>
      <c r="AQ314" s="96"/>
      <c r="AR314" s="97">
        <v>88232.602004999993</v>
      </c>
      <c r="AS314" s="97">
        <v>100.51</v>
      </c>
      <c r="AT314" s="97">
        <v>1</v>
      </c>
      <c r="AU314" s="97">
        <v>88.682587999999996</v>
      </c>
      <c r="AV314" s="97">
        <v>88.682587999999996</v>
      </c>
      <c r="AW314" s="96"/>
      <c r="AX314" s="96"/>
      <c r="AY314" s="96"/>
      <c r="AZ314" s="96"/>
      <c r="BA314" s="98">
        <v>5.7899999999999998E-4</v>
      </c>
      <c r="BB314" s="98">
        <v>4.6E-5</v>
      </c>
      <c r="BC314" s="106"/>
    </row>
    <row r="315" spans="1:55" ht="15" customHeight="1">
      <c r="A315" s="106"/>
      <c r="B315" s="96">
        <v>286</v>
      </c>
      <c r="C315" s="96">
        <v>286</v>
      </c>
      <c r="D315" s="96"/>
      <c r="E315" s="96"/>
      <c r="F315" s="96"/>
      <c r="G315" s="96">
        <v>25000838</v>
      </c>
      <c r="H315" s="96" t="s">
        <v>1013</v>
      </c>
      <c r="I315" s="96"/>
      <c r="J315" s="96" t="s">
        <v>203</v>
      </c>
      <c r="K315" s="96"/>
      <c r="L315" s="96" t="s">
        <v>477</v>
      </c>
      <c r="M315" s="96" t="s">
        <v>337</v>
      </c>
      <c r="N315" s="96" t="s">
        <v>338</v>
      </c>
      <c r="O315" s="96"/>
      <c r="P315" s="100">
        <v>45286</v>
      </c>
      <c r="Q315" s="96" t="s">
        <v>1309</v>
      </c>
      <c r="R315" s="96" t="s">
        <v>414</v>
      </c>
      <c r="S315" s="96" t="s">
        <v>407</v>
      </c>
      <c r="T315" s="96" t="s">
        <v>1200</v>
      </c>
      <c r="U315" s="97">
        <v>4.93</v>
      </c>
      <c r="V315" s="96" t="s">
        <v>824</v>
      </c>
      <c r="W315" s="98">
        <v>6.7000000000000004E-2</v>
      </c>
      <c r="X315" s="96"/>
      <c r="Y315" s="96"/>
      <c r="Z315" s="96"/>
      <c r="AA315" s="98">
        <v>6.6199999999999995E-2</v>
      </c>
      <c r="AB315" s="100">
        <v>50040</v>
      </c>
      <c r="AC315" s="96" t="s">
        <v>411</v>
      </c>
      <c r="AD315" s="96"/>
      <c r="AE315" s="96"/>
      <c r="AF315" s="96"/>
      <c r="AG315" s="100"/>
      <c r="AH315" s="96"/>
      <c r="AI315" s="96"/>
      <c r="AJ315" s="96"/>
      <c r="AK315" s="96" t="s">
        <v>337</v>
      </c>
      <c r="AL315" s="96" t="s">
        <v>887</v>
      </c>
      <c r="AM315" s="96"/>
      <c r="AN315" s="96" t="s">
        <v>890</v>
      </c>
      <c r="AO315" s="100">
        <v>45473</v>
      </c>
      <c r="AP315" s="100">
        <v>45473</v>
      </c>
      <c r="AQ315" s="96"/>
      <c r="AR315" s="97">
        <v>226706.19752399999</v>
      </c>
      <c r="AS315" s="97">
        <v>102.58</v>
      </c>
      <c r="AT315" s="97">
        <v>1</v>
      </c>
      <c r="AU315" s="97">
        <v>232.555217</v>
      </c>
      <c r="AV315" s="97">
        <v>232.555217</v>
      </c>
      <c r="AW315" s="96"/>
      <c r="AX315" s="96"/>
      <c r="AY315" s="96"/>
      <c r="AZ315" s="96"/>
      <c r="BA315" s="98">
        <v>1.519E-3</v>
      </c>
      <c r="BB315" s="98">
        <v>1.21E-4</v>
      </c>
      <c r="BC315" s="106"/>
    </row>
    <row r="316" spans="1:55" ht="15" customHeight="1">
      <c r="A316" s="106"/>
      <c r="B316" s="96">
        <v>286</v>
      </c>
      <c r="C316" s="96">
        <v>286</v>
      </c>
      <c r="D316" s="96"/>
      <c r="E316" s="96"/>
      <c r="F316" s="96"/>
      <c r="G316" s="96">
        <v>25000886</v>
      </c>
      <c r="H316" s="96" t="s">
        <v>1013</v>
      </c>
      <c r="I316" s="96" t="s">
        <v>3684</v>
      </c>
      <c r="J316" s="96" t="s">
        <v>203</v>
      </c>
      <c r="K316" s="96"/>
      <c r="L316" s="96" t="s">
        <v>463</v>
      </c>
      <c r="M316" s="96" t="s">
        <v>338</v>
      </c>
      <c r="N316" s="96" t="s">
        <v>337</v>
      </c>
      <c r="O316" s="96"/>
      <c r="P316" s="100">
        <v>45316</v>
      </c>
      <c r="Q316" s="96" t="s">
        <v>3681</v>
      </c>
      <c r="R316" s="96" t="s">
        <v>311</v>
      </c>
      <c r="S316" s="96" t="s">
        <v>407</v>
      </c>
      <c r="T316" s="96" t="s">
        <v>1200</v>
      </c>
      <c r="U316" s="97">
        <v>0.56000000000000005</v>
      </c>
      <c r="V316" s="96" t="s">
        <v>824</v>
      </c>
      <c r="W316" s="98">
        <v>7.8E-2</v>
      </c>
      <c r="X316" s="96"/>
      <c r="Y316" s="96"/>
      <c r="Z316" s="96"/>
      <c r="AA316" s="98">
        <v>7.1400000000000005E-2</v>
      </c>
      <c r="AB316" s="100">
        <v>45682</v>
      </c>
      <c r="AC316" s="96" t="s">
        <v>411</v>
      </c>
      <c r="AD316" s="96"/>
      <c r="AE316" s="96"/>
      <c r="AF316" s="96"/>
      <c r="AG316" s="100">
        <v>45075</v>
      </c>
      <c r="AH316" s="96"/>
      <c r="AI316" s="96"/>
      <c r="AJ316" s="96"/>
      <c r="AK316" s="96" t="s">
        <v>337</v>
      </c>
      <c r="AL316" s="96" t="s">
        <v>887</v>
      </c>
      <c r="AM316" s="96"/>
      <c r="AN316" s="96" t="s">
        <v>890</v>
      </c>
      <c r="AO316" s="100">
        <v>45473</v>
      </c>
      <c r="AP316" s="100">
        <v>45473</v>
      </c>
      <c r="AQ316" s="96"/>
      <c r="AR316" s="97">
        <v>5968.3943339999996</v>
      </c>
      <c r="AS316" s="97">
        <v>100.57</v>
      </c>
      <c r="AT316" s="97">
        <v>1</v>
      </c>
      <c r="AU316" s="97">
        <v>6.0024139999999999</v>
      </c>
      <c r="AV316" s="97">
        <v>6.0024139999999999</v>
      </c>
      <c r="AW316" s="96"/>
      <c r="AX316" s="96"/>
      <c r="AY316" s="96"/>
      <c r="AZ316" s="96"/>
      <c r="BA316" s="98">
        <v>3.8999999999999999E-5</v>
      </c>
      <c r="BB316" s="98">
        <v>3.0000000000000001E-6</v>
      </c>
      <c r="BC316" s="106"/>
    </row>
    <row r="317" spans="1:55" ht="15" customHeight="1">
      <c r="A317" s="106"/>
      <c r="B317" s="96">
        <v>286</v>
      </c>
      <c r="C317" s="96">
        <v>286</v>
      </c>
      <c r="D317" s="96"/>
      <c r="E317" s="96"/>
      <c r="F317" s="96"/>
      <c r="G317" s="96">
        <v>25000890</v>
      </c>
      <c r="H317" s="96" t="s">
        <v>1013</v>
      </c>
      <c r="I317" s="96"/>
      <c r="J317" s="96" t="s">
        <v>203</v>
      </c>
      <c r="K317" s="96"/>
      <c r="L317" s="96" t="s">
        <v>477</v>
      </c>
      <c r="M317" s="96" t="s">
        <v>337</v>
      </c>
      <c r="N317" s="96" t="s">
        <v>338</v>
      </c>
      <c r="O317" s="96"/>
      <c r="P317" s="100">
        <v>45328</v>
      </c>
      <c r="Q317" s="96" t="s">
        <v>1309</v>
      </c>
      <c r="R317" s="96" t="s">
        <v>414</v>
      </c>
      <c r="S317" s="96" t="s">
        <v>407</v>
      </c>
      <c r="T317" s="96" t="s">
        <v>1200</v>
      </c>
      <c r="U317" s="97">
        <v>4.95</v>
      </c>
      <c r="V317" s="96" t="s">
        <v>824</v>
      </c>
      <c r="W317" s="98">
        <v>6.7000000000000004E-2</v>
      </c>
      <c r="X317" s="96"/>
      <c r="Y317" s="96"/>
      <c r="Z317" s="96"/>
      <c r="AA317" s="98">
        <v>6.7500000000000004E-2</v>
      </c>
      <c r="AB317" s="100">
        <v>50071</v>
      </c>
      <c r="AC317" s="96" t="s">
        <v>411</v>
      </c>
      <c r="AD317" s="96"/>
      <c r="AE317" s="96"/>
      <c r="AF317" s="96"/>
      <c r="AG317" s="100"/>
      <c r="AH317" s="96"/>
      <c r="AI317" s="96"/>
      <c r="AJ317" s="96"/>
      <c r="AK317" s="96" t="s">
        <v>337</v>
      </c>
      <c r="AL317" s="96" t="s">
        <v>887</v>
      </c>
      <c r="AM317" s="96"/>
      <c r="AN317" s="96" t="s">
        <v>890</v>
      </c>
      <c r="AO317" s="100">
        <v>45473</v>
      </c>
      <c r="AP317" s="100">
        <v>45473</v>
      </c>
      <c r="AQ317" s="96"/>
      <c r="AR317" s="97">
        <v>328115.007125</v>
      </c>
      <c r="AS317" s="97">
        <v>102</v>
      </c>
      <c r="AT317" s="97">
        <v>1</v>
      </c>
      <c r="AU317" s="97">
        <v>334.67730699999998</v>
      </c>
      <c r="AV317" s="97">
        <v>334.67730699999998</v>
      </c>
      <c r="AW317" s="96"/>
      <c r="AX317" s="96"/>
      <c r="AY317" s="96"/>
      <c r="AZ317" s="96"/>
      <c r="BA317" s="98">
        <v>2.186E-3</v>
      </c>
      <c r="BB317" s="98">
        <v>1.74E-4</v>
      </c>
      <c r="BC317" s="106"/>
    </row>
    <row r="318" spans="1:55" ht="15" customHeight="1">
      <c r="A318" s="106"/>
      <c r="B318" s="96">
        <v>286</v>
      </c>
      <c r="C318" s="96">
        <v>286</v>
      </c>
      <c r="D318" s="96"/>
      <c r="E318" s="96"/>
      <c r="F318" s="96"/>
      <c r="G318" s="96">
        <v>25000888</v>
      </c>
      <c r="H318" s="96" t="s">
        <v>1013</v>
      </c>
      <c r="I318" s="96" t="s">
        <v>813</v>
      </c>
      <c r="J318" s="96" t="s">
        <v>203</v>
      </c>
      <c r="K318" s="96"/>
      <c r="L318" s="96" t="s">
        <v>476</v>
      </c>
      <c r="M318" s="96" t="s">
        <v>338</v>
      </c>
      <c r="N318" s="96" t="s">
        <v>337</v>
      </c>
      <c r="O318" s="96"/>
      <c r="P318" s="100">
        <v>45322</v>
      </c>
      <c r="Q318" s="96" t="s">
        <v>1357</v>
      </c>
      <c r="R318" s="96" t="s">
        <v>414</v>
      </c>
      <c r="S318" s="96" t="s">
        <v>407</v>
      </c>
      <c r="T318" s="96" t="s">
        <v>1200</v>
      </c>
      <c r="U318" s="97">
        <v>4.21</v>
      </c>
      <c r="V318" s="96" t="s">
        <v>824</v>
      </c>
      <c r="W318" s="98">
        <v>6.9000000000000006E-2</v>
      </c>
      <c r="X318" s="96"/>
      <c r="Y318" s="96"/>
      <c r="Z318" s="96"/>
      <c r="AA318" s="98">
        <v>7.0199999999999999E-2</v>
      </c>
      <c r="AB318" s="100">
        <v>47269</v>
      </c>
      <c r="AC318" s="96" t="s">
        <v>411</v>
      </c>
      <c r="AD318" s="96"/>
      <c r="AE318" s="96"/>
      <c r="AF318" s="96"/>
      <c r="AG318" s="100">
        <v>45291</v>
      </c>
      <c r="AH318" s="96"/>
      <c r="AI318" s="96"/>
      <c r="AJ318" s="96"/>
      <c r="AK318" s="96" t="s">
        <v>337</v>
      </c>
      <c r="AL318" s="96" t="s">
        <v>887</v>
      </c>
      <c r="AM318" s="96"/>
      <c r="AN318" s="96" t="s">
        <v>890</v>
      </c>
      <c r="AO318" s="100">
        <v>45473</v>
      </c>
      <c r="AP318" s="100">
        <v>45473</v>
      </c>
      <c r="AQ318" s="96"/>
      <c r="AR318" s="97">
        <v>109767.775755</v>
      </c>
      <c r="AS318" s="97">
        <v>100.77</v>
      </c>
      <c r="AT318" s="97">
        <v>1</v>
      </c>
      <c r="AU318" s="97">
        <v>110.612987</v>
      </c>
      <c r="AV318" s="97">
        <v>110.612987</v>
      </c>
      <c r="AW318" s="96"/>
      <c r="AX318" s="96"/>
      <c r="AY318" s="96"/>
      <c r="AZ318" s="96"/>
      <c r="BA318" s="98">
        <v>7.2199999999999999E-4</v>
      </c>
      <c r="BB318" s="98">
        <v>5.7000000000000003E-5</v>
      </c>
      <c r="BC318" s="106"/>
    </row>
    <row r="319" spans="1:55" ht="15" customHeight="1">
      <c r="A319" s="106"/>
      <c r="B319" s="96">
        <v>286</v>
      </c>
      <c r="C319" s="96">
        <v>286</v>
      </c>
      <c r="D319" s="96"/>
      <c r="E319" s="96"/>
      <c r="F319" s="96"/>
      <c r="G319" s="96">
        <v>25000910</v>
      </c>
      <c r="H319" s="96" t="s">
        <v>1013</v>
      </c>
      <c r="I319" s="96"/>
      <c r="J319" s="96" t="s">
        <v>203</v>
      </c>
      <c r="K319" s="96"/>
      <c r="L319" s="96" t="s">
        <v>446</v>
      </c>
      <c r="M319" s="96" t="s">
        <v>338</v>
      </c>
      <c r="N319" s="96" t="s">
        <v>338</v>
      </c>
      <c r="O319" s="96"/>
      <c r="P319" s="100">
        <v>45396</v>
      </c>
      <c r="Q319" s="96" t="s">
        <v>3685</v>
      </c>
      <c r="R319" s="96" t="s">
        <v>311</v>
      </c>
      <c r="S319" s="96" t="s">
        <v>407</v>
      </c>
      <c r="T319" s="96" t="s">
        <v>1200</v>
      </c>
      <c r="U319" s="97">
        <v>0.77</v>
      </c>
      <c r="V319" s="96" t="s">
        <v>3678</v>
      </c>
      <c r="W319" s="98">
        <v>2.2200000000000001E-2</v>
      </c>
      <c r="X319" s="96"/>
      <c r="Y319" s="96"/>
      <c r="Z319" s="96"/>
      <c r="AA319" s="98">
        <v>2.47E-2</v>
      </c>
      <c r="AB319" s="100">
        <v>45761</v>
      </c>
      <c r="AC319" s="96" t="s">
        <v>411</v>
      </c>
      <c r="AD319" s="96"/>
      <c r="AE319" s="96"/>
      <c r="AF319" s="96"/>
      <c r="AG319" s="100">
        <v>45299</v>
      </c>
      <c r="AH319" s="96"/>
      <c r="AI319" s="96"/>
      <c r="AJ319" s="96"/>
      <c r="AK319" s="96" t="s">
        <v>337</v>
      </c>
      <c r="AL319" s="96" t="s">
        <v>887</v>
      </c>
      <c r="AM319" s="96"/>
      <c r="AN319" s="96" t="s">
        <v>890</v>
      </c>
      <c r="AO319" s="100">
        <v>45473</v>
      </c>
      <c r="AP319" s="100">
        <v>45473</v>
      </c>
      <c r="AQ319" s="96"/>
      <c r="AR319" s="97">
        <v>293782.44928399997</v>
      </c>
      <c r="AS319" s="97">
        <v>101.91</v>
      </c>
      <c r="AT319" s="97">
        <v>1</v>
      </c>
      <c r="AU319" s="97">
        <v>299.39369399999998</v>
      </c>
      <c r="AV319" s="97">
        <v>299.39369399999998</v>
      </c>
      <c r="AW319" s="96"/>
      <c r="AX319" s="96"/>
      <c r="AY319" s="96"/>
      <c r="AZ319" s="96"/>
      <c r="BA319" s="98">
        <v>1.9559999999999998E-3</v>
      </c>
      <c r="BB319" s="98">
        <v>1.55E-4</v>
      </c>
      <c r="BC319" s="106"/>
    </row>
    <row r="320" spans="1:55" ht="15" customHeight="1">
      <c r="A320" s="106"/>
      <c r="B320" s="96">
        <v>286</v>
      </c>
      <c r="C320" s="96">
        <v>286</v>
      </c>
      <c r="D320" s="96"/>
      <c r="E320" s="96"/>
      <c r="F320" s="96"/>
      <c r="G320" s="96">
        <v>25000908</v>
      </c>
      <c r="H320" s="96" t="s">
        <v>1013</v>
      </c>
      <c r="I320" s="96" t="s">
        <v>810</v>
      </c>
      <c r="J320" s="96" t="s">
        <v>203</v>
      </c>
      <c r="K320" s="96"/>
      <c r="L320" s="96" t="s">
        <v>446</v>
      </c>
      <c r="M320" s="96" t="s">
        <v>338</v>
      </c>
      <c r="N320" s="96" t="s">
        <v>337</v>
      </c>
      <c r="O320" s="96"/>
      <c r="P320" s="100">
        <v>45382</v>
      </c>
      <c r="Q320" s="96" t="s">
        <v>1328</v>
      </c>
      <c r="R320" s="96" t="s">
        <v>412</v>
      </c>
      <c r="S320" s="96" t="s">
        <v>407</v>
      </c>
      <c r="T320" s="96" t="s">
        <v>1200</v>
      </c>
      <c r="U320" s="97">
        <v>1.66</v>
      </c>
      <c r="V320" s="96" t="s">
        <v>824</v>
      </c>
      <c r="W320" s="98">
        <v>7.0999999999999994E-2</v>
      </c>
      <c r="X320" s="96"/>
      <c r="Y320" s="96"/>
      <c r="Z320" s="96"/>
      <c r="AA320" s="98">
        <v>7.1300000000000002E-2</v>
      </c>
      <c r="AB320" s="100">
        <v>46112</v>
      </c>
      <c r="AC320" s="96" t="s">
        <v>411</v>
      </c>
      <c r="AD320" s="96"/>
      <c r="AE320" s="96"/>
      <c r="AF320" s="96"/>
      <c r="AG320" s="100">
        <v>45291</v>
      </c>
      <c r="AH320" s="96"/>
      <c r="AI320" s="96"/>
      <c r="AJ320" s="96"/>
      <c r="AK320" s="96" t="s">
        <v>337</v>
      </c>
      <c r="AL320" s="96" t="s">
        <v>887</v>
      </c>
      <c r="AM320" s="96"/>
      <c r="AN320" s="96" t="s">
        <v>890</v>
      </c>
      <c r="AO320" s="100">
        <v>45473</v>
      </c>
      <c r="AP320" s="100">
        <v>45473</v>
      </c>
      <c r="AQ320" s="96"/>
      <c r="AR320" s="97">
        <v>1010008.994875</v>
      </c>
      <c r="AS320" s="97">
        <v>99.93</v>
      </c>
      <c r="AT320" s="97">
        <v>1</v>
      </c>
      <c r="AU320" s="97">
        <v>1009.3019880000001</v>
      </c>
      <c r="AV320" s="97">
        <v>1009.3019880000001</v>
      </c>
      <c r="AW320" s="96"/>
      <c r="AX320" s="96"/>
      <c r="AY320" s="96"/>
      <c r="AZ320" s="96"/>
      <c r="BA320" s="98">
        <v>6.5950000000000002E-3</v>
      </c>
      <c r="BB320" s="98">
        <v>5.2499999999999997E-4</v>
      </c>
      <c r="BC320" s="106"/>
    </row>
    <row r="321" spans="1:55" ht="15" customHeight="1">
      <c r="A321" s="106"/>
      <c r="B321" s="96">
        <v>286</v>
      </c>
      <c r="C321" s="96">
        <v>286</v>
      </c>
      <c r="D321" s="96"/>
      <c r="E321" s="96"/>
      <c r="F321" s="96"/>
      <c r="G321" s="96">
        <v>25000907</v>
      </c>
      <c r="H321" s="96" t="s">
        <v>1013</v>
      </c>
      <c r="I321" s="96" t="s">
        <v>812</v>
      </c>
      <c r="J321" s="96" t="s">
        <v>203</v>
      </c>
      <c r="K321" s="96"/>
      <c r="L321" s="96" t="s">
        <v>454</v>
      </c>
      <c r="M321" s="96" t="s">
        <v>338</v>
      </c>
      <c r="N321" s="96" t="s">
        <v>337</v>
      </c>
      <c r="O321" s="96"/>
      <c r="P321" s="100">
        <v>45378</v>
      </c>
      <c r="Q321" s="96" t="s">
        <v>3683</v>
      </c>
      <c r="R321" s="96" t="s">
        <v>412</v>
      </c>
      <c r="S321" s="96" t="s">
        <v>407</v>
      </c>
      <c r="T321" s="96" t="s">
        <v>1200</v>
      </c>
      <c r="U321" s="97">
        <v>7.26</v>
      </c>
      <c r="V321" s="96" t="s">
        <v>3678</v>
      </c>
      <c r="W321" s="98">
        <v>4.2091999999999997E-2</v>
      </c>
      <c r="X321" s="96"/>
      <c r="Y321" s="96"/>
      <c r="Z321" s="96"/>
      <c r="AA321" s="98">
        <v>6.5100000000000005E-2</v>
      </c>
      <c r="AB321" s="100">
        <v>52768</v>
      </c>
      <c r="AC321" s="96" t="s">
        <v>411</v>
      </c>
      <c r="AD321" s="96"/>
      <c r="AE321" s="96"/>
      <c r="AF321" s="96"/>
      <c r="AG321" s="100">
        <v>45291</v>
      </c>
      <c r="AH321" s="96"/>
      <c r="AI321" s="96"/>
      <c r="AJ321" s="96"/>
      <c r="AK321" s="96" t="s">
        <v>337</v>
      </c>
      <c r="AL321" s="96" t="s">
        <v>887</v>
      </c>
      <c r="AM321" s="96"/>
      <c r="AN321" s="96" t="s">
        <v>890</v>
      </c>
      <c r="AO321" s="100">
        <v>45473</v>
      </c>
      <c r="AP321" s="100">
        <v>45473</v>
      </c>
      <c r="AQ321" s="96"/>
      <c r="AR321" s="97">
        <v>158042.753126</v>
      </c>
      <c r="AS321" s="97">
        <v>86.64</v>
      </c>
      <c r="AT321" s="97">
        <v>1</v>
      </c>
      <c r="AU321" s="97">
        <v>136.92824100000001</v>
      </c>
      <c r="AV321" s="97">
        <v>136.92824100000001</v>
      </c>
      <c r="AW321" s="96"/>
      <c r="AX321" s="96"/>
      <c r="AY321" s="96"/>
      <c r="AZ321" s="96"/>
      <c r="BA321" s="98">
        <v>8.9400000000000005E-4</v>
      </c>
      <c r="BB321" s="98">
        <v>7.1000000000000005E-5</v>
      </c>
      <c r="BC321" s="106"/>
    </row>
    <row r="322" spans="1:55" ht="15" customHeight="1">
      <c r="A322" s="106"/>
      <c r="B322" s="96">
        <v>286</v>
      </c>
      <c r="C322" s="96">
        <v>286</v>
      </c>
      <c r="D322" s="96"/>
      <c r="E322" s="96"/>
      <c r="F322" s="96"/>
      <c r="G322" s="96">
        <v>25000905</v>
      </c>
      <c r="H322" s="96" t="s">
        <v>1013</v>
      </c>
      <c r="I322" s="96" t="s">
        <v>813</v>
      </c>
      <c r="J322" s="96" t="s">
        <v>203</v>
      </c>
      <c r="K322" s="96"/>
      <c r="L322" s="96" t="s">
        <v>454</v>
      </c>
      <c r="M322" s="96" t="s">
        <v>338</v>
      </c>
      <c r="N322" s="96" t="s">
        <v>337</v>
      </c>
      <c r="O322" s="96"/>
      <c r="P322" s="100">
        <v>45376</v>
      </c>
      <c r="Q322" s="96" t="s">
        <v>1332</v>
      </c>
      <c r="R322" s="96" t="s">
        <v>412</v>
      </c>
      <c r="S322" s="96" t="s">
        <v>407</v>
      </c>
      <c r="T322" s="96" t="s">
        <v>1200</v>
      </c>
      <c r="U322" s="97">
        <v>7.53</v>
      </c>
      <c r="V322" s="96" t="s">
        <v>824</v>
      </c>
      <c r="W322" s="98">
        <v>6.5500000000000003E-2</v>
      </c>
      <c r="X322" s="96"/>
      <c r="Y322" s="96"/>
      <c r="Z322" s="96"/>
      <c r="AA322" s="98">
        <v>7.2400000000000006E-2</v>
      </c>
      <c r="AB322" s="100">
        <v>52042</v>
      </c>
      <c r="AC322" s="96" t="s">
        <v>411</v>
      </c>
      <c r="AD322" s="96"/>
      <c r="AE322" s="96"/>
      <c r="AF322" s="96"/>
      <c r="AG322" s="100">
        <v>45291</v>
      </c>
      <c r="AH322" s="96"/>
      <c r="AI322" s="96"/>
      <c r="AJ322" s="96"/>
      <c r="AK322" s="96" t="s">
        <v>338</v>
      </c>
      <c r="AL322" s="96" t="s">
        <v>887</v>
      </c>
      <c r="AM322" s="96"/>
      <c r="AN322" s="96" t="s">
        <v>890</v>
      </c>
      <c r="AO322" s="100">
        <v>45473</v>
      </c>
      <c r="AP322" s="100">
        <v>45473</v>
      </c>
      <c r="AQ322" s="96"/>
      <c r="AR322" s="97">
        <v>992771.472373</v>
      </c>
      <c r="AS322" s="97">
        <v>100.84</v>
      </c>
      <c r="AT322" s="97">
        <v>1</v>
      </c>
      <c r="AU322" s="97">
        <v>1001.110752</v>
      </c>
      <c r="AV322" s="97">
        <v>1001.110752</v>
      </c>
      <c r="AW322" s="96"/>
      <c r="AX322" s="96"/>
      <c r="AY322" s="96"/>
      <c r="AZ322" s="96"/>
      <c r="BA322" s="98">
        <v>6.5409999999999999E-3</v>
      </c>
      <c r="BB322" s="98">
        <v>5.2099999999999998E-4</v>
      </c>
      <c r="BC322" s="106"/>
    </row>
    <row r="323" spans="1:55" ht="15" customHeight="1">
      <c r="A323" s="106"/>
      <c r="B323" s="96">
        <v>286</v>
      </c>
      <c r="C323" s="96">
        <v>286</v>
      </c>
      <c r="D323" s="96"/>
      <c r="E323" s="96"/>
      <c r="F323" s="96"/>
      <c r="G323" s="96">
        <v>25000904</v>
      </c>
      <c r="H323" s="96" t="s">
        <v>1013</v>
      </c>
      <c r="I323" s="96" t="s">
        <v>812</v>
      </c>
      <c r="J323" s="96" t="s">
        <v>203</v>
      </c>
      <c r="K323" s="96"/>
      <c r="L323" s="96" t="s">
        <v>454</v>
      </c>
      <c r="M323" s="96" t="s">
        <v>338</v>
      </c>
      <c r="N323" s="96" t="s">
        <v>337</v>
      </c>
      <c r="O323" s="96"/>
      <c r="P323" s="100">
        <v>45371</v>
      </c>
      <c r="Q323" s="96" t="s">
        <v>1357</v>
      </c>
      <c r="R323" s="96" t="s">
        <v>414</v>
      </c>
      <c r="S323" s="96" t="s">
        <v>407</v>
      </c>
      <c r="T323" s="96" t="s">
        <v>1200</v>
      </c>
      <c r="U323" s="97">
        <v>6.86</v>
      </c>
      <c r="V323" s="96" t="s">
        <v>3678</v>
      </c>
      <c r="W323" s="98">
        <v>4.6899999999999997E-2</v>
      </c>
      <c r="X323" s="96"/>
      <c r="Y323" s="96"/>
      <c r="Z323" s="96"/>
      <c r="AA323" s="98">
        <v>5.3499999999999999E-2</v>
      </c>
      <c r="AB323" s="100">
        <v>51677</v>
      </c>
      <c r="AC323" s="96" t="s">
        <v>411</v>
      </c>
      <c r="AD323" s="96"/>
      <c r="AE323" s="96"/>
      <c r="AF323" s="96"/>
      <c r="AG323" s="100">
        <v>45291</v>
      </c>
      <c r="AH323" s="96"/>
      <c r="AI323" s="96"/>
      <c r="AJ323" s="96"/>
      <c r="AK323" s="96" t="s">
        <v>338</v>
      </c>
      <c r="AL323" s="96" t="s">
        <v>887</v>
      </c>
      <c r="AM323" s="96"/>
      <c r="AN323" s="96" t="s">
        <v>890</v>
      </c>
      <c r="AO323" s="100">
        <v>45473</v>
      </c>
      <c r="AP323" s="100">
        <v>45473</v>
      </c>
      <c r="AQ323" s="96"/>
      <c r="AR323" s="97">
        <v>68627.27</v>
      </c>
      <c r="AS323" s="97">
        <v>97.87</v>
      </c>
      <c r="AT323" s="97">
        <v>1</v>
      </c>
      <c r="AU323" s="97">
        <v>67.165509999999998</v>
      </c>
      <c r="AV323" s="97">
        <v>67.165509999999998</v>
      </c>
      <c r="AW323" s="96"/>
      <c r="AX323" s="96"/>
      <c r="AY323" s="96"/>
      <c r="AZ323" s="96"/>
      <c r="BA323" s="98">
        <v>4.3800000000000002E-4</v>
      </c>
      <c r="BB323" s="98">
        <v>3.4E-5</v>
      </c>
      <c r="BC323" s="106"/>
    </row>
    <row r="324" spans="1:55" ht="15" customHeight="1">
      <c r="A324" s="106"/>
      <c r="B324" s="96">
        <v>286</v>
      </c>
      <c r="C324" s="96">
        <v>286</v>
      </c>
      <c r="D324" s="96"/>
      <c r="E324" s="96"/>
      <c r="F324" s="96"/>
      <c r="G324" s="96">
        <v>25000903</v>
      </c>
      <c r="H324" s="96" t="s">
        <v>1013</v>
      </c>
      <c r="I324" s="96"/>
      <c r="J324" s="96" t="s">
        <v>203</v>
      </c>
      <c r="K324" s="96"/>
      <c r="L324" s="96" t="s">
        <v>477</v>
      </c>
      <c r="M324" s="96" t="s">
        <v>338</v>
      </c>
      <c r="N324" s="96" t="s">
        <v>337</v>
      </c>
      <c r="O324" s="96"/>
      <c r="P324" s="100">
        <v>45372</v>
      </c>
      <c r="Q324" s="96" t="s">
        <v>409</v>
      </c>
      <c r="R324" s="96" t="s">
        <v>409</v>
      </c>
      <c r="S324" s="96" t="s">
        <v>409</v>
      </c>
      <c r="T324" s="96" t="s">
        <v>1200</v>
      </c>
      <c r="U324" s="97">
        <v>4.24</v>
      </c>
      <c r="V324" s="96" t="s">
        <v>3678</v>
      </c>
      <c r="W324" s="98">
        <v>4.5842000000000001E-2</v>
      </c>
      <c r="X324" s="96"/>
      <c r="Y324" s="96"/>
      <c r="Z324" s="96"/>
      <c r="AA324" s="98">
        <v>5.33E-2</v>
      </c>
      <c r="AB324" s="100">
        <v>47197</v>
      </c>
      <c r="AC324" s="96" t="s">
        <v>411</v>
      </c>
      <c r="AD324" s="96"/>
      <c r="AE324" s="96"/>
      <c r="AF324" s="96"/>
      <c r="AG324" s="100">
        <v>45382</v>
      </c>
      <c r="AH324" s="96"/>
      <c r="AI324" s="96"/>
      <c r="AJ324" s="96"/>
      <c r="AK324" s="96" t="s">
        <v>337</v>
      </c>
      <c r="AL324" s="96" t="s">
        <v>887</v>
      </c>
      <c r="AM324" s="96"/>
      <c r="AN324" s="96" t="s">
        <v>890</v>
      </c>
      <c r="AO324" s="100">
        <v>45473</v>
      </c>
      <c r="AP324" s="100">
        <v>45473</v>
      </c>
      <c r="AQ324" s="96"/>
      <c r="AR324" s="97">
        <v>5456.4485480000003</v>
      </c>
      <c r="AS324" s="97">
        <v>99.1</v>
      </c>
      <c r="AT324" s="97">
        <v>1</v>
      </c>
      <c r="AU324" s="97">
        <v>5.4073399999999996</v>
      </c>
      <c r="AV324" s="97">
        <v>5.4073399999999996</v>
      </c>
      <c r="AW324" s="96"/>
      <c r="AX324" s="96"/>
      <c r="AY324" s="96"/>
      <c r="AZ324" s="96"/>
      <c r="BA324" s="98">
        <v>3.4999999999999997E-5</v>
      </c>
      <c r="BB324" s="98">
        <v>1.9999999999999999E-6</v>
      </c>
      <c r="BC324" s="106"/>
    </row>
    <row r="325" spans="1:55" ht="15" customHeight="1">
      <c r="A325" s="106"/>
      <c r="B325" s="96">
        <v>286</v>
      </c>
      <c r="C325" s="96">
        <v>286</v>
      </c>
      <c r="D325" s="96"/>
      <c r="E325" s="96"/>
      <c r="F325" s="96"/>
      <c r="G325" s="96">
        <v>25000902</v>
      </c>
      <c r="H325" s="96" t="s">
        <v>1013</v>
      </c>
      <c r="I325" s="96" t="s">
        <v>812</v>
      </c>
      <c r="J325" s="96" t="s">
        <v>203</v>
      </c>
      <c r="K325" s="96"/>
      <c r="L325" s="96" t="s">
        <v>446</v>
      </c>
      <c r="M325" s="96" t="s">
        <v>338</v>
      </c>
      <c r="N325" s="96" t="s">
        <v>337</v>
      </c>
      <c r="O325" s="96"/>
      <c r="P325" s="100">
        <v>45369</v>
      </c>
      <c r="Q325" s="96" t="s">
        <v>1357</v>
      </c>
      <c r="R325" s="96" t="s">
        <v>414</v>
      </c>
      <c r="S325" s="96" t="s">
        <v>407</v>
      </c>
      <c r="T325" s="96" t="s">
        <v>1200</v>
      </c>
      <c r="U325" s="97">
        <v>2.04</v>
      </c>
      <c r="V325" s="96" t="s">
        <v>824</v>
      </c>
      <c r="W325" s="98">
        <v>6.6000000000000003E-2</v>
      </c>
      <c r="X325" s="96"/>
      <c r="Y325" s="96"/>
      <c r="Z325" s="96"/>
      <c r="AA325" s="98">
        <v>6.5000000000000002E-2</v>
      </c>
      <c r="AB325" s="100">
        <v>46262</v>
      </c>
      <c r="AC325" s="96" t="s">
        <v>411</v>
      </c>
      <c r="AD325" s="96"/>
      <c r="AE325" s="96"/>
      <c r="AF325" s="96"/>
      <c r="AG325" s="100">
        <v>45291</v>
      </c>
      <c r="AH325" s="96"/>
      <c r="AI325" s="96"/>
      <c r="AJ325" s="96"/>
      <c r="AK325" s="96" t="s">
        <v>337</v>
      </c>
      <c r="AL325" s="96" t="s">
        <v>887</v>
      </c>
      <c r="AM325" s="96"/>
      <c r="AN325" s="96" t="s">
        <v>890</v>
      </c>
      <c r="AO325" s="100">
        <v>45473</v>
      </c>
      <c r="AP325" s="100">
        <v>45473</v>
      </c>
      <c r="AQ325" s="96"/>
      <c r="AR325" s="97">
        <v>14686.767835000001</v>
      </c>
      <c r="AS325" s="97">
        <v>100.24</v>
      </c>
      <c r="AT325" s="97">
        <v>1</v>
      </c>
      <c r="AU325" s="97">
        <v>14.722016</v>
      </c>
      <c r="AV325" s="97">
        <v>14.722016</v>
      </c>
      <c r="AW325" s="96"/>
      <c r="AX325" s="96"/>
      <c r="AY325" s="96"/>
      <c r="AZ325" s="96"/>
      <c r="BA325" s="98">
        <v>9.6000000000000002E-5</v>
      </c>
      <c r="BB325" s="98">
        <v>6.9999999999999999E-6</v>
      </c>
      <c r="BC325" s="106"/>
    </row>
    <row r="326" spans="1:55" ht="15" customHeight="1">
      <c r="A326" s="106"/>
      <c r="B326" s="96">
        <v>286</v>
      </c>
      <c r="C326" s="96">
        <v>286</v>
      </c>
      <c r="D326" s="96"/>
      <c r="E326" s="96"/>
      <c r="F326" s="96"/>
      <c r="G326" s="96">
        <v>25000901</v>
      </c>
      <c r="H326" s="96" t="s">
        <v>1013</v>
      </c>
      <c r="I326" s="96" t="s">
        <v>813</v>
      </c>
      <c r="J326" s="96" t="s">
        <v>203</v>
      </c>
      <c r="K326" s="96"/>
      <c r="L326" s="96" t="s">
        <v>446</v>
      </c>
      <c r="M326" s="96" t="s">
        <v>338</v>
      </c>
      <c r="N326" s="96" t="s">
        <v>337</v>
      </c>
      <c r="O326" s="96"/>
      <c r="P326" s="100">
        <v>45369</v>
      </c>
      <c r="Q326" s="96" t="s">
        <v>1357</v>
      </c>
      <c r="R326" s="96" t="s">
        <v>414</v>
      </c>
      <c r="S326" s="96" t="s">
        <v>407</v>
      </c>
      <c r="T326" s="96" t="s">
        <v>1200</v>
      </c>
      <c r="U326" s="97">
        <v>2.04</v>
      </c>
      <c r="V326" s="96" t="s">
        <v>824</v>
      </c>
      <c r="W326" s="98">
        <v>6.6000000000000003E-2</v>
      </c>
      <c r="X326" s="96"/>
      <c r="Y326" s="96"/>
      <c r="Z326" s="96"/>
      <c r="AA326" s="98">
        <v>6.5000000000000002E-2</v>
      </c>
      <c r="AB326" s="100">
        <v>46262</v>
      </c>
      <c r="AC326" s="96" t="s">
        <v>411</v>
      </c>
      <c r="AD326" s="96"/>
      <c r="AE326" s="96"/>
      <c r="AF326" s="96"/>
      <c r="AG326" s="100">
        <v>45291</v>
      </c>
      <c r="AH326" s="96"/>
      <c r="AI326" s="96"/>
      <c r="AJ326" s="96"/>
      <c r="AK326" s="96" t="s">
        <v>338</v>
      </c>
      <c r="AL326" s="96" t="s">
        <v>887</v>
      </c>
      <c r="AM326" s="96"/>
      <c r="AN326" s="96" t="s">
        <v>890</v>
      </c>
      <c r="AO326" s="100">
        <v>45473</v>
      </c>
      <c r="AP326" s="100">
        <v>45473</v>
      </c>
      <c r="AQ326" s="96"/>
      <c r="AR326" s="97">
        <v>15455.560309</v>
      </c>
      <c r="AS326" s="97">
        <v>100.24</v>
      </c>
      <c r="AT326" s="97">
        <v>1</v>
      </c>
      <c r="AU326" s="97">
        <v>15.492653000000001</v>
      </c>
      <c r="AV326" s="97">
        <v>15.492653000000001</v>
      </c>
      <c r="AW326" s="96"/>
      <c r="AX326" s="96"/>
      <c r="AY326" s="96"/>
      <c r="AZ326" s="96"/>
      <c r="BA326" s="98">
        <v>1.01E-4</v>
      </c>
      <c r="BB326" s="98">
        <v>7.9999999999999996E-6</v>
      </c>
      <c r="BC326" s="106"/>
    </row>
    <row r="327" spans="1:55" ht="15" customHeight="1">
      <c r="A327" s="106"/>
      <c r="B327" s="96">
        <v>286</v>
      </c>
      <c r="C327" s="96">
        <v>286</v>
      </c>
      <c r="D327" s="96"/>
      <c r="E327" s="96"/>
      <c r="F327" s="96"/>
      <c r="G327" s="96">
        <v>25000900</v>
      </c>
      <c r="H327" s="96" t="s">
        <v>1013</v>
      </c>
      <c r="I327" s="96" t="s">
        <v>797</v>
      </c>
      <c r="J327" s="96" t="s">
        <v>203</v>
      </c>
      <c r="K327" s="96"/>
      <c r="L327" s="96" t="s">
        <v>463</v>
      </c>
      <c r="M327" s="96" t="s">
        <v>338</v>
      </c>
      <c r="N327" s="96" t="s">
        <v>338</v>
      </c>
      <c r="O327" s="96"/>
      <c r="P327" s="100">
        <v>45365</v>
      </c>
      <c r="Q327" s="96" t="s">
        <v>3679</v>
      </c>
      <c r="R327" s="96" t="s">
        <v>311</v>
      </c>
      <c r="S327" s="96" t="s">
        <v>407</v>
      </c>
      <c r="T327" s="96" t="s">
        <v>1200</v>
      </c>
      <c r="U327" s="97">
        <v>1.34</v>
      </c>
      <c r="V327" s="96" t="s">
        <v>824</v>
      </c>
      <c r="W327" s="98">
        <v>6.5000000000000002E-2</v>
      </c>
      <c r="X327" s="96"/>
      <c r="Y327" s="96"/>
      <c r="Z327" s="96"/>
      <c r="AA327" s="98">
        <v>6.3E-2</v>
      </c>
      <c r="AB327" s="100">
        <v>45978</v>
      </c>
      <c r="AC327" s="96" t="s">
        <v>411</v>
      </c>
      <c r="AD327" s="96"/>
      <c r="AE327" s="96"/>
      <c r="AF327" s="96"/>
      <c r="AG327" s="100">
        <v>45361</v>
      </c>
      <c r="AH327" s="96"/>
      <c r="AI327" s="96"/>
      <c r="AJ327" s="96"/>
      <c r="AK327" s="96" t="s">
        <v>337</v>
      </c>
      <c r="AL327" s="96" t="s">
        <v>887</v>
      </c>
      <c r="AM327" s="96"/>
      <c r="AN327" s="96" t="s">
        <v>890</v>
      </c>
      <c r="AO327" s="100">
        <v>45473</v>
      </c>
      <c r="AP327" s="100">
        <v>45473</v>
      </c>
      <c r="AQ327" s="96"/>
      <c r="AR327" s="97">
        <v>79880.003660999995</v>
      </c>
      <c r="AS327" s="97">
        <v>100.86</v>
      </c>
      <c r="AT327" s="97">
        <v>1</v>
      </c>
      <c r="AU327" s="97">
        <v>80.566970999999995</v>
      </c>
      <c r="AV327" s="97">
        <v>80.566970999999995</v>
      </c>
      <c r="AW327" s="96"/>
      <c r="AX327" s="96"/>
      <c r="AY327" s="96"/>
      <c r="AZ327" s="96"/>
      <c r="BA327" s="98">
        <v>5.2599999999999999E-4</v>
      </c>
      <c r="BB327" s="98">
        <v>4.1E-5</v>
      </c>
      <c r="BC327" s="106"/>
    </row>
    <row r="328" spans="1:55" ht="15" customHeight="1">
      <c r="A328" s="106"/>
      <c r="B328" s="96">
        <v>286</v>
      </c>
      <c r="C328" s="96">
        <v>286</v>
      </c>
      <c r="D328" s="96"/>
      <c r="E328" s="96"/>
      <c r="F328" s="96"/>
      <c r="G328" s="96">
        <v>25000899</v>
      </c>
      <c r="H328" s="96" t="s">
        <v>1013</v>
      </c>
      <c r="I328" s="96" t="s">
        <v>813</v>
      </c>
      <c r="J328" s="96" t="s">
        <v>203</v>
      </c>
      <c r="K328" s="96"/>
      <c r="L328" s="96" t="s">
        <v>476</v>
      </c>
      <c r="M328" s="96" t="s">
        <v>338</v>
      </c>
      <c r="N328" s="96" t="s">
        <v>337</v>
      </c>
      <c r="O328" s="96"/>
      <c r="P328" s="100">
        <v>45365</v>
      </c>
      <c r="Q328" s="96" t="s">
        <v>1357</v>
      </c>
      <c r="R328" s="96" t="s">
        <v>414</v>
      </c>
      <c r="S328" s="96" t="s">
        <v>407</v>
      </c>
      <c r="T328" s="96" t="s">
        <v>1200</v>
      </c>
      <c r="U328" s="97">
        <v>3.16</v>
      </c>
      <c r="V328" s="96" t="s">
        <v>824</v>
      </c>
      <c r="W328" s="98">
        <v>6.7000000000000004E-2</v>
      </c>
      <c r="X328" s="96"/>
      <c r="Y328" s="96"/>
      <c r="Z328" s="96"/>
      <c r="AA328" s="98">
        <v>6.9199999999999998E-2</v>
      </c>
      <c r="AB328" s="100">
        <v>46753</v>
      </c>
      <c r="AC328" s="96" t="s">
        <v>411</v>
      </c>
      <c r="AD328" s="96"/>
      <c r="AE328" s="96"/>
      <c r="AF328" s="96"/>
      <c r="AG328" s="100">
        <v>45291</v>
      </c>
      <c r="AH328" s="96"/>
      <c r="AI328" s="96"/>
      <c r="AJ328" s="96"/>
      <c r="AK328" s="96" t="s">
        <v>337</v>
      </c>
      <c r="AL328" s="96" t="s">
        <v>887</v>
      </c>
      <c r="AM328" s="96"/>
      <c r="AN328" s="96" t="s">
        <v>890</v>
      </c>
      <c r="AO328" s="100">
        <v>45473</v>
      </c>
      <c r="AP328" s="100">
        <v>45473</v>
      </c>
      <c r="AQ328" s="96"/>
      <c r="AR328" s="97">
        <v>35316.297637000003</v>
      </c>
      <c r="AS328" s="97">
        <v>99.8</v>
      </c>
      <c r="AT328" s="97">
        <v>1</v>
      </c>
      <c r="AU328" s="97">
        <v>35.245665000000002</v>
      </c>
      <c r="AV328" s="97">
        <v>35.245665000000002</v>
      </c>
      <c r="AW328" s="96"/>
      <c r="AX328" s="96"/>
      <c r="AY328" s="96"/>
      <c r="AZ328" s="96"/>
      <c r="BA328" s="98">
        <v>2.3000000000000001E-4</v>
      </c>
      <c r="BB328" s="98">
        <v>1.8E-5</v>
      </c>
      <c r="BC328" s="106"/>
    </row>
    <row r="329" spans="1:55" ht="15" customHeight="1">
      <c r="A329" s="106"/>
      <c r="B329" s="96">
        <v>286</v>
      </c>
      <c r="C329" s="96">
        <v>286</v>
      </c>
      <c r="D329" s="96"/>
      <c r="E329" s="96"/>
      <c r="F329" s="96"/>
      <c r="G329" s="96">
        <v>25000898</v>
      </c>
      <c r="H329" s="96" t="s">
        <v>1013</v>
      </c>
      <c r="I329" s="96" t="s">
        <v>813</v>
      </c>
      <c r="J329" s="96" t="s">
        <v>203</v>
      </c>
      <c r="K329" s="96"/>
      <c r="L329" s="96" t="s">
        <v>476</v>
      </c>
      <c r="M329" s="96" t="s">
        <v>338</v>
      </c>
      <c r="N329" s="96" t="s">
        <v>337</v>
      </c>
      <c r="O329" s="96"/>
      <c r="P329" s="100">
        <v>45365</v>
      </c>
      <c r="Q329" s="96" t="s">
        <v>1357</v>
      </c>
      <c r="R329" s="96" t="s">
        <v>414</v>
      </c>
      <c r="S329" s="96" t="s">
        <v>407</v>
      </c>
      <c r="T329" s="96" t="s">
        <v>1200</v>
      </c>
      <c r="U329" s="97">
        <v>9.44</v>
      </c>
      <c r="V329" s="96" t="s">
        <v>824</v>
      </c>
      <c r="W329" s="98">
        <v>6.7000000000000004E-2</v>
      </c>
      <c r="X329" s="96"/>
      <c r="Y329" s="96"/>
      <c r="Z329" s="96"/>
      <c r="AA329" s="98">
        <v>6.3E-2</v>
      </c>
      <c r="AB329" s="100">
        <v>54057</v>
      </c>
      <c r="AC329" s="96" t="s">
        <v>411</v>
      </c>
      <c r="AD329" s="96"/>
      <c r="AE329" s="96"/>
      <c r="AF329" s="96"/>
      <c r="AG329" s="100">
        <v>45291</v>
      </c>
      <c r="AH329" s="96"/>
      <c r="AI329" s="96"/>
      <c r="AJ329" s="96"/>
      <c r="AK329" s="96" t="s">
        <v>337</v>
      </c>
      <c r="AL329" s="96" t="s">
        <v>887</v>
      </c>
      <c r="AM329" s="96"/>
      <c r="AN329" s="96" t="s">
        <v>890</v>
      </c>
      <c r="AO329" s="100">
        <v>45473</v>
      </c>
      <c r="AP329" s="100">
        <v>45473</v>
      </c>
      <c r="AQ329" s="96"/>
      <c r="AR329" s="97">
        <v>19380.515527</v>
      </c>
      <c r="AS329" s="97">
        <v>97.78</v>
      </c>
      <c r="AT329" s="97">
        <v>1</v>
      </c>
      <c r="AU329" s="97">
        <v>18.950268000000001</v>
      </c>
      <c r="AV329" s="97">
        <v>18.950268000000001</v>
      </c>
      <c r="AW329" s="96"/>
      <c r="AX329" s="96"/>
      <c r="AY329" s="96"/>
      <c r="AZ329" s="96"/>
      <c r="BA329" s="98">
        <v>1.2300000000000001E-4</v>
      </c>
      <c r="BB329" s="98">
        <v>9.0000000000000002E-6</v>
      </c>
      <c r="BC329" s="106"/>
    </row>
    <row r="330" spans="1:55" ht="15" customHeight="1">
      <c r="A330" s="106"/>
      <c r="B330" s="96">
        <v>286</v>
      </c>
      <c r="C330" s="96">
        <v>286</v>
      </c>
      <c r="D330" s="96"/>
      <c r="E330" s="96"/>
      <c r="F330" s="96"/>
      <c r="G330" s="96">
        <v>25000894</v>
      </c>
      <c r="H330" s="96" t="s">
        <v>1013</v>
      </c>
      <c r="I330" s="96" t="s">
        <v>3684</v>
      </c>
      <c r="J330" s="96" t="s">
        <v>203</v>
      </c>
      <c r="K330" s="96"/>
      <c r="L330" s="96" t="s">
        <v>446</v>
      </c>
      <c r="M330" s="96" t="s">
        <v>338</v>
      </c>
      <c r="N330" s="96" t="s">
        <v>338</v>
      </c>
      <c r="O330" s="96"/>
      <c r="P330" s="100">
        <v>45350</v>
      </c>
      <c r="Q330" s="96" t="s">
        <v>409</v>
      </c>
      <c r="R330" s="96" t="s">
        <v>409</v>
      </c>
      <c r="S330" s="96" t="s">
        <v>409</v>
      </c>
      <c r="T330" s="96" t="s">
        <v>1200</v>
      </c>
      <c r="U330" s="97">
        <v>0.66</v>
      </c>
      <c r="V330" s="96" t="s">
        <v>3678</v>
      </c>
      <c r="W330" s="98">
        <v>4.3959999999999999E-2</v>
      </c>
      <c r="X330" s="96"/>
      <c r="Y330" s="96"/>
      <c r="Z330" s="96"/>
      <c r="AA330" s="98">
        <v>2.9499999999999998E-2</v>
      </c>
      <c r="AB330" s="100">
        <v>45716</v>
      </c>
      <c r="AC330" s="96" t="s">
        <v>411</v>
      </c>
      <c r="AD330" s="96"/>
      <c r="AE330" s="96"/>
      <c r="AF330" s="96"/>
      <c r="AG330" s="100">
        <v>45323</v>
      </c>
      <c r="AH330" s="96"/>
      <c r="AI330" s="96"/>
      <c r="AJ330" s="96"/>
      <c r="AK330" s="96" t="s">
        <v>337</v>
      </c>
      <c r="AL330" s="96" t="s">
        <v>887</v>
      </c>
      <c r="AM330" s="96"/>
      <c r="AN330" s="96" t="s">
        <v>890</v>
      </c>
      <c r="AO330" s="100">
        <v>45473</v>
      </c>
      <c r="AP330" s="100">
        <v>45473</v>
      </c>
      <c r="AQ330" s="96"/>
      <c r="AR330" s="97">
        <v>256118.03270899999</v>
      </c>
      <c r="AS330" s="97">
        <v>103.58</v>
      </c>
      <c r="AT330" s="97">
        <v>1</v>
      </c>
      <c r="AU330" s="97">
        <v>265.287058</v>
      </c>
      <c r="AV330" s="97">
        <v>265.287058</v>
      </c>
      <c r="AW330" s="96"/>
      <c r="AX330" s="96"/>
      <c r="AY330" s="96"/>
      <c r="AZ330" s="96"/>
      <c r="BA330" s="98">
        <v>1.7329999999999999E-3</v>
      </c>
      <c r="BB330" s="98">
        <v>1.3799999999999999E-4</v>
      </c>
      <c r="BC330" s="106"/>
    </row>
    <row r="331" spans="1:55" ht="15" customHeight="1">
      <c r="A331" s="106"/>
      <c r="B331" s="96">
        <v>286</v>
      </c>
      <c r="C331" s="96">
        <v>286</v>
      </c>
      <c r="D331" s="96"/>
      <c r="E331" s="96"/>
      <c r="F331" s="96"/>
      <c r="G331" s="96">
        <v>25000893</v>
      </c>
      <c r="H331" s="96" t="s">
        <v>1013</v>
      </c>
      <c r="I331" s="96" t="s">
        <v>3684</v>
      </c>
      <c r="J331" s="96" t="s">
        <v>203</v>
      </c>
      <c r="K331" s="96"/>
      <c r="L331" s="96" t="s">
        <v>463</v>
      </c>
      <c r="M331" s="96" t="s">
        <v>338</v>
      </c>
      <c r="N331" s="96" t="s">
        <v>337</v>
      </c>
      <c r="O331" s="96"/>
      <c r="P331" s="100">
        <v>45328</v>
      </c>
      <c r="Q331" s="96" t="s">
        <v>1439</v>
      </c>
      <c r="R331" s="96" t="s">
        <v>412</v>
      </c>
      <c r="S331" s="96" t="s">
        <v>407</v>
      </c>
      <c r="T331" s="96" t="s">
        <v>1200</v>
      </c>
      <c r="U331" s="97">
        <v>4.7</v>
      </c>
      <c r="V331" s="96" t="s">
        <v>3678</v>
      </c>
      <c r="W331" s="98">
        <v>2.9049999999999999E-2</v>
      </c>
      <c r="X331" s="96"/>
      <c r="Y331" s="96"/>
      <c r="Z331" s="96"/>
      <c r="AA331" s="98">
        <v>3.4099999999999998E-2</v>
      </c>
      <c r="AB331" s="100">
        <v>47520</v>
      </c>
      <c r="AC331" s="96" t="s">
        <v>411</v>
      </c>
      <c r="AD331" s="96"/>
      <c r="AE331" s="96"/>
      <c r="AF331" s="96"/>
      <c r="AG331" s="100">
        <v>45006</v>
      </c>
      <c r="AH331" s="96"/>
      <c r="AI331" s="96"/>
      <c r="AJ331" s="96"/>
      <c r="AK331" s="96" t="s">
        <v>337</v>
      </c>
      <c r="AL331" s="96" t="s">
        <v>887</v>
      </c>
      <c r="AM331" s="96"/>
      <c r="AN331" s="96" t="s">
        <v>890</v>
      </c>
      <c r="AO331" s="100">
        <v>45473</v>
      </c>
      <c r="AP331" s="100">
        <v>45473</v>
      </c>
      <c r="AQ331" s="96"/>
      <c r="AR331" s="97">
        <v>261296.88998899999</v>
      </c>
      <c r="AS331" s="97">
        <v>100.89</v>
      </c>
      <c r="AT331" s="97">
        <v>1</v>
      </c>
      <c r="AU331" s="97">
        <v>263.622432</v>
      </c>
      <c r="AV331" s="97">
        <v>263.622432</v>
      </c>
      <c r="AW331" s="96"/>
      <c r="AX331" s="96"/>
      <c r="AY331" s="96"/>
      <c r="AZ331" s="96"/>
      <c r="BA331" s="98">
        <v>1.722E-3</v>
      </c>
      <c r="BB331" s="98">
        <v>1.37E-4</v>
      </c>
      <c r="BC331" s="106"/>
    </row>
    <row r="332" spans="1:55" ht="15" customHeight="1">
      <c r="A332" s="106"/>
      <c r="B332" s="96">
        <v>286</v>
      </c>
      <c r="C332" s="96">
        <v>286</v>
      </c>
      <c r="D332" s="96"/>
      <c r="E332" s="96"/>
      <c r="F332" s="96"/>
      <c r="G332" s="96">
        <v>25000892</v>
      </c>
      <c r="H332" s="96" t="s">
        <v>1013</v>
      </c>
      <c r="I332" s="96" t="s">
        <v>818</v>
      </c>
      <c r="J332" s="96" t="s">
        <v>203</v>
      </c>
      <c r="K332" s="96"/>
      <c r="L332" s="96" t="s">
        <v>476</v>
      </c>
      <c r="M332" s="96" t="s">
        <v>338</v>
      </c>
      <c r="N332" s="96" t="s">
        <v>338</v>
      </c>
      <c r="O332" s="96"/>
      <c r="P332" s="100">
        <v>45333</v>
      </c>
      <c r="Q332" s="96" t="s">
        <v>1208</v>
      </c>
      <c r="R332" s="96" t="s">
        <v>311</v>
      </c>
      <c r="S332" s="96" t="s">
        <v>407</v>
      </c>
      <c r="T332" s="96" t="s">
        <v>1200</v>
      </c>
      <c r="U332" s="97">
        <v>1.35</v>
      </c>
      <c r="V332" s="96" t="s">
        <v>3678</v>
      </c>
      <c r="W332" s="98">
        <v>2.2100000000000002E-2</v>
      </c>
      <c r="X332" s="96"/>
      <c r="Y332" s="96"/>
      <c r="Z332" s="96"/>
      <c r="AA332" s="98">
        <v>2.7799999999999998E-2</v>
      </c>
      <c r="AB332" s="100">
        <v>46429</v>
      </c>
      <c r="AC332" s="96" t="s">
        <v>411</v>
      </c>
      <c r="AD332" s="96"/>
      <c r="AE332" s="96"/>
      <c r="AF332" s="96"/>
      <c r="AG332" s="100">
        <v>45333</v>
      </c>
      <c r="AH332" s="96"/>
      <c r="AI332" s="96"/>
      <c r="AJ332" s="96"/>
      <c r="AK332" s="96" t="s">
        <v>337</v>
      </c>
      <c r="AL332" s="96" t="s">
        <v>887</v>
      </c>
      <c r="AM332" s="96"/>
      <c r="AN332" s="96" t="s">
        <v>890</v>
      </c>
      <c r="AO332" s="100">
        <v>45473</v>
      </c>
      <c r="AP332" s="100">
        <v>45473</v>
      </c>
      <c r="AQ332" s="96"/>
      <c r="AR332" s="97">
        <v>125548.053994</v>
      </c>
      <c r="AS332" s="97">
        <v>101.26</v>
      </c>
      <c r="AT332" s="97">
        <v>1</v>
      </c>
      <c r="AU332" s="97">
        <v>127.129959</v>
      </c>
      <c r="AV332" s="97">
        <v>127.129959</v>
      </c>
      <c r="AW332" s="96"/>
      <c r="AX332" s="96"/>
      <c r="AY332" s="96"/>
      <c r="AZ332" s="96"/>
      <c r="BA332" s="98">
        <v>8.3000000000000001E-4</v>
      </c>
      <c r="BB332" s="98">
        <v>6.6000000000000005E-5</v>
      </c>
      <c r="BC332" s="106"/>
    </row>
    <row r="333" spans="1:55" ht="15" customHeight="1">
      <c r="A333" s="106"/>
      <c r="B333" s="96">
        <v>286</v>
      </c>
      <c r="C333" s="96">
        <v>286</v>
      </c>
      <c r="D333" s="96"/>
      <c r="E333" s="96"/>
      <c r="F333" s="96"/>
      <c r="G333" s="96">
        <v>25000891</v>
      </c>
      <c r="H333" s="96" t="s">
        <v>1013</v>
      </c>
      <c r="I333" s="96" t="s">
        <v>3684</v>
      </c>
      <c r="J333" s="96" t="s">
        <v>203</v>
      </c>
      <c r="K333" s="96"/>
      <c r="L333" s="96" t="s">
        <v>463</v>
      </c>
      <c r="M333" s="96" t="s">
        <v>338</v>
      </c>
      <c r="N333" s="96" t="s">
        <v>337</v>
      </c>
      <c r="O333" s="96"/>
      <c r="P333" s="100">
        <v>45328</v>
      </c>
      <c r="Q333" s="96" t="s">
        <v>1439</v>
      </c>
      <c r="R333" s="96" t="s">
        <v>412</v>
      </c>
      <c r="S333" s="96" t="s">
        <v>407</v>
      </c>
      <c r="T333" s="96" t="s">
        <v>1200</v>
      </c>
      <c r="U333" s="97">
        <v>4.7</v>
      </c>
      <c r="V333" s="96" t="s">
        <v>3678</v>
      </c>
      <c r="W333" s="98">
        <v>2.9049999999999999E-2</v>
      </c>
      <c r="X333" s="96"/>
      <c r="Y333" s="96"/>
      <c r="Z333" s="96"/>
      <c r="AA333" s="98">
        <v>3.4299999999999997E-2</v>
      </c>
      <c r="AB333" s="100">
        <v>47520</v>
      </c>
      <c r="AC333" s="96" t="s">
        <v>411</v>
      </c>
      <c r="AD333" s="96"/>
      <c r="AE333" s="96"/>
      <c r="AF333" s="96"/>
      <c r="AG333" s="100">
        <v>45006</v>
      </c>
      <c r="AH333" s="96"/>
      <c r="AI333" s="96"/>
      <c r="AJ333" s="96"/>
      <c r="AK333" s="96" t="s">
        <v>337</v>
      </c>
      <c r="AL333" s="96" t="s">
        <v>887</v>
      </c>
      <c r="AM333" s="96"/>
      <c r="AN333" s="96" t="s">
        <v>890</v>
      </c>
      <c r="AO333" s="100">
        <v>45473</v>
      </c>
      <c r="AP333" s="100">
        <v>45473</v>
      </c>
      <c r="AQ333" s="96"/>
      <c r="AR333" s="97">
        <v>261296.88998899999</v>
      </c>
      <c r="AS333" s="97">
        <v>100.82</v>
      </c>
      <c r="AT333" s="97">
        <v>1</v>
      </c>
      <c r="AU333" s="97">
        <v>263.43952400000001</v>
      </c>
      <c r="AV333" s="97">
        <v>263.43952400000001</v>
      </c>
      <c r="AW333" s="96"/>
      <c r="AX333" s="96"/>
      <c r="AY333" s="96"/>
      <c r="AZ333" s="96"/>
      <c r="BA333" s="98">
        <v>1.7210000000000001E-3</v>
      </c>
      <c r="BB333" s="98">
        <v>1.37E-4</v>
      </c>
      <c r="BC333" s="106"/>
    </row>
    <row r="334" spans="1:55" ht="15" customHeight="1">
      <c r="A334" s="106"/>
      <c r="B334" s="96">
        <v>286</v>
      </c>
      <c r="C334" s="96">
        <v>286</v>
      </c>
      <c r="D334" s="96"/>
      <c r="E334" s="96"/>
      <c r="F334" s="96"/>
      <c r="G334" s="96">
        <v>25000829</v>
      </c>
      <c r="H334" s="96" t="s">
        <v>1013</v>
      </c>
      <c r="I334" s="96" t="s">
        <v>813</v>
      </c>
      <c r="J334" s="96" t="s">
        <v>203</v>
      </c>
      <c r="K334" s="96"/>
      <c r="L334" s="96" t="s">
        <v>476</v>
      </c>
      <c r="M334" s="96" t="s">
        <v>338</v>
      </c>
      <c r="N334" s="96" t="s">
        <v>337</v>
      </c>
      <c r="O334" s="96"/>
      <c r="P334" s="100">
        <v>45273</v>
      </c>
      <c r="Q334" s="96" t="s">
        <v>1357</v>
      </c>
      <c r="R334" s="96" t="s">
        <v>414</v>
      </c>
      <c r="S334" s="96" t="s">
        <v>407</v>
      </c>
      <c r="T334" s="96" t="s">
        <v>1200</v>
      </c>
      <c r="U334" s="97">
        <v>9.31</v>
      </c>
      <c r="V334" s="96" t="s">
        <v>824</v>
      </c>
      <c r="W334" s="98">
        <v>6.7000000000000004E-2</v>
      </c>
      <c r="X334" s="96"/>
      <c r="Y334" s="96"/>
      <c r="Z334" s="96"/>
      <c r="AA334" s="98">
        <v>6.6400000000000001E-2</v>
      </c>
      <c r="AB334" s="100">
        <v>54057</v>
      </c>
      <c r="AC334" s="96" t="s">
        <v>411</v>
      </c>
      <c r="AD334" s="96"/>
      <c r="AE334" s="96"/>
      <c r="AF334" s="96"/>
      <c r="AG334" s="100">
        <v>45291</v>
      </c>
      <c r="AH334" s="96"/>
      <c r="AI334" s="96"/>
      <c r="AJ334" s="96"/>
      <c r="AK334" s="96" t="s">
        <v>337</v>
      </c>
      <c r="AL334" s="96" t="s">
        <v>887</v>
      </c>
      <c r="AM334" s="96"/>
      <c r="AN334" s="96" t="s">
        <v>890</v>
      </c>
      <c r="AO334" s="100">
        <v>45473</v>
      </c>
      <c r="AP334" s="100">
        <v>45473</v>
      </c>
      <c r="AQ334" s="96"/>
      <c r="AR334" s="97">
        <v>48419.381501000003</v>
      </c>
      <c r="AS334" s="97">
        <v>94.95</v>
      </c>
      <c r="AT334" s="97">
        <v>1</v>
      </c>
      <c r="AU334" s="97">
        <v>45.974201999999998</v>
      </c>
      <c r="AV334" s="97">
        <v>45.974201999999998</v>
      </c>
      <c r="AW334" s="96"/>
      <c r="AX334" s="96"/>
      <c r="AY334" s="96"/>
      <c r="AZ334" s="96"/>
      <c r="BA334" s="98">
        <v>2.9999999999999997E-4</v>
      </c>
      <c r="BB334" s="98">
        <v>2.3E-5</v>
      </c>
      <c r="BC334" s="106"/>
    </row>
    <row r="335" spans="1:55" ht="15" customHeight="1">
      <c r="A335" s="106"/>
      <c r="B335" s="96">
        <v>286</v>
      </c>
      <c r="C335" s="96">
        <v>286</v>
      </c>
      <c r="D335" s="96"/>
      <c r="E335" s="96"/>
      <c r="F335" s="96"/>
      <c r="G335" s="96">
        <v>25000889</v>
      </c>
      <c r="H335" s="96" t="s">
        <v>1013</v>
      </c>
      <c r="I335" s="96" t="s">
        <v>785</v>
      </c>
      <c r="J335" s="96" t="s">
        <v>203</v>
      </c>
      <c r="K335" s="96"/>
      <c r="L335" s="96" t="s">
        <v>463</v>
      </c>
      <c r="M335" s="96" t="s">
        <v>338</v>
      </c>
      <c r="N335" s="96" t="s">
        <v>338</v>
      </c>
      <c r="O335" s="96"/>
      <c r="P335" s="100">
        <v>45321</v>
      </c>
      <c r="Q335" s="96" t="s">
        <v>3681</v>
      </c>
      <c r="R335" s="96" t="s">
        <v>311</v>
      </c>
      <c r="S335" s="96" t="s">
        <v>407</v>
      </c>
      <c r="T335" s="96" t="s">
        <v>1200</v>
      </c>
      <c r="U335" s="97">
        <v>4.8600000000000003</v>
      </c>
      <c r="V335" s="96" t="s">
        <v>3678</v>
      </c>
      <c r="W335" s="98">
        <v>3.5490000000000001E-2</v>
      </c>
      <c r="X335" s="96"/>
      <c r="Y335" s="96"/>
      <c r="Z335" s="96"/>
      <c r="AA335" s="98">
        <v>3.78E-2</v>
      </c>
      <c r="AB335" s="100">
        <v>47513</v>
      </c>
      <c r="AC335" s="96" t="s">
        <v>411</v>
      </c>
      <c r="AD335" s="96"/>
      <c r="AE335" s="96"/>
      <c r="AF335" s="96"/>
      <c r="AG335" s="100">
        <v>45081</v>
      </c>
      <c r="AH335" s="96"/>
      <c r="AI335" s="96"/>
      <c r="AJ335" s="96"/>
      <c r="AK335" s="96" t="s">
        <v>337</v>
      </c>
      <c r="AL335" s="96" t="s">
        <v>887</v>
      </c>
      <c r="AM335" s="96"/>
      <c r="AN335" s="96" t="s">
        <v>890</v>
      </c>
      <c r="AO335" s="100">
        <v>45473</v>
      </c>
      <c r="AP335" s="100">
        <v>45473</v>
      </c>
      <c r="AQ335" s="96"/>
      <c r="AR335" s="97">
        <v>607338.71727100003</v>
      </c>
      <c r="AS335" s="97">
        <v>102.54</v>
      </c>
      <c r="AT335" s="97">
        <v>1</v>
      </c>
      <c r="AU335" s="97">
        <v>622.76512000000002</v>
      </c>
      <c r="AV335" s="97">
        <v>622.76512000000002</v>
      </c>
      <c r="AW335" s="96"/>
      <c r="AX335" s="96"/>
      <c r="AY335" s="96"/>
      <c r="AZ335" s="96"/>
      <c r="BA335" s="98">
        <v>4.0689999999999997E-3</v>
      </c>
      <c r="BB335" s="98">
        <v>3.2400000000000001E-4</v>
      </c>
      <c r="BC335" s="106"/>
    </row>
    <row r="336" spans="1:55" ht="15" customHeight="1">
      <c r="A336" s="106"/>
      <c r="B336" s="96">
        <v>286</v>
      </c>
      <c r="C336" s="96">
        <v>286</v>
      </c>
      <c r="D336" s="96"/>
      <c r="E336" s="96"/>
      <c r="F336" s="96"/>
      <c r="G336" s="96">
        <v>25000887</v>
      </c>
      <c r="H336" s="96" t="s">
        <v>1013</v>
      </c>
      <c r="I336" s="96" t="s">
        <v>3682</v>
      </c>
      <c r="J336" s="96" t="s">
        <v>203</v>
      </c>
      <c r="K336" s="96"/>
      <c r="L336" s="96" t="s">
        <v>477</v>
      </c>
      <c r="M336" s="96" t="s">
        <v>338</v>
      </c>
      <c r="N336" s="96" t="s">
        <v>337</v>
      </c>
      <c r="O336" s="96"/>
      <c r="P336" s="100">
        <v>45319</v>
      </c>
      <c r="Q336" s="96" t="s">
        <v>409</v>
      </c>
      <c r="R336" s="96" t="s">
        <v>409</v>
      </c>
      <c r="S336" s="96" t="s">
        <v>409</v>
      </c>
      <c r="T336" s="96" t="s">
        <v>1200</v>
      </c>
      <c r="U336" s="97">
        <v>2.04</v>
      </c>
      <c r="V336" s="96" t="s">
        <v>824</v>
      </c>
      <c r="W336" s="98">
        <v>0.08</v>
      </c>
      <c r="X336" s="96"/>
      <c r="Y336" s="96"/>
      <c r="Z336" s="96"/>
      <c r="AA336" s="98">
        <v>7.3700000000000002E-2</v>
      </c>
      <c r="AB336" s="100">
        <v>46283</v>
      </c>
      <c r="AC336" s="96" t="s">
        <v>411</v>
      </c>
      <c r="AD336" s="96"/>
      <c r="AE336" s="96"/>
      <c r="AF336" s="96"/>
      <c r="AG336" s="100">
        <v>45473</v>
      </c>
      <c r="AH336" s="96"/>
      <c r="AI336" s="96"/>
      <c r="AJ336" s="96"/>
      <c r="AK336" s="96" t="s">
        <v>337</v>
      </c>
      <c r="AL336" s="96" t="s">
        <v>887</v>
      </c>
      <c r="AM336" s="96"/>
      <c r="AN336" s="96" t="s">
        <v>890</v>
      </c>
      <c r="AO336" s="100">
        <v>45473</v>
      </c>
      <c r="AP336" s="100">
        <v>45473</v>
      </c>
      <c r="AQ336" s="96"/>
      <c r="AR336" s="97">
        <v>141241.562156</v>
      </c>
      <c r="AS336" s="97">
        <v>102.68</v>
      </c>
      <c r="AT336" s="97">
        <v>1</v>
      </c>
      <c r="AU336" s="97">
        <v>145.026836</v>
      </c>
      <c r="AV336" s="97">
        <v>145.026836</v>
      </c>
      <c r="AW336" s="96"/>
      <c r="AX336" s="96"/>
      <c r="AY336" s="96"/>
      <c r="AZ336" s="96"/>
      <c r="BA336" s="98">
        <v>9.4700000000000003E-4</v>
      </c>
      <c r="BB336" s="98">
        <v>7.4999999999999993E-5</v>
      </c>
      <c r="BC336" s="106"/>
    </row>
    <row r="337" spans="1:55" ht="15" customHeight="1">
      <c r="A337" s="106"/>
      <c r="B337" s="96">
        <v>286</v>
      </c>
      <c r="C337" s="96">
        <v>286</v>
      </c>
      <c r="D337" s="96"/>
      <c r="E337" s="96"/>
      <c r="F337" s="96"/>
      <c r="G337" s="96">
        <v>25000828</v>
      </c>
      <c r="H337" s="96" t="s">
        <v>1013</v>
      </c>
      <c r="I337" s="96"/>
      <c r="J337" s="96" t="s">
        <v>203</v>
      </c>
      <c r="K337" s="96"/>
      <c r="L337" s="96" t="s">
        <v>477</v>
      </c>
      <c r="M337" s="96" t="s">
        <v>337</v>
      </c>
      <c r="N337" s="96" t="s">
        <v>338</v>
      </c>
      <c r="O337" s="96"/>
      <c r="P337" s="100">
        <v>45258</v>
      </c>
      <c r="Q337" s="96" t="s">
        <v>1309</v>
      </c>
      <c r="R337" s="96" t="s">
        <v>414</v>
      </c>
      <c r="S337" s="96" t="s">
        <v>407</v>
      </c>
      <c r="T337" s="96" t="s">
        <v>1200</v>
      </c>
      <c r="U337" s="97">
        <v>4.9000000000000004</v>
      </c>
      <c r="V337" s="96" t="s">
        <v>3678</v>
      </c>
      <c r="W337" s="98">
        <v>4.6420000000000003E-2</v>
      </c>
      <c r="X337" s="96"/>
      <c r="Y337" s="96"/>
      <c r="Z337" s="96"/>
      <c r="AA337" s="98">
        <v>4.07E-2</v>
      </c>
      <c r="AB337" s="100">
        <v>49613</v>
      </c>
      <c r="AC337" s="96" t="s">
        <v>411</v>
      </c>
      <c r="AD337" s="96"/>
      <c r="AE337" s="96"/>
      <c r="AF337" s="96"/>
      <c r="AG337" s="100"/>
      <c r="AH337" s="96"/>
      <c r="AI337" s="96"/>
      <c r="AJ337" s="96"/>
      <c r="AK337" s="96" t="s">
        <v>337</v>
      </c>
      <c r="AL337" s="96" t="s">
        <v>887</v>
      </c>
      <c r="AM337" s="96"/>
      <c r="AN337" s="96" t="s">
        <v>890</v>
      </c>
      <c r="AO337" s="100">
        <v>45473</v>
      </c>
      <c r="AP337" s="100">
        <v>45473</v>
      </c>
      <c r="AQ337" s="96"/>
      <c r="AR337" s="97">
        <v>193431.79660900001</v>
      </c>
      <c r="AS337" s="97">
        <v>104.82</v>
      </c>
      <c r="AT337" s="97">
        <v>1</v>
      </c>
      <c r="AU337" s="97">
        <v>202.75520900000001</v>
      </c>
      <c r="AV337" s="97">
        <v>202.75520900000001</v>
      </c>
      <c r="AW337" s="96"/>
      <c r="AX337" s="96"/>
      <c r="AY337" s="96"/>
      <c r="AZ337" s="96"/>
      <c r="BA337" s="98">
        <v>1.3240000000000001E-3</v>
      </c>
      <c r="BB337" s="98">
        <v>1.05E-4</v>
      </c>
      <c r="BC337" s="106"/>
    </row>
    <row r="338" spans="1:55" ht="15" customHeight="1">
      <c r="A338" s="106"/>
      <c r="B338" s="96">
        <v>286</v>
      </c>
      <c r="C338" s="96">
        <v>286</v>
      </c>
      <c r="D338" s="96"/>
      <c r="E338" s="96"/>
      <c r="F338" s="96"/>
      <c r="G338" s="96">
        <v>25000823</v>
      </c>
      <c r="H338" s="96" t="s">
        <v>1013</v>
      </c>
      <c r="I338" s="96" t="s">
        <v>813</v>
      </c>
      <c r="J338" s="96" t="s">
        <v>203</v>
      </c>
      <c r="K338" s="96"/>
      <c r="L338" s="96" t="s">
        <v>454</v>
      </c>
      <c r="M338" s="96" t="s">
        <v>338</v>
      </c>
      <c r="N338" s="96" t="s">
        <v>337</v>
      </c>
      <c r="O338" s="96"/>
      <c r="P338" s="100">
        <v>44878</v>
      </c>
      <c r="Q338" s="96" t="s">
        <v>1324</v>
      </c>
      <c r="R338" s="96" t="s">
        <v>412</v>
      </c>
      <c r="S338" s="96" t="s">
        <v>407</v>
      </c>
      <c r="T338" s="96" t="s">
        <v>1200</v>
      </c>
      <c r="U338" s="97">
        <v>6.41</v>
      </c>
      <c r="V338" s="96" t="s">
        <v>3678</v>
      </c>
      <c r="W338" s="98">
        <v>3.0700000000000002E-2</v>
      </c>
      <c r="X338" s="96"/>
      <c r="Y338" s="96"/>
      <c r="Z338" s="96"/>
      <c r="AA338" s="98">
        <v>4.2999999999999997E-2</v>
      </c>
      <c r="AB338" s="100">
        <v>51038</v>
      </c>
      <c r="AC338" s="96" t="s">
        <v>411</v>
      </c>
      <c r="AD338" s="96"/>
      <c r="AE338" s="96"/>
      <c r="AF338" s="96"/>
      <c r="AG338" s="100">
        <v>45291</v>
      </c>
      <c r="AH338" s="96"/>
      <c r="AI338" s="96"/>
      <c r="AJ338" s="96"/>
      <c r="AK338" s="96" t="s">
        <v>337</v>
      </c>
      <c r="AL338" s="96" t="s">
        <v>887</v>
      </c>
      <c r="AM338" s="96"/>
      <c r="AN338" s="96" t="s">
        <v>890</v>
      </c>
      <c r="AO338" s="100">
        <v>45473</v>
      </c>
      <c r="AP338" s="100">
        <v>45473</v>
      </c>
      <c r="AQ338" s="96"/>
      <c r="AR338" s="97">
        <v>513767.15077000001</v>
      </c>
      <c r="AS338" s="97">
        <v>98.34</v>
      </c>
      <c r="AT338" s="97">
        <v>1</v>
      </c>
      <c r="AU338" s="97">
        <v>505.23861599999998</v>
      </c>
      <c r="AV338" s="97">
        <v>505.23861599999998</v>
      </c>
      <c r="AW338" s="96"/>
      <c r="AX338" s="96"/>
      <c r="AY338" s="96"/>
      <c r="AZ338" s="96"/>
      <c r="BA338" s="98">
        <v>3.3010000000000001E-3</v>
      </c>
      <c r="BB338" s="98">
        <v>2.63E-4</v>
      </c>
      <c r="BC338" s="106"/>
    </row>
    <row r="339" spans="1:55" ht="15" customHeight="1">
      <c r="A339" s="106"/>
      <c r="B339" s="96">
        <v>286</v>
      </c>
      <c r="C339" s="96">
        <v>286</v>
      </c>
      <c r="D339" s="96"/>
      <c r="E339" s="96"/>
      <c r="F339" s="96"/>
      <c r="G339" s="96">
        <v>25000826</v>
      </c>
      <c r="H339" s="96" t="s">
        <v>1013</v>
      </c>
      <c r="I339" s="96"/>
      <c r="J339" s="96" t="s">
        <v>203</v>
      </c>
      <c r="K339" s="96"/>
      <c r="L339" s="96" t="s">
        <v>477</v>
      </c>
      <c r="M339" s="96" t="s">
        <v>338</v>
      </c>
      <c r="N339" s="96" t="s">
        <v>338</v>
      </c>
      <c r="O339" s="96"/>
      <c r="P339" s="100">
        <v>45244</v>
      </c>
      <c r="Q339" s="96" t="s">
        <v>409</v>
      </c>
      <c r="R339" s="96" t="s">
        <v>409</v>
      </c>
      <c r="S339" s="96" t="s">
        <v>409</v>
      </c>
      <c r="T339" s="96" t="s">
        <v>1200</v>
      </c>
      <c r="U339" s="97">
        <v>3.79</v>
      </c>
      <c r="V339" s="96" t="s">
        <v>824</v>
      </c>
      <c r="W339" s="98">
        <v>7.4999999999999997E-2</v>
      </c>
      <c r="X339" s="96"/>
      <c r="Y339" s="96"/>
      <c r="Z339" s="96"/>
      <c r="AA339" s="98">
        <v>6.5100000000000005E-2</v>
      </c>
      <c r="AB339" s="100">
        <v>47071</v>
      </c>
      <c r="AC339" s="96" t="s">
        <v>411</v>
      </c>
      <c r="AD339" s="96"/>
      <c r="AE339" s="96"/>
      <c r="AF339" s="96"/>
      <c r="AG339" s="100">
        <v>45097</v>
      </c>
      <c r="AH339" s="96"/>
      <c r="AI339" s="96"/>
      <c r="AJ339" s="96"/>
      <c r="AK339" s="96" t="s">
        <v>337</v>
      </c>
      <c r="AL339" s="96" t="s">
        <v>887</v>
      </c>
      <c r="AM339" s="96"/>
      <c r="AN339" s="96" t="s">
        <v>890</v>
      </c>
      <c r="AO339" s="100">
        <v>45473</v>
      </c>
      <c r="AP339" s="100">
        <v>45473</v>
      </c>
      <c r="AQ339" s="96"/>
      <c r="AR339" s="97">
        <v>13559.189967</v>
      </c>
      <c r="AS339" s="97">
        <v>106.4</v>
      </c>
      <c r="AT339" s="97">
        <v>1</v>
      </c>
      <c r="AU339" s="97">
        <v>14.426978</v>
      </c>
      <c r="AV339" s="97">
        <v>14.426978</v>
      </c>
      <c r="AW339" s="96"/>
      <c r="AX339" s="96"/>
      <c r="AY339" s="96"/>
      <c r="AZ339" s="96"/>
      <c r="BA339" s="98">
        <v>9.3999999999999994E-5</v>
      </c>
      <c r="BB339" s="98">
        <v>6.9999999999999999E-6</v>
      </c>
      <c r="BC339" s="106"/>
    </row>
    <row r="340" spans="1:55" ht="15" customHeight="1">
      <c r="A340" s="106"/>
      <c r="B340" s="96">
        <v>286</v>
      </c>
      <c r="C340" s="96">
        <v>286</v>
      </c>
      <c r="D340" s="96"/>
      <c r="E340" s="96"/>
      <c r="F340" s="96"/>
      <c r="G340" s="96">
        <v>25000801</v>
      </c>
      <c r="H340" s="96" t="s">
        <v>1013</v>
      </c>
      <c r="I340" s="96"/>
      <c r="J340" s="96" t="s">
        <v>203</v>
      </c>
      <c r="K340" s="96"/>
      <c r="L340" s="96" t="s">
        <v>477</v>
      </c>
      <c r="M340" s="96" t="s">
        <v>337</v>
      </c>
      <c r="N340" s="96" t="s">
        <v>338</v>
      </c>
      <c r="O340" s="96"/>
      <c r="P340" s="100">
        <v>45158</v>
      </c>
      <c r="Q340" s="96" t="s">
        <v>1309</v>
      </c>
      <c r="R340" s="96" t="s">
        <v>414</v>
      </c>
      <c r="S340" s="96" t="s">
        <v>407</v>
      </c>
      <c r="T340" s="96" t="s">
        <v>1200</v>
      </c>
      <c r="U340" s="97">
        <v>5.4</v>
      </c>
      <c r="V340" s="96" t="s">
        <v>824</v>
      </c>
      <c r="W340" s="98">
        <v>6.7000000000000004E-2</v>
      </c>
      <c r="X340" s="96"/>
      <c r="Y340" s="96"/>
      <c r="Z340" s="96"/>
      <c r="AA340" s="98">
        <v>6.6199999999999995E-2</v>
      </c>
      <c r="AB340" s="100">
        <v>50617</v>
      </c>
      <c r="AC340" s="96" t="s">
        <v>411</v>
      </c>
      <c r="AD340" s="96"/>
      <c r="AE340" s="96"/>
      <c r="AF340" s="96"/>
      <c r="AG340" s="100"/>
      <c r="AH340" s="96"/>
      <c r="AI340" s="96"/>
      <c r="AJ340" s="96"/>
      <c r="AK340" s="96" t="s">
        <v>337</v>
      </c>
      <c r="AL340" s="96" t="s">
        <v>887</v>
      </c>
      <c r="AM340" s="96"/>
      <c r="AN340" s="96" t="s">
        <v>890</v>
      </c>
      <c r="AO340" s="100">
        <v>45473</v>
      </c>
      <c r="AP340" s="100">
        <v>45473</v>
      </c>
      <c r="AQ340" s="96"/>
      <c r="AR340" s="97">
        <v>318264.31632899999</v>
      </c>
      <c r="AS340" s="97">
        <v>103.07</v>
      </c>
      <c r="AT340" s="97">
        <v>1</v>
      </c>
      <c r="AU340" s="97">
        <v>328.03503000000001</v>
      </c>
      <c r="AV340" s="97">
        <v>328.03503000000001</v>
      </c>
      <c r="AW340" s="96"/>
      <c r="AX340" s="96"/>
      <c r="AY340" s="96"/>
      <c r="AZ340" s="96"/>
      <c r="BA340" s="98">
        <v>2.1429999999999999E-3</v>
      </c>
      <c r="BB340" s="98">
        <v>1.7000000000000001E-4</v>
      </c>
      <c r="BC340" s="106"/>
    </row>
    <row r="341" spans="1:55" ht="15" customHeight="1">
      <c r="A341" s="106"/>
      <c r="B341" s="96">
        <v>286</v>
      </c>
      <c r="C341" s="96">
        <v>286</v>
      </c>
      <c r="D341" s="96"/>
      <c r="E341" s="96"/>
      <c r="F341" s="96"/>
      <c r="G341" s="96">
        <v>25000800</v>
      </c>
      <c r="H341" s="96" t="s">
        <v>1013</v>
      </c>
      <c r="I341" s="96"/>
      <c r="J341" s="96" t="s">
        <v>203</v>
      </c>
      <c r="K341" s="96"/>
      <c r="L341" s="96" t="s">
        <v>477</v>
      </c>
      <c r="M341" s="96" t="s">
        <v>337</v>
      </c>
      <c r="N341" s="96" t="s">
        <v>338</v>
      </c>
      <c r="O341" s="96"/>
      <c r="P341" s="100">
        <v>45158</v>
      </c>
      <c r="Q341" s="96" t="s">
        <v>1309</v>
      </c>
      <c r="R341" s="96" t="s">
        <v>414</v>
      </c>
      <c r="S341" s="96" t="s">
        <v>407</v>
      </c>
      <c r="T341" s="96" t="s">
        <v>1200</v>
      </c>
      <c r="U341" s="97">
        <v>4.4400000000000004</v>
      </c>
      <c r="V341" s="96" t="s">
        <v>3678</v>
      </c>
      <c r="W341" s="98">
        <v>4.2299999999999997E-2</v>
      </c>
      <c r="X341" s="96"/>
      <c r="Y341" s="96"/>
      <c r="Z341" s="96"/>
      <c r="AA341" s="98">
        <v>4.3099999999999999E-2</v>
      </c>
      <c r="AB341" s="100">
        <v>49156</v>
      </c>
      <c r="AC341" s="96" t="s">
        <v>411</v>
      </c>
      <c r="AD341" s="96"/>
      <c r="AE341" s="96"/>
      <c r="AF341" s="96"/>
      <c r="AG341" s="100"/>
      <c r="AH341" s="96"/>
      <c r="AI341" s="96"/>
      <c r="AJ341" s="96"/>
      <c r="AK341" s="96" t="s">
        <v>337</v>
      </c>
      <c r="AL341" s="96" t="s">
        <v>887</v>
      </c>
      <c r="AM341" s="96"/>
      <c r="AN341" s="96" t="s">
        <v>890</v>
      </c>
      <c r="AO341" s="100">
        <v>45473</v>
      </c>
      <c r="AP341" s="100">
        <v>45473</v>
      </c>
      <c r="AQ341" s="96"/>
      <c r="AR341" s="97">
        <v>310731.43342900003</v>
      </c>
      <c r="AS341" s="97">
        <v>102.47</v>
      </c>
      <c r="AT341" s="97">
        <v>1</v>
      </c>
      <c r="AU341" s="97">
        <v>318.406499</v>
      </c>
      <c r="AV341" s="97">
        <v>318.406499</v>
      </c>
      <c r="AW341" s="96"/>
      <c r="AX341" s="96"/>
      <c r="AY341" s="96"/>
      <c r="AZ341" s="96"/>
      <c r="BA341" s="98">
        <v>2.0799999999999998E-3</v>
      </c>
      <c r="BB341" s="98">
        <v>1.65E-4</v>
      </c>
      <c r="BC341" s="106"/>
    </row>
    <row r="342" spans="1:55" ht="15" customHeight="1">
      <c r="A342" s="106"/>
      <c r="B342" s="96">
        <v>286</v>
      </c>
      <c r="C342" s="96">
        <v>286</v>
      </c>
      <c r="D342" s="96"/>
      <c r="E342" s="96"/>
      <c r="F342" s="96"/>
      <c r="G342" s="96">
        <v>25000799</v>
      </c>
      <c r="H342" s="96" t="s">
        <v>1013</v>
      </c>
      <c r="I342" s="96" t="s">
        <v>812</v>
      </c>
      <c r="J342" s="96" t="s">
        <v>203</v>
      </c>
      <c r="K342" s="96"/>
      <c r="L342" s="96" t="s">
        <v>446</v>
      </c>
      <c r="M342" s="96" t="s">
        <v>338</v>
      </c>
      <c r="N342" s="96" t="s">
        <v>337</v>
      </c>
      <c r="O342" s="96"/>
      <c r="P342" s="100">
        <v>45155</v>
      </c>
      <c r="Q342" s="96" t="s">
        <v>1357</v>
      </c>
      <c r="R342" s="96" t="s">
        <v>414</v>
      </c>
      <c r="S342" s="96" t="s">
        <v>407</v>
      </c>
      <c r="T342" s="96" t="s">
        <v>1200</v>
      </c>
      <c r="U342" s="97">
        <v>1.59</v>
      </c>
      <c r="V342" s="96" t="s">
        <v>824</v>
      </c>
      <c r="W342" s="98">
        <v>6.6000000000000003E-2</v>
      </c>
      <c r="X342" s="96"/>
      <c r="Y342" s="96"/>
      <c r="Z342" s="96"/>
      <c r="AA342" s="98">
        <v>6.0199999999999997E-2</v>
      </c>
      <c r="AB342" s="100">
        <v>46081</v>
      </c>
      <c r="AC342" s="96" t="s">
        <v>411</v>
      </c>
      <c r="AD342" s="96"/>
      <c r="AE342" s="96"/>
      <c r="AF342" s="96"/>
      <c r="AG342" s="100">
        <v>45291</v>
      </c>
      <c r="AH342" s="96"/>
      <c r="AI342" s="96"/>
      <c r="AJ342" s="96"/>
      <c r="AK342" s="96" t="s">
        <v>337</v>
      </c>
      <c r="AL342" s="96" t="s">
        <v>887</v>
      </c>
      <c r="AM342" s="96"/>
      <c r="AN342" s="96" t="s">
        <v>890</v>
      </c>
      <c r="AO342" s="100">
        <v>45473</v>
      </c>
      <c r="AP342" s="100">
        <v>45473</v>
      </c>
      <c r="AQ342" s="96"/>
      <c r="AR342" s="97">
        <v>23641.041675</v>
      </c>
      <c r="AS342" s="97">
        <v>100.83</v>
      </c>
      <c r="AT342" s="97">
        <v>1</v>
      </c>
      <c r="AU342" s="97">
        <v>23.837261999999999</v>
      </c>
      <c r="AV342" s="97">
        <v>23.837261999999999</v>
      </c>
      <c r="AW342" s="96"/>
      <c r="AX342" s="96"/>
      <c r="AY342" s="96"/>
      <c r="AZ342" s="96"/>
      <c r="BA342" s="98">
        <v>1.55E-4</v>
      </c>
      <c r="BB342" s="98">
        <v>1.2E-5</v>
      </c>
      <c r="BC342" s="106"/>
    </row>
    <row r="343" spans="1:55" ht="15" customHeight="1">
      <c r="A343" s="106"/>
      <c r="B343" s="96">
        <v>286</v>
      </c>
      <c r="C343" s="96">
        <v>286</v>
      </c>
      <c r="D343" s="96"/>
      <c r="E343" s="96"/>
      <c r="F343" s="96"/>
      <c r="G343" s="96">
        <v>25000798</v>
      </c>
      <c r="H343" s="96" t="s">
        <v>1013</v>
      </c>
      <c r="I343" s="96" t="s">
        <v>812</v>
      </c>
      <c r="J343" s="96" t="s">
        <v>203</v>
      </c>
      <c r="K343" s="96"/>
      <c r="L343" s="96" t="s">
        <v>454</v>
      </c>
      <c r="M343" s="96" t="s">
        <v>338</v>
      </c>
      <c r="N343" s="96" t="s">
        <v>337</v>
      </c>
      <c r="O343" s="96"/>
      <c r="P343" s="100">
        <v>45153</v>
      </c>
      <c r="Q343" s="96" t="s">
        <v>1357</v>
      </c>
      <c r="R343" s="96" t="s">
        <v>414</v>
      </c>
      <c r="S343" s="96" t="s">
        <v>407</v>
      </c>
      <c r="T343" s="96" t="s">
        <v>1200</v>
      </c>
      <c r="U343" s="97">
        <v>7.15</v>
      </c>
      <c r="V343" s="96" t="s">
        <v>3678</v>
      </c>
      <c r="W343" s="98">
        <v>4.4499999999999998E-2</v>
      </c>
      <c r="X343" s="96"/>
      <c r="Y343" s="96"/>
      <c r="Z343" s="96"/>
      <c r="AA343" s="98">
        <v>4.3400000000000001E-2</v>
      </c>
      <c r="AB343" s="100">
        <v>51677</v>
      </c>
      <c r="AC343" s="96" t="s">
        <v>411</v>
      </c>
      <c r="AD343" s="96"/>
      <c r="AE343" s="96"/>
      <c r="AF343" s="96"/>
      <c r="AG343" s="100">
        <v>45291</v>
      </c>
      <c r="AH343" s="96"/>
      <c r="AI343" s="96"/>
      <c r="AJ343" s="96"/>
      <c r="AK343" s="96" t="s">
        <v>337</v>
      </c>
      <c r="AL343" s="96" t="s">
        <v>887</v>
      </c>
      <c r="AM343" s="96"/>
      <c r="AN343" s="96" t="s">
        <v>890</v>
      </c>
      <c r="AO343" s="100">
        <v>45473</v>
      </c>
      <c r="AP343" s="100">
        <v>45473</v>
      </c>
      <c r="AQ343" s="96"/>
      <c r="AR343" s="97">
        <v>65187.78</v>
      </c>
      <c r="AS343" s="97">
        <v>100.85</v>
      </c>
      <c r="AT343" s="97">
        <v>1</v>
      </c>
      <c r="AU343" s="97">
        <v>65.741879999999995</v>
      </c>
      <c r="AV343" s="97">
        <v>65.741879999999995</v>
      </c>
      <c r="AW343" s="96"/>
      <c r="AX343" s="96"/>
      <c r="AY343" s="96"/>
      <c r="AZ343" s="96"/>
      <c r="BA343" s="98">
        <v>4.2900000000000002E-4</v>
      </c>
      <c r="BB343" s="98">
        <v>3.4E-5</v>
      </c>
      <c r="BC343" s="106"/>
    </row>
    <row r="344" spans="1:55" ht="15" customHeight="1">
      <c r="A344" s="106"/>
      <c r="B344" s="96">
        <v>286</v>
      </c>
      <c r="C344" s="96">
        <v>286</v>
      </c>
      <c r="D344" s="96"/>
      <c r="E344" s="96"/>
      <c r="F344" s="96"/>
      <c r="G344" s="96">
        <v>25000797</v>
      </c>
      <c r="H344" s="96" t="s">
        <v>1013</v>
      </c>
      <c r="I344" s="96" t="s">
        <v>3684</v>
      </c>
      <c r="J344" s="96" t="s">
        <v>203</v>
      </c>
      <c r="K344" s="96"/>
      <c r="L344" s="96" t="s">
        <v>463</v>
      </c>
      <c r="M344" s="96" t="s">
        <v>338</v>
      </c>
      <c r="N344" s="96" t="s">
        <v>337</v>
      </c>
      <c r="O344" s="96"/>
      <c r="P344" s="100">
        <v>45153</v>
      </c>
      <c r="Q344" s="96" t="s">
        <v>3681</v>
      </c>
      <c r="R344" s="96" t="s">
        <v>311</v>
      </c>
      <c r="S344" s="96" t="s">
        <v>407</v>
      </c>
      <c r="T344" s="96" t="s">
        <v>1200</v>
      </c>
      <c r="U344" s="97">
        <v>0.13</v>
      </c>
      <c r="V344" s="96" t="s">
        <v>824</v>
      </c>
      <c r="W344" s="98">
        <v>7.8E-2</v>
      </c>
      <c r="X344" s="96"/>
      <c r="Y344" s="96"/>
      <c r="Z344" s="96"/>
      <c r="AA344" s="98">
        <v>6.9199999999999998E-2</v>
      </c>
      <c r="AB344" s="100">
        <v>45519</v>
      </c>
      <c r="AC344" s="96" t="s">
        <v>411</v>
      </c>
      <c r="AD344" s="96"/>
      <c r="AE344" s="96"/>
      <c r="AF344" s="96"/>
      <c r="AG344" s="100">
        <v>45075</v>
      </c>
      <c r="AH344" s="96"/>
      <c r="AI344" s="96"/>
      <c r="AJ344" s="96"/>
      <c r="AK344" s="96" t="s">
        <v>337</v>
      </c>
      <c r="AL344" s="96" t="s">
        <v>887</v>
      </c>
      <c r="AM344" s="96"/>
      <c r="AN344" s="96" t="s">
        <v>890</v>
      </c>
      <c r="AO344" s="100">
        <v>45473</v>
      </c>
      <c r="AP344" s="100">
        <v>45473</v>
      </c>
      <c r="AQ344" s="96"/>
      <c r="AR344" s="97">
        <v>7855.0017969999999</v>
      </c>
      <c r="AS344" s="97">
        <v>100.31</v>
      </c>
      <c r="AT344" s="97">
        <v>1</v>
      </c>
      <c r="AU344" s="97">
        <v>7.8793519999999999</v>
      </c>
      <c r="AV344" s="97">
        <v>7.8793519999999999</v>
      </c>
      <c r="AW344" s="96"/>
      <c r="AX344" s="96"/>
      <c r="AY344" s="96"/>
      <c r="AZ344" s="96"/>
      <c r="BA344" s="98">
        <v>5.1E-5</v>
      </c>
      <c r="BB344" s="98">
        <v>3.9999999999999998E-6</v>
      </c>
      <c r="BC344" s="106"/>
    </row>
    <row r="345" spans="1:55" ht="15" customHeight="1">
      <c r="A345" s="106"/>
      <c r="B345" s="96">
        <v>286</v>
      </c>
      <c r="C345" s="96">
        <v>286</v>
      </c>
      <c r="D345" s="96"/>
      <c r="E345" s="96"/>
      <c r="F345" s="96"/>
      <c r="G345" s="96">
        <v>25000795</v>
      </c>
      <c r="H345" s="96" t="s">
        <v>1013</v>
      </c>
      <c r="I345" s="96" t="s">
        <v>813</v>
      </c>
      <c r="J345" s="96" t="s">
        <v>203</v>
      </c>
      <c r="K345" s="96"/>
      <c r="L345" s="96" t="s">
        <v>470</v>
      </c>
      <c r="M345" s="96" t="s">
        <v>338</v>
      </c>
      <c r="N345" s="96" t="s">
        <v>337</v>
      </c>
      <c r="O345" s="96"/>
      <c r="P345" s="100">
        <v>45146</v>
      </c>
      <c r="Q345" s="96" t="s">
        <v>1520</v>
      </c>
      <c r="R345" s="96" t="s">
        <v>414</v>
      </c>
      <c r="S345" s="96" t="s">
        <v>407</v>
      </c>
      <c r="T345" s="96" t="s">
        <v>1200</v>
      </c>
      <c r="U345" s="97">
        <v>7.23</v>
      </c>
      <c r="V345" s="96" t="s">
        <v>3678</v>
      </c>
      <c r="W345" s="98">
        <v>3.3236000000000002E-2</v>
      </c>
      <c r="X345" s="96"/>
      <c r="Y345" s="96"/>
      <c r="Z345" s="96"/>
      <c r="AA345" s="98">
        <v>4.1700000000000001E-2</v>
      </c>
      <c r="AB345" s="100">
        <v>49583</v>
      </c>
      <c r="AC345" s="96" t="s">
        <v>411</v>
      </c>
      <c r="AD345" s="96"/>
      <c r="AE345" s="96"/>
      <c r="AF345" s="96"/>
      <c r="AG345" s="100">
        <v>45291</v>
      </c>
      <c r="AH345" s="96"/>
      <c r="AI345" s="96"/>
      <c r="AJ345" s="96"/>
      <c r="AK345" s="96" t="s">
        <v>337</v>
      </c>
      <c r="AL345" s="96" t="s">
        <v>887</v>
      </c>
      <c r="AM345" s="96"/>
      <c r="AN345" s="96" t="s">
        <v>890</v>
      </c>
      <c r="AO345" s="100">
        <v>45473</v>
      </c>
      <c r="AP345" s="100">
        <v>45473</v>
      </c>
      <c r="AQ345" s="96"/>
      <c r="AR345" s="97">
        <v>11474.291931</v>
      </c>
      <c r="AS345" s="97">
        <v>99.43</v>
      </c>
      <c r="AT345" s="97">
        <v>1</v>
      </c>
      <c r="AU345" s="97">
        <v>11.408887999999999</v>
      </c>
      <c r="AV345" s="97">
        <v>11.408887999999999</v>
      </c>
      <c r="AW345" s="96"/>
      <c r="AX345" s="96"/>
      <c r="AY345" s="96"/>
      <c r="AZ345" s="96"/>
      <c r="BA345" s="98">
        <v>7.3999999999999996E-5</v>
      </c>
      <c r="BB345" s="98">
        <v>5.0000000000000004E-6</v>
      </c>
      <c r="BC345" s="106"/>
    </row>
    <row r="346" spans="1:55" ht="15" customHeight="1">
      <c r="A346" s="106"/>
      <c r="B346" s="96">
        <v>286</v>
      </c>
      <c r="C346" s="96">
        <v>286</v>
      </c>
      <c r="D346" s="96"/>
      <c r="E346" s="96"/>
      <c r="F346" s="96"/>
      <c r="G346" s="96">
        <v>25000794</v>
      </c>
      <c r="H346" s="96" t="s">
        <v>1013</v>
      </c>
      <c r="I346" s="96" t="s">
        <v>797</v>
      </c>
      <c r="J346" s="96" t="s">
        <v>203</v>
      </c>
      <c r="K346" s="96"/>
      <c r="L346" s="96" t="s">
        <v>463</v>
      </c>
      <c r="M346" s="96" t="s">
        <v>338</v>
      </c>
      <c r="N346" s="96" t="s">
        <v>338</v>
      </c>
      <c r="O346" s="96"/>
      <c r="P346" s="100">
        <v>45146</v>
      </c>
      <c r="Q346" s="96" t="s">
        <v>3679</v>
      </c>
      <c r="R346" s="96" t="s">
        <v>311</v>
      </c>
      <c r="S346" s="96" t="s">
        <v>407</v>
      </c>
      <c r="T346" s="96" t="s">
        <v>1200</v>
      </c>
      <c r="U346" s="97">
        <v>1.33</v>
      </c>
      <c r="V346" s="96" t="s">
        <v>824</v>
      </c>
      <c r="W346" s="98">
        <v>6.5000000000000002E-2</v>
      </c>
      <c r="X346" s="96"/>
      <c r="Y346" s="96"/>
      <c r="Z346" s="96"/>
      <c r="AA346" s="98">
        <v>5.9200000000000003E-2</v>
      </c>
      <c r="AB346" s="100">
        <v>45978</v>
      </c>
      <c r="AC346" s="96" t="s">
        <v>411</v>
      </c>
      <c r="AD346" s="96"/>
      <c r="AE346" s="96"/>
      <c r="AF346" s="96"/>
      <c r="AG346" s="100">
        <v>45361</v>
      </c>
      <c r="AH346" s="96"/>
      <c r="AI346" s="96"/>
      <c r="AJ346" s="96"/>
      <c r="AK346" s="96" t="s">
        <v>337</v>
      </c>
      <c r="AL346" s="96" t="s">
        <v>887</v>
      </c>
      <c r="AM346" s="96"/>
      <c r="AN346" s="96" t="s">
        <v>890</v>
      </c>
      <c r="AO346" s="100">
        <v>45473</v>
      </c>
      <c r="AP346" s="100">
        <v>45473</v>
      </c>
      <c r="AQ346" s="96"/>
      <c r="AR346" s="97">
        <v>76632.915513999993</v>
      </c>
      <c r="AS346" s="97">
        <v>101.97</v>
      </c>
      <c r="AT346" s="97">
        <v>1</v>
      </c>
      <c r="AU346" s="97">
        <v>78.142583000000002</v>
      </c>
      <c r="AV346" s="97">
        <v>78.142583000000002</v>
      </c>
      <c r="AW346" s="96"/>
      <c r="AX346" s="96"/>
      <c r="AY346" s="96"/>
      <c r="AZ346" s="96"/>
      <c r="BA346" s="98">
        <v>5.1000000000000004E-4</v>
      </c>
      <c r="BB346" s="98">
        <v>4.0000000000000003E-5</v>
      </c>
      <c r="BC346" s="106"/>
    </row>
    <row r="347" spans="1:55" ht="15" customHeight="1">
      <c r="A347" s="106"/>
      <c r="B347" s="96">
        <v>286</v>
      </c>
      <c r="C347" s="96">
        <v>286</v>
      </c>
      <c r="D347" s="96"/>
      <c r="E347" s="96"/>
      <c r="F347" s="96"/>
      <c r="G347" s="96">
        <v>25000802</v>
      </c>
      <c r="H347" s="96" t="s">
        <v>1013</v>
      </c>
      <c r="I347" s="96"/>
      <c r="J347" s="96" t="s">
        <v>203</v>
      </c>
      <c r="K347" s="96"/>
      <c r="L347" s="96" t="s">
        <v>477</v>
      </c>
      <c r="M347" s="96" t="s">
        <v>337</v>
      </c>
      <c r="N347" s="96" t="s">
        <v>338</v>
      </c>
      <c r="O347" s="96"/>
      <c r="P347" s="100">
        <v>45152</v>
      </c>
      <c r="Q347" s="96" t="s">
        <v>1309</v>
      </c>
      <c r="R347" s="96" t="s">
        <v>414</v>
      </c>
      <c r="S347" s="96" t="s">
        <v>407</v>
      </c>
      <c r="T347" s="96" t="s">
        <v>1200</v>
      </c>
      <c r="U347" s="97">
        <v>3.87</v>
      </c>
      <c r="V347" s="96" t="s">
        <v>824</v>
      </c>
      <c r="W347" s="98">
        <v>6.7000000000000004E-2</v>
      </c>
      <c r="X347" s="96"/>
      <c r="Y347" s="96"/>
      <c r="Z347" s="96"/>
      <c r="AA347" s="98">
        <v>6.3700000000000007E-2</v>
      </c>
      <c r="AB347" s="100">
        <v>48822</v>
      </c>
      <c r="AC347" s="96" t="s">
        <v>411</v>
      </c>
      <c r="AD347" s="96"/>
      <c r="AE347" s="96"/>
      <c r="AF347" s="96"/>
      <c r="AG347" s="100"/>
      <c r="AH347" s="96"/>
      <c r="AI347" s="96"/>
      <c r="AJ347" s="96"/>
      <c r="AK347" s="96" t="s">
        <v>337</v>
      </c>
      <c r="AL347" s="96" t="s">
        <v>887</v>
      </c>
      <c r="AM347" s="96"/>
      <c r="AN347" s="96" t="s">
        <v>890</v>
      </c>
      <c r="AO347" s="100">
        <v>45473</v>
      </c>
      <c r="AP347" s="100">
        <v>45473</v>
      </c>
      <c r="AQ347" s="96"/>
      <c r="AR347" s="97">
        <v>677959.52136200003</v>
      </c>
      <c r="AS347" s="97">
        <v>102.47</v>
      </c>
      <c r="AT347" s="97">
        <v>1</v>
      </c>
      <c r="AU347" s="97">
        <v>694.70512099999996</v>
      </c>
      <c r="AV347" s="97">
        <v>694.70512099999996</v>
      </c>
      <c r="AW347" s="96"/>
      <c r="AX347" s="96"/>
      <c r="AY347" s="96"/>
      <c r="AZ347" s="96"/>
      <c r="BA347" s="98">
        <v>4.5389999999999996E-3</v>
      </c>
      <c r="BB347" s="98">
        <v>3.6099999999999999E-4</v>
      </c>
      <c r="BC347" s="106"/>
    </row>
    <row r="348" spans="1:55" ht="15" customHeight="1">
      <c r="A348" s="106"/>
      <c r="B348" s="96">
        <v>286</v>
      </c>
      <c r="C348" s="96">
        <v>286</v>
      </c>
      <c r="D348" s="96"/>
      <c r="E348" s="96"/>
      <c r="F348" s="96"/>
      <c r="G348" s="96">
        <v>25000792</v>
      </c>
      <c r="H348" s="96" t="s">
        <v>1013</v>
      </c>
      <c r="I348" s="96" t="s">
        <v>3684</v>
      </c>
      <c r="J348" s="96" t="s">
        <v>203</v>
      </c>
      <c r="K348" s="96"/>
      <c r="L348" s="96" t="s">
        <v>463</v>
      </c>
      <c r="M348" s="96" t="s">
        <v>338</v>
      </c>
      <c r="N348" s="96" t="s">
        <v>337</v>
      </c>
      <c r="O348" s="96"/>
      <c r="P348" s="100">
        <v>45132</v>
      </c>
      <c r="Q348" s="96" t="s">
        <v>3681</v>
      </c>
      <c r="R348" s="96" t="s">
        <v>311</v>
      </c>
      <c r="S348" s="96" t="s">
        <v>407</v>
      </c>
      <c r="T348" s="96" t="s">
        <v>1200</v>
      </c>
      <c r="U348" s="97">
        <v>7.0000000000000007E-2</v>
      </c>
      <c r="V348" s="96" t="s">
        <v>824</v>
      </c>
      <c r="W348" s="98">
        <v>7.8E-2</v>
      </c>
      <c r="X348" s="96"/>
      <c r="Y348" s="96"/>
      <c r="Z348" s="96"/>
      <c r="AA348" s="98">
        <v>6.93E-2</v>
      </c>
      <c r="AB348" s="100">
        <v>45557</v>
      </c>
      <c r="AC348" s="96" t="s">
        <v>411</v>
      </c>
      <c r="AD348" s="96"/>
      <c r="AE348" s="96"/>
      <c r="AF348" s="96"/>
      <c r="AG348" s="100">
        <v>45075</v>
      </c>
      <c r="AH348" s="96"/>
      <c r="AI348" s="96"/>
      <c r="AJ348" s="96"/>
      <c r="AK348" s="96" t="s">
        <v>337</v>
      </c>
      <c r="AL348" s="96" t="s">
        <v>887</v>
      </c>
      <c r="AM348" s="96"/>
      <c r="AN348" s="96" t="s">
        <v>890</v>
      </c>
      <c r="AO348" s="100">
        <v>45473</v>
      </c>
      <c r="AP348" s="100">
        <v>45473</v>
      </c>
      <c r="AQ348" s="96"/>
      <c r="AR348" s="97">
        <v>6883.7080560000004</v>
      </c>
      <c r="AS348" s="97">
        <v>100.25</v>
      </c>
      <c r="AT348" s="97">
        <v>1</v>
      </c>
      <c r="AU348" s="97">
        <v>6.9009169999999997</v>
      </c>
      <c r="AV348" s="97">
        <v>6.9009169999999997</v>
      </c>
      <c r="AW348" s="96"/>
      <c r="AX348" s="96"/>
      <c r="AY348" s="96"/>
      <c r="AZ348" s="96"/>
      <c r="BA348" s="98">
        <v>4.5000000000000003E-5</v>
      </c>
      <c r="BB348" s="98">
        <v>3.0000000000000001E-6</v>
      </c>
      <c r="BC348" s="106"/>
    </row>
    <row r="349" spans="1:55" ht="15" customHeight="1">
      <c r="A349" s="106"/>
      <c r="B349" s="96">
        <v>286</v>
      </c>
      <c r="C349" s="96">
        <v>286</v>
      </c>
      <c r="D349" s="96"/>
      <c r="E349" s="96"/>
      <c r="F349" s="96"/>
      <c r="G349" s="96">
        <v>25000790</v>
      </c>
      <c r="H349" s="96" t="s">
        <v>1013</v>
      </c>
      <c r="I349" s="96" t="s">
        <v>813</v>
      </c>
      <c r="J349" s="96" t="s">
        <v>203</v>
      </c>
      <c r="K349" s="96"/>
      <c r="L349" s="96" t="s">
        <v>454</v>
      </c>
      <c r="M349" s="96" t="s">
        <v>338</v>
      </c>
      <c r="N349" s="96" t="s">
        <v>337</v>
      </c>
      <c r="O349" s="96"/>
      <c r="P349" s="100">
        <v>45110</v>
      </c>
      <c r="Q349" s="96" t="s">
        <v>3683</v>
      </c>
      <c r="R349" s="96" t="s">
        <v>412</v>
      </c>
      <c r="S349" s="96" t="s">
        <v>407</v>
      </c>
      <c r="T349" s="96" t="s">
        <v>1200</v>
      </c>
      <c r="U349" s="97">
        <v>7.37</v>
      </c>
      <c r="V349" s="96" t="s">
        <v>3678</v>
      </c>
      <c r="W349" s="98">
        <v>3.5749999999999997E-2</v>
      </c>
      <c r="X349" s="96"/>
      <c r="Y349" s="96"/>
      <c r="Z349" s="96"/>
      <c r="AA349" s="98">
        <v>6.5000000000000002E-2</v>
      </c>
      <c r="AB349" s="100">
        <v>52768</v>
      </c>
      <c r="AC349" s="96" t="s">
        <v>411</v>
      </c>
      <c r="AD349" s="96"/>
      <c r="AE349" s="96"/>
      <c r="AF349" s="96"/>
      <c r="AG349" s="100">
        <v>45291</v>
      </c>
      <c r="AH349" s="96"/>
      <c r="AI349" s="96"/>
      <c r="AJ349" s="96"/>
      <c r="AK349" s="96" t="s">
        <v>337</v>
      </c>
      <c r="AL349" s="96" t="s">
        <v>887</v>
      </c>
      <c r="AM349" s="96"/>
      <c r="AN349" s="96" t="s">
        <v>890</v>
      </c>
      <c r="AO349" s="100">
        <v>45473</v>
      </c>
      <c r="AP349" s="100">
        <v>45473</v>
      </c>
      <c r="AQ349" s="96"/>
      <c r="AR349" s="97">
        <v>195570.095631</v>
      </c>
      <c r="AS349" s="97">
        <v>83.18</v>
      </c>
      <c r="AT349" s="97">
        <v>1</v>
      </c>
      <c r="AU349" s="97">
        <v>162.67520500000001</v>
      </c>
      <c r="AV349" s="97">
        <v>162.67520500000001</v>
      </c>
      <c r="AW349" s="96"/>
      <c r="AX349" s="96"/>
      <c r="AY349" s="96"/>
      <c r="AZ349" s="96"/>
      <c r="BA349" s="98">
        <v>1.0629999999999999E-3</v>
      </c>
      <c r="BB349" s="98">
        <v>8.3999999999999995E-5</v>
      </c>
      <c r="BC349" s="106"/>
    </row>
    <row r="350" spans="1:55" ht="15" customHeight="1">
      <c r="A350" s="106"/>
      <c r="B350" s="96">
        <v>286</v>
      </c>
      <c r="C350" s="96">
        <v>286</v>
      </c>
      <c r="D350" s="96"/>
      <c r="E350" s="96"/>
      <c r="F350" s="96"/>
      <c r="G350" s="96">
        <v>25000789</v>
      </c>
      <c r="H350" s="96" t="s">
        <v>1013</v>
      </c>
      <c r="I350" s="96" t="s">
        <v>795</v>
      </c>
      <c r="J350" s="96" t="s">
        <v>203</v>
      </c>
      <c r="K350" s="96"/>
      <c r="L350" s="96" t="s">
        <v>446</v>
      </c>
      <c r="M350" s="96" t="s">
        <v>337</v>
      </c>
      <c r="N350" s="96" t="s">
        <v>338</v>
      </c>
      <c r="O350" s="96"/>
      <c r="P350" s="100">
        <v>45102</v>
      </c>
      <c r="Q350" s="96" t="s">
        <v>2102</v>
      </c>
      <c r="R350" s="96" t="s">
        <v>311</v>
      </c>
      <c r="S350" s="96" t="s">
        <v>407</v>
      </c>
      <c r="T350" s="96" t="s">
        <v>1200</v>
      </c>
      <c r="U350" s="97">
        <v>3.32</v>
      </c>
      <c r="V350" s="96" t="s">
        <v>3678</v>
      </c>
      <c r="W350" s="98">
        <v>0.05</v>
      </c>
      <c r="X350" s="96"/>
      <c r="Y350" s="96"/>
      <c r="Z350" s="96"/>
      <c r="AA350" s="98">
        <v>5.6000000000000001E-2</v>
      </c>
      <c r="AB350" s="100">
        <v>46790</v>
      </c>
      <c r="AC350" s="96" t="s">
        <v>410</v>
      </c>
      <c r="AD350" s="96"/>
      <c r="AE350" s="96"/>
      <c r="AF350" s="96"/>
      <c r="AG350" s="100">
        <v>45291</v>
      </c>
      <c r="AH350" s="96"/>
      <c r="AI350" s="96"/>
      <c r="AJ350" s="96"/>
      <c r="AK350" s="96" t="s">
        <v>337</v>
      </c>
      <c r="AL350" s="96" t="s">
        <v>887</v>
      </c>
      <c r="AM350" s="96"/>
      <c r="AN350" s="96" t="s">
        <v>890</v>
      </c>
      <c r="AO350" s="100">
        <v>45473</v>
      </c>
      <c r="AP350" s="100">
        <v>45473</v>
      </c>
      <c r="AQ350" s="96"/>
      <c r="AR350" s="97">
        <v>84744.937292999995</v>
      </c>
      <c r="AS350" s="97">
        <v>98.4</v>
      </c>
      <c r="AT350" s="97">
        <v>1</v>
      </c>
      <c r="AU350" s="97">
        <v>83.389017999999993</v>
      </c>
      <c r="AV350" s="97">
        <v>83.389017999999993</v>
      </c>
      <c r="AW350" s="96"/>
      <c r="AX350" s="96"/>
      <c r="AY350" s="96"/>
      <c r="AZ350" s="96"/>
      <c r="BA350" s="98">
        <v>5.44E-4</v>
      </c>
      <c r="BB350" s="98">
        <v>4.3000000000000002E-5</v>
      </c>
      <c r="BC350" s="106"/>
    </row>
    <row r="351" spans="1:55" ht="15" customHeight="1">
      <c r="A351" s="106"/>
      <c r="B351" s="96">
        <v>286</v>
      </c>
      <c r="C351" s="96">
        <v>286</v>
      </c>
      <c r="D351" s="96"/>
      <c r="E351" s="96"/>
      <c r="F351" s="96"/>
      <c r="G351" s="96">
        <v>25000787</v>
      </c>
      <c r="H351" s="96" t="s">
        <v>1013</v>
      </c>
      <c r="I351" s="96"/>
      <c r="J351" s="96" t="s">
        <v>203</v>
      </c>
      <c r="K351" s="96"/>
      <c r="L351" s="96" t="s">
        <v>477</v>
      </c>
      <c r="M351" s="96" t="s">
        <v>338</v>
      </c>
      <c r="N351" s="96" t="s">
        <v>337</v>
      </c>
      <c r="O351" s="96"/>
      <c r="P351" s="100">
        <v>45099</v>
      </c>
      <c r="Q351" s="96" t="s">
        <v>409</v>
      </c>
      <c r="R351" s="96" t="s">
        <v>409</v>
      </c>
      <c r="S351" s="96" t="s">
        <v>409</v>
      </c>
      <c r="T351" s="96" t="s">
        <v>1200</v>
      </c>
      <c r="U351" s="97">
        <v>3.66</v>
      </c>
      <c r="V351" s="96" t="s">
        <v>3678</v>
      </c>
      <c r="W351" s="98">
        <v>4.3400000000000001E-2</v>
      </c>
      <c r="X351" s="96"/>
      <c r="Y351" s="96"/>
      <c r="Z351" s="96"/>
      <c r="AA351" s="98">
        <v>4.2200000000000001E-2</v>
      </c>
      <c r="AB351" s="100">
        <v>46924</v>
      </c>
      <c r="AC351" s="96" t="s">
        <v>411</v>
      </c>
      <c r="AD351" s="96"/>
      <c r="AE351" s="96"/>
      <c r="AF351" s="96"/>
      <c r="AG351" s="100">
        <v>45190</v>
      </c>
      <c r="AH351" s="96"/>
      <c r="AI351" s="96"/>
      <c r="AJ351" s="96"/>
      <c r="AK351" s="96" t="s">
        <v>337</v>
      </c>
      <c r="AL351" s="96" t="s">
        <v>887</v>
      </c>
      <c r="AM351" s="96"/>
      <c r="AN351" s="96" t="s">
        <v>890</v>
      </c>
      <c r="AO351" s="100">
        <v>45473</v>
      </c>
      <c r="AP351" s="100">
        <v>45473</v>
      </c>
      <c r="AQ351" s="96"/>
      <c r="AR351" s="97">
        <v>2756.9126569999999</v>
      </c>
      <c r="AS351" s="97">
        <v>103.65</v>
      </c>
      <c r="AT351" s="97">
        <v>1</v>
      </c>
      <c r="AU351" s="97">
        <v>2.8575390000000001</v>
      </c>
      <c r="AV351" s="97">
        <v>2.8575390000000001</v>
      </c>
      <c r="AW351" s="96"/>
      <c r="AX351" s="96"/>
      <c r="AY351" s="96"/>
      <c r="AZ351" s="96"/>
      <c r="BA351" s="98">
        <v>1.8E-5</v>
      </c>
      <c r="BB351" s="98">
        <v>9.9999999999999995E-7</v>
      </c>
      <c r="BC351" s="106"/>
    </row>
    <row r="352" spans="1:55" ht="15" customHeight="1">
      <c r="A352" s="106"/>
      <c r="B352" s="96">
        <v>286</v>
      </c>
      <c r="C352" s="96">
        <v>286</v>
      </c>
      <c r="D352" s="96"/>
      <c r="E352" s="96"/>
      <c r="F352" s="96"/>
      <c r="G352" s="96">
        <v>25000786</v>
      </c>
      <c r="H352" s="96" t="s">
        <v>1013</v>
      </c>
      <c r="I352" s="96" t="s">
        <v>3684</v>
      </c>
      <c r="J352" s="96" t="s">
        <v>203</v>
      </c>
      <c r="K352" s="96"/>
      <c r="L352" s="96" t="s">
        <v>463</v>
      </c>
      <c r="M352" s="96" t="s">
        <v>338</v>
      </c>
      <c r="N352" s="96" t="s">
        <v>337</v>
      </c>
      <c r="O352" s="96"/>
      <c r="P352" s="100">
        <v>45097</v>
      </c>
      <c r="Q352" s="96" t="s">
        <v>3681</v>
      </c>
      <c r="R352" s="96" t="s">
        <v>311</v>
      </c>
      <c r="S352" s="96" t="s">
        <v>407</v>
      </c>
      <c r="T352" s="96" t="s">
        <v>1200</v>
      </c>
      <c r="U352" s="97">
        <v>0.67</v>
      </c>
      <c r="V352" s="96" t="s">
        <v>824</v>
      </c>
      <c r="W352" s="98">
        <v>7.8E-2</v>
      </c>
      <c r="X352" s="96"/>
      <c r="Y352" s="96"/>
      <c r="Z352" s="96"/>
      <c r="AA352" s="98">
        <v>7.8E-2</v>
      </c>
      <c r="AB352" s="100">
        <v>45722</v>
      </c>
      <c r="AC352" s="96" t="s">
        <v>411</v>
      </c>
      <c r="AD352" s="96"/>
      <c r="AE352" s="96"/>
      <c r="AF352" s="96"/>
      <c r="AG352" s="100">
        <v>45075</v>
      </c>
      <c r="AH352" s="96"/>
      <c r="AI352" s="96"/>
      <c r="AJ352" s="96"/>
      <c r="AK352" s="96" t="s">
        <v>337</v>
      </c>
      <c r="AL352" s="96" t="s">
        <v>887</v>
      </c>
      <c r="AM352" s="96"/>
      <c r="AN352" s="96" t="s">
        <v>890</v>
      </c>
      <c r="AO352" s="100">
        <v>45473</v>
      </c>
      <c r="AP352" s="100">
        <v>45473</v>
      </c>
      <c r="AQ352" s="96"/>
      <c r="AR352" s="97">
        <v>15225.855051</v>
      </c>
      <c r="AS352" s="97">
        <v>100.2</v>
      </c>
      <c r="AT352" s="97">
        <v>1</v>
      </c>
      <c r="AU352" s="97">
        <v>15.256306</v>
      </c>
      <c r="AV352" s="97">
        <v>15.256306</v>
      </c>
      <c r="AW352" s="96"/>
      <c r="AX352" s="96"/>
      <c r="AY352" s="96"/>
      <c r="AZ352" s="96"/>
      <c r="BA352" s="98">
        <v>9.8999999999999994E-5</v>
      </c>
      <c r="BB352" s="98">
        <v>6.9999999999999999E-6</v>
      </c>
      <c r="BC352" s="106"/>
    </row>
    <row r="353" spans="1:55" ht="15" customHeight="1">
      <c r="A353" s="106"/>
      <c r="B353" s="96">
        <v>286</v>
      </c>
      <c r="C353" s="96">
        <v>286</v>
      </c>
      <c r="D353" s="96"/>
      <c r="E353" s="96"/>
      <c r="F353" s="96"/>
      <c r="G353" s="96">
        <v>25000784</v>
      </c>
      <c r="H353" s="96" t="s">
        <v>1013</v>
      </c>
      <c r="I353" s="96" t="s">
        <v>3684</v>
      </c>
      <c r="J353" s="96" t="s">
        <v>203</v>
      </c>
      <c r="K353" s="96"/>
      <c r="L353" s="96" t="s">
        <v>463</v>
      </c>
      <c r="M353" s="96" t="s">
        <v>338</v>
      </c>
      <c r="N353" s="96" t="s">
        <v>337</v>
      </c>
      <c r="O353" s="96"/>
      <c r="P353" s="100">
        <v>45070</v>
      </c>
      <c r="Q353" s="96" t="s">
        <v>3681</v>
      </c>
      <c r="R353" s="96" t="s">
        <v>311</v>
      </c>
      <c r="S353" s="96" t="s">
        <v>407</v>
      </c>
      <c r="T353" s="96" t="s">
        <v>1200</v>
      </c>
      <c r="U353" s="97">
        <v>0.67</v>
      </c>
      <c r="V353" s="96" t="s">
        <v>824</v>
      </c>
      <c r="W353" s="98">
        <v>7.8E-2</v>
      </c>
      <c r="X353" s="96"/>
      <c r="Y353" s="96"/>
      <c r="Z353" s="96"/>
      <c r="AA353" s="98">
        <v>8.1900000000000001E-2</v>
      </c>
      <c r="AB353" s="100">
        <v>45722</v>
      </c>
      <c r="AC353" s="96" t="s">
        <v>411</v>
      </c>
      <c r="AD353" s="96"/>
      <c r="AE353" s="96"/>
      <c r="AF353" s="96"/>
      <c r="AG353" s="100">
        <v>45075</v>
      </c>
      <c r="AH353" s="96"/>
      <c r="AI353" s="96"/>
      <c r="AJ353" s="96"/>
      <c r="AK353" s="96" t="s">
        <v>337</v>
      </c>
      <c r="AL353" s="96" t="s">
        <v>887</v>
      </c>
      <c r="AM353" s="96"/>
      <c r="AN353" s="96" t="s">
        <v>890</v>
      </c>
      <c r="AO353" s="100">
        <v>45473</v>
      </c>
      <c r="AP353" s="100">
        <v>45473</v>
      </c>
      <c r="AQ353" s="96"/>
      <c r="AR353" s="97">
        <v>11913.464452</v>
      </c>
      <c r="AS353" s="97">
        <v>99.96</v>
      </c>
      <c r="AT353" s="97">
        <v>1</v>
      </c>
      <c r="AU353" s="97">
        <v>11.908699</v>
      </c>
      <c r="AV353" s="97">
        <v>11.908699</v>
      </c>
      <c r="AW353" s="96"/>
      <c r="AX353" s="96"/>
      <c r="AY353" s="96"/>
      <c r="AZ353" s="96"/>
      <c r="BA353" s="98">
        <v>7.7000000000000001E-5</v>
      </c>
      <c r="BB353" s="98">
        <v>6.0000000000000002E-6</v>
      </c>
      <c r="BC353" s="106"/>
    </row>
    <row r="354" spans="1:55" ht="15" customHeight="1">
      <c r="A354" s="106"/>
      <c r="B354" s="96">
        <v>286</v>
      </c>
      <c r="C354" s="96">
        <v>286</v>
      </c>
      <c r="D354" s="96"/>
      <c r="E354" s="96"/>
      <c r="F354" s="96"/>
      <c r="G354" s="96">
        <v>25000783</v>
      </c>
      <c r="H354" s="96" t="s">
        <v>1013</v>
      </c>
      <c r="I354" s="96"/>
      <c r="J354" s="96" t="s">
        <v>203</v>
      </c>
      <c r="K354" s="96"/>
      <c r="L354" s="96" t="s">
        <v>476</v>
      </c>
      <c r="M354" s="96" t="s">
        <v>338</v>
      </c>
      <c r="N354" s="96" t="s">
        <v>338</v>
      </c>
      <c r="O354" s="96"/>
      <c r="P354" s="100">
        <v>45063</v>
      </c>
      <c r="Q354" s="96" t="s">
        <v>3681</v>
      </c>
      <c r="R354" s="96" t="s">
        <v>311</v>
      </c>
      <c r="S354" s="96" t="s">
        <v>407</v>
      </c>
      <c r="T354" s="96" t="s">
        <v>1200</v>
      </c>
      <c r="U354" s="97">
        <v>1.44</v>
      </c>
      <c r="V354" s="96" t="s">
        <v>3678</v>
      </c>
      <c r="W354" s="98">
        <v>3.6600000000000001E-2</v>
      </c>
      <c r="X354" s="96"/>
      <c r="Y354" s="96"/>
      <c r="Z354" s="96"/>
      <c r="AA354" s="98">
        <v>3.1399999999999997E-2</v>
      </c>
      <c r="AB354" s="100">
        <v>46282</v>
      </c>
      <c r="AC354" s="96" t="s">
        <v>411</v>
      </c>
      <c r="AD354" s="96"/>
      <c r="AE354" s="96"/>
      <c r="AF354" s="96"/>
      <c r="AG354" s="100">
        <v>45173</v>
      </c>
      <c r="AH354" s="96"/>
      <c r="AI354" s="96"/>
      <c r="AJ354" s="96"/>
      <c r="AK354" s="96" t="s">
        <v>337</v>
      </c>
      <c r="AL354" s="96" t="s">
        <v>887</v>
      </c>
      <c r="AM354" s="96"/>
      <c r="AN354" s="96" t="s">
        <v>890</v>
      </c>
      <c r="AO354" s="100">
        <v>45473</v>
      </c>
      <c r="AP354" s="100">
        <v>45473</v>
      </c>
      <c r="AQ354" s="96"/>
      <c r="AR354" s="97">
        <v>87569.788159999996</v>
      </c>
      <c r="AS354" s="97">
        <v>104.25</v>
      </c>
      <c r="AT354" s="97">
        <v>1</v>
      </c>
      <c r="AU354" s="97">
        <v>91.291504000000003</v>
      </c>
      <c r="AV354" s="97">
        <v>91.291504000000003</v>
      </c>
      <c r="AW354" s="96"/>
      <c r="AX354" s="96"/>
      <c r="AY354" s="96"/>
      <c r="AZ354" s="96"/>
      <c r="BA354" s="98">
        <v>5.9599999999999996E-4</v>
      </c>
      <c r="BB354" s="98">
        <v>4.6999999999999997E-5</v>
      </c>
      <c r="BC354" s="106"/>
    </row>
    <row r="355" spans="1:55" ht="15" customHeight="1">
      <c r="A355" s="106"/>
      <c r="B355" s="96">
        <v>286</v>
      </c>
      <c r="C355" s="96">
        <v>286</v>
      </c>
      <c r="D355" s="96"/>
      <c r="E355" s="96"/>
      <c r="F355" s="96"/>
      <c r="G355" s="96">
        <v>25000911</v>
      </c>
      <c r="H355" s="96" t="s">
        <v>1013</v>
      </c>
      <c r="I355" s="96"/>
      <c r="J355" s="96" t="s">
        <v>203</v>
      </c>
      <c r="K355" s="96"/>
      <c r="L355" s="96" t="s">
        <v>463</v>
      </c>
      <c r="M355" s="96" t="s">
        <v>338</v>
      </c>
      <c r="N355" s="96" t="s">
        <v>338</v>
      </c>
      <c r="O355" s="96"/>
      <c r="P355" s="100">
        <v>45400</v>
      </c>
      <c r="Q355" s="96" t="s">
        <v>2258</v>
      </c>
      <c r="R355" s="96" t="s">
        <v>311</v>
      </c>
      <c r="S355" s="96" t="s">
        <v>407</v>
      </c>
      <c r="T355" s="96" t="s">
        <v>1200</v>
      </c>
      <c r="U355" s="97">
        <v>5.13</v>
      </c>
      <c r="V355" s="96" t="s">
        <v>3678</v>
      </c>
      <c r="W355" s="98">
        <v>4.4699999999999997E-2</v>
      </c>
      <c r="X355" s="96"/>
      <c r="Y355" s="96"/>
      <c r="Z355" s="96"/>
      <c r="AA355" s="98">
        <v>4.9700000000000001E-2</v>
      </c>
      <c r="AB355" s="100">
        <v>47591</v>
      </c>
      <c r="AC355" s="96" t="s">
        <v>411</v>
      </c>
      <c r="AD355" s="96"/>
      <c r="AE355" s="96"/>
      <c r="AF355" s="96"/>
      <c r="AG355" s="100">
        <v>45272</v>
      </c>
      <c r="AH355" s="96"/>
      <c r="AI355" s="96"/>
      <c r="AJ355" s="96"/>
      <c r="AK355" s="96" t="s">
        <v>337</v>
      </c>
      <c r="AL355" s="96" t="s">
        <v>887</v>
      </c>
      <c r="AM355" s="96"/>
      <c r="AN355" s="96" t="s">
        <v>890</v>
      </c>
      <c r="AO355" s="100">
        <v>45473</v>
      </c>
      <c r="AP355" s="100">
        <v>45473</v>
      </c>
      <c r="AQ355" s="96"/>
      <c r="AR355" s="97">
        <v>482221.48676399997</v>
      </c>
      <c r="AS355" s="97">
        <v>100.02</v>
      </c>
      <c r="AT355" s="97">
        <v>1</v>
      </c>
      <c r="AU355" s="97">
        <v>482.31793099999999</v>
      </c>
      <c r="AV355" s="97">
        <v>482.31793099999999</v>
      </c>
      <c r="AW355" s="96"/>
      <c r="AX355" s="96"/>
      <c r="AY355" s="96"/>
      <c r="AZ355" s="96"/>
      <c r="BA355" s="98">
        <v>3.1510000000000002E-3</v>
      </c>
      <c r="BB355" s="98">
        <v>2.5099999999999998E-4</v>
      </c>
      <c r="BC355" s="106"/>
    </row>
    <row r="356" spans="1:55" ht="15" customHeight="1">
      <c r="A356" s="106"/>
      <c r="B356" s="96">
        <v>286</v>
      </c>
      <c r="C356" s="96">
        <v>286</v>
      </c>
      <c r="D356" s="96"/>
      <c r="E356" s="96"/>
      <c r="F356" s="96"/>
      <c r="G356" s="96">
        <v>25000791</v>
      </c>
      <c r="H356" s="96" t="s">
        <v>1013</v>
      </c>
      <c r="I356" s="96" t="s">
        <v>3680</v>
      </c>
      <c r="J356" s="96" t="s">
        <v>203</v>
      </c>
      <c r="K356" s="96"/>
      <c r="L356" s="96" t="s">
        <v>463</v>
      </c>
      <c r="M356" s="96" t="s">
        <v>338</v>
      </c>
      <c r="N356" s="96" t="s">
        <v>337</v>
      </c>
      <c r="O356" s="96"/>
      <c r="P356" s="100">
        <v>45116</v>
      </c>
      <c r="Q356" s="96" t="s">
        <v>3681</v>
      </c>
      <c r="R356" s="96" t="s">
        <v>311</v>
      </c>
      <c r="S356" s="96" t="s">
        <v>407</v>
      </c>
      <c r="T356" s="96" t="s">
        <v>1200</v>
      </c>
      <c r="U356" s="97">
        <v>3.4</v>
      </c>
      <c r="V356" s="96" t="s">
        <v>824</v>
      </c>
      <c r="W356" s="98">
        <v>6.6500000000000004E-2</v>
      </c>
      <c r="X356" s="96"/>
      <c r="Y356" s="96"/>
      <c r="Z356" s="96"/>
      <c r="AA356" s="98">
        <v>6.2300000000000001E-2</v>
      </c>
      <c r="AB356" s="100">
        <v>46924</v>
      </c>
      <c r="AC356" s="96" t="s">
        <v>411</v>
      </c>
      <c r="AD356" s="96"/>
      <c r="AE356" s="96"/>
      <c r="AF356" s="96"/>
      <c r="AG356" s="100">
        <v>45382</v>
      </c>
      <c r="AH356" s="96"/>
      <c r="AI356" s="96"/>
      <c r="AJ356" s="96"/>
      <c r="AK356" s="96" t="s">
        <v>337</v>
      </c>
      <c r="AL356" s="96" t="s">
        <v>887</v>
      </c>
      <c r="AM356" s="96"/>
      <c r="AN356" s="96" t="s">
        <v>890</v>
      </c>
      <c r="AO356" s="100">
        <v>45473</v>
      </c>
      <c r="AP356" s="100">
        <v>45473</v>
      </c>
      <c r="AQ356" s="96"/>
      <c r="AR356" s="97">
        <v>119531.73688700001</v>
      </c>
      <c r="AS356" s="97">
        <v>102.07</v>
      </c>
      <c r="AT356" s="97">
        <v>1</v>
      </c>
      <c r="AU356" s="97">
        <v>122.00604300000001</v>
      </c>
      <c r="AV356" s="97">
        <v>122.00604300000001</v>
      </c>
      <c r="AW356" s="96"/>
      <c r="AX356" s="96"/>
      <c r="AY356" s="96"/>
      <c r="AZ356" s="96"/>
      <c r="BA356" s="98">
        <v>7.9699999999999997E-4</v>
      </c>
      <c r="BB356" s="98">
        <v>6.3E-5</v>
      </c>
      <c r="BC356" s="106"/>
    </row>
    <row r="357" spans="1:55" ht="15" customHeight="1">
      <c r="A357" s="106"/>
      <c r="B357" s="96">
        <v>286</v>
      </c>
      <c r="C357" s="96">
        <v>286</v>
      </c>
      <c r="D357" s="96"/>
      <c r="E357" s="96"/>
      <c r="F357" s="96"/>
      <c r="G357" s="96">
        <v>25000803</v>
      </c>
      <c r="H357" s="96" t="s">
        <v>1013</v>
      </c>
      <c r="I357" s="96" t="s">
        <v>795</v>
      </c>
      <c r="J357" s="96" t="s">
        <v>203</v>
      </c>
      <c r="K357" s="96"/>
      <c r="L357" s="96" t="s">
        <v>446</v>
      </c>
      <c r="M357" s="96" t="s">
        <v>337</v>
      </c>
      <c r="N357" s="96" t="s">
        <v>338</v>
      </c>
      <c r="O357" s="96"/>
      <c r="P357" s="100">
        <v>45161</v>
      </c>
      <c r="Q357" s="96" t="s">
        <v>2102</v>
      </c>
      <c r="R357" s="96" t="s">
        <v>311</v>
      </c>
      <c r="S357" s="96" t="s">
        <v>407</v>
      </c>
      <c r="T357" s="96" t="s">
        <v>1200</v>
      </c>
      <c r="U357" s="97">
        <v>3.32</v>
      </c>
      <c r="V357" s="96" t="s">
        <v>3678</v>
      </c>
      <c r="W357" s="98">
        <v>0.05</v>
      </c>
      <c r="X357" s="96"/>
      <c r="Y357" s="96"/>
      <c r="Z357" s="96"/>
      <c r="AA357" s="98">
        <v>5.5E-2</v>
      </c>
      <c r="AB357" s="100">
        <v>46790</v>
      </c>
      <c r="AC357" s="96" t="s">
        <v>410</v>
      </c>
      <c r="AD357" s="96"/>
      <c r="AE357" s="96"/>
      <c r="AF357" s="96"/>
      <c r="AG357" s="100">
        <v>45382</v>
      </c>
      <c r="AH357" s="96"/>
      <c r="AI357" s="96"/>
      <c r="AJ357" s="96"/>
      <c r="AK357" s="96" t="s">
        <v>337</v>
      </c>
      <c r="AL357" s="96" t="s">
        <v>887</v>
      </c>
      <c r="AM357" s="96"/>
      <c r="AN357" s="96" t="s">
        <v>890</v>
      </c>
      <c r="AO357" s="100">
        <v>45473</v>
      </c>
      <c r="AP357" s="100">
        <v>45473</v>
      </c>
      <c r="AQ357" s="96"/>
      <c r="AR357" s="97">
        <v>42372.468646000001</v>
      </c>
      <c r="AS357" s="97">
        <v>98.71</v>
      </c>
      <c r="AT357" s="97">
        <v>1</v>
      </c>
      <c r="AU357" s="97">
        <v>41.825862999999998</v>
      </c>
      <c r="AV357" s="97">
        <v>41.825862999999998</v>
      </c>
      <c r="AW357" s="96"/>
      <c r="AX357" s="96"/>
      <c r="AY357" s="96"/>
      <c r="AZ357" s="96"/>
      <c r="BA357" s="98">
        <v>2.7300000000000002E-4</v>
      </c>
      <c r="BB357" s="98">
        <v>2.0999999999999999E-5</v>
      </c>
      <c r="BC357" s="106"/>
    </row>
    <row r="358" spans="1:55" ht="15" customHeight="1">
      <c r="A358" s="106"/>
      <c r="B358" s="96">
        <v>286</v>
      </c>
      <c r="C358" s="96">
        <v>286</v>
      </c>
      <c r="D358" s="96"/>
      <c r="E358" s="96"/>
      <c r="F358" s="96"/>
      <c r="G358" s="96">
        <v>25000804</v>
      </c>
      <c r="H358" s="96" t="s">
        <v>1013</v>
      </c>
      <c r="I358" s="96"/>
      <c r="J358" s="96" t="s">
        <v>203</v>
      </c>
      <c r="K358" s="96"/>
      <c r="L358" s="96" t="s">
        <v>477</v>
      </c>
      <c r="M358" s="96" t="s">
        <v>338</v>
      </c>
      <c r="N358" s="96" t="s">
        <v>337</v>
      </c>
      <c r="O358" s="96"/>
      <c r="P358" s="100">
        <v>45166</v>
      </c>
      <c r="Q358" s="96" t="s">
        <v>409</v>
      </c>
      <c r="R358" s="96" t="s">
        <v>409</v>
      </c>
      <c r="S358" s="96" t="s">
        <v>409</v>
      </c>
      <c r="T358" s="96" t="s">
        <v>1200</v>
      </c>
      <c r="U358" s="97">
        <v>3.79</v>
      </c>
      <c r="V358" s="96" t="s">
        <v>3678</v>
      </c>
      <c r="W358" s="98">
        <v>4.4816000000000002E-2</v>
      </c>
      <c r="X358" s="96"/>
      <c r="Y358" s="96"/>
      <c r="Z358" s="96"/>
      <c r="AA358" s="98">
        <v>4.2900000000000001E-2</v>
      </c>
      <c r="AB358" s="100">
        <v>46985</v>
      </c>
      <c r="AC358" s="96" t="s">
        <v>411</v>
      </c>
      <c r="AD358" s="96"/>
      <c r="AE358" s="96"/>
      <c r="AF358" s="96"/>
      <c r="AG358" s="100">
        <v>45190</v>
      </c>
      <c r="AH358" s="96"/>
      <c r="AI358" s="96"/>
      <c r="AJ358" s="96"/>
      <c r="AK358" s="96" t="s">
        <v>337</v>
      </c>
      <c r="AL358" s="96" t="s">
        <v>887</v>
      </c>
      <c r="AM358" s="96"/>
      <c r="AN358" s="96" t="s">
        <v>890</v>
      </c>
      <c r="AO358" s="100">
        <v>45473</v>
      </c>
      <c r="AP358" s="100">
        <v>45473</v>
      </c>
      <c r="AQ358" s="96"/>
      <c r="AR358" s="97">
        <v>18295.897127</v>
      </c>
      <c r="AS358" s="97">
        <v>103.67</v>
      </c>
      <c r="AT358" s="97">
        <v>1</v>
      </c>
      <c r="AU358" s="97">
        <v>18.967355999999999</v>
      </c>
      <c r="AV358" s="97">
        <v>18.967355999999999</v>
      </c>
      <c r="AW358" s="96"/>
      <c r="AX358" s="96"/>
      <c r="AY358" s="96"/>
      <c r="AZ358" s="96"/>
      <c r="BA358" s="98">
        <v>1.2300000000000001E-4</v>
      </c>
      <c r="BB358" s="98">
        <v>9.0000000000000002E-6</v>
      </c>
      <c r="BC358" s="106"/>
    </row>
    <row r="359" spans="1:55" ht="15" customHeight="1">
      <c r="A359" s="106"/>
      <c r="B359" s="96">
        <v>286</v>
      </c>
      <c r="C359" s="96">
        <v>286</v>
      </c>
      <c r="D359" s="96"/>
      <c r="E359" s="96"/>
      <c r="F359" s="96"/>
      <c r="G359" s="96">
        <v>25000805</v>
      </c>
      <c r="H359" s="96" t="s">
        <v>1013</v>
      </c>
      <c r="I359" s="96" t="s">
        <v>3684</v>
      </c>
      <c r="J359" s="96" t="s">
        <v>203</v>
      </c>
      <c r="K359" s="96"/>
      <c r="L359" s="96" t="s">
        <v>463</v>
      </c>
      <c r="M359" s="96" t="s">
        <v>338</v>
      </c>
      <c r="N359" s="96" t="s">
        <v>337</v>
      </c>
      <c r="O359" s="96"/>
      <c r="P359" s="100">
        <v>45183</v>
      </c>
      <c r="Q359" s="96" t="s">
        <v>3681</v>
      </c>
      <c r="R359" s="96" t="s">
        <v>311</v>
      </c>
      <c r="S359" s="96" t="s">
        <v>407</v>
      </c>
      <c r="T359" s="96" t="s">
        <v>1200</v>
      </c>
      <c r="U359" s="97">
        <v>0.21</v>
      </c>
      <c r="V359" s="96" t="s">
        <v>824</v>
      </c>
      <c r="W359" s="98">
        <v>7.8E-2</v>
      </c>
      <c r="X359" s="96"/>
      <c r="Y359" s="96"/>
      <c r="Z359" s="96"/>
      <c r="AA359" s="98">
        <v>7.1900000000000006E-2</v>
      </c>
      <c r="AB359" s="100">
        <v>45549</v>
      </c>
      <c r="AC359" s="96" t="s">
        <v>411</v>
      </c>
      <c r="AD359" s="96"/>
      <c r="AE359" s="96"/>
      <c r="AF359" s="96"/>
      <c r="AG359" s="100">
        <v>45075</v>
      </c>
      <c r="AH359" s="96"/>
      <c r="AI359" s="96"/>
      <c r="AJ359" s="96"/>
      <c r="AK359" s="96" t="s">
        <v>337</v>
      </c>
      <c r="AL359" s="96" t="s">
        <v>887</v>
      </c>
      <c r="AM359" s="96"/>
      <c r="AN359" s="96" t="s">
        <v>890</v>
      </c>
      <c r="AO359" s="100">
        <v>45473</v>
      </c>
      <c r="AP359" s="100">
        <v>45473</v>
      </c>
      <c r="AQ359" s="96"/>
      <c r="AR359" s="97">
        <v>7222.352742</v>
      </c>
      <c r="AS359" s="97">
        <v>100.34</v>
      </c>
      <c r="AT359" s="97">
        <v>1</v>
      </c>
      <c r="AU359" s="97">
        <v>7.2469080000000003</v>
      </c>
      <c r="AV359" s="97">
        <v>7.2469080000000003</v>
      </c>
      <c r="AW359" s="96"/>
      <c r="AX359" s="96"/>
      <c r="AY359" s="96"/>
      <c r="AZ359" s="96"/>
      <c r="BA359" s="98">
        <v>4.6999999999999997E-5</v>
      </c>
      <c r="BB359" s="98">
        <v>3.0000000000000001E-6</v>
      </c>
      <c r="BC359" s="106"/>
    </row>
    <row r="360" spans="1:55" ht="15" customHeight="1">
      <c r="A360" s="106"/>
      <c r="B360" s="96">
        <v>286</v>
      </c>
      <c r="C360" s="96">
        <v>286</v>
      </c>
      <c r="D360" s="96"/>
      <c r="E360" s="96"/>
      <c r="F360" s="96"/>
      <c r="G360" s="96">
        <v>25000825</v>
      </c>
      <c r="H360" s="96" t="s">
        <v>1013</v>
      </c>
      <c r="I360" s="96"/>
      <c r="J360" s="96" t="s">
        <v>203</v>
      </c>
      <c r="K360" s="96"/>
      <c r="L360" s="96" t="s">
        <v>477</v>
      </c>
      <c r="M360" s="96" t="s">
        <v>338</v>
      </c>
      <c r="N360" s="96" t="s">
        <v>338</v>
      </c>
      <c r="O360" s="96"/>
      <c r="P360" s="100">
        <v>45244</v>
      </c>
      <c r="Q360" s="96" t="s">
        <v>409</v>
      </c>
      <c r="R360" s="96" t="s">
        <v>409</v>
      </c>
      <c r="S360" s="96" t="s">
        <v>409</v>
      </c>
      <c r="T360" s="96" t="s">
        <v>1200</v>
      </c>
      <c r="U360" s="97">
        <v>2.17</v>
      </c>
      <c r="V360" s="96" t="s">
        <v>824</v>
      </c>
      <c r="W360" s="98">
        <v>7.4999999999999997E-2</v>
      </c>
      <c r="X360" s="96"/>
      <c r="Y360" s="96"/>
      <c r="Z360" s="96"/>
      <c r="AA360" s="98">
        <v>6.3899999999999998E-2</v>
      </c>
      <c r="AB360" s="100">
        <v>47071</v>
      </c>
      <c r="AC360" s="96" t="s">
        <v>411</v>
      </c>
      <c r="AD360" s="96"/>
      <c r="AE360" s="96"/>
      <c r="AF360" s="96"/>
      <c r="AG360" s="100">
        <v>45097</v>
      </c>
      <c r="AH360" s="96"/>
      <c r="AI360" s="96"/>
      <c r="AJ360" s="96"/>
      <c r="AK360" s="96" t="s">
        <v>337</v>
      </c>
      <c r="AL360" s="96" t="s">
        <v>887</v>
      </c>
      <c r="AM360" s="96"/>
      <c r="AN360" s="96" t="s">
        <v>890</v>
      </c>
      <c r="AO360" s="100">
        <v>45473</v>
      </c>
      <c r="AP360" s="100">
        <v>45473</v>
      </c>
      <c r="AQ360" s="96"/>
      <c r="AR360" s="97">
        <v>18401.757677000001</v>
      </c>
      <c r="AS360" s="97">
        <v>104.28</v>
      </c>
      <c r="AT360" s="97">
        <v>1</v>
      </c>
      <c r="AU360" s="97">
        <v>19.189352</v>
      </c>
      <c r="AV360" s="97">
        <v>19.189352</v>
      </c>
      <c r="AW360" s="96"/>
      <c r="AX360" s="96"/>
      <c r="AY360" s="96"/>
      <c r="AZ360" s="96"/>
      <c r="BA360" s="98">
        <v>1.25E-4</v>
      </c>
      <c r="BB360" s="98">
        <v>9.0000000000000002E-6</v>
      </c>
      <c r="BC360" s="106"/>
    </row>
    <row r="361" spans="1:55" ht="15" customHeight="1">
      <c r="A361" s="106"/>
      <c r="B361" s="96">
        <v>286</v>
      </c>
      <c r="C361" s="96">
        <v>286</v>
      </c>
      <c r="D361" s="96"/>
      <c r="E361" s="96"/>
      <c r="F361" s="96"/>
      <c r="G361" s="96">
        <v>25000824</v>
      </c>
      <c r="H361" s="96" t="s">
        <v>1013</v>
      </c>
      <c r="I361" s="96" t="s">
        <v>813</v>
      </c>
      <c r="J361" s="96" t="s">
        <v>203</v>
      </c>
      <c r="K361" s="96"/>
      <c r="L361" s="96" t="s">
        <v>454</v>
      </c>
      <c r="M361" s="96" t="s">
        <v>338</v>
      </c>
      <c r="N361" s="96" t="s">
        <v>337</v>
      </c>
      <c r="O361" s="96"/>
      <c r="P361" s="100">
        <v>44878</v>
      </c>
      <c r="Q361" s="96" t="s">
        <v>1324</v>
      </c>
      <c r="R361" s="96" t="s">
        <v>412</v>
      </c>
      <c r="S361" s="96" t="s">
        <v>407</v>
      </c>
      <c r="T361" s="96" t="s">
        <v>1200</v>
      </c>
      <c r="U361" s="97">
        <v>6.37</v>
      </c>
      <c r="V361" s="96" t="s">
        <v>3678</v>
      </c>
      <c r="W361" s="98">
        <v>3.0700000000000002E-2</v>
      </c>
      <c r="X361" s="96"/>
      <c r="Y361" s="96"/>
      <c r="Z361" s="96"/>
      <c r="AA361" s="98">
        <v>4.3099999999999999E-2</v>
      </c>
      <c r="AB361" s="100">
        <v>51038</v>
      </c>
      <c r="AC361" s="96" t="s">
        <v>411</v>
      </c>
      <c r="AD361" s="96"/>
      <c r="AE361" s="96"/>
      <c r="AF361" s="96"/>
      <c r="AG361" s="100">
        <v>45291</v>
      </c>
      <c r="AH361" s="96"/>
      <c r="AI361" s="96"/>
      <c r="AJ361" s="96"/>
      <c r="AK361" s="96" t="s">
        <v>337</v>
      </c>
      <c r="AL361" s="96" t="s">
        <v>887</v>
      </c>
      <c r="AM361" s="96"/>
      <c r="AN361" s="96" t="s">
        <v>890</v>
      </c>
      <c r="AO361" s="100">
        <v>45473</v>
      </c>
      <c r="AP361" s="100">
        <v>45473</v>
      </c>
      <c r="AQ361" s="96"/>
      <c r="AR361" s="97">
        <v>500377.57911400002</v>
      </c>
      <c r="AS361" s="97">
        <v>98.29</v>
      </c>
      <c r="AT361" s="97">
        <v>1</v>
      </c>
      <c r="AU361" s="97">
        <v>491.821122</v>
      </c>
      <c r="AV361" s="97">
        <v>491.821122</v>
      </c>
      <c r="AW361" s="96"/>
      <c r="AX361" s="96"/>
      <c r="AY361" s="96"/>
      <c r="AZ361" s="96"/>
      <c r="BA361" s="98">
        <v>3.2130000000000001E-3</v>
      </c>
      <c r="BB361" s="98">
        <v>2.5599999999999999E-4</v>
      </c>
      <c r="BC361" s="106"/>
    </row>
    <row r="362" spans="1:55" ht="15" customHeight="1">
      <c r="A362" s="106"/>
      <c r="B362" s="96">
        <v>286</v>
      </c>
      <c r="C362" s="96">
        <v>286</v>
      </c>
      <c r="D362" s="96"/>
      <c r="E362" s="96"/>
      <c r="F362" s="96"/>
      <c r="G362" s="96">
        <v>25000822</v>
      </c>
      <c r="H362" s="96" t="s">
        <v>1013</v>
      </c>
      <c r="I362" s="96"/>
      <c r="J362" s="96" t="s">
        <v>203</v>
      </c>
      <c r="K362" s="96"/>
      <c r="L362" s="96" t="s">
        <v>477</v>
      </c>
      <c r="M362" s="96" t="s">
        <v>338</v>
      </c>
      <c r="N362" s="96" t="s">
        <v>337</v>
      </c>
      <c r="O362" s="96"/>
      <c r="P362" s="100">
        <v>45237</v>
      </c>
      <c r="Q362" s="96" t="s">
        <v>409</v>
      </c>
      <c r="R362" s="96" t="s">
        <v>409</v>
      </c>
      <c r="S362" s="96" t="s">
        <v>409</v>
      </c>
      <c r="T362" s="96" t="s">
        <v>1200</v>
      </c>
      <c r="U362" s="97">
        <v>3.91</v>
      </c>
      <c r="V362" s="96" t="s">
        <v>3678</v>
      </c>
      <c r="W362" s="98">
        <v>4.8259999999999997E-2</v>
      </c>
      <c r="X362" s="96"/>
      <c r="Y362" s="96"/>
      <c r="Z362" s="96"/>
      <c r="AA362" s="98">
        <v>3.85E-2</v>
      </c>
      <c r="AB362" s="100">
        <v>47046</v>
      </c>
      <c r="AC362" s="96" t="s">
        <v>411</v>
      </c>
      <c r="AD362" s="96"/>
      <c r="AE362" s="96"/>
      <c r="AF362" s="96"/>
      <c r="AG362" s="100">
        <v>45190</v>
      </c>
      <c r="AH362" s="96"/>
      <c r="AI362" s="96"/>
      <c r="AJ362" s="96"/>
      <c r="AK362" s="96" t="s">
        <v>337</v>
      </c>
      <c r="AL362" s="96" t="s">
        <v>887</v>
      </c>
      <c r="AM362" s="96"/>
      <c r="AN362" s="96" t="s">
        <v>890</v>
      </c>
      <c r="AO362" s="100">
        <v>45473</v>
      </c>
      <c r="AP362" s="100">
        <v>45473</v>
      </c>
      <c r="AQ362" s="96"/>
      <c r="AR362" s="97">
        <v>8933.1740069999996</v>
      </c>
      <c r="AS362" s="97">
        <v>106.46</v>
      </c>
      <c r="AT362" s="97">
        <v>1</v>
      </c>
      <c r="AU362" s="97">
        <v>9.5102569999999993</v>
      </c>
      <c r="AV362" s="97">
        <v>9.5102569999999993</v>
      </c>
      <c r="AW362" s="96"/>
      <c r="AX362" s="96"/>
      <c r="AY362" s="96"/>
      <c r="AZ362" s="96"/>
      <c r="BA362" s="98">
        <v>6.2000000000000003E-5</v>
      </c>
      <c r="BB362" s="98">
        <v>3.9999999999999998E-6</v>
      </c>
      <c r="BC362" s="106"/>
    </row>
    <row r="363" spans="1:55" ht="15" customHeight="1">
      <c r="A363" s="106"/>
      <c r="B363" s="96">
        <v>286</v>
      </c>
      <c r="C363" s="96">
        <v>286</v>
      </c>
      <c r="D363" s="96"/>
      <c r="E363" s="96"/>
      <c r="F363" s="96"/>
      <c r="G363" s="96">
        <v>25000821</v>
      </c>
      <c r="H363" s="96" t="s">
        <v>1013</v>
      </c>
      <c r="I363" s="96" t="s">
        <v>812</v>
      </c>
      <c r="J363" s="96" t="s">
        <v>203</v>
      </c>
      <c r="K363" s="96"/>
      <c r="L363" s="96" t="s">
        <v>446</v>
      </c>
      <c r="M363" s="96" t="s">
        <v>338</v>
      </c>
      <c r="N363" s="96" t="s">
        <v>337</v>
      </c>
      <c r="O363" s="96"/>
      <c r="P363" s="100">
        <v>45232</v>
      </c>
      <c r="Q363" s="96" t="s">
        <v>1357</v>
      </c>
      <c r="R363" s="96" t="s">
        <v>414</v>
      </c>
      <c r="S363" s="96" t="s">
        <v>407</v>
      </c>
      <c r="T363" s="96" t="s">
        <v>1200</v>
      </c>
      <c r="U363" s="97">
        <v>1.59</v>
      </c>
      <c r="V363" s="96" t="s">
        <v>824</v>
      </c>
      <c r="W363" s="98">
        <v>6.6000000000000003E-2</v>
      </c>
      <c r="X363" s="96"/>
      <c r="Y363" s="96"/>
      <c r="Z363" s="96"/>
      <c r="AA363" s="98">
        <v>5.67E-2</v>
      </c>
      <c r="AB363" s="100">
        <v>46081</v>
      </c>
      <c r="AC363" s="96" t="s">
        <v>411</v>
      </c>
      <c r="AD363" s="96"/>
      <c r="AE363" s="96"/>
      <c r="AF363" s="96"/>
      <c r="AG363" s="100">
        <v>45291</v>
      </c>
      <c r="AH363" s="96"/>
      <c r="AI363" s="96"/>
      <c r="AJ363" s="96"/>
      <c r="AK363" s="96" t="s">
        <v>337</v>
      </c>
      <c r="AL363" s="96" t="s">
        <v>887</v>
      </c>
      <c r="AM363" s="96"/>
      <c r="AN363" s="96" t="s">
        <v>890</v>
      </c>
      <c r="AO363" s="100">
        <v>45473</v>
      </c>
      <c r="AP363" s="100">
        <v>45473</v>
      </c>
      <c r="AQ363" s="96"/>
      <c r="AR363" s="97">
        <v>40474.375307000002</v>
      </c>
      <c r="AS363" s="97">
        <v>101.36</v>
      </c>
      <c r="AT363" s="97">
        <v>1</v>
      </c>
      <c r="AU363" s="97">
        <v>41.024825999999997</v>
      </c>
      <c r="AV363" s="97">
        <v>41.024825999999997</v>
      </c>
      <c r="AW363" s="96"/>
      <c r="AX363" s="96"/>
      <c r="AY363" s="96"/>
      <c r="AZ363" s="96"/>
      <c r="BA363" s="98">
        <v>2.6800000000000001E-4</v>
      </c>
      <c r="BB363" s="98">
        <v>2.0999999999999999E-5</v>
      </c>
      <c r="BC363" s="106"/>
    </row>
    <row r="364" spans="1:55" ht="15" customHeight="1">
      <c r="A364" s="106"/>
      <c r="B364" s="96">
        <v>286</v>
      </c>
      <c r="C364" s="96">
        <v>286</v>
      </c>
      <c r="D364" s="96"/>
      <c r="E364" s="96"/>
      <c r="F364" s="96"/>
      <c r="G364" s="96">
        <v>25000820</v>
      </c>
      <c r="H364" s="96" t="s">
        <v>1013</v>
      </c>
      <c r="I364" s="96" t="s">
        <v>797</v>
      </c>
      <c r="J364" s="96" t="s">
        <v>203</v>
      </c>
      <c r="K364" s="96"/>
      <c r="L364" s="96" t="s">
        <v>463</v>
      </c>
      <c r="M364" s="96" t="s">
        <v>338</v>
      </c>
      <c r="N364" s="96" t="s">
        <v>338</v>
      </c>
      <c r="O364" s="96"/>
      <c r="P364" s="100">
        <v>45232</v>
      </c>
      <c r="Q364" s="96" t="s">
        <v>3679</v>
      </c>
      <c r="R364" s="96" t="s">
        <v>311</v>
      </c>
      <c r="S364" s="96" t="s">
        <v>407</v>
      </c>
      <c r="T364" s="96" t="s">
        <v>1200</v>
      </c>
      <c r="U364" s="97">
        <v>1.34</v>
      </c>
      <c r="V364" s="96" t="s">
        <v>824</v>
      </c>
      <c r="W364" s="98">
        <v>6.5000000000000002E-2</v>
      </c>
      <c r="X364" s="96"/>
      <c r="Y364" s="96"/>
      <c r="Z364" s="96"/>
      <c r="AA364" s="98">
        <v>5.5599999999999997E-2</v>
      </c>
      <c r="AB364" s="100">
        <v>45978</v>
      </c>
      <c r="AC364" s="96" t="s">
        <v>411</v>
      </c>
      <c r="AD364" s="96"/>
      <c r="AE364" s="96"/>
      <c r="AF364" s="96"/>
      <c r="AG364" s="100">
        <v>45361</v>
      </c>
      <c r="AH364" s="96"/>
      <c r="AI364" s="96"/>
      <c r="AJ364" s="96"/>
      <c r="AK364" s="96" t="s">
        <v>337</v>
      </c>
      <c r="AL364" s="96" t="s">
        <v>887</v>
      </c>
      <c r="AM364" s="96"/>
      <c r="AN364" s="96" t="s">
        <v>890</v>
      </c>
      <c r="AO364" s="100">
        <v>45473</v>
      </c>
      <c r="AP364" s="100">
        <v>45473</v>
      </c>
      <c r="AQ364" s="96"/>
      <c r="AR364" s="97">
        <v>83544.214185999997</v>
      </c>
      <c r="AS364" s="97">
        <v>101.8</v>
      </c>
      <c r="AT364" s="97">
        <v>1</v>
      </c>
      <c r="AU364" s="97">
        <v>85.048010000000005</v>
      </c>
      <c r="AV364" s="97">
        <v>85.048010000000005</v>
      </c>
      <c r="AW364" s="96"/>
      <c r="AX364" s="96"/>
      <c r="AY364" s="96"/>
      <c r="AZ364" s="96"/>
      <c r="BA364" s="98">
        <v>5.5500000000000005E-4</v>
      </c>
      <c r="BB364" s="98">
        <v>4.3999999999999999E-5</v>
      </c>
      <c r="BC364" s="106"/>
    </row>
    <row r="365" spans="1:55" ht="15" customHeight="1">
      <c r="A365" s="106"/>
      <c r="B365" s="96">
        <v>286</v>
      </c>
      <c r="C365" s="96">
        <v>286</v>
      </c>
      <c r="D365" s="96"/>
      <c r="E365" s="96"/>
      <c r="F365" s="96"/>
      <c r="G365" s="96">
        <v>25000819</v>
      </c>
      <c r="H365" s="96" t="s">
        <v>1013</v>
      </c>
      <c r="I365" s="96"/>
      <c r="J365" s="96" t="s">
        <v>203</v>
      </c>
      <c r="K365" s="96"/>
      <c r="L365" s="96" t="s">
        <v>477</v>
      </c>
      <c r="M365" s="96" t="s">
        <v>337</v>
      </c>
      <c r="N365" s="96" t="s">
        <v>338</v>
      </c>
      <c r="O365" s="96"/>
      <c r="P365" s="100">
        <v>45228</v>
      </c>
      <c r="Q365" s="96" t="s">
        <v>1309</v>
      </c>
      <c r="R365" s="96" t="s">
        <v>414</v>
      </c>
      <c r="S365" s="96" t="s">
        <v>407</v>
      </c>
      <c r="T365" s="96" t="s">
        <v>1200</v>
      </c>
      <c r="U365" s="97">
        <v>4.93</v>
      </c>
      <c r="V365" s="96" t="s">
        <v>824</v>
      </c>
      <c r="W365" s="98">
        <v>6.7000000000000004E-2</v>
      </c>
      <c r="X365" s="96"/>
      <c r="Y365" s="96"/>
      <c r="Z365" s="96"/>
      <c r="AA365" s="98">
        <v>6.1400000000000003E-2</v>
      </c>
      <c r="AB365" s="100">
        <v>49979</v>
      </c>
      <c r="AC365" s="96" t="s">
        <v>411</v>
      </c>
      <c r="AD365" s="96"/>
      <c r="AE365" s="96"/>
      <c r="AF365" s="96"/>
      <c r="AG365" s="100"/>
      <c r="AH365" s="96"/>
      <c r="AI365" s="96"/>
      <c r="AJ365" s="96"/>
      <c r="AK365" s="96" t="s">
        <v>337</v>
      </c>
      <c r="AL365" s="96" t="s">
        <v>887</v>
      </c>
      <c r="AM365" s="96"/>
      <c r="AN365" s="96" t="s">
        <v>890</v>
      </c>
      <c r="AO365" s="100">
        <v>45473</v>
      </c>
      <c r="AP365" s="100">
        <v>45473</v>
      </c>
      <c r="AQ365" s="96"/>
      <c r="AR365" s="97">
        <v>160798.08500799999</v>
      </c>
      <c r="AS365" s="97">
        <v>104.79</v>
      </c>
      <c r="AT365" s="97">
        <v>1</v>
      </c>
      <c r="AU365" s="97">
        <v>168.50031300000001</v>
      </c>
      <c r="AV365" s="97">
        <v>168.50031300000001</v>
      </c>
      <c r="AW365" s="96"/>
      <c r="AX365" s="96"/>
      <c r="AY365" s="96"/>
      <c r="AZ365" s="96"/>
      <c r="BA365" s="98">
        <v>1.101E-3</v>
      </c>
      <c r="BB365" s="98">
        <v>8.7000000000000001E-5</v>
      </c>
      <c r="BC365" s="106"/>
    </row>
    <row r="366" spans="1:55" ht="15" customHeight="1">
      <c r="A366" s="106"/>
      <c r="B366" s="96">
        <v>286</v>
      </c>
      <c r="C366" s="96">
        <v>286</v>
      </c>
      <c r="D366" s="96"/>
      <c r="E366" s="96"/>
      <c r="F366" s="96"/>
      <c r="G366" s="96">
        <v>25000818</v>
      </c>
      <c r="H366" s="96" t="s">
        <v>1013</v>
      </c>
      <c r="I366" s="96"/>
      <c r="J366" s="96" t="s">
        <v>203</v>
      </c>
      <c r="K366" s="96"/>
      <c r="L366" s="96" t="s">
        <v>477</v>
      </c>
      <c r="M366" s="96" t="s">
        <v>337</v>
      </c>
      <c r="N366" s="96" t="s">
        <v>338</v>
      </c>
      <c r="O366" s="96"/>
      <c r="P366" s="100">
        <v>45228</v>
      </c>
      <c r="Q366" s="96" t="s">
        <v>1309</v>
      </c>
      <c r="R366" s="96" t="s">
        <v>414</v>
      </c>
      <c r="S366" s="96" t="s">
        <v>407</v>
      </c>
      <c r="T366" s="96" t="s">
        <v>1200</v>
      </c>
      <c r="U366" s="97">
        <v>5.32</v>
      </c>
      <c r="V366" s="96" t="s">
        <v>3678</v>
      </c>
      <c r="W366" s="98">
        <v>4.6399999999999997E-2</v>
      </c>
      <c r="X366" s="96"/>
      <c r="Y366" s="96"/>
      <c r="Z366" s="96"/>
      <c r="AA366" s="98">
        <v>3.6200000000000003E-2</v>
      </c>
      <c r="AB366" s="100">
        <v>49979</v>
      </c>
      <c r="AC366" s="96" t="s">
        <v>411</v>
      </c>
      <c r="AD366" s="96"/>
      <c r="AE366" s="96"/>
      <c r="AF366" s="96"/>
      <c r="AG366" s="100"/>
      <c r="AH366" s="96"/>
      <c r="AI366" s="96"/>
      <c r="AJ366" s="96"/>
      <c r="AK366" s="96" t="s">
        <v>337</v>
      </c>
      <c r="AL366" s="96" t="s">
        <v>887</v>
      </c>
      <c r="AM366" s="96"/>
      <c r="AN366" s="96" t="s">
        <v>890</v>
      </c>
      <c r="AO366" s="100">
        <v>45473</v>
      </c>
      <c r="AP366" s="100">
        <v>45473</v>
      </c>
      <c r="AQ366" s="96"/>
      <c r="AR366" s="97">
        <v>385915.40384699998</v>
      </c>
      <c r="AS366" s="97">
        <v>107.99</v>
      </c>
      <c r="AT366" s="97">
        <v>1</v>
      </c>
      <c r="AU366" s="97">
        <v>416.750044</v>
      </c>
      <c r="AV366" s="97">
        <v>416.750044</v>
      </c>
      <c r="AW366" s="96"/>
      <c r="AX366" s="96"/>
      <c r="AY366" s="96"/>
      <c r="AZ366" s="96"/>
      <c r="BA366" s="98">
        <v>2.7230000000000002E-3</v>
      </c>
      <c r="BB366" s="98">
        <v>2.1699999999999999E-4</v>
      </c>
      <c r="BC366" s="106"/>
    </row>
    <row r="367" spans="1:55" ht="15" customHeight="1">
      <c r="A367" s="106"/>
      <c r="B367" s="96">
        <v>286</v>
      </c>
      <c r="C367" s="96">
        <v>286</v>
      </c>
      <c r="D367" s="96"/>
      <c r="E367" s="96"/>
      <c r="F367" s="96"/>
      <c r="G367" s="96">
        <v>25000817</v>
      </c>
      <c r="H367" s="96" t="s">
        <v>1013</v>
      </c>
      <c r="I367" s="96" t="s">
        <v>812</v>
      </c>
      <c r="J367" s="96" t="s">
        <v>203</v>
      </c>
      <c r="K367" s="96"/>
      <c r="L367" s="96" t="s">
        <v>470</v>
      </c>
      <c r="M367" s="96" t="s">
        <v>338</v>
      </c>
      <c r="N367" s="96" t="s">
        <v>337</v>
      </c>
      <c r="O367" s="96"/>
      <c r="P367" s="100">
        <v>45222</v>
      </c>
      <c r="Q367" s="96" t="s">
        <v>1309</v>
      </c>
      <c r="R367" s="96" t="s">
        <v>414</v>
      </c>
      <c r="S367" s="96" t="s">
        <v>407</v>
      </c>
      <c r="T367" s="96" t="s">
        <v>1200</v>
      </c>
      <c r="U367" s="97">
        <v>7.46</v>
      </c>
      <c r="V367" s="96" t="s">
        <v>3678</v>
      </c>
      <c r="W367" s="98">
        <v>4.1009999999999998E-2</v>
      </c>
      <c r="X367" s="96"/>
      <c r="Y367" s="96"/>
      <c r="Z367" s="96"/>
      <c r="AA367" s="98">
        <v>4.2500000000000003E-2</v>
      </c>
      <c r="AB367" s="100">
        <v>49303</v>
      </c>
      <c r="AC367" s="96" t="s">
        <v>411</v>
      </c>
      <c r="AD367" s="96"/>
      <c r="AE367" s="96"/>
      <c r="AF367" s="96"/>
      <c r="AG367" s="100">
        <v>45291</v>
      </c>
      <c r="AH367" s="96"/>
      <c r="AI367" s="96"/>
      <c r="AJ367" s="96"/>
      <c r="AK367" s="96" t="s">
        <v>337</v>
      </c>
      <c r="AL367" s="96" t="s">
        <v>887</v>
      </c>
      <c r="AM367" s="96"/>
      <c r="AN367" s="96" t="s">
        <v>890</v>
      </c>
      <c r="AO367" s="100">
        <v>45473</v>
      </c>
      <c r="AP367" s="100">
        <v>45473</v>
      </c>
      <c r="AQ367" s="96"/>
      <c r="AR367" s="97">
        <v>59613.659058999998</v>
      </c>
      <c r="AS367" s="97">
        <v>103.71</v>
      </c>
      <c r="AT367" s="97">
        <v>1</v>
      </c>
      <c r="AU367" s="97">
        <v>61.825324999999999</v>
      </c>
      <c r="AV367" s="97">
        <v>61.825324999999999</v>
      </c>
      <c r="AW367" s="96"/>
      <c r="AX367" s="96"/>
      <c r="AY367" s="96"/>
      <c r="AZ367" s="96"/>
      <c r="BA367" s="98">
        <v>4.0400000000000001E-4</v>
      </c>
      <c r="BB367" s="98">
        <v>3.1999999999999999E-5</v>
      </c>
      <c r="BC367" s="106"/>
    </row>
    <row r="368" spans="1:55" ht="15" customHeight="1">
      <c r="A368" s="106"/>
      <c r="B368" s="96">
        <v>286</v>
      </c>
      <c r="C368" s="96">
        <v>286</v>
      </c>
      <c r="D368" s="96"/>
      <c r="E368" s="96"/>
      <c r="F368" s="96"/>
      <c r="G368" s="96">
        <v>25000816</v>
      </c>
      <c r="H368" s="96" t="s">
        <v>1013</v>
      </c>
      <c r="I368" s="96" t="s">
        <v>812</v>
      </c>
      <c r="J368" s="96" t="s">
        <v>203</v>
      </c>
      <c r="K368" s="96"/>
      <c r="L368" s="96" t="s">
        <v>470</v>
      </c>
      <c r="M368" s="96" t="s">
        <v>338</v>
      </c>
      <c r="N368" s="96" t="s">
        <v>337</v>
      </c>
      <c r="O368" s="96"/>
      <c r="P368" s="100">
        <v>45222</v>
      </c>
      <c r="Q368" s="96" t="s">
        <v>1309</v>
      </c>
      <c r="R368" s="96" t="s">
        <v>414</v>
      </c>
      <c r="S368" s="96" t="s">
        <v>407</v>
      </c>
      <c r="T368" s="96" t="s">
        <v>1200</v>
      </c>
      <c r="U368" s="97">
        <v>7.45</v>
      </c>
      <c r="V368" s="96" t="s">
        <v>3678</v>
      </c>
      <c r="W368" s="98">
        <v>4.1079999999999998E-2</v>
      </c>
      <c r="X368" s="96"/>
      <c r="Y368" s="96"/>
      <c r="Z368" s="96"/>
      <c r="AA368" s="98">
        <v>4.3900000000000002E-2</v>
      </c>
      <c r="AB368" s="100">
        <v>49303</v>
      </c>
      <c r="AC368" s="96" t="s">
        <v>411</v>
      </c>
      <c r="AD368" s="96"/>
      <c r="AE368" s="96"/>
      <c r="AF368" s="96"/>
      <c r="AG368" s="100">
        <v>45291</v>
      </c>
      <c r="AH368" s="96"/>
      <c r="AI368" s="96"/>
      <c r="AJ368" s="96"/>
      <c r="AK368" s="96" t="s">
        <v>337</v>
      </c>
      <c r="AL368" s="96" t="s">
        <v>887</v>
      </c>
      <c r="AM368" s="96"/>
      <c r="AN368" s="96" t="s">
        <v>890</v>
      </c>
      <c r="AO368" s="100">
        <v>45473</v>
      </c>
      <c r="AP368" s="100">
        <v>45473</v>
      </c>
      <c r="AQ368" s="96"/>
      <c r="AR368" s="97">
        <v>83567.525823000004</v>
      </c>
      <c r="AS368" s="97">
        <v>102.76</v>
      </c>
      <c r="AT368" s="97">
        <v>1</v>
      </c>
      <c r="AU368" s="97">
        <v>85.873988999999995</v>
      </c>
      <c r="AV368" s="97">
        <v>85.873988999999995</v>
      </c>
      <c r="AW368" s="96"/>
      <c r="AX368" s="96"/>
      <c r="AY368" s="96"/>
      <c r="AZ368" s="96"/>
      <c r="BA368" s="98">
        <v>5.6099999999999998E-4</v>
      </c>
      <c r="BB368" s="98">
        <v>4.3999999999999999E-5</v>
      </c>
      <c r="BC368" s="106"/>
    </row>
    <row r="369" spans="1:55" ht="15" customHeight="1">
      <c r="A369" s="106"/>
      <c r="B369" s="96">
        <v>286</v>
      </c>
      <c r="C369" s="96">
        <v>286</v>
      </c>
      <c r="D369" s="96"/>
      <c r="E369" s="96"/>
      <c r="F369" s="96"/>
      <c r="G369" s="96">
        <v>25000813</v>
      </c>
      <c r="H369" s="96" t="s">
        <v>1013</v>
      </c>
      <c r="I369" s="96" t="s">
        <v>795</v>
      </c>
      <c r="J369" s="96" t="s">
        <v>203</v>
      </c>
      <c r="K369" s="96"/>
      <c r="L369" s="96" t="s">
        <v>446</v>
      </c>
      <c r="M369" s="96" t="s">
        <v>338</v>
      </c>
      <c r="N369" s="96" t="s">
        <v>338</v>
      </c>
      <c r="O369" s="96"/>
      <c r="P369" s="100">
        <v>45201</v>
      </c>
      <c r="Q369" s="96" t="s">
        <v>2074</v>
      </c>
      <c r="R369" s="96" t="s">
        <v>311</v>
      </c>
      <c r="S369" s="96" t="s">
        <v>407</v>
      </c>
      <c r="T369" s="96" t="s">
        <v>1200</v>
      </c>
      <c r="U369" s="97">
        <v>3.55</v>
      </c>
      <c r="V369" s="96" t="s">
        <v>824</v>
      </c>
      <c r="W369" s="98">
        <v>0.1</v>
      </c>
      <c r="X369" s="96"/>
      <c r="Y369" s="96"/>
      <c r="Z369" s="96"/>
      <c r="AA369" s="98">
        <v>8.5800000000000001E-2</v>
      </c>
      <c r="AB369" s="100">
        <v>47028</v>
      </c>
      <c r="AC369" s="96" t="s">
        <v>410</v>
      </c>
      <c r="AD369" s="96"/>
      <c r="AE369" s="96"/>
      <c r="AF369" s="96"/>
      <c r="AG369" s="100">
        <v>45271</v>
      </c>
      <c r="AH369" s="96"/>
      <c r="AI369" s="96"/>
      <c r="AJ369" s="96"/>
      <c r="AK369" s="96" t="s">
        <v>337</v>
      </c>
      <c r="AL369" s="96" t="s">
        <v>887</v>
      </c>
      <c r="AM369" s="96"/>
      <c r="AN369" s="96" t="s">
        <v>890</v>
      </c>
      <c r="AO369" s="100">
        <v>45473</v>
      </c>
      <c r="AP369" s="100">
        <v>45473</v>
      </c>
      <c r="AQ369" s="96"/>
      <c r="AR369" s="97">
        <v>203387.84950400001</v>
      </c>
      <c r="AS369" s="97">
        <v>106.59</v>
      </c>
      <c r="AT369" s="97">
        <v>1</v>
      </c>
      <c r="AU369" s="97">
        <v>216.79110800000001</v>
      </c>
      <c r="AV369" s="97">
        <v>216.79110800000001</v>
      </c>
      <c r="AW369" s="96"/>
      <c r="AX369" s="96"/>
      <c r="AY369" s="96"/>
      <c r="AZ369" s="96"/>
      <c r="BA369" s="98">
        <v>1.4159999999999999E-3</v>
      </c>
      <c r="BB369" s="98">
        <v>1.12E-4</v>
      </c>
      <c r="BC369" s="106"/>
    </row>
    <row r="370" spans="1:55" ht="15" customHeight="1">
      <c r="A370" s="106"/>
      <c r="B370" s="96">
        <v>286</v>
      </c>
      <c r="C370" s="96">
        <v>286</v>
      </c>
      <c r="D370" s="96"/>
      <c r="E370" s="96"/>
      <c r="F370" s="96"/>
      <c r="G370" s="96">
        <v>25000812</v>
      </c>
      <c r="H370" s="96" t="s">
        <v>1013</v>
      </c>
      <c r="I370" s="96" t="s">
        <v>795</v>
      </c>
      <c r="J370" s="96" t="s">
        <v>203</v>
      </c>
      <c r="K370" s="96"/>
      <c r="L370" s="96" t="s">
        <v>446</v>
      </c>
      <c r="M370" s="96" t="s">
        <v>337</v>
      </c>
      <c r="N370" s="96" t="s">
        <v>338</v>
      </c>
      <c r="O370" s="96"/>
      <c r="P370" s="100">
        <v>45202</v>
      </c>
      <c r="Q370" s="96" t="s">
        <v>2102</v>
      </c>
      <c r="R370" s="96" t="s">
        <v>311</v>
      </c>
      <c r="S370" s="96" t="s">
        <v>407</v>
      </c>
      <c r="T370" s="96" t="s">
        <v>1200</v>
      </c>
      <c r="U370" s="97">
        <v>3.32</v>
      </c>
      <c r="V370" s="96" t="s">
        <v>3678</v>
      </c>
      <c r="W370" s="98">
        <v>0.05</v>
      </c>
      <c r="X370" s="96"/>
      <c r="Y370" s="96"/>
      <c r="Z370" s="96"/>
      <c r="AA370" s="98">
        <v>5.5300000000000002E-2</v>
      </c>
      <c r="AB370" s="100">
        <v>45491</v>
      </c>
      <c r="AC370" s="96" t="s">
        <v>410</v>
      </c>
      <c r="AD370" s="96"/>
      <c r="AE370" s="96"/>
      <c r="AF370" s="96"/>
      <c r="AG370" s="100">
        <v>45382</v>
      </c>
      <c r="AH370" s="96"/>
      <c r="AI370" s="96"/>
      <c r="AJ370" s="96"/>
      <c r="AK370" s="96" t="s">
        <v>337</v>
      </c>
      <c r="AL370" s="96" t="s">
        <v>887</v>
      </c>
      <c r="AM370" s="96"/>
      <c r="AN370" s="96" t="s">
        <v>890</v>
      </c>
      <c r="AO370" s="100">
        <v>45473</v>
      </c>
      <c r="AP370" s="100">
        <v>45473</v>
      </c>
      <c r="AQ370" s="96"/>
      <c r="AR370" s="97">
        <v>8474.4937289999998</v>
      </c>
      <c r="AS370" s="97">
        <v>98.63</v>
      </c>
      <c r="AT370" s="97">
        <v>1</v>
      </c>
      <c r="AU370" s="97">
        <v>8.3583929999999995</v>
      </c>
      <c r="AV370" s="97">
        <v>8.3583929999999995</v>
      </c>
      <c r="AW370" s="96"/>
      <c r="AX370" s="96"/>
      <c r="AY370" s="96"/>
      <c r="AZ370" s="96"/>
      <c r="BA370" s="98">
        <v>5.3999999999999998E-5</v>
      </c>
      <c r="BB370" s="98">
        <v>3.9999999999999998E-6</v>
      </c>
      <c r="BC370" s="106"/>
    </row>
    <row r="371" spans="1:55" ht="15" customHeight="1">
      <c r="A371" s="106"/>
      <c r="B371" s="96">
        <v>286</v>
      </c>
      <c r="C371" s="96">
        <v>286</v>
      </c>
      <c r="D371" s="96"/>
      <c r="E371" s="96"/>
      <c r="F371" s="96"/>
      <c r="G371" s="96">
        <v>25000811</v>
      </c>
      <c r="H371" s="96" t="s">
        <v>1013</v>
      </c>
      <c r="I371" s="96" t="s">
        <v>3680</v>
      </c>
      <c r="J371" s="96" t="s">
        <v>203</v>
      </c>
      <c r="K371" s="96"/>
      <c r="L371" s="96" t="s">
        <v>463</v>
      </c>
      <c r="M371" s="96" t="s">
        <v>338</v>
      </c>
      <c r="N371" s="96" t="s">
        <v>337</v>
      </c>
      <c r="O371" s="96"/>
      <c r="P371" s="100">
        <v>45189</v>
      </c>
      <c r="Q371" s="96" t="s">
        <v>3681</v>
      </c>
      <c r="R371" s="96" t="s">
        <v>311</v>
      </c>
      <c r="S371" s="96" t="s">
        <v>407</v>
      </c>
      <c r="T371" s="96" t="s">
        <v>1200</v>
      </c>
      <c r="U371" s="97">
        <v>3.4</v>
      </c>
      <c r="V371" s="96" t="s">
        <v>824</v>
      </c>
      <c r="W371" s="98">
        <v>6.6500000000000004E-2</v>
      </c>
      <c r="X371" s="96"/>
      <c r="Y371" s="96"/>
      <c r="Z371" s="96"/>
      <c r="AA371" s="98">
        <v>6.2799999999999995E-2</v>
      </c>
      <c r="AB371" s="100">
        <v>46924</v>
      </c>
      <c r="AC371" s="96" t="s">
        <v>411</v>
      </c>
      <c r="AD371" s="96"/>
      <c r="AE371" s="96"/>
      <c r="AF371" s="96"/>
      <c r="AG371" s="100">
        <v>45382</v>
      </c>
      <c r="AH371" s="96"/>
      <c r="AI371" s="96"/>
      <c r="AJ371" s="96"/>
      <c r="AK371" s="96" t="s">
        <v>337</v>
      </c>
      <c r="AL371" s="96" t="s">
        <v>887</v>
      </c>
      <c r="AM371" s="96"/>
      <c r="AN371" s="96" t="s">
        <v>890</v>
      </c>
      <c r="AO371" s="100">
        <v>45473</v>
      </c>
      <c r="AP371" s="100">
        <v>45473</v>
      </c>
      <c r="AQ371" s="96"/>
      <c r="AR371" s="97">
        <v>38402.010144</v>
      </c>
      <c r="AS371" s="97">
        <v>101.92</v>
      </c>
      <c r="AT371" s="97">
        <v>1</v>
      </c>
      <c r="AU371" s="97">
        <v>39.139327999999999</v>
      </c>
      <c r="AV371" s="97">
        <v>39.139327999999999</v>
      </c>
      <c r="AW371" s="96"/>
      <c r="AX371" s="96"/>
      <c r="AY371" s="96"/>
      <c r="AZ371" s="96"/>
      <c r="BA371" s="98">
        <v>2.5500000000000002E-4</v>
      </c>
      <c r="BB371" s="98">
        <v>2.0000000000000002E-5</v>
      </c>
      <c r="BC371" s="106"/>
    </row>
    <row r="372" spans="1:55" ht="15" customHeight="1">
      <c r="A372" s="106"/>
      <c r="B372" s="96">
        <v>286</v>
      </c>
      <c r="C372" s="96">
        <v>286</v>
      </c>
      <c r="D372" s="96"/>
      <c r="E372" s="96"/>
      <c r="F372" s="96"/>
      <c r="G372" s="96">
        <v>25000810</v>
      </c>
      <c r="H372" s="96" t="s">
        <v>1013</v>
      </c>
      <c r="I372" s="96" t="s">
        <v>812</v>
      </c>
      <c r="J372" s="96" t="s">
        <v>203</v>
      </c>
      <c r="K372" s="96"/>
      <c r="L372" s="96" t="s">
        <v>470</v>
      </c>
      <c r="M372" s="96" t="s">
        <v>338</v>
      </c>
      <c r="N372" s="96" t="s">
        <v>337</v>
      </c>
      <c r="O372" s="96"/>
      <c r="P372" s="100">
        <v>45190</v>
      </c>
      <c r="Q372" s="96" t="s">
        <v>409</v>
      </c>
      <c r="R372" s="96" t="s">
        <v>409</v>
      </c>
      <c r="S372" s="96" t="s">
        <v>409</v>
      </c>
      <c r="T372" s="96" t="s">
        <v>1200</v>
      </c>
      <c r="U372" s="97">
        <v>9.3699999999999992</v>
      </c>
      <c r="V372" s="96" t="s">
        <v>3678</v>
      </c>
      <c r="W372" s="98">
        <v>3.7400000000000003E-2</v>
      </c>
      <c r="X372" s="96"/>
      <c r="Y372" s="96"/>
      <c r="Z372" s="96"/>
      <c r="AA372" s="98">
        <v>4.3900000000000002E-2</v>
      </c>
      <c r="AB372" s="100">
        <v>53417</v>
      </c>
      <c r="AC372" s="96" t="s">
        <v>411</v>
      </c>
      <c r="AD372" s="96"/>
      <c r="AE372" s="96"/>
      <c r="AF372" s="96"/>
      <c r="AG372" s="100">
        <v>45291</v>
      </c>
      <c r="AH372" s="96"/>
      <c r="AI372" s="96"/>
      <c r="AJ372" s="96"/>
      <c r="AK372" s="96" t="s">
        <v>337</v>
      </c>
      <c r="AL372" s="96" t="s">
        <v>887</v>
      </c>
      <c r="AM372" s="96"/>
      <c r="AN372" s="96" t="s">
        <v>890</v>
      </c>
      <c r="AO372" s="100">
        <v>45473</v>
      </c>
      <c r="AP372" s="100">
        <v>45473</v>
      </c>
      <c r="AQ372" s="96"/>
      <c r="AR372" s="97">
        <v>49257.836686000002</v>
      </c>
      <c r="AS372" s="97">
        <v>96.58</v>
      </c>
      <c r="AT372" s="97">
        <v>1</v>
      </c>
      <c r="AU372" s="97">
        <v>47.573217999999997</v>
      </c>
      <c r="AV372" s="97">
        <v>47.573217999999997</v>
      </c>
      <c r="AW372" s="96"/>
      <c r="AX372" s="96"/>
      <c r="AY372" s="96"/>
      <c r="AZ372" s="96"/>
      <c r="BA372" s="98">
        <v>3.1E-4</v>
      </c>
      <c r="BB372" s="98">
        <v>2.4000000000000001E-5</v>
      </c>
      <c r="BC372" s="106"/>
    </row>
    <row r="373" spans="1:55" ht="15" customHeight="1">
      <c r="A373" s="106"/>
      <c r="B373" s="96">
        <v>286</v>
      </c>
      <c r="C373" s="96">
        <v>286</v>
      </c>
      <c r="D373" s="96"/>
      <c r="E373" s="96"/>
      <c r="F373" s="96"/>
      <c r="G373" s="96">
        <v>25000809</v>
      </c>
      <c r="H373" s="96" t="s">
        <v>1013</v>
      </c>
      <c r="I373" s="96" t="s">
        <v>812</v>
      </c>
      <c r="J373" s="96" t="s">
        <v>203</v>
      </c>
      <c r="K373" s="96"/>
      <c r="L373" s="96" t="s">
        <v>470</v>
      </c>
      <c r="M373" s="96" t="s">
        <v>338</v>
      </c>
      <c r="N373" s="96" t="s">
        <v>337</v>
      </c>
      <c r="O373" s="96"/>
      <c r="P373" s="100">
        <v>45190</v>
      </c>
      <c r="Q373" s="96" t="s">
        <v>409</v>
      </c>
      <c r="R373" s="96" t="s">
        <v>409</v>
      </c>
      <c r="S373" s="96" t="s">
        <v>409</v>
      </c>
      <c r="T373" s="96" t="s">
        <v>1200</v>
      </c>
      <c r="U373" s="97">
        <v>9.17</v>
      </c>
      <c r="V373" s="96" t="s">
        <v>3678</v>
      </c>
      <c r="W373" s="98">
        <v>3.9300000000000002E-2</v>
      </c>
      <c r="X373" s="96"/>
      <c r="Y373" s="96"/>
      <c r="Z373" s="96"/>
      <c r="AA373" s="98">
        <v>4.3900000000000002E-2</v>
      </c>
      <c r="AB373" s="100">
        <v>53327</v>
      </c>
      <c r="AC373" s="96" t="s">
        <v>411</v>
      </c>
      <c r="AD373" s="96"/>
      <c r="AE373" s="96"/>
      <c r="AF373" s="96"/>
      <c r="AG373" s="100">
        <v>45291</v>
      </c>
      <c r="AH373" s="96"/>
      <c r="AI373" s="96"/>
      <c r="AJ373" s="96"/>
      <c r="AK373" s="96" t="s">
        <v>337</v>
      </c>
      <c r="AL373" s="96" t="s">
        <v>887</v>
      </c>
      <c r="AM373" s="96"/>
      <c r="AN373" s="96" t="s">
        <v>890</v>
      </c>
      <c r="AO373" s="100">
        <v>45473</v>
      </c>
      <c r="AP373" s="100">
        <v>45473</v>
      </c>
      <c r="AQ373" s="96"/>
      <c r="AR373" s="97">
        <v>65455.913041</v>
      </c>
      <c r="AS373" s="97">
        <v>96.63</v>
      </c>
      <c r="AT373" s="97">
        <v>1</v>
      </c>
      <c r="AU373" s="97">
        <v>63.250048</v>
      </c>
      <c r="AV373" s="97">
        <v>63.250048</v>
      </c>
      <c r="AW373" s="96"/>
      <c r="AX373" s="96"/>
      <c r="AY373" s="96"/>
      <c r="AZ373" s="96"/>
      <c r="BA373" s="98">
        <v>4.1300000000000001E-4</v>
      </c>
      <c r="BB373" s="98">
        <v>3.1999999999999999E-5</v>
      </c>
      <c r="BC373" s="106"/>
    </row>
    <row r="374" spans="1:55" ht="15" customHeight="1">
      <c r="A374" s="106"/>
      <c r="B374" s="96">
        <v>286</v>
      </c>
      <c r="C374" s="96">
        <v>286</v>
      </c>
      <c r="D374" s="96"/>
      <c r="E374" s="96"/>
      <c r="F374" s="96"/>
      <c r="G374" s="96">
        <v>25000808</v>
      </c>
      <c r="H374" s="96" t="s">
        <v>1013</v>
      </c>
      <c r="I374" s="96" t="s">
        <v>812</v>
      </c>
      <c r="J374" s="96" t="s">
        <v>203</v>
      </c>
      <c r="K374" s="96"/>
      <c r="L374" s="96" t="s">
        <v>470</v>
      </c>
      <c r="M374" s="96" t="s">
        <v>338</v>
      </c>
      <c r="N374" s="96" t="s">
        <v>337</v>
      </c>
      <c r="O374" s="96"/>
      <c r="P374" s="100">
        <v>45190</v>
      </c>
      <c r="Q374" s="96" t="s">
        <v>409</v>
      </c>
      <c r="R374" s="96" t="s">
        <v>409</v>
      </c>
      <c r="S374" s="96" t="s">
        <v>409</v>
      </c>
      <c r="T374" s="96" t="s">
        <v>1200</v>
      </c>
      <c r="U374" s="97">
        <v>9</v>
      </c>
      <c r="V374" s="96" t="s">
        <v>3678</v>
      </c>
      <c r="W374" s="98">
        <v>3.7400000000000003E-2</v>
      </c>
      <c r="X374" s="96"/>
      <c r="Y374" s="96"/>
      <c r="Z374" s="96"/>
      <c r="AA374" s="98">
        <v>4.3900000000000002E-2</v>
      </c>
      <c r="AB374" s="100">
        <v>53143</v>
      </c>
      <c r="AC374" s="96" t="s">
        <v>411</v>
      </c>
      <c r="AD374" s="96"/>
      <c r="AE374" s="96"/>
      <c r="AF374" s="96"/>
      <c r="AG374" s="100">
        <v>45291</v>
      </c>
      <c r="AH374" s="96"/>
      <c r="AI374" s="96"/>
      <c r="AJ374" s="96"/>
      <c r="AK374" s="96" t="s">
        <v>337</v>
      </c>
      <c r="AL374" s="96" t="s">
        <v>887</v>
      </c>
      <c r="AM374" s="96"/>
      <c r="AN374" s="96" t="s">
        <v>890</v>
      </c>
      <c r="AO374" s="100">
        <v>45473</v>
      </c>
      <c r="AP374" s="100">
        <v>45473</v>
      </c>
      <c r="AQ374" s="96"/>
      <c r="AR374" s="97">
        <v>21359.238098999998</v>
      </c>
      <c r="AS374" s="97">
        <v>96.82</v>
      </c>
      <c r="AT374" s="97">
        <v>1</v>
      </c>
      <c r="AU374" s="97">
        <v>20.680014</v>
      </c>
      <c r="AV374" s="97">
        <v>20.680014</v>
      </c>
      <c r="AW374" s="96"/>
      <c r="AX374" s="96"/>
      <c r="AY374" s="96"/>
      <c r="AZ374" s="96"/>
      <c r="BA374" s="98">
        <v>1.35E-4</v>
      </c>
      <c r="BB374" s="98">
        <v>1.0000000000000001E-5</v>
      </c>
      <c r="BC374" s="106"/>
    </row>
    <row r="375" spans="1:55" ht="15" customHeight="1">
      <c r="A375" s="106"/>
      <c r="B375" s="96">
        <v>286</v>
      </c>
      <c r="C375" s="96">
        <v>286</v>
      </c>
      <c r="D375" s="96"/>
      <c r="E375" s="96"/>
      <c r="F375" s="96"/>
      <c r="G375" s="96">
        <v>25000807</v>
      </c>
      <c r="H375" s="96" t="s">
        <v>1013</v>
      </c>
      <c r="I375" s="96" t="s">
        <v>3682</v>
      </c>
      <c r="J375" s="96" t="s">
        <v>203</v>
      </c>
      <c r="K375" s="96"/>
      <c r="L375" s="96" t="s">
        <v>477</v>
      </c>
      <c r="M375" s="96" t="s">
        <v>338</v>
      </c>
      <c r="N375" s="96" t="s">
        <v>337</v>
      </c>
      <c r="O375" s="96"/>
      <c r="P375" s="100">
        <v>45187</v>
      </c>
      <c r="Q375" s="96" t="s">
        <v>409</v>
      </c>
      <c r="R375" s="96" t="s">
        <v>409</v>
      </c>
      <c r="S375" s="96" t="s">
        <v>409</v>
      </c>
      <c r="T375" s="96" t="s">
        <v>1200</v>
      </c>
      <c r="U375" s="97">
        <v>2.11</v>
      </c>
      <c r="V375" s="96" t="s">
        <v>3678</v>
      </c>
      <c r="W375" s="98">
        <v>4.7500000000000001E-2</v>
      </c>
      <c r="X375" s="96"/>
      <c r="Y375" s="96"/>
      <c r="Z375" s="96"/>
      <c r="AA375" s="98">
        <v>4.0800000000000003E-2</v>
      </c>
      <c r="AB375" s="100">
        <v>46283</v>
      </c>
      <c r="AC375" s="96" t="s">
        <v>411</v>
      </c>
      <c r="AD375" s="96"/>
      <c r="AE375" s="96"/>
      <c r="AF375" s="96"/>
      <c r="AG375" s="100">
        <v>45473</v>
      </c>
      <c r="AH375" s="96"/>
      <c r="AI375" s="96"/>
      <c r="AJ375" s="96"/>
      <c r="AK375" s="96" t="s">
        <v>337</v>
      </c>
      <c r="AL375" s="96" t="s">
        <v>887</v>
      </c>
      <c r="AM375" s="96"/>
      <c r="AN375" s="96" t="s">
        <v>890</v>
      </c>
      <c r="AO375" s="100">
        <v>45473</v>
      </c>
      <c r="AP375" s="100">
        <v>45473</v>
      </c>
      <c r="AQ375" s="96"/>
      <c r="AR375" s="97">
        <v>282483.124312</v>
      </c>
      <c r="AS375" s="97">
        <v>104.3</v>
      </c>
      <c r="AT375" s="97">
        <v>1</v>
      </c>
      <c r="AU375" s="97">
        <v>294.62989800000003</v>
      </c>
      <c r="AV375" s="97">
        <v>294.62989800000003</v>
      </c>
      <c r="AW375" s="96"/>
      <c r="AX375" s="96"/>
      <c r="AY375" s="96"/>
      <c r="AZ375" s="96"/>
      <c r="BA375" s="98">
        <v>1.9250000000000001E-3</v>
      </c>
      <c r="BB375" s="98">
        <v>1.5300000000000001E-4</v>
      </c>
      <c r="BC375" s="106"/>
    </row>
    <row r="376" spans="1:55" ht="15" customHeight="1">
      <c r="A376" s="106"/>
      <c r="B376" s="96">
        <v>286</v>
      </c>
      <c r="C376" s="96">
        <v>286</v>
      </c>
      <c r="D376" s="96"/>
      <c r="E376" s="96"/>
      <c r="F376" s="96"/>
      <c r="G376" s="96">
        <v>25000806</v>
      </c>
      <c r="H376" s="96" t="s">
        <v>1013</v>
      </c>
      <c r="I376" s="96" t="s">
        <v>3684</v>
      </c>
      <c r="J376" s="96" t="s">
        <v>203</v>
      </c>
      <c r="K376" s="96"/>
      <c r="L376" s="96" t="s">
        <v>463</v>
      </c>
      <c r="M376" s="96" t="s">
        <v>338</v>
      </c>
      <c r="N376" s="96" t="s">
        <v>337</v>
      </c>
      <c r="O376" s="96"/>
      <c r="P376" s="100">
        <v>45183</v>
      </c>
      <c r="Q376" s="96" t="s">
        <v>3681</v>
      </c>
      <c r="R376" s="96" t="s">
        <v>311</v>
      </c>
      <c r="S376" s="96" t="s">
        <v>407</v>
      </c>
      <c r="T376" s="96" t="s">
        <v>1200</v>
      </c>
      <c r="U376" s="97">
        <v>0.56999999999999995</v>
      </c>
      <c r="V376" s="96" t="s">
        <v>3678</v>
      </c>
      <c r="W376" s="98">
        <v>0.05</v>
      </c>
      <c r="X376" s="96"/>
      <c r="Y376" s="96"/>
      <c r="Z376" s="96"/>
      <c r="AA376" s="98">
        <v>3.5099999999999999E-2</v>
      </c>
      <c r="AB376" s="100">
        <v>45688</v>
      </c>
      <c r="AC376" s="96" t="s">
        <v>411</v>
      </c>
      <c r="AD376" s="96"/>
      <c r="AE376" s="96"/>
      <c r="AF376" s="96"/>
      <c r="AG376" s="100">
        <v>45075</v>
      </c>
      <c r="AH376" s="96"/>
      <c r="AI376" s="96"/>
      <c r="AJ376" s="96"/>
      <c r="AK376" s="96" t="s">
        <v>337</v>
      </c>
      <c r="AL376" s="96" t="s">
        <v>887</v>
      </c>
      <c r="AM376" s="96"/>
      <c r="AN376" s="96" t="s">
        <v>890</v>
      </c>
      <c r="AO376" s="100">
        <v>45473</v>
      </c>
      <c r="AP376" s="100">
        <v>45473</v>
      </c>
      <c r="AQ376" s="96"/>
      <c r="AR376" s="97">
        <v>60647.243568999998</v>
      </c>
      <c r="AS376" s="97">
        <v>104.31</v>
      </c>
      <c r="AT376" s="97">
        <v>1</v>
      </c>
      <c r="AU376" s="97">
        <v>63.261139</v>
      </c>
      <c r="AV376" s="97">
        <v>63.261139</v>
      </c>
      <c r="AW376" s="96"/>
      <c r="AX376" s="96"/>
      <c r="AY376" s="96"/>
      <c r="AZ376" s="96"/>
      <c r="BA376" s="98">
        <v>4.1300000000000001E-4</v>
      </c>
      <c r="BB376" s="98">
        <v>3.1999999999999999E-5</v>
      </c>
      <c r="BC376" s="106"/>
    </row>
    <row r="377" spans="1:55" ht="15" customHeight="1">
      <c r="A377" s="106"/>
      <c r="B377" s="96">
        <v>286</v>
      </c>
      <c r="C377" s="96">
        <v>286</v>
      </c>
      <c r="D377" s="96"/>
      <c r="E377" s="96"/>
      <c r="F377" s="96"/>
      <c r="G377" s="96">
        <v>25000827</v>
      </c>
      <c r="H377" s="96" t="s">
        <v>1013</v>
      </c>
      <c r="I377" s="96" t="s">
        <v>812</v>
      </c>
      <c r="J377" s="96" t="s">
        <v>203</v>
      </c>
      <c r="K377" s="96"/>
      <c r="L377" s="96" t="s">
        <v>446</v>
      </c>
      <c r="M377" s="96" t="s">
        <v>338</v>
      </c>
      <c r="N377" s="96" t="s">
        <v>337</v>
      </c>
      <c r="O377" s="96"/>
      <c r="P377" s="100">
        <v>45258</v>
      </c>
      <c r="Q377" s="96" t="s">
        <v>1357</v>
      </c>
      <c r="R377" s="96" t="s">
        <v>414</v>
      </c>
      <c r="S377" s="96" t="s">
        <v>407</v>
      </c>
      <c r="T377" s="96" t="s">
        <v>1200</v>
      </c>
      <c r="U377" s="97">
        <v>2.04</v>
      </c>
      <c r="V377" s="96" t="s">
        <v>824</v>
      </c>
      <c r="W377" s="98">
        <v>6.6000000000000003E-2</v>
      </c>
      <c r="X377" s="96"/>
      <c r="Y377" s="96"/>
      <c r="Z377" s="96"/>
      <c r="AA377" s="98">
        <v>0.06</v>
      </c>
      <c r="AB377" s="100">
        <v>46262</v>
      </c>
      <c r="AC377" s="96" t="s">
        <v>411</v>
      </c>
      <c r="AD377" s="96"/>
      <c r="AE377" s="96"/>
      <c r="AF377" s="96"/>
      <c r="AG377" s="100">
        <v>45291</v>
      </c>
      <c r="AH377" s="96"/>
      <c r="AI377" s="96"/>
      <c r="AJ377" s="96"/>
      <c r="AK377" s="96" t="s">
        <v>337</v>
      </c>
      <c r="AL377" s="96" t="s">
        <v>887</v>
      </c>
      <c r="AM377" s="96"/>
      <c r="AN377" s="96" t="s">
        <v>890</v>
      </c>
      <c r="AO377" s="100">
        <v>45473</v>
      </c>
      <c r="AP377" s="100">
        <v>45473</v>
      </c>
      <c r="AQ377" s="96"/>
      <c r="AR377" s="97">
        <v>35461.562511999997</v>
      </c>
      <c r="AS377" s="97">
        <v>101.21</v>
      </c>
      <c r="AT377" s="97">
        <v>1</v>
      </c>
      <c r="AU377" s="97">
        <v>35.890647000000001</v>
      </c>
      <c r="AV377" s="97">
        <v>35.890647000000001</v>
      </c>
      <c r="AW377" s="96"/>
      <c r="AX377" s="96"/>
      <c r="AY377" s="96"/>
      <c r="AZ377" s="96"/>
      <c r="BA377" s="98">
        <v>2.34E-4</v>
      </c>
      <c r="BB377" s="98">
        <v>1.8E-5</v>
      </c>
      <c r="BC377" s="106"/>
    </row>
    <row r="378" spans="1:55" ht="15" customHeight="1">
      <c r="A378" s="106"/>
      <c r="B378" s="96">
        <v>286</v>
      </c>
      <c r="C378" s="96">
        <v>286</v>
      </c>
      <c r="D378" s="96"/>
      <c r="E378" s="96"/>
      <c r="F378" s="96"/>
      <c r="G378" s="96">
        <v>25000912</v>
      </c>
      <c r="H378" s="96" t="s">
        <v>1013</v>
      </c>
      <c r="I378" s="96"/>
      <c r="J378" s="96" t="s">
        <v>203</v>
      </c>
      <c r="K378" s="96"/>
      <c r="L378" s="96" t="s">
        <v>463</v>
      </c>
      <c r="M378" s="96" t="s">
        <v>338</v>
      </c>
      <c r="N378" s="96" t="s">
        <v>338</v>
      </c>
      <c r="O378" s="96"/>
      <c r="P378" s="100">
        <v>45400</v>
      </c>
      <c r="Q378" s="96" t="s">
        <v>2258</v>
      </c>
      <c r="R378" s="96" t="s">
        <v>311</v>
      </c>
      <c r="S378" s="96" t="s">
        <v>407</v>
      </c>
      <c r="T378" s="96" t="s">
        <v>1200</v>
      </c>
      <c r="U378" s="97">
        <v>5.13</v>
      </c>
      <c r="V378" s="96" t="s">
        <v>3678</v>
      </c>
      <c r="W378" s="98">
        <v>4.4699999999999997E-2</v>
      </c>
      <c r="X378" s="96"/>
      <c r="Y378" s="96"/>
      <c r="Z378" s="96"/>
      <c r="AA378" s="98">
        <v>4.9700000000000001E-2</v>
      </c>
      <c r="AB378" s="100">
        <v>47591</v>
      </c>
      <c r="AC378" s="96" t="s">
        <v>411</v>
      </c>
      <c r="AD378" s="96"/>
      <c r="AE378" s="96"/>
      <c r="AF378" s="96"/>
      <c r="AG378" s="100">
        <v>45272</v>
      </c>
      <c r="AH378" s="96"/>
      <c r="AI378" s="96"/>
      <c r="AJ378" s="96"/>
      <c r="AK378" s="96" t="s">
        <v>337</v>
      </c>
      <c r="AL378" s="96" t="s">
        <v>887</v>
      </c>
      <c r="AM378" s="96"/>
      <c r="AN378" s="96" t="s">
        <v>890</v>
      </c>
      <c r="AO378" s="100">
        <v>45473</v>
      </c>
      <c r="AP378" s="100">
        <v>45473</v>
      </c>
      <c r="AQ378" s="96"/>
      <c r="AR378" s="97">
        <v>240749.25679000001</v>
      </c>
      <c r="AS378" s="97">
        <v>100.02</v>
      </c>
      <c r="AT378" s="97">
        <v>1</v>
      </c>
      <c r="AU378" s="97">
        <v>240.797406</v>
      </c>
      <c r="AV378" s="97">
        <v>240.797406</v>
      </c>
      <c r="AW378" s="96"/>
      <c r="AX378" s="96"/>
      <c r="AY378" s="96"/>
      <c r="AZ378" s="96"/>
      <c r="BA378" s="98">
        <v>1.573E-3</v>
      </c>
      <c r="BB378" s="98">
        <v>1.25E-4</v>
      </c>
      <c r="BC378" s="106"/>
    </row>
    <row r="379" spans="1:55" ht="15" customHeight="1">
      <c r="A379" s="106"/>
      <c r="B379" s="96">
        <v>286</v>
      </c>
      <c r="C379" s="96">
        <v>286</v>
      </c>
      <c r="D379" s="96"/>
      <c r="E379" s="96"/>
      <c r="F379" s="96"/>
      <c r="G379" s="96">
        <v>25000301</v>
      </c>
      <c r="H379" s="96" t="s">
        <v>1013</v>
      </c>
      <c r="I379" s="96" t="s">
        <v>3687</v>
      </c>
      <c r="J379" s="96" t="s">
        <v>203</v>
      </c>
      <c r="K379" s="96"/>
      <c r="L379" s="96" t="s">
        <v>477</v>
      </c>
      <c r="M379" s="96" t="s">
        <v>338</v>
      </c>
      <c r="N379" s="96" t="s">
        <v>338</v>
      </c>
      <c r="O379" s="96"/>
      <c r="P379" s="100">
        <v>42674</v>
      </c>
      <c r="Q379" s="96" t="s">
        <v>409</v>
      </c>
      <c r="R379" s="96" t="s">
        <v>409</v>
      </c>
      <c r="S379" s="96" t="s">
        <v>409</v>
      </c>
      <c r="T379" s="96" t="s">
        <v>1200</v>
      </c>
      <c r="U379" s="97">
        <v>5.79</v>
      </c>
      <c r="V379" s="96" t="s">
        <v>824</v>
      </c>
      <c r="W379" s="98">
        <v>2.9700000000000001E-2</v>
      </c>
      <c r="X379" s="96"/>
      <c r="Y379" s="96"/>
      <c r="Z379" s="96"/>
      <c r="AA379" s="98">
        <v>5.6599999999999998E-2</v>
      </c>
      <c r="AB379" s="100">
        <v>52962</v>
      </c>
      <c r="AC379" s="96" t="s">
        <v>411</v>
      </c>
      <c r="AD379" s="96"/>
      <c r="AE379" s="96"/>
      <c r="AF379" s="96"/>
      <c r="AG379" s="100">
        <v>44986</v>
      </c>
      <c r="AH379" s="96"/>
      <c r="AI379" s="96"/>
      <c r="AJ379" s="96"/>
      <c r="AK379" s="96" t="s">
        <v>337</v>
      </c>
      <c r="AL379" s="96" t="s">
        <v>887</v>
      </c>
      <c r="AM379" s="96"/>
      <c r="AN379" s="96" t="s">
        <v>890</v>
      </c>
      <c r="AO379" s="100">
        <v>45473</v>
      </c>
      <c r="AP379" s="100">
        <v>45473</v>
      </c>
      <c r="AQ379" s="96"/>
      <c r="AR379" s="97">
        <v>631918.35910799995</v>
      </c>
      <c r="AS379" s="97">
        <v>117.31</v>
      </c>
      <c r="AT379" s="97">
        <v>1</v>
      </c>
      <c r="AU379" s="97">
        <v>741.30342700000006</v>
      </c>
      <c r="AV379" s="97">
        <v>741.30342700000006</v>
      </c>
      <c r="AW379" s="96"/>
      <c r="AX379" s="96"/>
      <c r="AY379" s="96"/>
      <c r="AZ379" s="96"/>
      <c r="BA379" s="98">
        <v>4.8440000000000002E-3</v>
      </c>
      <c r="BB379" s="98">
        <v>3.86E-4</v>
      </c>
      <c r="BC379" s="106"/>
    </row>
    <row r="380" spans="1:55" ht="15" customHeight="1">
      <c r="A380" s="106"/>
      <c r="B380" s="96">
        <v>286</v>
      </c>
      <c r="C380" s="96">
        <v>286</v>
      </c>
      <c r="D380" s="96"/>
      <c r="E380" s="96"/>
      <c r="F380" s="96"/>
      <c r="G380" s="96">
        <v>25000914</v>
      </c>
      <c r="H380" s="96" t="s">
        <v>1013</v>
      </c>
      <c r="I380" s="96" t="s">
        <v>812</v>
      </c>
      <c r="J380" s="96" t="s">
        <v>203</v>
      </c>
      <c r="K380" s="96"/>
      <c r="L380" s="96" t="s">
        <v>476</v>
      </c>
      <c r="M380" s="96" t="s">
        <v>338</v>
      </c>
      <c r="N380" s="96" t="s">
        <v>337</v>
      </c>
      <c r="O380" s="96"/>
      <c r="P380" s="100">
        <v>45428</v>
      </c>
      <c r="Q380" s="96" t="s">
        <v>1357</v>
      </c>
      <c r="R380" s="96" t="s">
        <v>414</v>
      </c>
      <c r="S380" s="96" t="s">
        <v>407</v>
      </c>
      <c r="T380" s="96" t="s">
        <v>1200</v>
      </c>
      <c r="U380" s="97">
        <v>9.42</v>
      </c>
      <c r="V380" s="96" t="s">
        <v>824</v>
      </c>
      <c r="W380" s="98">
        <v>6.7000000000000004E-2</v>
      </c>
      <c r="X380" s="96"/>
      <c r="Y380" s="96"/>
      <c r="Z380" s="96"/>
      <c r="AA380" s="98">
        <v>6.3600000000000004E-2</v>
      </c>
      <c r="AB380" s="100">
        <v>54057</v>
      </c>
      <c r="AC380" s="96" t="s">
        <v>411</v>
      </c>
      <c r="AD380" s="96"/>
      <c r="AE380" s="96"/>
      <c r="AF380" s="96"/>
      <c r="AG380" s="100">
        <v>45291</v>
      </c>
      <c r="AH380" s="96"/>
      <c r="AI380" s="96"/>
      <c r="AJ380" s="96"/>
      <c r="AK380" s="96" t="s">
        <v>337</v>
      </c>
      <c r="AL380" s="96" t="s">
        <v>887</v>
      </c>
      <c r="AM380" s="96"/>
      <c r="AN380" s="96" t="s">
        <v>890</v>
      </c>
      <c r="AO380" s="100">
        <v>45473</v>
      </c>
      <c r="AP380" s="100">
        <v>45473</v>
      </c>
      <c r="AQ380" s="96"/>
      <c r="AR380" s="97">
        <v>12104.599990999999</v>
      </c>
      <c r="AS380" s="97">
        <v>97.31</v>
      </c>
      <c r="AT380" s="97">
        <v>1</v>
      </c>
      <c r="AU380" s="97">
        <v>11.778986</v>
      </c>
      <c r="AV380" s="97">
        <v>11.778986</v>
      </c>
      <c r="AW380" s="96"/>
      <c r="AX380" s="96"/>
      <c r="AY380" s="96"/>
      <c r="AZ380" s="96"/>
      <c r="BA380" s="98">
        <v>7.6000000000000004E-5</v>
      </c>
      <c r="BB380" s="98">
        <v>6.0000000000000002E-6</v>
      </c>
      <c r="BC380" s="106"/>
    </row>
    <row r="381" spans="1:55" ht="15" customHeight="1">
      <c r="A381" s="106"/>
      <c r="B381" s="96">
        <v>286</v>
      </c>
      <c r="C381" s="96">
        <v>286</v>
      </c>
      <c r="D381" s="96"/>
      <c r="E381" s="96"/>
      <c r="F381" s="96"/>
      <c r="G381" s="96">
        <v>25200077</v>
      </c>
      <c r="H381" s="96" t="s">
        <v>1013</v>
      </c>
      <c r="I381" s="96" t="s">
        <v>813</v>
      </c>
      <c r="J381" s="96" t="s">
        <v>203</v>
      </c>
      <c r="K381" s="96"/>
      <c r="L381" s="96" t="s">
        <v>454</v>
      </c>
      <c r="M381" s="96" t="s">
        <v>338</v>
      </c>
      <c r="N381" s="96" t="s">
        <v>337</v>
      </c>
      <c r="O381" s="96"/>
      <c r="P381" s="100">
        <v>41787</v>
      </c>
      <c r="Q381" s="96" t="s">
        <v>1332</v>
      </c>
      <c r="R381" s="96" t="s">
        <v>412</v>
      </c>
      <c r="S381" s="96" t="s">
        <v>407</v>
      </c>
      <c r="T381" s="96" t="s">
        <v>1200</v>
      </c>
      <c r="U381" s="97">
        <v>3.49</v>
      </c>
      <c r="V381" s="96" t="s">
        <v>3678</v>
      </c>
      <c r="W381" s="98">
        <v>5.5E-2</v>
      </c>
      <c r="X381" s="96"/>
      <c r="Y381" s="96"/>
      <c r="Z381" s="96"/>
      <c r="AA381" s="98">
        <v>2.9899999999999999E-2</v>
      </c>
      <c r="AB381" s="100">
        <v>47994</v>
      </c>
      <c r="AC381" s="96" t="s">
        <v>411</v>
      </c>
      <c r="AD381" s="96"/>
      <c r="AE381" s="96"/>
      <c r="AF381" s="96"/>
      <c r="AG381" s="100">
        <v>45291</v>
      </c>
      <c r="AH381" s="96"/>
      <c r="AI381" s="96"/>
      <c r="AJ381" s="96"/>
      <c r="AK381" s="96" t="s">
        <v>337</v>
      </c>
      <c r="AL381" s="96" t="s">
        <v>887</v>
      </c>
      <c r="AM381" s="96"/>
      <c r="AN381" s="96" t="s">
        <v>890</v>
      </c>
      <c r="AO381" s="100">
        <v>45473</v>
      </c>
      <c r="AP381" s="100">
        <v>45473</v>
      </c>
      <c r="AQ381" s="96"/>
      <c r="AR381" s="97">
        <v>20109.97</v>
      </c>
      <c r="AS381" s="97">
        <v>122.79</v>
      </c>
      <c r="AT381" s="97">
        <v>1</v>
      </c>
      <c r="AU381" s="97">
        <v>24.69304</v>
      </c>
      <c r="AV381" s="97">
        <v>24.69304</v>
      </c>
      <c r="AW381" s="96"/>
      <c r="AX381" s="96"/>
      <c r="AY381" s="96"/>
      <c r="AZ381" s="96"/>
      <c r="BA381" s="98">
        <v>1.6100000000000001E-4</v>
      </c>
      <c r="BB381" s="98">
        <v>1.2E-5</v>
      </c>
      <c r="BC381" s="106"/>
    </row>
    <row r="382" spans="1:55" ht="15" customHeight="1">
      <c r="A382" s="106"/>
      <c r="B382" s="96">
        <v>286</v>
      </c>
      <c r="C382" s="96">
        <v>286</v>
      </c>
      <c r="D382" s="96"/>
      <c r="E382" s="96"/>
      <c r="F382" s="96"/>
      <c r="G382" s="96">
        <v>25200061</v>
      </c>
      <c r="H382" s="96" t="s">
        <v>1013</v>
      </c>
      <c r="I382" s="96" t="s">
        <v>813</v>
      </c>
      <c r="J382" s="96" t="s">
        <v>203</v>
      </c>
      <c r="K382" s="96"/>
      <c r="L382" s="96" t="s">
        <v>454</v>
      </c>
      <c r="M382" s="96" t="s">
        <v>338</v>
      </c>
      <c r="N382" s="96" t="s">
        <v>337</v>
      </c>
      <c r="O382" s="96"/>
      <c r="P382" s="100">
        <v>41725</v>
      </c>
      <c r="Q382" s="96" t="s">
        <v>1332</v>
      </c>
      <c r="R382" s="96" t="s">
        <v>412</v>
      </c>
      <c r="S382" s="96" t="s">
        <v>407</v>
      </c>
      <c r="T382" s="96" t="s">
        <v>1200</v>
      </c>
      <c r="U382" s="97">
        <v>3.49</v>
      </c>
      <c r="V382" s="96" t="s">
        <v>3678</v>
      </c>
      <c r="W382" s="98">
        <v>5.5E-2</v>
      </c>
      <c r="X382" s="96"/>
      <c r="Y382" s="96"/>
      <c r="Z382" s="96"/>
      <c r="AA382" s="98">
        <v>0.03</v>
      </c>
      <c r="AB382" s="100">
        <v>47994</v>
      </c>
      <c r="AC382" s="96" t="s">
        <v>411</v>
      </c>
      <c r="AD382" s="96"/>
      <c r="AE382" s="96"/>
      <c r="AF382" s="96"/>
      <c r="AG382" s="100">
        <v>45291</v>
      </c>
      <c r="AH382" s="96"/>
      <c r="AI382" s="96"/>
      <c r="AJ382" s="96"/>
      <c r="AK382" s="96" t="s">
        <v>337</v>
      </c>
      <c r="AL382" s="96" t="s">
        <v>887</v>
      </c>
      <c r="AM382" s="96"/>
      <c r="AN382" s="96" t="s">
        <v>890</v>
      </c>
      <c r="AO382" s="100">
        <v>45473</v>
      </c>
      <c r="AP382" s="100">
        <v>45473</v>
      </c>
      <c r="AQ382" s="96"/>
      <c r="AR382" s="97">
        <v>32132.39</v>
      </c>
      <c r="AS382" s="97">
        <v>123.27</v>
      </c>
      <c r="AT382" s="97">
        <v>1</v>
      </c>
      <c r="AU382" s="97">
        <v>39.609589999999997</v>
      </c>
      <c r="AV382" s="97">
        <v>39.609589999999997</v>
      </c>
      <c r="AW382" s="96"/>
      <c r="AX382" s="96"/>
      <c r="AY382" s="96"/>
      <c r="AZ382" s="96"/>
      <c r="BA382" s="98">
        <v>2.5799999999999998E-4</v>
      </c>
      <c r="BB382" s="98">
        <v>2.0000000000000002E-5</v>
      </c>
      <c r="BC382" s="106"/>
    </row>
    <row r="383" spans="1:55" ht="15" customHeight="1">
      <c r="A383" s="106"/>
      <c r="B383" s="96">
        <v>286</v>
      </c>
      <c r="C383" s="96">
        <v>286</v>
      </c>
      <c r="D383" s="96"/>
      <c r="E383" s="96"/>
      <c r="F383" s="96"/>
      <c r="G383" s="96">
        <v>25200039</v>
      </c>
      <c r="H383" s="96" t="s">
        <v>1013</v>
      </c>
      <c r="I383" s="96" t="s">
        <v>813</v>
      </c>
      <c r="J383" s="96" t="s">
        <v>203</v>
      </c>
      <c r="K383" s="96"/>
      <c r="L383" s="96" t="s">
        <v>454</v>
      </c>
      <c r="M383" s="96" t="s">
        <v>338</v>
      </c>
      <c r="N383" s="96" t="s">
        <v>337</v>
      </c>
      <c r="O383" s="96"/>
      <c r="P383" s="100">
        <v>41696</v>
      </c>
      <c r="Q383" s="96" t="s">
        <v>1332</v>
      </c>
      <c r="R383" s="96" t="s">
        <v>412</v>
      </c>
      <c r="S383" s="96" t="s">
        <v>407</v>
      </c>
      <c r="T383" s="96" t="s">
        <v>1200</v>
      </c>
      <c r="U383" s="97">
        <v>3.49</v>
      </c>
      <c r="V383" s="96" t="s">
        <v>3678</v>
      </c>
      <c r="W383" s="98">
        <v>5.5E-2</v>
      </c>
      <c r="X383" s="96"/>
      <c r="Y383" s="96"/>
      <c r="Z383" s="96"/>
      <c r="AA383" s="98">
        <v>2.9899999999999999E-2</v>
      </c>
      <c r="AB383" s="100">
        <v>47994</v>
      </c>
      <c r="AC383" s="96" t="s">
        <v>411</v>
      </c>
      <c r="AD383" s="96"/>
      <c r="AE383" s="96"/>
      <c r="AF383" s="96"/>
      <c r="AG383" s="100">
        <v>45291</v>
      </c>
      <c r="AH383" s="96"/>
      <c r="AI383" s="96"/>
      <c r="AJ383" s="96"/>
      <c r="AK383" s="96" t="s">
        <v>337</v>
      </c>
      <c r="AL383" s="96" t="s">
        <v>887</v>
      </c>
      <c r="AM383" s="96"/>
      <c r="AN383" s="96" t="s">
        <v>890</v>
      </c>
      <c r="AO383" s="100">
        <v>45473</v>
      </c>
      <c r="AP383" s="100">
        <v>45473</v>
      </c>
      <c r="AQ383" s="96"/>
      <c r="AR383" s="97">
        <v>16101.76</v>
      </c>
      <c r="AS383" s="97">
        <v>123.04</v>
      </c>
      <c r="AT383" s="97">
        <v>1</v>
      </c>
      <c r="AU383" s="97">
        <v>19.811610000000002</v>
      </c>
      <c r="AV383" s="97">
        <v>19.811610000000002</v>
      </c>
      <c r="AW383" s="96"/>
      <c r="AX383" s="96"/>
      <c r="AY383" s="96"/>
      <c r="AZ383" s="96"/>
      <c r="BA383" s="98">
        <v>1.2899999999999999E-4</v>
      </c>
      <c r="BB383" s="98">
        <v>1.0000000000000001E-5</v>
      </c>
      <c r="BC383" s="106"/>
    </row>
    <row r="384" spans="1:55" ht="15" customHeight="1">
      <c r="A384" s="106"/>
      <c r="B384" s="96">
        <v>286</v>
      </c>
      <c r="C384" s="96">
        <v>286</v>
      </c>
      <c r="D384" s="96"/>
      <c r="E384" s="96"/>
      <c r="F384" s="96"/>
      <c r="G384" s="96">
        <v>25200038</v>
      </c>
      <c r="H384" s="96" t="s">
        <v>1013</v>
      </c>
      <c r="I384" s="96" t="s">
        <v>813</v>
      </c>
      <c r="J384" s="96" t="s">
        <v>203</v>
      </c>
      <c r="K384" s="96"/>
      <c r="L384" s="96" t="s">
        <v>454</v>
      </c>
      <c r="M384" s="96" t="s">
        <v>338</v>
      </c>
      <c r="N384" s="96" t="s">
        <v>337</v>
      </c>
      <c r="O384" s="96"/>
      <c r="P384" s="100">
        <v>41666</v>
      </c>
      <c r="Q384" s="96" t="s">
        <v>1332</v>
      </c>
      <c r="R384" s="96" t="s">
        <v>412</v>
      </c>
      <c r="S384" s="96" t="s">
        <v>407</v>
      </c>
      <c r="T384" s="96" t="s">
        <v>1200</v>
      </c>
      <c r="U384" s="97">
        <v>3.49</v>
      </c>
      <c r="V384" s="96" t="s">
        <v>3678</v>
      </c>
      <c r="W384" s="98">
        <v>5.5E-2</v>
      </c>
      <c r="X384" s="96"/>
      <c r="Y384" s="96"/>
      <c r="Z384" s="96"/>
      <c r="AA384" s="98">
        <v>2.9899999999999999E-2</v>
      </c>
      <c r="AB384" s="100">
        <v>47994</v>
      </c>
      <c r="AC384" s="96" t="s">
        <v>411</v>
      </c>
      <c r="AD384" s="96"/>
      <c r="AE384" s="96"/>
      <c r="AF384" s="96"/>
      <c r="AG384" s="100">
        <v>45291</v>
      </c>
      <c r="AH384" s="96"/>
      <c r="AI384" s="96"/>
      <c r="AJ384" s="96"/>
      <c r="AK384" s="96" t="s">
        <v>337</v>
      </c>
      <c r="AL384" s="96" t="s">
        <v>887</v>
      </c>
      <c r="AM384" s="96"/>
      <c r="AN384" s="96" t="s">
        <v>890</v>
      </c>
      <c r="AO384" s="100">
        <v>45473</v>
      </c>
      <c r="AP384" s="100">
        <v>45473</v>
      </c>
      <c r="AQ384" s="96"/>
      <c r="AR384" s="97">
        <v>16676.95</v>
      </c>
      <c r="AS384" s="97">
        <v>122.31</v>
      </c>
      <c r="AT384" s="97">
        <v>1</v>
      </c>
      <c r="AU384" s="97">
        <v>20.397580000000001</v>
      </c>
      <c r="AV384" s="97">
        <v>20.397580000000001</v>
      </c>
      <c r="AW384" s="96"/>
      <c r="AX384" s="96"/>
      <c r="AY384" s="96"/>
      <c r="AZ384" s="96"/>
      <c r="BA384" s="98">
        <v>1.3300000000000001E-4</v>
      </c>
      <c r="BB384" s="98">
        <v>1.0000000000000001E-5</v>
      </c>
      <c r="BC384" s="106"/>
    </row>
    <row r="385" spans="1:55" ht="15" customHeight="1">
      <c r="A385" s="106"/>
      <c r="B385" s="96">
        <v>286</v>
      </c>
      <c r="C385" s="96">
        <v>286</v>
      </c>
      <c r="D385" s="96"/>
      <c r="E385" s="96"/>
      <c r="F385" s="96"/>
      <c r="G385" s="96">
        <v>25200037</v>
      </c>
      <c r="H385" s="96" t="s">
        <v>1013</v>
      </c>
      <c r="I385" s="96" t="s">
        <v>813</v>
      </c>
      <c r="J385" s="96" t="s">
        <v>203</v>
      </c>
      <c r="K385" s="96"/>
      <c r="L385" s="96" t="s">
        <v>454</v>
      </c>
      <c r="M385" s="96" t="s">
        <v>338</v>
      </c>
      <c r="N385" s="96" t="s">
        <v>337</v>
      </c>
      <c r="O385" s="96"/>
      <c r="P385" s="100">
        <v>41630</v>
      </c>
      <c r="Q385" s="96" t="s">
        <v>1332</v>
      </c>
      <c r="R385" s="96" t="s">
        <v>412</v>
      </c>
      <c r="S385" s="96" t="s">
        <v>407</v>
      </c>
      <c r="T385" s="96" t="s">
        <v>1200</v>
      </c>
      <c r="U385" s="97">
        <v>3.49</v>
      </c>
      <c r="V385" s="96" t="s">
        <v>3678</v>
      </c>
      <c r="W385" s="98">
        <v>5.0999999999999997E-2</v>
      </c>
      <c r="X385" s="96"/>
      <c r="Y385" s="96"/>
      <c r="Z385" s="96"/>
      <c r="AA385" s="98">
        <v>0.03</v>
      </c>
      <c r="AB385" s="100">
        <v>47994</v>
      </c>
      <c r="AC385" s="96" t="s">
        <v>411</v>
      </c>
      <c r="AD385" s="96"/>
      <c r="AE385" s="96"/>
      <c r="AF385" s="96"/>
      <c r="AG385" s="100">
        <v>45291</v>
      </c>
      <c r="AH385" s="96"/>
      <c r="AI385" s="96"/>
      <c r="AJ385" s="96"/>
      <c r="AK385" s="96" t="s">
        <v>337</v>
      </c>
      <c r="AL385" s="96" t="s">
        <v>887</v>
      </c>
      <c r="AM385" s="96"/>
      <c r="AN385" s="96" t="s">
        <v>890</v>
      </c>
      <c r="AO385" s="100">
        <v>45473</v>
      </c>
      <c r="AP385" s="100">
        <v>45473</v>
      </c>
      <c r="AQ385" s="96"/>
      <c r="AR385" s="97">
        <v>86684.54</v>
      </c>
      <c r="AS385" s="97">
        <v>122.42</v>
      </c>
      <c r="AT385" s="97">
        <v>1</v>
      </c>
      <c r="AU385" s="97">
        <v>106.11921</v>
      </c>
      <c r="AV385" s="97">
        <v>106.11921</v>
      </c>
      <c r="AW385" s="96"/>
      <c r="AX385" s="96"/>
      <c r="AY385" s="96"/>
      <c r="AZ385" s="96"/>
      <c r="BA385" s="98">
        <v>6.9300000000000004E-4</v>
      </c>
      <c r="BB385" s="98">
        <v>5.5000000000000002E-5</v>
      </c>
      <c r="BC385" s="106"/>
    </row>
    <row r="386" spans="1:55" ht="15" customHeight="1">
      <c r="A386" s="106"/>
      <c r="B386" s="96">
        <v>286</v>
      </c>
      <c r="C386" s="96">
        <v>286</v>
      </c>
      <c r="D386" s="96"/>
      <c r="E386" s="96"/>
      <c r="F386" s="96"/>
      <c r="G386" s="96">
        <v>25200036</v>
      </c>
      <c r="H386" s="96" t="s">
        <v>1013</v>
      </c>
      <c r="I386" s="96" t="s">
        <v>813</v>
      </c>
      <c r="J386" s="96" t="s">
        <v>203</v>
      </c>
      <c r="K386" s="96"/>
      <c r="L386" s="96" t="s">
        <v>454</v>
      </c>
      <c r="M386" s="96" t="s">
        <v>338</v>
      </c>
      <c r="N386" s="96" t="s">
        <v>337</v>
      </c>
      <c r="O386" s="96"/>
      <c r="P386" s="100">
        <v>41597</v>
      </c>
      <c r="Q386" s="96" t="s">
        <v>1332</v>
      </c>
      <c r="R386" s="96" t="s">
        <v>412</v>
      </c>
      <c r="S386" s="96" t="s">
        <v>407</v>
      </c>
      <c r="T386" s="96" t="s">
        <v>1200</v>
      </c>
      <c r="U386" s="97">
        <v>3.49</v>
      </c>
      <c r="V386" s="96" t="s">
        <v>3678</v>
      </c>
      <c r="W386" s="98">
        <v>5.5E-2</v>
      </c>
      <c r="X386" s="96"/>
      <c r="Y386" s="96"/>
      <c r="Z386" s="96"/>
      <c r="AA386" s="98">
        <v>2.9100000000000001E-2</v>
      </c>
      <c r="AB386" s="100">
        <v>47994</v>
      </c>
      <c r="AC386" s="96" t="s">
        <v>411</v>
      </c>
      <c r="AD386" s="96"/>
      <c r="AE386" s="96"/>
      <c r="AF386" s="96"/>
      <c r="AG386" s="100">
        <v>45291</v>
      </c>
      <c r="AH386" s="96"/>
      <c r="AI386" s="96"/>
      <c r="AJ386" s="96"/>
      <c r="AK386" s="96" t="s">
        <v>337</v>
      </c>
      <c r="AL386" s="96" t="s">
        <v>887</v>
      </c>
      <c r="AM386" s="96"/>
      <c r="AN386" s="96" t="s">
        <v>890</v>
      </c>
      <c r="AO386" s="100">
        <v>45473</v>
      </c>
      <c r="AP386" s="100">
        <v>45473</v>
      </c>
      <c r="AQ386" s="96"/>
      <c r="AR386" s="97">
        <v>7518.58</v>
      </c>
      <c r="AS386" s="97">
        <v>122.29</v>
      </c>
      <c r="AT386" s="97">
        <v>1</v>
      </c>
      <c r="AU386" s="97">
        <v>9.1944800000000004</v>
      </c>
      <c r="AV386" s="97">
        <v>9.1944800000000004</v>
      </c>
      <c r="AW386" s="96"/>
      <c r="AX386" s="96"/>
      <c r="AY386" s="96"/>
      <c r="AZ386" s="96"/>
      <c r="BA386" s="98">
        <v>6.0000000000000002E-5</v>
      </c>
      <c r="BB386" s="98">
        <v>3.9999999999999998E-6</v>
      </c>
      <c r="BC386" s="106"/>
    </row>
    <row r="387" spans="1:55" ht="15" customHeight="1">
      <c r="A387" s="106"/>
      <c r="B387" s="96">
        <v>286</v>
      </c>
      <c r="C387" s="96">
        <v>286</v>
      </c>
      <c r="D387" s="96"/>
      <c r="E387" s="96"/>
      <c r="F387" s="96"/>
      <c r="G387" s="96">
        <v>25200035</v>
      </c>
      <c r="H387" s="96" t="s">
        <v>1013</v>
      </c>
      <c r="I387" s="96" t="s">
        <v>813</v>
      </c>
      <c r="J387" s="96" t="s">
        <v>203</v>
      </c>
      <c r="K387" s="96"/>
      <c r="L387" s="96" t="s">
        <v>454</v>
      </c>
      <c r="M387" s="96" t="s">
        <v>338</v>
      </c>
      <c r="N387" s="96" t="s">
        <v>337</v>
      </c>
      <c r="O387" s="96"/>
      <c r="P387" s="100">
        <v>41571</v>
      </c>
      <c r="Q387" s="96" t="s">
        <v>1332</v>
      </c>
      <c r="R387" s="96" t="s">
        <v>412</v>
      </c>
      <c r="S387" s="96" t="s">
        <v>407</v>
      </c>
      <c r="T387" s="96" t="s">
        <v>1200</v>
      </c>
      <c r="U387" s="97">
        <v>3.49</v>
      </c>
      <c r="V387" s="96" t="s">
        <v>3678</v>
      </c>
      <c r="W387" s="98">
        <v>5.5E-2</v>
      </c>
      <c r="X387" s="96"/>
      <c r="Y387" s="96"/>
      <c r="Z387" s="96"/>
      <c r="AA387" s="98">
        <v>2.9100000000000001E-2</v>
      </c>
      <c r="AB387" s="100">
        <v>47994</v>
      </c>
      <c r="AC387" s="96" t="s">
        <v>411</v>
      </c>
      <c r="AD387" s="96"/>
      <c r="AE387" s="96"/>
      <c r="AF387" s="96"/>
      <c r="AG387" s="100">
        <v>45291</v>
      </c>
      <c r="AH387" s="96"/>
      <c r="AI387" s="96"/>
      <c r="AJ387" s="96"/>
      <c r="AK387" s="96" t="s">
        <v>337</v>
      </c>
      <c r="AL387" s="96" t="s">
        <v>887</v>
      </c>
      <c r="AM387" s="96"/>
      <c r="AN387" s="96" t="s">
        <v>890</v>
      </c>
      <c r="AO387" s="100">
        <v>45473</v>
      </c>
      <c r="AP387" s="100">
        <v>45473</v>
      </c>
      <c r="AQ387" s="96"/>
      <c r="AR387" s="97">
        <v>29601.34</v>
      </c>
      <c r="AS387" s="97">
        <v>122.67</v>
      </c>
      <c r="AT387" s="97">
        <v>1</v>
      </c>
      <c r="AU387" s="97">
        <v>36.311959999999999</v>
      </c>
      <c r="AV387" s="97">
        <v>36.311959999999999</v>
      </c>
      <c r="AW387" s="96"/>
      <c r="AX387" s="96"/>
      <c r="AY387" s="96"/>
      <c r="AZ387" s="96"/>
      <c r="BA387" s="98">
        <v>2.3699999999999999E-4</v>
      </c>
      <c r="BB387" s="98">
        <v>1.8E-5</v>
      </c>
      <c r="BC387" s="106"/>
    </row>
    <row r="388" spans="1:55" ht="15" customHeight="1">
      <c r="A388" s="106"/>
      <c r="B388" s="96">
        <v>286</v>
      </c>
      <c r="C388" s="96">
        <v>286</v>
      </c>
      <c r="D388" s="96"/>
      <c r="E388" s="96"/>
      <c r="F388" s="96"/>
      <c r="G388" s="96">
        <v>25200084</v>
      </c>
      <c r="H388" s="96" t="s">
        <v>1013</v>
      </c>
      <c r="I388" s="96" t="s">
        <v>813</v>
      </c>
      <c r="J388" s="96" t="s">
        <v>203</v>
      </c>
      <c r="K388" s="96"/>
      <c r="L388" s="96" t="s">
        <v>454</v>
      </c>
      <c r="M388" s="96" t="s">
        <v>338</v>
      </c>
      <c r="N388" s="96" t="s">
        <v>337</v>
      </c>
      <c r="O388" s="96"/>
      <c r="P388" s="100">
        <v>41815</v>
      </c>
      <c r="Q388" s="96" t="s">
        <v>1332</v>
      </c>
      <c r="R388" s="96" t="s">
        <v>412</v>
      </c>
      <c r="S388" s="96" t="s">
        <v>407</v>
      </c>
      <c r="T388" s="96" t="s">
        <v>1200</v>
      </c>
      <c r="U388" s="97">
        <v>3.49</v>
      </c>
      <c r="V388" s="96" t="s">
        <v>3678</v>
      </c>
      <c r="W388" s="98">
        <v>5.5E-2</v>
      </c>
      <c r="X388" s="96"/>
      <c r="Y388" s="96"/>
      <c r="Z388" s="96"/>
      <c r="AA388" s="98">
        <v>2.9899999999999999E-2</v>
      </c>
      <c r="AB388" s="100">
        <v>47994</v>
      </c>
      <c r="AC388" s="96" t="s">
        <v>411</v>
      </c>
      <c r="AD388" s="96"/>
      <c r="AE388" s="96"/>
      <c r="AF388" s="96"/>
      <c r="AG388" s="100">
        <v>45291</v>
      </c>
      <c r="AH388" s="96"/>
      <c r="AI388" s="96"/>
      <c r="AJ388" s="96"/>
      <c r="AK388" s="96" t="s">
        <v>337</v>
      </c>
      <c r="AL388" s="96" t="s">
        <v>887</v>
      </c>
      <c r="AM388" s="96"/>
      <c r="AN388" s="96" t="s">
        <v>890</v>
      </c>
      <c r="AO388" s="100">
        <v>45473</v>
      </c>
      <c r="AP388" s="100">
        <v>45473</v>
      </c>
      <c r="AQ388" s="96"/>
      <c r="AR388" s="97">
        <v>11327.54</v>
      </c>
      <c r="AS388" s="97">
        <v>122.67</v>
      </c>
      <c r="AT388" s="97">
        <v>1</v>
      </c>
      <c r="AU388" s="97">
        <v>13.895490000000001</v>
      </c>
      <c r="AV388" s="97">
        <v>13.895490000000001</v>
      </c>
      <c r="AW388" s="96"/>
      <c r="AX388" s="96"/>
      <c r="AY388" s="96"/>
      <c r="AZ388" s="96"/>
      <c r="BA388" s="98">
        <v>9.0000000000000006E-5</v>
      </c>
      <c r="BB388" s="98">
        <v>6.9999999999999999E-6</v>
      </c>
      <c r="BC388" s="106"/>
    </row>
    <row r="389" spans="1:55" ht="15" customHeight="1">
      <c r="A389" s="106"/>
      <c r="B389" s="96">
        <v>286</v>
      </c>
      <c r="C389" s="96">
        <v>286</v>
      </c>
      <c r="D389" s="96"/>
      <c r="E389" s="96"/>
      <c r="F389" s="96"/>
      <c r="G389" s="96">
        <v>25200034</v>
      </c>
      <c r="H389" s="96" t="s">
        <v>1013</v>
      </c>
      <c r="I389" s="96" t="s">
        <v>813</v>
      </c>
      <c r="J389" s="96" t="s">
        <v>203</v>
      </c>
      <c r="K389" s="96"/>
      <c r="L389" s="96" t="s">
        <v>454</v>
      </c>
      <c r="M389" s="96" t="s">
        <v>338</v>
      </c>
      <c r="N389" s="96" t="s">
        <v>337</v>
      </c>
      <c r="O389" s="96"/>
      <c r="P389" s="100">
        <v>41547</v>
      </c>
      <c r="Q389" s="96" t="s">
        <v>1332</v>
      </c>
      <c r="R389" s="96" t="s">
        <v>412</v>
      </c>
      <c r="S389" s="96" t="s">
        <v>407</v>
      </c>
      <c r="T389" s="96" t="s">
        <v>1200</v>
      </c>
      <c r="U389" s="97">
        <v>3.47</v>
      </c>
      <c r="V389" s="96" t="s">
        <v>3678</v>
      </c>
      <c r="W389" s="98">
        <v>5.5E-2</v>
      </c>
      <c r="X389" s="96"/>
      <c r="Y389" s="96"/>
      <c r="Z389" s="96"/>
      <c r="AA389" s="98">
        <v>3.49E-2</v>
      </c>
      <c r="AB389" s="100">
        <v>47994</v>
      </c>
      <c r="AC389" s="96" t="s">
        <v>411</v>
      </c>
      <c r="AD389" s="96"/>
      <c r="AE389" s="96"/>
      <c r="AF389" s="96"/>
      <c r="AG389" s="100">
        <v>45291</v>
      </c>
      <c r="AH389" s="96"/>
      <c r="AI389" s="96"/>
      <c r="AJ389" s="96"/>
      <c r="AK389" s="96" t="s">
        <v>337</v>
      </c>
      <c r="AL389" s="96" t="s">
        <v>887</v>
      </c>
      <c r="AM389" s="96"/>
      <c r="AN389" s="96" t="s">
        <v>890</v>
      </c>
      <c r="AO389" s="100">
        <v>45473</v>
      </c>
      <c r="AP389" s="100">
        <v>45473</v>
      </c>
      <c r="AQ389" s="96"/>
      <c r="AR389" s="97">
        <v>60663.66</v>
      </c>
      <c r="AS389" s="97">
        <v>120.3</v>
      </c>
      <c r="AT389" s="97">
        <v>1</v>
      </c>
      <c r="AU389" s="97">
        <v>72.978380000000001</v>
      </c>
      <c r="AV389" s="97">
        <v>72.978380000000001</v>
      </c>
      <c r="AW389" s="96"/>
      <c r="AX389" s="96"/>
      <c r="AY389" s="96"/>
      <c r="AZ389" s="96"/>
      <c r="BA389" s="98">
        <v>4.7600000000000002E-4</v>
      </c>
      <c r="BB389" s="98">
        <v>3.8000000000000002E-5</v>
      </c>
      <c r="BC389" s="106"/>
    </row>
    <row r="390" spans="1:55" ht="15" customHeight="1">
      <c r="A390" s="106"/>
      <c r="B390" s="96">
        <v>286</v>
      </c>
      <c r="C390" s="96">
        <v>286</v>
      </c>
      <c r="D390" s="96"/>
      <c r="E390" s="96"/>
      <c r="F390" s="96"/>
      <c r="G390" s="96">
        <v>25200032</v>
      </c>
      <c r="H390" s="96" t="s">
        <v>1013</v>
      </c>
      <c r="I390" s="96" t="s">
        <v>813</v>
      </c>
      <c r="J390" s="96" t="s">
        <v>203</v>
      </c>
      <c r="K390" s="96"/>
      <c r="L390" s="96" t="s">
        <v>454</v>
      </c>
      <c r="M390" s="96" t="s">
        <v>338</v>
      </c>
      <c r="N390" s="96" t="s">
        <v>337</v>
      </c>
      <c r="O390" s="96"/>
      <c r="P390" s="100">
        <v>41480</v>
      </c>
      <c r="Q390" s="96" t="s">
        <v>1332</v>
      </c>
      <c r="R390" s="96" t="s">
        <v>412</v>
      </c>
      <c r="S390" s="96" t="s">
        <v>407</v>
      </c>
      <c r="T390" s="96" t="s">
        <v>1200</v>
      </c>
      <c r="U390" s="97">
        <v>3.49</v>
      </c>
      <c r="V390" s="96" t="s">
        <v>3678</v>
      </c>
      <c r="W390" s="98">
        <v>5.5E-2</v>
      </c>
      <c r="X390" s="96"/>
      <c r="Y390" s="96"/>
      <c r="Z390" s="96"/>
      <c r="AA390" s="98">
        <v>2.9000000000000001E-2</v>
      </c>
      <c r="AB390" s="100">
        <v>47994</v>
      </c>
      <c r="AC390" s="96" t="s">
        <v>411</v>
      </c>
      <c r="AD390" s="96"/>
      <c r="AE390" s="96"/>
      <c r="AF390" s="96"/>
      <c r="AG390" s="100">
        <v>45291</v>
      </c>
      <c r="AH390" s="96"/>
      <c r="AI390" s="96"/>
      <c r="AJ390" s="96"/>
      <c r="AK390" s="96" t="s">
        <v>337</v>
      </c>
      <c r="AL390" s="96" t="s">
        <v>887</v>
      </c>
      <c r="AM390" s="96"/>
      <c r="AN390" s="96" t="s">
        <v>890</v>
      </c>
      <c r="AO390" s="100">
        <v>45473</v>
      </c>
      <c r="AP390" s="100">
        <v>45473</v>
      </c>
      <c r="AQ390" s="96"/>
      <c r="AR390" s="97">
        <v>26529.439999999999</v>
      </c>
      <c r="AS390" s="97">
        <v>123.32</v>
      </c>
      <c r="AT390" s="97">
        <v>1</v>
      </c>
      <c r="AU390" s="97">
        <v>32.716099999999997</v>
      </c>
      <c r="AV390" s="97">
        <v>32.716099999999997</v>
      </c>
      <c r="AW390" s="96"/>
      <c r="AX390" s="96"/>
      <c r="AY390" s="96"/>
      <c r="AZ390" s="96"/>
      <c r="BA390" s="98">
        <v>2.13E-4</v>
      </c>
      <c r="BB390" s="98">
        <v>1.7E-5</v>
      </c>
      <c r="BC390" s="106"/>
    </row>
    <row r="391" spans="1:55" ht="15" customHeight="1">
      <c r="A391" s="106"/>
      <c r="B391" s="96">
        <v>286</v>
      </c>
      <c r="C391" s="96">
        <v>286</v>
      </c>
      <c r="D391" s="96"/>
      <c r="E391" s="96"/>
      <c r="F391" s="96"/>
      <c r="G391" s="96">
        <v>25200031</v>
      </c>
      <c r="H391" s="96" t="s">
        <v>1013</v>
      </c>
      <c r="I391" s="96" t="s">
        <v>813</v>
      </c>
      <c r="J391" s="96" t="s">
        <v>203</v>
      </c>
      <c r="K391" s="96"/>
      <c r="L391" s="96" t="s">
        <v>454</v>
      </c>
      <c r="M391" s="96" t="s">
        <v>338</v>
      </c>
      <c r="N391" s="96" t="s">
        <v>337</v>
      </c>
      <c r="O391" s="96"/>
      <c r="P391" s="100">
        <v>41450</v>
      </c>
      <c r="Q391" s="96" t="s">
        <v>1332</v>
      </c>
      <c r="R391" s="96" t="s">
        <v>412</v>
      </c>
      <c r="S391" s="96" t="s">
        <v>407</v>
      </c>
      <c r="T391" s="96" t="s">
        <v>1200</v>
      </c>
      <c r="U391" s="97">
        <v>3.49</v>
      </c>
      <c r="V391" s="96" t="s">
        <v>3678</v>
      </c>
      <c r="W391" s="98">
        <v>5.5E-2</v>
      </c>
      <c r="X391" s="96"/>
      <c r="Y391" s="96"/>
      <c r="Z391" s="96"/>
      <c r="AA391" s="98">
        <v>2.8899999999999999E-2</v>
      </c>
      <c r="AB391" s="100">
        <v>47994</v>
      </c>
      <c r="AC391" s="96" t="s">
        <v>411</v>
      </c>
      <c r="AD391" s="96"/>
      <c r="AE391" s="96"/>
      <c r="AF391" s="96"/>
      <c r="AG391" s="100">
        <v>45291</v>
      </c>
      <c r="AH391" s="96"/>
      <c r="AI391" s="96"/>
      <c r="AJ391" s="96"/>
      <c r="AK391" s="96" t="s">
        <v>337</v>
      </c>
      <c r="AL391" s="96" t="s">
        <v>887</v>
      </c>
      <c r="AM391" s="96"/>
      <c r="AN391" s="96" t="s">
        <v>890</v>
      </c>
      <c r="AO391" s="100">
        <v>45473</v>
      </c>
      <c r="AP391" s="100">
        <v>45473</v>
      </c>
      <c r="AQ391" s="96"/>
      <c r="AR391" s="97">
        <v>30281.84</v>
      </c>
      <c r="AS391" s="97">
        <v>124.33</v>
      </c>
      <c r="AT391" s="97">
        <v>1</v>
      </c>
      <c r="AU391" s="97">
        <v>37.649410000000003</v>
      </c>
      <c r="AV391" s="97">
        <v>37.649410000000003</v>
      </c>
      <c r="AW391" s="96"/>
      <c r="AX391" s="96"/>
      <c r="AY391" s="96"/>
      <c r="AZ391" s="96"/>
      <c r="BA391" s="98">
        <v>2.4600000000000002E-4</v>
      </c>
      <c r="BB391" s="98">
        <v>1.9000000000000001E-5</v>
      </c>
      <c r="BC391" s="106"/>
    </row>
    <row r="392" spans="1:55" ht="15" customHeight="1">
      <c r="A392" s="106"/>
      <c r="B392" s="96">
        <v>286</v>
      </c>
      <c r="C392" s="96">
        <v>286</v>
      </c>
      <c r="D392" s="96"/>
      <c r="E392" s="96"/>
      <c r="F392" s="96"/>
      <c r="G392" s="96">
        <v>25200030</v>
      </c>
      <c r="H392" s="96" t="s">
        <v>1013</v>
      </c>
      <c r="I392" s="96" t="s">
        <v>813</v>
      </c>
      <c r="J392" s="96" t="s">
        <v>203</v>
      </c>
      <c r="K392" s="96"/>
      <c r="L392" s="96" t="s">
        <v>454</v>
      </c>
      <c r="M392" s="96" t="s">
        <v>338</v>
      </c>
      <c r="N392" s="96" t="s">
        <v>337</v>
      </c>
      <c r="O392" s="96"/>
      <c r="P392" s="100">
        <v>41422</v>
      </c>
      <c r="Q392" s="96" t="s">
        <v>1332</v>
      </c>
      <c r="R392" s="96" t="s">
        <v>412</v>
      </c>
      <c r="S392" s="96" t="s">
        <v>407</v>
      </c>
      <c r="T392" s="96" t="s">
        <v>1200</v>
      </c>
      <c r="U392" s="97">
        <v>3.49</v>
      </c>
      <c r="V392" s="96" t="s">
        <v>3678</v>
      </c>
      <c r="W392" s="98">
        <v>5.5E-2</v>
      </c>
      <c r="X392" s="96"/>
      <c r="Y392" s="96"/>
      <c r="Z392" s="96"/>
      <c r="AA392" s="98">
        <v>2.8899999999999999E-2</v>
      </c>
      <c r="AB392" s="100">
        <v>47994</v>
      </c>
      <c r="AC392" s="96" t="s">
        <v>411</v>
      </c>
      <c r="AD392" s="96"/>
      <c r="AE392" s="96"/>
      <c r="AF392" s="96"/>
      <c r="AG392" s="100">
        <v>45291</v>
      </c>
      <c r="AH392" s="96"/>
      <c r="AI392" s="96"/>
      <c r="AJ392" s="96"/>
      <c r="AK392" s="96" t="s">
        <v>337</v>
      </c>
      <c r="AL392" s="96" t="s">
        <v>887</v>
      </c>
      <c r="AM392" s="96"/>
      <c r="AN392" s="96" t="s">
        <v>890</v>
      </c>
      <c r="AO392" s="100">
        <v>45473</v>
      </c>
      <c r="AP392" s="100">
        <v>45473</v>
      </c>
      <c r="AQ392" s="96"/>
      <c r="AR392" s="97">
        <v>18349.25</v>
      </c>
      <c r="AS392" s="97">
        <v>124.46</v>
      </c>
      <c r="AT392" s="97">
        <v>1</v>
      </c>
      <c r="AU392" s="97">
        <v>22.837479999999999</v>
      </c>
      <c r="AV392" s="97">
        <v>22.837479999999999</v>
      </c>
      <c r="AW392" s="96"/>
      <c r="AX392" s="96"/>
      <c r="AY392" s="96"/>
      <c r="AZ392" s="96"/>
      <c r="BA392" s="98">
        <v>1.4899999999999999E-4</v>
      </c>
      <c r="BB392" s="98">
        <v>1.1E-5</v>
      </c>
      <c r="BC392" s="106"/>
    </row>
    <row r="393" spans="1:55" ht="15" customHeight="1">
      <c r="A393" s="106"/>
      <c r="B393" s="96">
        <v>286</v>
      </c>
      <c r="C393" s="96">
        <v>286</v>
      </c>
      <c r="D393" s="96"/>
      <c r="E393" s="96"/>
      <c r="F393" s="96"/>
      <c r="G393" s="96">
        <v>25200028</v>
      </c>
      <c r="H393" s="96" t="s">
        <v>1013</v>
      </c>
      <c r="I393" s="96" t="s">
        <v>813</v>
      </c>
      <c r="J393" s="96" t="s">
        <v>203</v>
      </c>
      <c r="K393" s="96"/>
      <c r="L393" s="96" t="s">
        <v>454</v>
      </c>
      <c r="M393" s="96" t="s">
        <v>338</v>
      </c>
      <c r="N393" s="96" t="s">
        <v>337</v>
      </c>
      <c r="O393" s="96"/>
      <c r="P393" s="100">
        <v>41330</v>
      </c>
      <c r="Q393" s="96" t="s">
        <v>1332</v>
      </c>
      <c r="R393" s="96" t="s">
        <v>412</v>
      </c>
      <c r="S393" s="96" t="s">
        <v>407</v>
      </c>
      <c r="T393" s="96" t="s">
        <v>1200</v>
      </c>
      <c r="U393" s="97">
        <v>3.49</v>
      </c>
      <c r="V393" s="96" t="s">
        <v>3678</v>
      </c>
      <c r="W393" s="98">
        <v>5.5E-2</v>
      </c>
      <c r="X393" s="96"/>
      <c r="Y393" s="96"/>
      <c r="Z393" s="96"/>
      <c r="AA393" s="98">
        <v>0.03</v>
      </c>
      <c r="AB393" s="100">
        <v>47994</v>
      </c>
      <c r="AC393" s="96" t="s">
        <v>411</v>
      </c>
      <c r="AD393" s="96"/>
      <c r="AE393" s="96"/>
      <c r="AF393" s="96"/>
      <c r="AG393" s="100">
        <v>45291</v>
      </c>
      <c r="AH393" s="96"/>
      <c r="AI393" s="96"/>
      <c r="AJ393" s="96"/>
      <c r="AK393" s="96" t="s">
        <v>337</v>
      </c>
      <c r="AL393" s="96" t="s">
        <v>887</v>
      </c>
      <c r="AM393" s="96"/>
      <c r="AN393" s="96" t="s">
        <v>890</v>
      </c>
      <c r="AO393" s="100">
        <v>45473</v>
      </c>
      <c r="AP393" s="100">
        <v>45473</v>
      </c>
      <c r="AQ393" s="96"/>
      <c r="AR393" s="97">
        <v>114950.01</v>
      </c>
      <c r="AS393" s="97">
        <v>124.74</v>
      </c>
      <c r="AT393" s="97">
        <v>1</v>
      </c>
      <c r="AU393" s="97">
        <v>143.38864000000001</v>
      </c>
      <c r="AV393" s="97">
        <v>143.38864000000001</v>
      </c>
      <c r="AW393" s="96"/>
      <c r="AX393" s="96"/>
      <c r="AY393" s="96"/>
      <c r="AZ393" s="96"/>
      <c r="BA393" s="98">
        <v>9.3599999999999998E-4</v>
      </c>
      <c r="BB393" s="98">
        <v>7.3999999999999996E-5</v>
      </c>
      <c r="BC393" s="106"/>
    </row>
    <row r="394" spans="1:55" ht="15" customHeight="1">
      <c r="A394" s="106"/>
      <c r="B394" s="96">
        <v>286</v>
      </c>
      <c r="C394" s="96">
        <v>286</v>
      </c>
      <c r="D394" s="96"/>
      <c r="E394" s="96"/>
      <c r="F394" s="96"/>
      <c r="G394" s="96">
        <v>25200027</v>
      </c>
      <c r="H394" s="96" t="s">
        <v>1013</v>
      </c>
      <c r="I394" s="96" t="s">
        <v>813</v>
      </c>
      <c r="J394" s="96" t="s">
        <v>203</v>
      </c>
      <c r="K394" s="96"/>
      <c r="L394" s="96" t="s">
        <v>454</v>
      </c>
      <c r="M394" s="96" t="s">
        <v>338</v>
      </c>
      <c r="N394" s="96" t="s">
        <v>337</v>
      </c>
      <c r="O394" s="96"/>
      <c r="P394" s="100">
        <v>41298</v>
      </c>
      <c r="Q394" s="96" t="s">
        <v>1332</v>
      </c>
      <c r="R394" s="96" t="s">
        <v>412</v>
      </c>
      <c r="S394" s="96" t="s">
        <v>407</v>
      </c>
      <c r="T394" s="96" t="s">
        <v>1200</v>
      </c>
      <c r="U394" s="97">
        <v>3.49</v>
      </c>
      <c r="V394" s="96" t="s">
        <v>3678</v>
      </c>
      <c r="W394" s="98">
        <v>5.5E-2</v>
      </c>
      <c r="X394" s="96"/>
      <c r="Y394" s="96"/>
      <c r="Z394" s="96"/>
      <c r="AA394" s="98">
        <v>0.03</v>
      </c>
      <c r="AB394" s="100">
        <v>47994</v>
      </c>
      <c r="AC394" s="96" t="s">
        <v>411</v>
      </c>
      <c r="AD394" s="96"/>
      <c r="AE394" s="96"/>
      <c r="AF394" s="96"/>
      <c r="AG394" s="100">
        <v>45291</v>
      </c>
      <c r="AH394" s="96"/>
      <c r="AI394" s="96"/>
      <c r="AJ394" s="96"/>
      <c r="AK394" s="96" t="s">
        <v>337</v>
      </c>
      <c r="AL394" s="96" t="s">
        <v>887</v>
      </c>
      <c r="AM394" s="96"/>
      <c r="AN394" s="96" t="s">
        <v>890</v>
      </c>
      <c r="AO394" s="100">
        <v>45473</v>
      </c>
      <c r="AP394" s="100">
        <v>45473</v>
      </c>
      <c r="AQ394" s="96"/>
      <c r="AR394" s="97">
        <v>74096.56</v>
      </c>
      <c r="AS394" s="97">
        <v>124.51</v>
      </c>
      <c r="AT394" s="97">
        <v>1</v>
      </c>
      <c r="AU394" s="97">
        <v>92.257620000000003</v>
      </c>
      <c r="AV394" s="97">
        <v>92.257620000000003</v>
      </c>
      <c r="AW394" s="96"/>
      <c r="AX394" s="96"/>
      <c r="AY394" s="96"/>
      <c r="AZ394" s="96"/>
      <c r="BA394" s="98">
        <v>6.02E-4</v>
      </c>
      <c r="BB394" s="98">
        <v>4.8000000000000001E-5</v>
      </c>
      <c r="BC394" s="106"/>
    </row>
    <row r="395" spans="1:55" ht="15" customHeight="1">
      <c r="A395" s="106"/>
      <c r="B395" s="96">
        <v>286</v>
      </c>
      <c r="C395" s="96">
        <v>286</v>
      </c>
      <c r="D395" s="96"/>
      <c r="E395" s="96"/>
      <c r="F395" s="96"/>
      <c r="G395" s="96">
        <v>25200026</v>
      </c>
      <c r="H395" s="96" t="s">
        <v>1013</v>
      </c>
      <c r="I395" s="96" t="s">
        <v>813</v>
      </c>
      <c r="J395" s="96" t="s">
        <v>203</v>
      </c>
      <c r="K395" s="96"/>
      <c r="L395" s="96" t="s">
        <v>454</v>
      </c>
      <c r="M395" s="96" t="s">
        <v>338</v>
      </c>
      <c r="N395" s="96" t="s">
        <v>337</v>
      </c>
      <c r="O395" s="96"/>
      <c r="P395" s="100">
        <v>41269</v>
      </c>
      <c r="Q395" s="96" t="s">
        <v>1332</v>
      </c>
      <c r="R395" s="96" t="s">
        <v>412</v>
      </c>
      <c r="S395" s="96" t="s">
        <v>407</v>
      </c>
      <c r="T395" s="96" t="s">
        <v>1200</v>
      </c>
      <c r="U395" s="97">
        <v>3.49</v>
      </c>
      <c r="V395" s="96" t="s">
        <v>3678</v>
      </c>
      <c r="W395" s="98">
        <v>5.5E-2</v>
      </c>
      <c r="X395" s="96"/>
      <c r="Y395" s="96"/>
      <c r="Z395" s="96"/>
      <c r="AA395" s="98">
        <v>2.8899999999999999E-2</v>
      </c>
      <c r="AB395" s="100">
        <v>47994</v>
      </c>
      <c r="AC395" s="96" t="s">
        <v>411</v>
      </c>
      <c r="AD395" s="96"/>
      <c r="AE395" s="96"/>
      <c r="AF395" s="96"/>
      <c r="AG395" s="100">
        <v>45291</v>
      </c>
      <c r="AH395" s="96"/>
      <c r="AI395" s="96"/>
      <c r="AJ395" s="96"/>
      <c r="AK395" s="96" t="s">
        <v>337</v>
      </c>
      <c r="AL395" s="96" t="s">
        <v>887</v>
      </c>
      <c r="AM395" s="96"/>
      <c r="AN395" s="96" t="s">
        <v>890</v>
      </c>
      <c r="AO395" s="100">
        <v>45473</v>
      </c>
      <c r="AP395" s="100">
        <v>45473</v>
      </c>
      <c r="AQ395" s="96"/>
      <c r="AR395" s="97">
        <v>36633.81</v>
      </c>
      <c r="AS395" s="97">
        <v>125.22</v>
      </c>
      <c r="AT395" s="97">
        <v>1</v>
      </c>
      <c r="AU395" s="97">
        <v>45.872860000000003</v>
      </c>
      <c r="AV395" s="97">
        <v>45.872860000000003</v>
      </c>
      <c r="AW395" s="96"/>
      <c r="AX395" s="96"/>
      <c r="AY395" s="96"/>
      <c r="AZ395" s="96"/>
      <c r="BA395" s="98">
        <v>2.99E-4</v>
      </c>
      <c r="BB395" s="98">
        <v>2.3E-5</v>
      </c>
      <c r="BC395" s="106"/>
    </row>
    <row r="396" spans="1:55" ht="15" customHeight="1">
      <c r="A396" s="106"/>
      <c r="B396" s="96">
        <v>286</v>
      </c>
      <c r="C396" s="96">
        <v>286</v>
      </c>
      <c r="D396" s="96"/>
      <c r="E396" s="96"/>
      <c r="F396" s="96"/>
      <c r="G396" s="96">
        <v>25200025</v>
      </c>
      <c r="H396" s="96" t="s">
        <v>1013</v>
      </c>
      <c r="I396" s="96" t="s">
        <v>813</v>
      </c>
      <c r="J396" s="96" t="s">
        <v>203</v>
      </c>
      <c r="K396" s="96"/>
      <c r="L396" s="96" t="s">
        <v>454</v>
      </c>
      <c r="M396" s="96" t="s">
        <v>338</v>
      </c>
      <c r="N396" s="96" t="s">
        <v>337</v>
      </c>
      <c r="O396" s="96"/>
      <c r="P396" s="100">
        <v>41239</v>
      </c>
      <c r="Q396" s="96" t="s">
        <v>1332</v>
      </c>
      <c r="R396" s="96" t="s">
        <v>412</v>
      </c>
      <c r="S396" s="96" t="s">
        <v>407</v>
      </c>
      <c r="T396" s="96" t="s">
        <v>1200</v>
      </c>
      <c r="U396" s="97">
        <v>3.49</v>
      </c>
      <c r="V396" s="96" t="s">
        <v>3678</v>
      </c>
      <c r="W396" s="98">
        <v>5.5E-2</v>
      </c>
      <c r="X396" s="96"/>
      <c r="Y396" s="96"/>
      <c r="Z396" s="96"/>
      <c r="AA396" s="98">
        <v>2.9899999999999999E-2</v>
      </c>
      <c r="AB396" s="100">
        <v>47994</v>
      </c>
      <c r="AC396" s="96" t="s">
        <v>411</v>
      </c>
      <c r="AD396" s="96"/>
      <c r="AE396" s="96"/>
      <c r="AF396" s="96"/>
      <c r="AG396" s="100">
        <v>45291</v>
      </c>
      <c r="AH396" s="96"/>
      <c r="AI396" s="96"/>
      <c r="AJ396" s="96"/>
      <c r="AK396" s="96" t="s">
        <v>337</v>
      </c>
      <c r="AL396" s="96" t="s">
        <v>887</v>
      </c>
      <c r="AM396" s="96"/>
      <c r="AN396" s="96" t="s">
        <v>890</v>
      </c>
      <c r="AO396" s="100">
        <v>45473</v>
      </c>
      <c r="AP396" s="100">
        <v>45473</v>
      </c>
      <c r="AQ396" s="96"/>
      <c r="AR396" s="97">
        <v>134415.82999999999</v>
      </c>
      <c r="AS396" s="97">
        <v>124.18</v>
      </c>
      <c r="AT396" s="97">
        <v>1</v>
      </c>
      <c r="AU396" s="97">
        <v>166.91757000000001</v>
      </c>
      <c r="AV396" s="97">
        <v>166.91757000000001</v>
      </c>
      <c r="AW396" s="96"/>
      <c r="AX396" s="96"/>
      <c r="AY396" s="96"/>
      <c r="AZ396" s="96"/>
      <c r="BA396" s="98">
        <v>1.09E-3</v>
      </c>
      <c r="BB396" s="98">
        <v>8.6000000000000003E-5</v>
      </c>
      <c r="BC396" s="106"/>
    </row>
    <row r="397" spans="1:55" ht="15" customHeight="1">
      <c r="A397" s="106"/>
      <c r="B397" s="96">
        <v>286</v>
      </c>
      <c r="C397" s="96">
        <v>286</v>
      </c>
      <c r="D397" s="96"/>
      <c r="E397" s="96"/>
      <c r="F397" s="96"/>
      <c r="G397" s="96">
        <v>25200033</v>
      </c>
      <c r="H397" s="96" t="s">
        <v>1013</v>
      </c>
      <c r="I397" s="96" t="s">
        <v>813</v>
      </c>
      <c r="J397" s="96" t="s">
        <v>203</v>
      </c>
      <c r="K397" s="96"/>
      <c r="L397" s="96" t="s">
        <v>454</v>
      </c>
      <c r="M397" s="96" t="s">
        <v>338</v>
      </c>
      <c r="N397" s="96" t="s">
        <v>337</v>
      </c>
      <c r="O397" s="96"/>
      <c r="P397" s="100">
        <v>41512</v>
      </c>
      <c r="Q397" s="96" t="s">
        <v>1332</v>
      </c>
      <c r="R397" s="96" t="s">
        <v>412</v>
      </c>
      <c r="S397" s="96" t="s">
        <v>407</v>
      </c>
      <c r="T397" s="96" t="s">
        <v>1200</v>
      </c>
      <c r="U397" s="97">
        <v>3.47</v>
      </c>
      <c r="V397" s="96" t="s">
        <v>3678</v>
      </c>
      <c r="W397" s="98">
        <v>5.5E-2</v>
      </c>
      <c r="X397" s="96"/>
      <c r="Y397" s="96"/>
      <c r="Z397" s="96"/>
      <c r="AA397" s="98">
        <v>3.49E-2</v>
      </c>
      <c r="AB397" s="100">
        <v>47994</v>
      </c>
      <c r="AC397" s="96" t="s">
        <v>411</v>
      </c>
      <c r="AD397" s="96"/>
      <c r="AE397" s="96"/>
      <c r="AF397" s="96"/>
      <c r="AG397" s="100">
        <v>45291</v>
      </c>
      <c r="AH397" s="96"/>
      <c r="AI397" s="96"/>
      <c r="AJ397" s="96"/>
      <c r="AK397" s="96" t="s">
        <v>337</v>
      </c>
      <c r="AL397" s="96" t="s">
        <v>887</v>
      </c>
      <c r="AM397" s="96"/>
      <c r="AN397" s="96" t="s">
        <v>890</v>
      </c>
      <c r="AO397" s="100">
        <v>45473</v>
      </c>
      <c r="AP397" s="100">
        <v>45473</v>
      </c>
      <c r="AQ397" s="96"/>
      <c r="AR397" s="97">
        <v>82945.11</v>
      </c>
      <c r="AS397" s="97">
        <v>120.53</v>
      </c>
      <c r="AT397" s="97">
        <v>1</v>
      </c>
      <c r="AU397" s="97">
        <v>99.973749999999995</v>
      </c>
      <c r="AV397" s="97">
        <v>99.973749999999995</v>
      </c>
      <c r="AW397" s="96"/>
      <c r="AX397" s="96"/>
      <c r="AY397" s="96"/>
      <c r="AZ397" s="96"/>
      <c r="BA397" s="98">
        <v>6.5300000000000004E-4</v>
      </c>
      <c r="BB397" s="98">
        <v>5.1999999999999997E-5</v>
      </c>
      <c r="BC397" s="106"/>
    </row>
    <row r="398" spans="1:55" ht="15" customHeight="1">
      <c r="A398" s="106"/>
      <c r="B398" s="96">
        <v>286</v>
      </c>
      <c r="C398" s="96">
        <v>286</v>
      </c>
      <c r="D398" s="96"/>
      <c r="E398" s="96"/>
      <c r="F398" s="96"/>
      <c r="G398" s="96">
        <v>25200024</v>
      </c>
      <c r="H398" s="96" t="s">
        <v>1013</v>
      </c>
      <c r="I398" s="96" t="s">
        <v>813</v>
      </c>
      <c r="J398" s="96" t="s">
        <v>203</v>
      </c>
      <c r="K398" s="96"/>
      <c r="L398" s="96" t="s">
        <v>454</v>
      </c>
      <c r="M398" s="96" t="s">
        <v>338</v>
      </c>
      <c r="N398" s="96" t="s">
        <v>337</v>
      </c>
      <c r="O398" s="96"/>
      <c r="P398" s="100">
        <v>41207</v>
      </c>
      <c r="Q398" s="96" t="s">
        <v>1332</v>
      </c>
      <c r="R398" s="96" t="s">
        <v>412</v>
      </c>
      <c r="S398" s="96" t="s">
        <v>407</v>
      </c>
      <c r="T398" s="96" t="s">
        <v>1200</v>
      </c>
      <c r="U398" s="97">
        <v>3.49</v>
      </c>
      <c r="V398" s="96" t="s">
        <v>3678</v>
      </c>
      <c r="W398" s="98">
        <v>5.5E-2</v>
      </c>
      <c r="X398" s="96"/>
      <c r="Y398" s="96"/>
      <c r="Z398" s="96"/>
      <c r="AA398" s="98">
        <v>2.8899999999999999E-2</v>
      </c>
      <c r="AB398" s="100">
        <v>47994</v>
      </c>
      <c r="AC398" s="96" t="s">
        <v>411</v>
      </c>
      <c r="AD398" s="96"/>
      <c r="AE398" s="96"/>
      <c r="AF398" s="96"/>
      <c r="AG398" s="100">
        <v>45291</v>
      </c>
      <c r="AH398" s="96"/>
      <c r="AI398" s="96"/>
      <c r="AJ398" s="96"/>
      <c r="AK398" s="96" t="s">
        <v>337</v>
      </c>
      <c r="AL398" s="96" t="s">
        <v>887</v>
      </c>
      <c r="AM398" s="96"/>
      <c r="AN398" s="96" t="s">
        <v>890</v>
      </c>
      <c r="AO398" s="100">
        <v>45473</v>
      </c>
      <c r="AP398" s="100">
        <v>45473</v>
      </c>
      <c r="AQ398" s="96"/>
      <c r="AR398" s="97">
        <v>15232.87</v>
      </c>
      <c r="AS398" s="97">
        <v>124.4</v>
      </c>
      <c r="AT398" s="97">
        <v>1</v>
      </c>
      <c r="AU398" s="97">
        <v>18.94969</v>
      </c>
      <c r="AV398" s="97">
        <v>18.94969</v>
      </c>
      <c r="AW398" s="96"/>
      <c r="AX398" s="96"/>
      <c r="AY398" s="96"/>
      <c r="AZ398" s="96"/>
      <c r="BA398" s="98">
        <v>1.2300000000000001E-4</v>
      </c>
      <c r="BB398" s="98">
        <v>9.0000000000000002E-6</v>
      </c>
      <c r="BC398" s="106"/>
    </row>
    <row r="399" spans="1:55" ht="15" customHeight="1">
      <c r="A399" s="106"/>
      <c r="B399" s="96">
        <v>286</v>
      </c>
      <c r="C399" s="96">
        <v>286</v>
      </c>
      <c r="D399" s="96"/>
      <c r="E399" s="96"/>
      <c r="F399" s="96"/>
      <c r="G399" s="96">
        <v>25200092</v>
      </c>
      <c r="H399" s="96" t="s">
        <v>1013</v>
      </c>
      <c r="I399" s="96" t="s">
        <v>813</v>
      </c>
      <c r="J399" s="96" t="s">
        <v>203</v>
      </c>
      <c r="K399" s="96"/>
      <c r="L399" s="96" t="s">
        <v>454</v>
      </c>
      <c r="M399" s="96" t="s">
        <v>338</v>
      </c>
      <c r="N399" s="96" t="s">
        <v>337</v>
      </c>
      <c r="O399" s="96"/>
      <c r="P399" s="100">
        <v>41836</v>
      </c>
      <c r="Q399" s="96" t="s">
        <v>1332</v>
      </c>
      <c r="R399" s="96" t="s">
        <v>412</v>
      </c>
      <c r="S399" s="96" t="s">
        <v>407</v>
      </c>
      <c r="T399" s="96" t="s">
        <v>1200</v>
      </c>
      <c r="U399" s="97">
        <v>3.49</v>
      </c>
      <c r="V399" s="96" t="s">
        <v>3678</v>
      </c>
      <c r="W399" s="98">
        <v>5.5E-2</v>
      </c>
      <c r="X399" s="96"/>
      <c r="Y399" s="96"/>
      <c r="Z399" s="96"/>
      <c r="AA399" s="98">
        <v>2.9899999999999999E-2</v>
      </c>
      <c r="AB399" s="100">
        <v>47994</v>
      </c>
      <c r="AC399" s="96" t="s">
        <v>411</v>
      </c>
      <c r="AD399" s="96"/>
      <c r="AE399" s="96"/>
      <c r="AF399" s="96"/>
      <c r="AG399" s="100">
        <v>45291</v>
      </c>
      <c r="AH399" s="96"/>
      <c r="AI399" s="96"/>
      <c r="AJ399" s="96"/>
      <c r="AK399" s="96" t="s">
        <v>337</v>
      </c>
      <c r="AL399" s="96" t="s">
        <v>887</v>
      </c>
      <c r="AM399" s="96"/>
      <c r="AN399" s="96" t="s">
        <v>890</v>
      </c>
      <c r="AO399" s="100">
        <v>45473</v>
      </c>
      <c r="AP399" s="100">
        <v>45473</v>
      </c>
      <c r="AQ399" s="96"/>
      <c r="AR399" s="97">
        <v>33805.58</v>
      </c>
      <c r="AS399" s="97">
        <v>122.32</v>
      </c>
      <c r="AT399" s="97">
        <v>1</v>
      </c>
      <c r="AU399" s="97">
        <v>41.350990000000003</v>
      </c>
      <c r="AV399" s="97">
        <v>41.350990000000003</v>
      </c>
      <c r="AW399" s="96"/>
      <c r="AX399" s="96"/>
      <c r="AY399" s="96"/>
      <c r="AZ399" s="96"/>
      <c r="BA399" s="98">
        <v>2.7E-4</v>
      </c>
      <c r="BB399" s="98">
        <v>2.0999999999999999E-5</v>
      </c>
      <c r="BC399" s="106"/>
    </row>
    <row r="400" spans="1:55" ht="15" customHeight="1">
      <c r="A400" s="106"/>
      <c r="B400" s="96">
        <v>286</v>
      </c>
      <c r="C400" s="96">
        <v>286</v>
      </c>
      <c r="D400" s="96"/>
      <c r="E400" s="96"/>
      <c r="F400" s="96"/>
      <c r="G400" s="96">
        <v>25200100</v>
      </c>
      <c r="H400" s="96" t="s">
        <v>1013</v>
      </c>
      <c r="I400" s="96" t="s">
        <v>813</v>
      </c>
      <c r="J400" s="96" t="s">
        <v>203</v>
      </c>
      <c r="K400" s="96"/>
      <c r="L400" s="96" t="s">
        <v>454</v>
      </c>
      <c r="M400" s="96" t="s">
        <v>338</v>
      </c>
      <c r="N400" s="96" t="s">
        <v>337</v>
      </c>
      <c r="O400" s="96"/>
      <c r="P400" s="100">
        <v>40938</v>
      </c>
      <c r="Q400" s="96" t="s">
        <v>1332</v>
      </c>
      <c r="R400" s="96" t="s">
        <v>412</v>
      </c>
      <c r="S400" s="96" t="s">
        <v>407</v>
      </c>
      <c r="T400" s="96" t="s">
        <v>1200</v>
      </c>
      <c r="U400" s="97">
        <v>3.5</v>
      </c>
      <c r="V400" s="96" t="s">
        <v>3678</v>
      </c>
      <c r="W400" s="98">
        <v>5.0999999999999997E-2</v>
      </c>
      <c r="X400" s="96"/>
      <c r="Y400" s="96"/>
      <c r="Z400" s="96"/>
      <c r="AA400" s="98">
        <v>3.0300000000000001E-2</v>
      </c>
      <c r="AB400" s="100">
        <v>47994</v>
      </c>
      <c r="AC400" s="96" t="s">
        <v>411</v>
      </c>
      <c r="AD400" s="96"/>
      <c r="AE400" s="96"/>
      <c r="AF400" s="96"/>
      <c r="AG400" s="100">
        <v>45291</v>
      </c>
      <c r="AH400" s="96"/>
      <c r="AI400" s="96"/>
      <c r="AJ400" s="96"/>
      <c r="AK400" s="96" t="s">
        <v>337</v>
      </c>
      <c r="AL400" s="96" t="s">
        <v>887</v>
      </c>
      <c r="AM400" s="96"/>
      <c r="AN400" s="96" t="s">
        <v>890</v>
      </c>
      <c r="AO400" s="100">
        <v>45473</v>
      </c>
      <c r="AP400" s="100">
        <v>45473</v>
      </c>
      <c r="AQ400" s="96"/>
      <c r="AR400" s="97">
        <v>166105.10999999999</v>
      </c>
      <c r="AS400" s="97">
        <v>126.4</v>
      </c>
      <c r="AT400" s="97">
        <v>1</v>
      </c>
      <c r="AU400" s="97">
        <v>209.95686000000001</v>
      </c>
      <c r="AV400" s="97">
        <v>209.95686000000001</v>
      </c>
      <c r="AW400" s="96"/>
      <c r="AX400" s="96"/>
      <c r="AY400" s="96"/>
      <c r="AZ400" s="96"/>
      <c r="BA400" s="98">
        <v>1.371E-3</v>
      </c>
      <c r="BB400" s="98">
        <v>1.0900000000000001E-4</v>
      </c>
      <c r="BC400" s="106"/>
    </row>
    <row r="401" spans="1:55" ht="15" customHeight="1">
      <c r="A401" s="106"/>
      <c r="B401" s="96">
        <v>286</v>
      </c>
      <c r="C401" s="96">
        <v>286</v>
      </c>
      <c r="D401" s="96"/>
      <c r="E401" s="96"/>
      <c r="F401" s="96"/>
      <c r="G401" s="96">
        <v>25000782</v>
      </c>
      <c r="H401" s="96" t="s">
        <v>1013</v>
      </c>
      <c r="I401" s="96" t="s">
        <v>795</v>
      </c>
      <c r="J401" s="96" t="s">
        <v>203</v>
      </c>
      <c r="K401" s="96"/>
      <c r="L401" s="96" t="s">
        <v>446</v>
      </c>
      <c r="M401" s="96" t="s">
        <v>337</v>
      </c>
      <c r="N401" s="96" t="s">
        <v>338</v>
      </c>
      <c r="O401" s="96"/>
      <c r="P401" s="100">
        <v>45057</v>
      </c>
      <c r="Q401" s="96" t="s">
        <v>2102</v>
      </c>
      <c r="R401" s="96" t="s">
        <v>311</v>
      </c>
      <c r="S401" s="96" t="s">
        <v>407</v>
      </c>
      <c r="T401" s="96" t="s">
        <v>1200</v>
      </c>
      <c r="U401" s="97">
        <v>3.32</v>
      </c>
      <c r="V401" s="96" t="s">
        <v>3678</v>
      </c>
      <c r="W401" s="98">
        <v>0.05</v>
      </c>
      <c r="X401" s="96"/>
      <c r="Y401" s="96"/>
      <c r="Z401" s="96"/>
      <c r="AA401" s="98">
        <v>5.6500000000000002E-2</v>
      </c>
      <c r="AB401" s="100">
        <v>46790</v>
      </c>
      <c r="AC401" s="96" t="s">
        <v>410</v>
      </c>
      <c r="AD401" s="96"/>
      <c r="AE401" s="96"/>
      <c r="AF401" s="96"/>
      <c r="AG401" s="100">
        <v>45291</v>
      </c>
      <c r="AH401" s="96"/>
      <c r="AI401" s="96"/>
      <c r="AJ401" s="96"/>
      <c r="AK401" s="96" t="s">
        <v>337</v>
      </c>
      <c r="AL401" s="96" t="s">
        <v>887</v>
      </c>
      <c r="AM401" s="96"/>
      <c r="AN401" s="96" t="s">
        <v>890</v>
      </c>
      <c r="AO401" s="100">
        <v>45473</v>
      </c>
      <c r="AP401" s="100">
        <v>45473</v>
      </c>
      <c r="AQ401" s="96"/>
      <c r="AR401" s="97">
        <v>33897.974917</v>
      </c>
      <c r="AS401" s="97">
        <v>98.25</v>
      </c>
      <c r="AT401" s="97">
        <v>1</v>
      </c>
      <c r="AU401" s="97">
        <v>33.304760000000002</v>
      </c>
      <c r="AV401" s="97">
        <v>33.304760000000002</v>
      </c>
      <c r="AW401" s="96"/>
      <c r="AX401" s="96"/>
      <c r="AY401" s="96"/>
      <c r="AZ401" s="96"/>
      <c r="BA401" s="98">
        <v>2.1699999999999999E-4</v>
      </c>
      <c r="BB401" s="98">
        <v>1.7E-5</v>
      </c>
      <c r="BC401" s="106"/>
    </row>
    <row r="402" spans="1:55" ht="15" customHeight="1">
      <c r="A402" s="106"/>
      <c r="B402" s="96">
        <v>286</v>
      </c>
      <c r="C402" s="96">
        <v>286</v>
      </c>
      <c r="D402" s="96"/>
      <c r="E402" s="96"/>
      <c r="F402" s="96"/>
      <c r="G402" s="96">
        <v>9859</v>
      </c>
      <c r="H402" s="96" t="s">
        <v>1013</v>
      </c>
      <c r="I402" s="96" t="s">
        <v>813</v>
      </c>
      <c r="J402" s="96" t="s">
        <v>203</v>
      </c>
      <c r="K402" s="96"/>
      <c r="L402" s="96" t="s">
        <v>484</v>
      </c>
      <c r="M402" s="96" t="s">
        <v>338</v>
      </c>
      <c r="N402" s="96" t="s">
        <v>337</v>
      </c>
      <c r="O402" s="96"/>
      <c r="P402" s="100">
        <v>37256</v>
      </c>
      <c r="Q402" s="96" t="s">
        <v>1301</v>
      </c>
      <c r="R402" s="96" t="s">
        <v>414</v>
      </c>
      <c r="S402" s="96" t="s">
        <v>407</v>
      </c>
      <c r="T402" s="96" t="s">
        <v>1200</v>
      </c>
      <c r="U402" s="97">
        <v>1.7</v>
      </c>
      <c r="V402" s="96" t="s">
        <v>3678</v>
      </c>
      <c r="W402" s="98">
        <v>6.5000000000000002E-2</v>
      </c>
      <c r="X402" s="96"/>
      <c r="Y402" s="96"/>
      <c r="Z402" s="96"/>
      <c r="AA402" s="98">
        <v>2.1700000000000001E-2</v>
      </c>
      <c r="AB402" s="100">
        <v>46568</v>
      </c>
      <c r="AC402" s="96" t="s">
        <v>411</v>
      </c>
      <c r="AD402" s="96"/>
      <c r="AE402" s="96"/>
      <c r="AF402" s="96"/>
      <c r="AG402" s="100">
        <v>45291</v>
      </c>
      <c r="AH402" s="96"/>
      <c r="AI402" s="96"/>
      <c r="AJ402" s="96"/>
      <c r="AK402" s="96" t="s">
        <v>337</v>
      </c>
      <c r="AL402" s="96" t="s">
        <v>887</v>
      </c>
      <c r="AM402" s="96"/>
      <c r="AN402" s="96" t="s">
        <v>890</v>
      </c>
      <c r="AO402" s="100">
        <v>45473</v>
      </c>
      <c r="AP402" s="100">
        <v>45473</v>
      </c>
      <c r="AQ402" s="96"/>
      <c r="AR402" s="97">
        <v>207396.72</v>
      </c>
      <c r="AS402" s="97">
        <v>155.80000000000001</v>
      </c>
      <c r="AT402" s="97">
        <v>1</v>
      </c>
      <c r="AU402" s="97">
        <v>323.12409000000002</v>
      </c>
      <c r="AV402" s="97">
        <v>323.12409000000002</v>
      </c>
      <c r="AW402" s="96"/>
      <c r="AX402" s="96"/>
      <c r="AY402" s="96"/>
      <c r="AZ402" s="96"/>
      <c r="BA402" s="98">
        <v>2.111E-3</v>
      </c>
      <c r="BB402" s="98">
        <v>1.6799999999999999E-4</v>
      </c>
      <c r="BC402" s="106"/>
    </row>
    <row r="403" spans="1:55" ht="15" customHeight="1">
      <c r="A403" s="106"/>
      <c r="B403" s="96">
        <v>286</v>
      </c>
      <c r="C403" s="96">
        <v>286</v>
      </c>
      <c r="D403" s="96"/>
      <c r="E403" s="96"/>
      <c r="F403" s="96"/>
      <c r="G403" s="96">
        <v>9858</v>
      </c>
      <c r="H403" s="96" t="s">
        <v>1013</v>
      </c>
      <c r="I403" s="96" t="s">
        <v>813</v>
      </c>
      <c r="J403" s="96" t="s">
        <v>203</v>
      </c>
      <c r="K403" s="96"/>
      <c r="L403" s="96" t="s">
        <v>484</v>
      </c>
      <c r="M403" s="96" t="s">
        <v>338</v>
      </c>
      <c r="N403" s="96" t="s">
        <v>337</v>
      </c>
      <c r="O403" s="96"/>
      <c r="P403" s="100">
        <v>37164</v>
      </c>
      <c r="Q403" s="96" t="s">
        <v>1301</v>
      </c>
      <c r="R403" s="96" t="s">
        <v>414</v>
      </c>
      <c r="S403" s="96" t="s">
        <v>407</v>
      </c>
      <c r="T403" s="96" t="s">
        <v>1200</v>
      </c>
      <c r="U403" s="97">
        <v>1.7</v>
      </c>
      <c r="V403" s="96" t="s">
        <v>3678</v>
      </c>
      <c r="W403" s="98">
        <v>6.5000000000000002E-2</v>
      </c>
      <c r="X403" s="96"/>
      <c r="Y403" s="96"/>
      <c r="Z403" s="96"/>
      <c r="AA403" s="98">
        <v>2.1700000000000001E-2</v>
      </c>
      <c r="AB403" s="100">
        <v>46568</v>
      </c>
      <c r="AC403" s="96" t="s">
        <v>411</v>
      </c>
      <c r="AD403" s="96"/>
      <c r="AE403" s="96"/>
      <c r="AF403" s="96"/>
      <c r="AG403" s="100">
        <v>45291</v>
      </c>
      <c r="AH403" s="96"/>
      <c r="AI403" s="96"/>
      <c r="AJ403" s="96"/>
      <c r="AK403" s="96" t="s">
        <v>337</v>
      </c>
      <c r="AL403" s="96" t="s">
        <v>887</v>
      </c>
      <c r="AM403" s="96"/>
      <c r="AN403" s="96" t="s">
        <v>890</v>
      </c>
      <c r="AO403" s="100">
        <v>45473</v>
      </c>
      <c r="AP403" s="100">
        <v>45473</v>
      </c>
      <c r="AQ403" s="96"/>
      <c r="AR403" s="97">
        <v>312258.15000000002</v>
      </c>
      <c r="AS403" s="97">
        <v>155.34</v>
      </c>
      <c r="AT403" s="97">
        <v>1</v>
      </c>
      <c r="AU403" s="97">
        <v>485.06180999999998</v>
      </c>
      <c r="AV403" s="97">
        <v>485.06180999999998</v>
      </c>
      <c r="AW403" s="96"/>
      <c r="AX403" s="96"/>
      <c r="AY403" s="96"/>
      <c r="AZ403" s="96"/>
      <c r="BA403" s="98">
        <v>3.1689999999999999E-3</v>
      </c>
      <c r="BB403" s="98">
        <v>2.52E-4</v>
      </c>
      <c r="BC403" s="106"/>
    </row>
    <row r="404" spans="1:55" ht="15" customHeight="1">
      <c r="A404" s="106"/>
      <c r="B404" s="96">
        <v>286</v>
      </c>
      <c r="C404" s="96">
        <v>286</v>
      </c>
      <c r="D404" s="96"/>
      <c r="E404" s="96"/>
      <c r="F404" s="96"/>
      <c r="G404" s="96">
        <v>9857</v>
      </c>
      <c r="H404" s="96" t="s">
        <v>1013</v>
      </c>
      <c r="I404" s="96" t="s">
        <v>813</v>
      </c>
      <c r="J404" s="96" t="s">
        <v>203</v>
      </c>
      <c r="K404" s="96"/>
      <c r="L404" s="96" t="s">
        <v>484</v>
      </c>
      <c r="M404" s="96" t="s">
        <v>338</v>
      </c>
      <c r="N404" s="96" t="s">
        <v>337</v>
      </c>
      <c r="O404" s="96"/>
      <c r="P404" s="100">
        <v>37070</v>
      </c>
      <c r="Q404" s="96" t="s">
        <v>1301</v>
      </c>
      <c r="R404" s="96" t="s">
        <v>414</v>
      </c>
      <c r="S404" s="96" t="s">
        <v>407</v>
      </c>
      <c r="T404" s="96" t="s">
        <v>1200</v>
      </c>
      <c r="U404" s="97">
        <v>1.7</v>
      </c>
      <c r="V404" s="96" t="s">
        <v>3678</v>
      </c>
      <c r="W404" s="98">
        <v>6.5000000000000002E-2</v>
      </c>
      <c r="X404" s="96"/>
      <c r="Y404" s="96"/>
      <c r="Z404" s="96"/>
      <c r="AA404" s="98">
        <v>2.1700000000000001E-2</v>
      </c>
      <c r="AB404" s="100">
        <v>46568</v>
      </c>
      <c r="AC404" s="96" t="s">
        <v>411</v>
      </c>
      <c r="AD404" s="96"/>
      <c r="AE404" s="96"/>
      <c r="AF404" s="96"/>
      <c r="AG404" s="100">
        <v>45291</v>
      </c>
      <c r="AH404" s="96"/>
      <c r="AI404" s="96"/>
      <c r="AJ404" s="96"/>
      <c r="AK404" s="96" t="s">
        <v>337</v>
      </c>
      <c r="AL404" s="96" t="s">
        <v>887</v>
      </c>
      <c r="AM404" s="96"/>
      <c r="AN404" s="96" t="s">
        <v>890</v>
      </c>
      <c r="AO404" s="100">
        <v>45473</v>
      </c>
      <c r="AP404" s="100">
        <v>45473</v>
      </c>
      <c r="AQ404" s="96"/>
      <c r="AR404" s="97">
        <v>24093.439999999999</v>
      </c>
      <c r="AS404" s="97">
        <v>156.88</v>
      </c>
      <c r="AT404" s="97">
        <v>1</v>
      </c>
      <c r="AU404" s="97">
        <v>37.797789999999999</v>
      </c>
      <c r="AV404" s="97">
        <v>37.797789999999999</v>
      </c>
      <c r="AW404" s="96"/>
      <c r="AX404" s="96"/>
      <c r="AY404" s="96"/>
      <c r="AZ404" s="96"/>
      <c r="BA404" s="98">
        <v>2.4600000000000002E-4</v>
      </c>
      <c r="BB404" s="98">
        <v>1.9000000000000001E-5</v>
      </c>
      <c r="BC404" s="106"/>
    </row>
    <row r="405" spans="1:55" ht="15" customHeight="1">
      <c r="A405" s="106"/>
      <c r="B405" s="96">
        <v>286</v>
      </c>
      <c r="C405" s="96">
        <v>286</v>
      </c>
      <c r="D405" s="96"/>
      <c r="E405" s="96"/>
      <c r="F405" s="96"/>
      <c r="G405" s="96">
        <v>9856</v>
      </c>
      <c r="H405" s="96" t="s">
        <v>1013</v>
      </c>
      <c r="I405" s="96" t="s">
        <v>813</v>
      </c>
      <c r="J405" s="96" t="s">
        <v>203</v>
      </c>
      <c r="K405" s="96"/>
      <c r="L405" s="96" t="s">
        <v>484</v>
      </c>
      <c r="M405" s="96" t="s">
        <v>338</v>
      </c>
      <c r="N405" s="96" t="s">
        <v>337</v>
      </c>
      <c r="O405" s="96"/>
      <c r="P405" s="100">
        <v>36979</v>
      </c>
      <c r="Q405" s="96" t="s">
        <v>1301</v>
      </c>
      <c r="R405" s="96" t="s">
        <v>414</v>
      </c>
      <c r="S405" s="96" t="s">
        <v>407</v>
      </c>
      <c r="T405" s="96" t="s">
        <v>1200</v>
      </c>
      <c r="U405" s="97">
        <v>1.7</v>
      </c>
      <c r="V405" s="96" t="s">
        <v>3678</v>
      </c>
      <c r="W405" s="98">
        <v>6.5000000000000002E-2</v>
      </c>
      <c r="X405" s="96"/>
      <c r="Y405" s="96"/>
      <c r="Z405" s="96"/>
      <c r="AA405" s="98">
        <v>2.1700000000000001E-2</v>
      </c>
      <c r="AB405" s="100">
        <v>46568</v>
      </c>
      <c r="AC405" s="96" t="s">
        <v>411</v>
      </c>
      <c r="AD405" s="96"/>
      <c r="AE405" s="96"/>
      <c r="AF405" s="96"/>
      <c r="AG405" s="100">
        <v>45291</v>
      </c>
      <c r="AH405" s="96"/>
      <c r="AI405" s="96"/>
      <c r="AJ405" s="96"/>
      <c r="AK405" s="96" t="s">
        <v>337</v>
      </c>
      <c r="AL405" s="96" t="s">
        <v>887</v>
      </c>
      <c r="AM405" s="96"/>
      <c r="AN405" s="96" t="s">
        <v>890</v>
      </c>
      <c r="AO405" s="100">
        <v>45473</v>
      </c>
      <c r="AP405" s="100">
        <v>45473</v>
      </c>
      <c r="AQ405" s="96"/>
      <c r="AR405" s="97">
        <v>94865.03</v>
      </c>
      <c r="AS405" s="97">
        <v>159.24</v>
      </c>
      <c r="AT405" s="97">
        <v>1</v>
      </c>
      <c r="AU405" s="97">
        <v>151.06307000000001</v>
      </c>
      <c r="AV405" s="97">
        <v>151.06307000000001</v>
      </c>
      <c r="AW405" s="96"/>
      <c r="AX405" s="96"/>
      <c r="AY405" s="96"/>
      <c r="AZ405" s="96"/>
      <c r="BA405" s="98">
        <v>9.8700000000000003E-4</v>
      </c>
      <c r="BB405" s="98">
        <v>7.7999999999999999E-5</v>
      </c>
      <c r="BC405" s="106"/>
    </row>
    <row r="406" spans="1:55" ht="15" customHeight="1">
      <c r="A406" s="106"/>
      <c r="B406" s="96">
        <v>286</v>
      </c>
      <c r="C406" s="96">
        <v>286</v>
      </c>
      <c r="D406" s="96"/>
      <c r="E406" s="96"/>
      <c r="F406" s="96"/>
      <c r="G406" s="96">
        <v>9855</v>
      </c>
      <c r="H406" s="96" t="s">
        <v>1013</v>
      </c>
      <c r="I406" s="96" t="s">
        <v>813</v>
      </c>
      <c r="J406" s="96" t="s">
        <v>203</v>
      </c>
      <c r="K406" s="96"/>
      <c r="L406" s="96" t="s">
        <v>484</v>
      </c>
      <c r="M406" s="96" t="s">
        <v>338</v>
      </c>
      <c r="N406" s="96" t="s">
        <v>337</v>
      </c>
      <c r="O406" s="96"/>
      <c r="P406" s="100">
        <v>36891</v>
      </c>
      <c r="Q406" s="96" t="s">
        <v>1301</v>
      </c>
      <c r="R406" s="96" t="s">
        <v>414</v>
      </c>
      <c r="S406" s="96" t="s">
        <v>407</v>
      </c>
      <c r="T406" s="96" t="s">
        <v>1200</v>
      </c>
      <c r="U406" s="97">
        <v>1.7</v>
      </c>
      <c r="V406" s="96" t="s">
        <v>3678</v>
      </c>
      <c r="W406" s="98">
        <v>6.5000000000000002E-2</v>
      </c>
      <c r="X406" s="96"/>
      <c r="Y406" s="96"/>
      <c r="Z406" s="96"/>
      <c r="AA406" s="98">
        <v>2.1700000000000001E-2</v>
      </c>
      <c r="AB406" s="100">
        <v>46568</v>
      </c>
      <c r="AC406" s="96" t="s">
        <v>411</v>
      </c>
      <c r="AD406" s="96"/>
      <c r="AE406" s="96"/>
      <c r="AF406" s="96"/>
      <c r="AG406" s="100">
        <v>45291</v>
      </c>
      <c r="AH406" s="96"/>
      <c r="AI406" s="96"/>
      <c r="AJ406" s="96"/>
      <c r="AK406" s="96" t="s">
        <v>337</v>
      </c>
      <c r="AL406" s="96" t="s">
        <v>887</v>
      </c>
      <c r="AM406" s="96"/>
      <c r="AN406" s="96" t="s">
        <v>890</v>
      </c>
      <c r="AO406" s="100">
        <v>45473</v>
      </c>
      <c r="AP406" s="100">
        <v>45473</v>
      </c>
      <c r="AQ406" s="96"/>
      <c r="AR406" s="97">
        <v>101003.21</v>
      </c>
      <c r="AS406" s="97">
        <v>158</v>
      </c>
      <c r="AT406" s="97">
        <v>1</v>
      </c>
      <c r="AU406" s="97">
        <v>159.58507</v>
      </c>
      <c r="AV406" s="97">
        <v>159.58507</v>
      </c>
      <c r="AW406" s="96"/>
      <c r="AX406" s="96"/>
      <c r="AY406" s="96"/>
      <c r="AZ406" s="96"/>
      <c r="BA406" s="98">
        <v>1.042E-3</v>
      </c>
      <c r="BB406" s="98">
        <v>8.2999999999999998E-5</v>
      </c>
      <c r="BC406" s="106"/>
    </row>
    <row r="407" spans="1:55" ht="15" customHeight="1">
      <c r="A407" s="106"/>
      <c r="B407" s="96">
        <v>286</v>
      </c>
      <c r="C407" s="96">
        <v>286</v>
      </c>
      <c r="D407" s="96"/>
      <c r="E407" s="96"/>
      <c r="F407" s="96"/>
      <c r="G407" s="96">
        <v>9854</v>
      </c>
      <c r="H407" s="96" t="s">
        <v>1013</v>
      </c>
      <c r="I407" s="96" t="s">
        <v>813</v>
      </c>
      <c r="J407" s="96" t="s">
        <v>203</v>
      </c>
      <c r="K407" s="96"/>
      <c r="L407" s="96" t="s">
        <v>484</v>
      </c>
      <c r="M407" s="96" t="s">
        <v>338</v>
      </c>
      <c r="N407" s="96" t="s">
        <v>337</v>
      </c>
      <c r="O407" s="96"/>
      <c r="P407" s="100">
        <v>36799</v>
      </c>
      <c r="Q407" s="96" t="s">
        <v>1301</v>
      </c>
      <c r="R407" s="96" t="s">
        <v>414</v>
      </c>
      <c r="S407" s="96" t="s">
        <v>407</v>
      </c>
      <c r="T407" s="96" t="s">
        <v>1200</v>
      </c>
      <c r="U407" s="97">
        <v>1.7</v>
      </c>
      <c r="V407" s="96" t="s">
        <v>3678</v>
      </c>
      <c r="W407" s="98">
        <v>6.5000000000000002E-2</v>
      </c>
      <c r="X407" s="96"/>
      <c r="Y407" s="96"/>
      <c r="Z407" s="96"/>
      <c r="AA407" s="98">
        <v>2.1700000000000001E-2</v>
      </c>
      <c r="AB407" s="100">
        <v>46568</v>
      </c>
      <c r="AC407" s="96" t="s">
        <v>411</v>
      </c>
      <c r="AD407" s="96"/>
      <c r="AE407" s="96"/>
      <c r="AF407" s="96"/>
      <c r="AG407" s="100">
        <v>45291</v>
      </c>
      <c r="AH407" s="96"/>
      <c r="AI407" s="96"/>
      <c r="AJ407" s="96"/>
      <c r="AK407" s="96" t="s">
        <v>337</v>
      </c>
      <c r="AL407" s="96" t="s">
        <v>887</v>
      </c>
      <c r="AM407" s="96"/>
      <c r="AN407" s="96" t="s">
        <v>890</v>
      </c>
      <c r="AO407" s="100">
        <v>45473</v>
      </c>
      <c r="AP407" s="100">
        <v>45473</v>
      </c>
      <c r="AQ407" s="96"/>
      <c r="AR407" s="97">
        <v>99627.57</v>
      </c>
      <c r="AS407" s="97">
        <v>158</v>
      </c>
      <c r="AT407" s="97">
        <v>1</v>
      </c>
      <c r="AU407" s="97">
        <v>157.41156000000001</v>
      </c>
      <c r="AV407" s="97">
        <v>157.41156000000001</v>
      </c>
      <c r="AW407" s="96"/>
      <c r="AX407" s="96"/>
      <c r="AY407" s="96"/>
      <c r="AZ407" s="96"/>
      <c r="BA407" s="98">
        <v>1.0280000000000001E-3</v>
      </c>
      <c r="BB407" s="98">
        <v>8.1000000000000004E-5</v>
      </c>
      <c r="BC407" s="106"/>
    </row>
    <row r="408" spans="1:55" ht="15" customHeight="1">
      <c r="A408" s="106"/>
      <c r="B408" s="96">
        <v>286</v>
      </c>
      <c r="C408" s="96">
        <v>286</v>
      </c>
      <c r="D408" s="96"/>
      <c r="E408" s="96"/>
      <c r="F408" s="96"/>
      <c r="G408" s="96">
        <v>25200099</v>
      </c>
      <c r="H408" s="96" t="s">
        <v>1013</v>
      </c>
      <c r="I408" s="96" t="s">
        <v>813</v>
      </c>
      <c r="J408" s="96" t="s">
        <v>203</v>
      </c>
      <c r="K408" s="96"/>
      <c r="L408" s="96" t="s">
        <v>454</v>
      </c>
      <c r="M408" s="96" t="s">
        <v>338</v>
      </c>
      <c r="N408" s="96" t="s">
        <v>337</v>
      </c>
      <c r="O408" s="96"/>
      <c r="P408" s="100">
        <v>41911</v>
      </c>
      <c r="Q408" s="96" t="s">
        <v>1332</v>
      </c>
      <c r="R408" s="96" t="s">
        <v>412</v>
      </c>
      <c r="S408" s="96" t="s">
        <v>407</v>
      </c>
      <c r="T408" s="96" t="s">
        <v>1200</v>
      </c>
      <c r="U408" s="97">
        <v>3.49</v>
      </c>
      <c r="V408" s="96" t="s">
        <v>3678</v>
      </c>
      <c r="W408" s="98">
        <v>5.5E-2</v>
      </c>
      <c r="X408" s="96"/>
      <c r="Y408" s="96"/>
      <c r="Z408" s="96"/>
      <c r="AA408" s="98">
        <v>2.9899999999999999E-2</v>
      </c>
      <c r="AB408" s="100">
        <v>47994</v>
      </c>
      <c r="AC408" s="96" t="s">
        <v>411</v>
      </c>
      <c r="AD408" s="96"/>
      <c r="AE408" s="96"/>
      <c r="AF408" s="96"/>
      <c r="AG408" s="100">
        <v>45291</v>
      </c>
      <c r="AH408" s="96"/>
      <c r="AI408" s="96"/>
      <c r="AJ408" s="96"/>
      <c r="AK408" s="96" t="s">
        <v>337</v>
      </c>
      <c r="AL408" s="96" t="s">
        <v>887</v>
      </c>
      <c r="AM408" s="96"/>
      <c r="AN408" s="96" t="s">
        <v>890</v>
      </c>
      <c r="AO408" s="100">
        <v>45473</v>
      </c>
      <c r="AP408" s="100">
        <v>45473</v>
      </c>
      <c r="AQ408" s="96"/>
      <c r="AR408" s="97">
        <v>12957.13</v>
      </c>
      <c r="AS408" s="97">
        <v>122.32</v>
      </c>
      <c r="AT408" s="97">
        <v>1</v>
      </c>
      <c r="AU408" s="97">
        <v>15.849159999999999</v>
      </c>
      <c r="AV408" s="97">
        <v>15.849159999999999</v>
      </c>
      <c r="AW408" s="96"/>
      <c r="AX408" s="96"/>
      <c r="AY408" s="96"/>
      <c r="AZ408" s="96"/>
      <c r="BA408" s="98">
        <v>1.03E-4</v>
      </c>
      <c r="BB408" s="98">
        <v>7.9999999999999996E-6</v>
      </c>
      <c r="BC408" s="106"/>
    </row>
    <row r="409" spans="1:55" ht="15" customHeight="1">
      <c r="A409" s="106"/>
      <c r="B409" s="96">
        <v>286</v>
      </c>
      <c r="C409" s="96">
        <v>286</v>
      </c>
      <c r="D409" s="96"/>
      <c r="E409" s="96"/>
      <c r="F409" s="96"/>
      <c r="G409" s="96">
        <v>9853</v>
      </c>
      <c r="H409" s="96" t="s">
        <v>1013</v>
      </c>
      <c r="I409" s="96" t="s">
        <v>813</v>
      </c>
      <c r="J409" s="96" t="s">
        <v>203</v>
      </c>
      <c r="K409" s="96"/>
      <c r="L409" s="96" t="s">
        <v>484</v>
      </c>
      <c r="M409" s="96" t="s">
        <v>338</v>
      </c>
      <c r="N409" s="96" t="s">
        <v>337</v>
      </c>
      <c r="O409" s="96"/>
      <c r="P409" s="100">
        <v>36707</v>
      </c>
      <c r="Q409" s="96" t="s">
        <v>1301</v>
      </c>
      <c r="R409" s="96" t="s">
        <v>414</v>
      </c>
      <c r="S409" s="96" t="s">
        <v>407</v>
      </c>
      <c r="T409" s="96" t="s">
        <v>1200</v>
      </c>
      <c r="U409" s="97">
        <v>1.7</v>
      </c>
      <c r="V409" s="96" t="s">
        <v>3678</v>
      </c>
      <c r="W409" s="98">
        <v>6.5000000000000002E-2</v>
      </c>
      <c r="X409" s="96"/>
      <c r="Y409" s="96"/>
      <c r="Z409" s="96"/>
      <c r="AA409" s="98">
        <v>2.1700000000000001E-2</v>
      </c>
      <c r="AB409" s="100">
        <v>46568</v>
      </c>
      <c r="AC409" s="96" t="s">
        <v>411</v>
      </c>
      <c r="AD409" s="96"/>
      <c r="AE409" s="96"/>
      <c r="AF409" s="96"/>
      <c r="AG409" s="100">
        <v>45291</v>
      </c>
      <c r="AH409" s="96"/>
      <c r="AI409" s="96"/>
      <c r="AJ409" s="96"/>
      <c r="AK409" s="96" t="s">
        <v>337</v>
      </c>
      <c r="AL409" s="96" t="s">
        <v>887</v>
      </c>
      <c r="AM409" s="96"/>
      <c r="AN409" s="96" t="s">
        <v>890</v>
      </c>
      <c r="AO409" s="100">
        <v>45473</v>
      </c>
      <c r="AP409" s="100">
        <v>45473</v>
      </c>
      <c r="AQ409" s="96"/>
      <c r="AR409" s="97">
        <v>85371.49</v>
      </c>
      <c r="AS409" s="97">
        <v>158</v>
      </c>
      <c r="AT409" s="97">
        <v>1</v>
      </c>
      <c r="AU409" s="97">
        <v>134.88695000000001</v>
      </c>
      <c r="AV409" s="97">
        <v>134.88695000000001</v>
      </c>
      <c r="AW409" s="96"/>
      <c r="AX409" s="96"/>
      <c r="AY409" s="96"/>
      <c r="AZ409" s="96"/>
      <c r="BA409" s="98">
        <v>8.8099999999999995E-4</v>
      </c>
      <c r="BB409" s="98">
        <v>6.9999999999999994E-5</v>
      </c>
      <c r="BC409" s="106"/>
    </row>
    <row r="410" spans="1:55" ht="15" customHeight="1">
      <c r="A410" s="106"/>
      <c r="B410" s="96">
        <v>286</v>
      </c>
      <c r="C410" s="96">
        <v>286</v>
      </c>
      <c r="D410" s="96"/>
      <c r="E410" s="96"/>
      <c r="F410" s="96"/>
      <c r="G410" s="96">
        <v>9851</v>
      </c>
      <c r="H410" s="96" t="s">
        <v>1013</v>
      </c>
      <c r="I410" s="96" t="s">
        <v>813</v>
      </c>
      <c r="J410" s="96" t="s">
        <v>203</v>
      </c>
      <c r="K410" s="96"/>
      <c r="L410" s="96" t="s">
        <v>484</v>
      </c>
      <c r="M410" s="96" t="s">
        <v>338</v>
      </c>
      <c r="N410" s="96" t="s">
        <v>337</v>
      </c>
      <c r="O410" s="96"/>
      <c r="P410" s="100">
        <v>36524</v>
      </c>
      <c r="Q410" s="96" t="s">
        <v>1301</v>
      </c>
      <c r="R410" s="96" t="s">
        <v>414</v>
      </c>
      <c r="S410" s="96" t="s">
        <v>407</v>
      </c>
      <c r="T410" s="96" t="s">
        <v>1200</v>
      </c>
      <c r="U410" s="97">
        <v>1.7</v>
      </c>
      <c r="V410" s="96" t="s">
        <v>3678</v>
      </c>
      <c r="W410" s="98">
        <v>6.5000000000000002E-2</v>
      </c>
      <c r="X410" s="96"/>
      <c r="Y410" s="96"/>
      <c r="Z410" s="96"/>
      <c r="AA410" s="98">
        <v>2.1700000000000001E-2</v>
      </c>
      <c r="AB410" s="100">
        <v>46568</v>
      </c>
      <c r="AC410" s="96" t="s">
        <v>411</v>
      </c>
      <c r="AD410" s="96"/>
      <c r="AE410" s="96"/>
      <c r="AF410" s="96"/>
      <c r="AG410" s="100">
        <v>45291</v>
      </c>
      <c r="AH410" s="96"/>
      <c r="AI410" s="96"/>
      <c r="AJ410" s="96"/>
      <c r="AK410" s="96" t="s">
        <v>337</v>
      </c>
      <c r="AL410" s="96" t="s">
        <v>887</v>
      </c>
      <c r="AM410" s="96"/>
      <c r="AN410" s="96" t="s">
        <v>890</v>
      </c>
      <c r="AO410" s="100">
        <v>45473</v>
      </c>
      <c r="AP410" s="100">
        <v>45473</v>
      </c>
      <c r="AQ410" s="96"/>
      <c r="AR410" s="97">
        <v>6621.53</v>
      </c>
      <c r="AS410" s="97">
        <v>158.15</v>
      </c>
      <c r="AT410" s="97">
        <v>1</v>
      </c>
      <c r="AU410" s="97">
        <v>10.47195</v>
      </c>
      <c r="AV410" s="97">
        <v>10.47195</v>
      </c>
      <c r="AW410" s="96"/>
      <c r="AX410" s="96"/>
      <c r="AY410" s="96"/>
      <c r="AZ410" s="96"/>
      <c r="BA410" s="98">
        <v>6.7999999999999999E-5</v>
      </c>
      <c r="BB410" s="98">
        <v>5.0000000000000004E-6</v>
      </c>
      <c r="BC410" s="106"/>
    </row>
    <row r="411" spans="1:55" ht="15" customHeight="1">
      <c r="A411" s="106"/>
      <c r="B411" s="96">
        <v>286</v>
      </c>
      <c r="C411" s="96">
        <v>286</v>
      </c>
      <c r="D411" s="96"/>
      <c r="E411" s="96"/>
      <c r="F411" s="96"/>
      <c r="G411" s="96">
        <v>9850</v>
      </c>
      <c r="H411" s="96" t="s">
        <v>1013</v>
      </c>
      <c r="I411" s="96" t="s">
        <v>813</v>
      </c>
      <c r="J411" s="96" t="s">
        <v>203</v>
      </c>
      <c r="K411" s="96"/>
      <c r="L411" s="96" t="s">
        <v>484</v>
      </c>
      <c r="M411" s="96" t="s">
        <v>338</v>
      </c>
      <c r="N411" s="96" t="s">
        <v>337</v>
      </c>
      <c r="O411" s="96"/>
      <c r="P411" s="100">
        <v>36461</v>
      </c>
      <c r="Q411" s="96" t="s">
        <v>1301</v>
      </c>
      <c r="R411" s="96" t="s">
        <v>414</v>
      </c>
      <c r="S411" s="96" t="s">
        <v>407</v>
      </c>
      <c r="T411" s="96" t="s">
        <v>1200</v>
      </c>
      <c r="U411" s="97">
        <v>1.7</v>
      </c>
      <c r="V411" s="96" t="s">
        <v>3678</v>
      </c>
      <c r="W411" s="98">
        <v>6.5000000000000002E-2</v>
      </c>
      <c r="X411" s="96"/>
      <c r="Y411" s="96"/>
      <c r="Z411" s="96"/>
      <c r="AA411" s="98">
        <v>2.1700000000000001E-2</v>
      </c>
      <c r="AB411" s="100">
        <v>46568</v>
      </c>
      <c r="AC411" s="96" t="s">
        <v>411</v>
      </c>
      <c r="AD411" s="96"/>
      <c r="AE411" s="96"/>
      <c r="AF411" s="96"/>
      <c r="AG411" s="100">
        <v>45291</v>
      </c>
      <c r="AH411" s="96"/>
      <c r="AI411" s="96"/>
      <c r="AJ411" s="96"/>
      <c r="AK411" s="96" t="s">
        <v>337</v>
      </c>
      <c r="AL411" s="96" t="s">
        <v>887</v>
      </c>
      <c r="AM411" s="96"/>
      <c r="AN411" s="96" t="s">
        <v>890</v>
      </c>
      <c r="AO411" s="100">
        <v>45473</v>
      </c>
      <c r="AP411" s="100">
        <v>45473</v>
      </c>
      <c r="AQ411" s="96"/>
      <c r="AR411" s="97">
        <v>172071.6</v>
      </c>
      <c r="AS411" s="97">
        <v>158.9</v>
      </c>
      <c r="AT411" s="97">
        <v>1</v>
      </c>
      <c r="AU411" s="97">
        <v>273.42176999999998</v>
      </c>
      <c r="AV411" s="97">
        <v>273.42176999999998</v>
      </c>
      <c r="AW411" s="96"/>
      <c r="AX411" s="96"/>
      <c r="AY411" s="96"/>
      <c r="AZ411" s="96"/>
      <c r="BA411" s="98">
        <v>1.786E-3</v>
      </c>
      <c r="BB411" s="98">
        <v>1.4200000000000001E-4</v>
      </c>
      <c r="BC411" s="106"/>
    </row>
    <row r="412" spans="1:55" ht="15" customHeight="1">
      <c r="A412" s="106"/>
      <c r="B412" s="96">
        <v>286</v>
      </c>
      <c r="C412" s="96">
        <v>286</v>
      </c>
      <c r="D412" s="96"/>
      <c r="E412" s="96"/>
      <c r="F412" s="96"/>
      <c r="G412" s="96">
        <v>97214</v>
      </c>
      <c r="H412" s="96" t="s">
        <v>1013</v>
      </c>
      <c r="I412" s="96" t="s">
        <v>813</v>
      </c>
      <c r="J412" s="96" t="s">
        <v>203</v>
      </c>
      <c r="K412" s="96"/>
      <c r="L412" s="96" t="s">
        <v>484</v>
      </c>
      <c r="M412" s="96" t="s">
        <v>338</v>
      </c>
      <c r="N412" s="96" t="s">
        <v>337</v>
      </c>
      <c r="O412" s="96"/>
      <c r="P412" s="100">
        <v>39261</v>
      </c>
      <c r="Q412" s="96" t="s">
        <v>1336</v>
      </c>
      <c r="R412" s="96" t="s">
        <v>414</v>
      </c>
      <c r="S412" s="96" t="s">
        <v>407</v>
      </c>
      <c r="T412" s="96" t="s">
        <v>1200</v>
      </c>
      <c r="U412" s="97">
        <v>1.7</v>
      </c>
      <c r="V412" s="96" t="s">
        <v>3678</v>
      </c>
      <c r="W412" s="98">
        <v>4.7039999999999998E-2</v>
      </c>
      <c r="X412" s="96"/>
      <c r="Y412" s="96"/>
      <c r="Z412" s="96"/>
      <c r="AA412" s="98">
        <v>3.9100000000000003E-2</v>
      </c>
      <c r="AB412" s="100">
        <v>46568</v>
      </c>
      <c r="AC412" s="96" t="s">
        <v>411</v>
      </c>
      <c r="AD412" s="96"/>
      <c r="AE412" s="96"/>
      <c r="AF412" s="96"/>
      <c r="AG412" s="100">
        <v>45291</v>
      </c>
      <c r="AH412" s="96"/>
      <c r="AI412" s="96"/>
      <c r="AJ412" s="96"/>
      <c r="AK412" s="96" t="s">
        <v>337</v>
      </c>
      <c r="AL412" s="96" t="s">
        <v>887</v>
      </c>
      <c r="AM412" s="96"/>
      <c r="AN412" s="96" t="s">
        <v>890</v>
      </c>
      <c r="AO412" s="100">
        <v>45473</v>
      </c>
      <c r="AP412" s="100">
        <v>45473</v>
      </c>
      <c r="AQ412" s="96"/>
      <c r="AR412" s="97">
        <v>515525.52</v>
      </c>
      <c r="AS412" s="97">
        <v>138.68</v>
      </c>
      <c r="AT412" s="97">
        <v>1</v>
      </c>
      <c r="AU412" s="97">
        <v>714.93079</v>
      </c>
      <c r="AV412" s="97">
        <v>714.93079</v>
      </c>
      <c r="AW412" s="96"/>
      <c r="AX412" s="96"/>
      <c r="AY412" s="96"/>
      <c r="AZ412" s="96"/>
      <c r="BA412" s="98">
        <v>4.6709999999999998E-3</v>
      </c>
      <c r="BB412" s="98">
        <v>3.7199999999999999E-4</v>
      </c>
      <c r="BC412" s="106"/>
    </row>
    <row r="413" spans="1:55" ht="15" customHeight="1">
      <c r="A413" s="106"/>
      <c r="B413" s="96">
        <v>286</v>
      </c>
      <c r="C413" s="96">
        <v>286</v>
      </c>
      <c r="D413" s="96"/>
      <c r="E413" s="96"/>
      <c r="F413" s="96"/>
      <c r="G413" s="96">
        <v>25200204</v>
      </c>
      <c r="H413" s="96" t="s">
        <v>1013</v>
      </c>
      <c r="I413" s="96" t="s">
        <v>813</v>
      </c>
      <c r="J413" s="96" t="s">
        <v>203</v>
      </c>
      <c r="K413" s="96"/>
      <c r="L413" s="96" t="s">
        <v>454</v>
      </c>
      <c r="M413" s="96" t="s">
        <v>338</v>
      </c>
      <c r="N413" s="96" t="s">
        <v>337</v>
      </c>
      <c r="O413" s="96"/>
      <c r="P413" s="100">
        <v>41085</v>
      </c>
      <c r="Q413" s="96" t="s">
        <v>1332</v>
      </c>
      <c r="R413" s="96" t="s">
        <v>412</v>
      </c>
      <c r="S413" s="96" t="s">
        <v>407</v>
      </c>
      <c r="T413" s="96" t="s">
        <v>1200</v>
      </c>
      <c r="U413" s="97">
        <v>3.49</v>
      </c>
      <c r="V413" s="96" t="s">
        <v>3678</v>
      </c>
      <c r="W413" s="98">
        <v>5.5E-2</v>
      </c>
      <c r="X413" s="96"/>
      <c r="Y413" s="96"/>
      <c r="Z413" s="96"/>
      <c r="AA413" s="98">
        <v>0.03</v>
      </c>
      <c r="AB413" s="100">
        <v>47994</v>
      </c>
      <c r="AC413" s="96" t="s">
        <v>411</v>
      </c>
      <c r="AD413" s="96"/>
      <c r="AE413" s="96"/>
      <c r="AF413" s="96"/>
      <c r="AG413" s="100">
        <v>45291</v>
      </c>
      <c r="AH413" s="96"/>
      <c r="AI413" s="96"/>
      <c r="AJ413" s="96"/>
      <c r="AK413" s="96" t="s">
        <v>337</v>
      </c>
      <c r="AL413" s="96" t="s">
        <v>887</v>
      </c>
      <c r="AM413" s="96"/>
      <c r="AN413" s="96" t="s">
        <v>890</v>
      </c>
      <c r="AO413" s="100">
        <v>45473</v>
      </c>
      <c r="AP413" s="100">
        <v>45473</v>
      </c>
      <c r="AQ413" s="96"/>
      <c r="AR413" s="97">
        <v>13272.32</v>
      </c>
      <c r="AS413" s="97">
        <v>124.99</v>
      </c>
      <c r="AT413" s="97">
        <v>1</v>
      </c>
      <c r="AU413" s="97">
        <v>16.58907</v>
      </c>
      <c r="AV413" s="97">
        <v>16.58907</v>
      </c>
      <c r="AW413" s="96"/>
      <c r="AX413" s="96"/>
      <c r="AY413" s="96"/>
      <c r="AZ413" s="96"/>
      <c r="BA413" s="98">
        <v>1.08E-4</v>
      </c>
      <c r="BB413" s="98">
        <v>7.9999999999999996E-6</v>
      </c>
      <c r="BC413" s="106"/>
    </row>
    <row r="414" spans="1:55" ht="15" customHeight="1">
      <c r="A414" s="106"/>
      <c r="B414" s="96">
        <v>286</v>
      </c>
      <c r="C414" s="96">
        <v>286</v>
      </c>
      <c r="D414" s="96"/>
      <c r="E414" s="96"/>
      <c r="F414" s="96"/>
      <c r="G414" s="96">
        <v>25200203</v>
      </c>
      <c r="H414" s="96" t="s">
        <v>1013</v>
      </c>
      <c r="I414" s="96" t="s">
        <v>813</v>
      </c>
      <c r="J414" s="96" t="s">
        <v>203</v>
      </c>
      <c r="K414" s="96"/>
      <c r="L414" s="96" t="s">
        <v>454</v>
      </c>
      <c r="M414" s="96" t="s">
        <v>338</v>
      </c>
      <c r="N414" s="96" t="s">
        <v>337</v>
      </c>
      <c r="O414" s="96"/>
      <c r="P414" s="100">
        <v>42565</v>
      </c>
      <c r="Q414" s="96" t="s">
        <v>1332</v>
      </c>
      <c r="R414" s="96" t="s">
        <v>412</v>
      </c>
      <c r="S414" s="96" t="s">
        <v>407</v>
      </c>
      <c r="T414" s="96" t="s">
        <v>1200</v>
      </c>
      <c r="U414" s="97">
        <v>3.49</v>
      </c>
      <c r="V414" s="96" t="s">
        <v>3678</v>
      </c>
      <c r="W414" s="98">
        <v>5.5E-2</v>
      </c>
      <c r="X414" s="96"/>
      <c r="Y414" s="96"/>
      <c r="Z414" s="96"/>
      <c r="AA414" s="98">
        <v>0.03</v>
      </c>
      <c r="AB414" s="100">
        <v>47994</v>
      </c>
      <c r="AC414" s="96" t="s">
        <v>411</v>
      </c>
      <c r="AD414" s="96"/>
      <c r="AE414" s="96"/>
      <c r="AF414" s="96"/>
      <c r="AG414" s="100">
        <v>45291</v>
      </c>
      <c r="AH414" s="96"/>
      <c r="AI414" s="96"/>
      <c r="AJ414" s="96"/>
      <c r="AK414" s="96" t="s">
        <v>337</v>
      </c>
      <c r="AL414" s="96" t="s">
        <v>887</v>
      </c>
      <c r="AM414" s="96"/>
      <c r="AN414" s="96" t="s">
        <v>890</v>
      </c>
      <c r="AO414" s="100">
        <v>45473</v>
      </c>
      <c r="AP414" s="100">
        <v>45473</v>
      </c>
      <c r="AQ414" s="96"/>
      <c r="AR414" s="97">
        <v>211066.28</v>
      </c>
      <c r="AS414" s="97">
        <v>124.15</v>
      </c>
      <c r="AT414" s="97">
        <v>1</v>
      </c>
      <c r="AU414" s="97">
        <v>262.03877999999997</v>
      </c>
      <c r="AV414" s="97">
        <v>262.03877999999997</v>
      </c>
      <c r="AW414" s="96"/>
      <c r="AX414" s="96"/>
      <c r="AY414" s="96"/>
      <c r="AZ414" s="96"/>
      <c r="BA414" s="98">
        <v>1.712E-3</v>
      </c>
      <c r="BB414" s="98">
        <v>1.36E-4</v>
      </c>
      <c r="BC414" s="106"/>
    </row>
    <row r="415" spans="1:55" ht="15" customHeight="1">
      <c r="A415" s="106"/>
      <c r="B415" s="96">
        <v>286</v>
      </c>
      <c r="C415" s="96">
        <v>286</v>
      </c>
      <c r="D415" s="96"/>
      <c r="E415" s="96"/>
      <c r="F415" s="96"/>
      <c r="G415" s="96">
        <v>25200102</v>
      </c>
      <c r="H415" s="96" t="s">
        <v>1013</v>
      </c>
      <c r="I415" s="96" t="s">
        <v>813</v>
      </c>
      <c r="J415" s="96" t="s">
        <v>203</v>
      </c>
      <c r="K415" s="96"/>
      <c r="L415" s="96" t="s">
        <v>454</v>
      </c>
      <c r="M415" s="96" t="s">
        <v>338</v>
      </c>
      <c r="N415" s="96" t="s">
        <v>337</v>
      </c>
      <c r="O415" s="96"/>
      <c r="P415" s="100">
        <v>41057</v>
      </c>
      <c r="Q415" s="96" t="s">
        <v>1332</v>
      </c>
      <c r="R415" s="96" t="s">
        <v>412</v>
      </c>
      <c r="S415" s="96" t="s">
        <v>407</v>
      </c>
      <c r="T415" s="96" t="s">
        <v>1200</v>
      </c>
      <c r="U415" s="97">
        <v>3.49</v>
      </c>
      <c r="V415" s="96" t="s">
        <v>3678</v>
      </c>
      <c r="W415" s="98">
        <v>5.5E-2</v>
      </c>
      <c r="X415" s="96"/>
      <c r="Y415" s="96"/>
      <c r="Z415" s="96"/>
      <c r="AA415" s="98">
        <v>3.0599999999999999E-2</v>
      </c>
      <c r="AB415" s="100">
        <v>47994</v>
      </c>
      <c r="AC415" s="96" t="s">
        <v>411</v>
      </c>
      <c r="AD415" s="96"/>
      <c r="AE415" s="96"/>
      <c r="AF415" s="96"/>
      <c r="AG415" s="100">
        <v>45291</v>
      </c>
      <c r="AH415" s="96"/>
      <c r="AI415" s="96"/>
      <c r="AJ415" s="96"/>
      <c r="AK415" s="96" t="s">
        <v>337</v>
      </c>
      <c r="AL415" s="96" t="s">
        <v>887</v>
      </c>
      <c r="AM415" s="96"/>
      <c r="AN415" s="96" t="s">
        <v>890</v>
      </c>
      <c r="AO415" s="100">
        <v>45473</v>
      </c>
      <c r="AP415" s="100">
        <v>45473</v>
      </c>
      <c r="AQ415" s="96"/>
      <c r="AR415" s="97">
        <v>160092.34</v>
      </c>
      <c r="AS415" s="97">
        <v>124.72</v>
      </c>
      <c r="AT415" s="97">
        <v>1</v>
      </c>
      <c r="AU415" s="97">
        <v>199.66717</v>
      </c>
      <c r="AV415" s="97">
        <v>199.66717</v>
      </c>
      <c r="AW415" s="96"/>
      <c r="AX415" s="96"/>
      <c r="AY415" s="96"/>
      <c r="AZ415" s="96"/>
      <c r="BA415" s="98">
        <v>1.304E-3</v>
      </c>
      <c r="BB415" s="98">
        <v>1.03E-4</v>
      </c>
      <c r="BC415" s="106"/>
    </row>
    <row r="416" spans="1:55" ht="15" customHeight="1">
      <c r="A416" s="106"/>
      <c r="B416" s="96">
        <v>286</v>
      </c>
      <c r="C416" s="96">
        <v>286</v>
      </c>
      <c r="D416" s="96"/>
      <c r="E416" s="96"/>
      <c r="F416" s="96"/>
      <c r="G416" s="96">
        <v>25200101</v>
      </c>
      <c r="H416" s="96" t="s">
        <v>1013</v>
      </c>
      <c r="I416" s="96" t="s">
        <v>813</v>
      </c>
      <c r="J416" s="96" t="s">
        <v>203</v>
      </c>
      <c r="K416" s="96"/>
      <c r="L416" s="96" t="s">
        <v>454</v>
      </c>
      <c r="M416" s="96" t="s">
        <v>338</v>
      </c>
      <c r="N416" s="96" t="s">
        <v>337</v>
      </c>
      <c r="O416" s="96"/>
      <c r="P416" s="100">
        <v>40952</v>
      </c>
      <c r="Q416" s="96" t="s">
        <v>1332</v>
      </c>
      <c r="R416" s="96" t="s">
        <v>412</v>
      </c>
      <c r="S416" s="96" t="s">
        <v>407</v>
      </c>
      <c r="T416" s="96" t="s">
        <v>1200</v>
      </c>
      <c r="U416" s="97">
        <v>3.5</v>
      </c>
      <c r="V416" s="96" t="s">
        <v>3678</v>
      </c>
      <c r="W416" s="98">
        <v>5.0999999999999997E-2</v>
      </c>
      <c r="X416" s="96"/>
      <c r="Y416" s="96"/>
      <c r="Z416" s="96"/>
      <c r="AA416" s="98">
        <v>3.0300000000000001E-2</v>
      </c>
      <c r="AB416" s="100">
        <v>47994</v>
      </c>
      <c r="AC416" s="96" t="s">
        <v>411</v>
      </c>
      <c r="AD416" s="96"/>
      <c r="AE416" s="96"/>
      <c r="AF416" s="96"/>
      <c r="AG416" s="100">
        <v>45291</v>
      </c>
      <c r="AH416" s="96"/>
      <c r="AI416" s="96"/>
      <c r="AJ416" s="96"/>
      <c r="AK416" s="96" t="s">
        <v>337</v>
      </c>
      <c r="AL416" s="96" t="s">
        <v>887</v>
      </c>
      <c r="AM416" s="96"/>
      <c r="AN416" s="96" t="s">
        <v>890</v>
      </c>
      <c r="AO416" s="100">
        <v>45473</v>
      </c>
      <c r="AP416" s="100">
        <v>45473</v>
      </c>
      <c r="AQ416" s="96"/>
      <c r="AR416" s="97">
        <v>159342.24</v>
      </c>
      <c r="AS416" s="97">
        <v>126.4</v>
      </c>
      <c r="AT416" s="97">
        <v>1</v>
      </c>
      <c r="AU416" s="97">
        <v>201.40859</v>
      </c>
      <c r="AV416" s="97">
        <v>201.40859</v>
      </c>
      <c r="AW416" s="96"/>
      <c r="AX416" s="96"/>
      <c r="AY416" s="96"/>
      <c r="AZ416" s="96"/>
      <c r="BA416" s="98">
        <v>1.3159999999999999E-3</v>
      </c>
      <c r="BB416" s="98">
        <v>1.0399999999999999E-4</v>
      </c>
      <c r="BC416" s="106"/>
    </row>
    <row r="417" spans="1:55" ht="15" customHeight="1">
      <c r="A417" s="106"/>
      <c r="B417" s="96">
        <v>286</v>
      </c>
      <c r="C417" s="96">
        <v>286</v>
      </c>
      <c r="D417" s="96"/>
      <c r="E417" s="96"/>
      <c r="F417" s="96"/>
      <c r="G417" s="96">
        <v>9852</v>
      </c>
      <c r="H417" s="96" t="s">
        <v>1013</v>
      </c>
      <c r="I417" s="96" t="s">
        <v>813</v>
      </c>
      <c r="J417" s="96" t="s">
        <v>203</v>
      </c>
      <c r="K417" s="96"/>
      <c r="L417" s="96" t="s">
        <v>484</v>
      </c>
      <c r="M417" s="96" t="s">
        <v>338</v>
      </c>
      <c r="N417" s="96" t="s">
        <v>337</v>
      </c>
      <c r="O417" s="96"/>
      <c r="P417" s="100">
        <v>36615</v>
      </c>
      <c r="Q417" s="96" t="s">
        <v>1301</v>
      </c>
      <c r="R417" s="96" t="s">
        <v>414</v>
      </c>
      <c r="S417" s="96" t="s">
        <v>407</v>
      </c>
      <c r="T417" s="96" t="s">
        <v>1200</v>
      </c>
      <c r="U417" s="97">
        <v>1.7</v>
      </c>
      <c r="V417" s="96" t="s">
        <v>3678</v>
      </c>
      <c r="W417" s="98">
        <v>6.5000000000000002E-2</v>
      </c>
      <c r="X417" s="96"/>
      <c r="Y417" s="96"/>
      <c r="Z417" s="96"/>
      <c r="AA417" s="98">
        <v>2.1700000000000001E-2</v>
      </c>
      <c r="AB417" s="100">
        <v>46568</v>
      </c>
      <c r="AC417" s="96" t="s">
        <v>411</v>
      </c>
      <c r="AD417" s="96"/>
      <c r="AE417" s="96"/>
      <c r="AF417" s="96"/>
      <c r="AG417" s="100">
        <v>45291</v>
      </c>
      <c r="AH417" s="96"/>
      <c r="AI417" s="96"/>
      <c r="AJ417" s="96"/>
      <c r="AK417" s="96" t="s">
        <v>337</v>
      </c>
      <c r="AL417" s="96" t="s">
        <v>887</v>
      </c>
      <c r="AM417" s="96"/>
      <c r="AN417" s="96" t="s">
        <v>890</v>
      </c>
      <c r="AO417" s="100">
        <v>45473</v>
      </c>
      <c r="AP417" s="100">
        <v>45473</v>
      </c>
      <c r="AQ417" s="96"/>
      <c r="AR417" s="97">
        <v>74496.210000000006</v>
      </c>
      <c r="AS417" s="97">
        <v>159.65</v>
      </c>
      <c r="AT417" s="97">
        <v>1</v>
      </c>
      <c r="AU417" s="97">
        <v>118.9332</v>
      </c>
      <c r="AV417" s="97">
        <v>118.9332</v>
      </c>
      <c r="AW417" s="96"/>
      <c r="AX417" s="96"/>
      <c r="AY417" s="96"/>
      <c r="AZ417" s="96"/>
      <c r="BA417" s="98">
        <v>7.7700000000000002E-4</v>
      </c>
      <c r="BB417" s="98">
        <v>6.0999999999999999E-5</v>
      </c>
      <c r="BC417" s="106"/>
    </row>
    <row r="418" spans="1:55" ht="15" customHeight="1">
      <c r="A418" s="106"/>
      <c r="B418" s="96">
        <v>286</v>
      </c>
      <c r="C418" s="96">
        <v>286</v>
      </c>
      <c r="D418" s="96"/>
      <c r="E418" s="96"/>
      <c r="F418" s="96"/>
      <c r="G418" s="96">
        <v>25200022</v>
      </c>
      <c r="H418" s="96" t="s">
        <v>1013</v>
      </c>
      <c r="I418" s="96" t="s">
        <v>813</v>
      </c>
      <c r="J418" s="96" t="s">
        <v>203</v>
      </c>
      <c r="K418" s="96"/>
      <c r="L418" s="96" t="s">
        <v>454</v>
      </c>
      <c r="M418" s="96" t="s">
        <v>338</v>
      </c>
      <c r="N418" s="96" t="s">
        <v>337</v>
      </c>
      <c r="O418" s="96"/>
      <c r="P418" s="100">
        <v>41115</v>
      </c>
      <c r="Q418" s="96" t="s">
        <v>1332</v>
      </c>
      <c r="R418" s="96" t="s">
        <v>412</v>
      </c>
      <c r="S418" s="96" t="s">
        <v>407</v>
      </c>
      <c r="T418" s="96" t="s">
        <v>1200</v>
      </c>
      <c r="U418" s="97">
        <v>3.49</v>
      </c>
      <c r="V418" s="96" t="s">
        <v>3678</v>
      </c>
      <c r="W418" s="98">
        <v>5.5E-2</v>
      </c>
      <c r="X418" s="96"/>
      <c r="Y418" s="96"/>
      <c r="Z418" s="96"/>
      <c r="AA418" s="98">
        <v>3.0099999999999998E-2</v>
      </c>
      <c r="AB418" s="100">
        <v>47994</v>
      </c>
      <c r="AC418" s="96" t="s">
        <v>411</v>
      </c>
      <c r="AD418" s="96"/>
      <c r="AE418" s="96"/>
      <c r="AF418" s="96"/>
      <c r="AG418" s="100">
        <v>45291</v>
      </c>
      <c r="AH418" s="96"/>
      <c r="AI418" s="96"/>
      <c r="AJ418" s="96"/>
      <c r="AK418" s="96" t="s">
        <v>337</v>
      </c>
      <c r="AL418" s="96" t="s">
        <v>887</v>
      </c>
      <c r="AM418" s="96"/>
      <c r="AN418" s="96" t="s">
        <v>890</v>
      </c>
      <c r="AO418" s="100">
        <v>45473</v>
      </c>
      <c r="AP418" s="100">
        <v>45473</v>
      </c>
      <c r="AQ418" s="96"/>
      <c r="AR418" s="97">
        <v>52471.39</v>
      </c>
      <c r="AS418" s="97">
        <v>125.3</v>
      </c>
      <c r="AT418" s="97">
        <v>1</v>
      </c>
      <c r="AU418" s="97">
        <v>65.746650000000002</v>
      </c>
      <c r="AV418" s="97">
        <v>65.746650000000002</v>
      </c>
      <c r="AW418" s="96"/>
      <c r="AX418" s="96"/>
      <c r="AY418" s="96"/>
      <c r="AZ418" s="96"/>
      <c r="BA418" s="98">
        <v>4.2900000000000002E-4</v>
      </c>
      <c r="BB418" s="98">
        <v>3.4E-5</v>
      </c>
      <c r="BC418" s="106"/>
    </row>
    <row r="419" spans="1:55" ht="15" customHeight="1">
      <c r="A419" s="106"/>
      <c r="B419" s="96">
        <v>286</v>
      </c>
      <c r="C419" s="96">
        <v>286</v>
      </c>
      <c r="D419" s="96"/>
      <c r="E419" s="96"/>
      <c r="F419" s="96"/>
      <c r="G419" s="96">
        <v>25200021</v>
      </c>
      <c r="H419" s="96" t="s">
        <v>1013</v>
      </c>
      <c r="I419" s="96" t="s">
        <v>813</v>
      </c>
      <c r="J419" s="96" t="s">
        <v>203</v>
      </c>
      <c r="K419" s="96"/>
      <c r="L419" s="96" t="s">
        <v>454</v>
      </c>
      <c r="M419" s="96" t="s">
        <v>338</v>
      </c>
      <c r="N419" s="96" t="s">
        <v>337</v>
      </c>
      <c r="O419" s="96"/>
      <c r="P419" s="100">
        <v>41085</v>
      </c>
      <c r="Q419" s="96" t="s">
        <v>1332</v>
      </c>
      <c r="R419" s="96" t="s">
        <v>412</v>
      </c>
      <c r="S419" s="96" t="s">
        <v>407</v>
      </c>
      <c r="T419" s="96" t="s">
        <v>1200</v>
      </c>
      <c r="U419" s="97">
        <v>3.49</v>
      </c>
      <c r="V419" s="96" t="s">
        <v>3678</v>
      </c>
      <c r="W419" s="98">
        <v>5.0999999999999997E-2</v>
      </c>
      <c r="X419" s="96"/>
      <c r="Y419" s="96"/>
      <c r="Z419" s="96"/>
      <c r="AA419" s="98">
        <v>0.03</v>
      </c>
      <c r="AB419" s="100">
        <v>47994</v>
      </c>
      <c r="AC419" s="96" t="s">
        <v>411</v>
      </c>
      <c r="AD419" s="96"/>
      <c r="AE419" s="96"/>
      <c r="AF419" s="96"/>
      <c r="AG419" s="100">
        <v>45291</v>
      </c>
      <c r="AH419" s="96"/>
      <c r="AI419" s="96"/>
      <c r="AJ419" s="96"/>
      <c r="AK419" s="96" t="s">
        <v>337</v>
      </c>
      <c r="AL419" s="96" t="s">
        <v>887</v>
      </c>
      <c r="AM419" s="96"/>
      <c r="AN419" s="96" t="s">
        <v>890</v>
      </c>
      <c r="AO419" s="100">
        <v>45473</v>
      </c>
      <c r="AP419" s="100">
        <v>45473</v>
      </c>
      <c r="AQ419" s="96"/>
      <c r="AR419" s="97">
        <v>120407.83</v>
      </c>
      <c r="AS419" s="97">
        <v>124.99</v>
      </c>
      <c r="AT419" s="97">
        <v>1</v>
      </c>
      <c r="AU419" s="97">
        <v>150.49775</v>
      </c>
      <c r="AV419" s="97">
        <v>150.49775</v>
      </c>
      <c r="AW419" s="96"/>
      <c r="AX419" s="96"/>
      <c r="AY419" s="96"/>
      <c r="AZ419" s="96"/>
      <c r="BA419" s="98">
        <v>9.8299999999999993E-4</v>
      </c>
      <c r="BB419" s="98">
        <v>7.7999999999999999E-5</v>
      </c>
      <c r="BC419" s="106"/>
    </row>
    <row r="420" spans="1:55" ht="15" customHeight="1">
      <c r="A420" s="106"/>
      <c r="B420" s="96">
        <v>286</v>
      </c>
      <c r="C420" s="96">
        <v>286</v>
      </c>
      <c r="D420" s="96"/>
      <c r="E420" s="96"/>
      <c r="F420" s="96"/>
      <c r="G420" s="96">
        <v>25100355</v>
      </c>
      <c r="H420" s="96" t="s">
        <v>1013</v>
      </c>
      <c r="I420" s="96" t="s">
        <v>812</v>
      </c>
      <c r="J420" s="96" t="s">
        <v>203</v>
      </c>
      <c r="K420" s="96"/>
      <c r="L420" s="96" t="s">
        <v>463</v>
      </c>
      <c r="M420" s="96" t="s">
        <v>338</v>
      </c>
      <c r="N420" s="96" t="s">
        <v>337</v>
      </c>
      <c r="O420" s="96"/>
      <c r="P420" s="100">
        <v>45468</v>
      </c>
      <c r="Q420" s="96" t="s">
        <v>1357</v>
      </c>
      <c r="R420" s="96" t="s">
        <v>414</v>
      </c>
      <c r="S420" s="96" t="s">
        <v>407</v>
      </c>
      <c r="T420" s="96" t="s">
        <v>1202</v>
      </c>
      <c r="U420" s="97">
        <v>9.2799999999999994</v>
      </c>
      <c r="V420" s="96" t="s">
        <v>824</v>
      </c>
      <c r="W420" s="98">
        <v>5.7860000000000002E-2</v>
      </c>
      <c r="X420" s="96"/>
      <c r="Y420" s="96"/>
      <c r="Z420" s="96"/>
      <c r="AA420" s="98">
        <v>5.11E-2</v>
      </c>
      <c r="AB420" s="100">
        <v>53321</v>
      </c>
      <c r="AC420" s="96" t="s">
        <v>411</v>
      </c>
      <c r="AD420" s="96"/>
      <c r="AE420" s="96"/>
      <c r="AF420" s="96"/>
      <c r="AG420" s="100">
        <v>45291</v>
      </c>
      <c r="AH420" s="96"/>
      <c r="AI420" s="96"/>
      <c r="AJ420" s="96"/>
      <c r="AK420" s="96" t="s">
        <v>337</v>
      </c>
      <c r="AL420" s="96" t="s">
        <v>887</v>
      </c>
      <c r="AM420" s="96"/>
      <c r="AN420" s="96" t="s">
        <v>890</v>
      </c>
      <c r="AO420" s="100">
        <v>45473</v>
      </c>
      <c r="AP420" s="100">
        <v>45473</v>
      </c>
      <c r="AQ420" s="96"/>
      <c r="AR420" s="97">
        <v>9973.1232</v>
      </c>
      <c r="AS420" s="97">
        <v>99.78</v>
      </c>
      <c r="AT420" s="97">
        <v>4.0202</v>
      </c>
      <c r="AU420" s="97">
        <v>40.005743000000002</v>
      </c>
      <c r="AV420" s="97">
        <v>9.9511819999999993</v>
      </c>
      <c r="AW420" s="96"/>
      <c r="AX420" s="96"/>
      <c r="AY420" s="96"/>
      <c r="AZ420" s="96"/>
      <c r="BA420" s="98">
        <v>2.61E-4</v>
      </c>
      <c r="BB420" s="98">
        <v>2.0000000000000002E-5</v>
      </c>
      <c r="BC420" s="106"/>
    </row>
    <row r="421" spans="1:55" ht="15" customHeight="1">
      <c r="A421" s="106"/>
      <c r="B421" s="96">
        <v>286</v>
      </c>
      <c r="C421" s="96">
        <v>286</v>
      </c>
      <c r="D421" s="96"/>
      <c r="E421" s="96"/>
      <c r="F421" s="96"/>
      <c r="G421" s="96">
        <v>25000932</v>
      </c>
      <c r="H421" s="96" t="s">
        <v>1013</v>
      </c>
      <c r="I421" s="96" t="s">
        <v>812</v>
      </c>
      <c r="J421" s="96" t="s">
        <v>203</v>
      </c>
      <c r="K421" s="96"/>
      <c r="L421" s="96" t="s">
        <v>470</v>
      </c>
      <c r="M421" s="96" t="s">
        <v>338</v>
      </c>
      <c r="N421" s="96" t="s">
        <v>337</v>
      </c>
      <c r="O421" s="96"/>
      <c r="P421" s="100">
        <v>45469</v>
      </c>
      <c r="Q421" s="96" t="s">
        <v>409</v>
      </c>
      <c r="R421" s="96" t="s">
        <v>409</v>
      </c>
      <c r="S421" s="96" t="s">
        <v>409</v>
      </c>
      <c r="T421" s="96" t="s">
        <v>1200</v>
      </c>
      <c r="U421" s="97">
        <v>9.34</v>
      </c>
      <c r="V421" s="96" t="s">
        <v>3678</v>
      </c>
      <c r="W421" s="98">
        <v>4.8800000000000003E-2</v>
      </c>
      <c r="X421" s="96"/>
      <c r="Y421" s="96"/>
      <c r="Z421" s="96"/>
      <c r="AA421" s="98">
        <v>5.0200000000000002E-2</v>
      </c>
      <c r="AB421" s="100">
        <v>53417</v>
      </c>
      <c r="AC421" s="96" t="s">
        <v>411</v>
      </c>
      <c r="AD421" s="96"/>
      <c r="AE421" s="96"/>
      <c r="AF421" s="96"/>
      <c r="AG421" s="100">
        <v>45291</v>
      </c>
      <c r="AH421" s="96"/>
      <c r="AI421" s="96"/>
      <c r="AJ421" s="96"/>
      <c r="AK421" s="96" t="s">
        <v>337</v>
      </c>
      <c r="AL421" s="96" t="s">
        <v>887</v>
      </c>
      <c r="AM421" s="96"/>
      <c r="AN421" s="96" t="s">
        <v>890</v>
      </c>
      <c r="AO421" s="100">
        <v>45473</v>
      </c>
      <c r="AP421" s="100">
        <v>45473</v>
      </c>
      <c r="AQ421" s="96"/>
      <c r="AR421" s="97">
        <v>52497.612664</v>
      </c>
      <c r="AS421" s="97">
        <v>99.52</v>
      </c>
      <c r="AT421" s="97">
        <v>1</v>
      </c>
      <c r="AU421" s="97">
        <v>52.245623999999999</v>
      </c>
      <c r="AV421" s="97">
        <v>52.245623999999999</v>
      </c>
      <c r="AW421" s="96"/>
      <c r="AX421" s="96"/>
      <c r="AY421" s="96"/>
      <c r="AZ421" s="96"/>
      <c r="BA421" s="98">
        <v>3.4099999999999999E-4</v>
      </c>
      <c r="BB421" s="98">
        <v>2.6999999999999999E-5</v>
      </c>
      <c r="BC421" s="106"/>
    </row>
    <row r="422" spans="1:55" ht="15" customHeight="1">
      <c r="A422" s="106"/>
      <c r="B422" s="96">
        <v>286</v>
      </c>
      <c r="C422" s="96">
        <v>286</v>
      </c>
      <c r="D422" s="96"/>
      <c r="E422" s="96"/>
      <c r="F422" s="96"/>
      <c r="G422" s="96">
        <v>25000931</v>
      </c>
      <c r="H422" s="96" t="s">
        <v>1013</v>
      </c>
      <c r="I422" s="96" t="s">
        <v>812</v>
      </c>
      <c r="J422" s="96" t="s">
        <v>203</v>
      </c>
      <c r="K422" s="96"/>
      <c r="L422" s="96" t="s">
        <v>470</v>
      </c>
      <c r="M422" s="96" t="s">
        <v>338</v>
      </c>
      <c r="N422" s="96" t="s">
        <v>337</v>
      </c>
      <c r="O422" s="96"/>
      <c r="P422" s="100">
        <v>45469</v>
      </c>
      <c r="Q422" s="96" t="s">
        <v>409</v>
      </c>
      <c r="R422" s="96" t="s">
        <v>409</v>
      </c>
      <c r="S422" s="96" t="s">
        <v>409</v>
      </c>
      <c r="T422" s="96" t="s">
        <v>1200</v>
      </c>
      <c r="U422" s="97">
        <v>9.48</v>
      </c>
      <c r="V422" s="96" t="s">
        <v>3678</v>
      </c>
      <c r="W422" s="98">
        <v>4.8800000000000003E-2</v>
      </c>
      <c r="X422" s="96"/>
      <c r="Y422" s="96"/>
      <c r="Z422" s="96"/>
      <c r="AA422" s="98">
        <v>5.0200000000000002E-2</v>
      </c>
      <c r="AB422" s="100">
        <v>53692</v>
      </c>
      <c r="AC422" s="96" t="s">
        <v>411</v>
      </c>
      <c r="AD422" s="96"/>
      <c r="AE422" s="96"/>
      <c r="AF422" s="96"/>
      <c r="AG422" s="100">
        <v>45291</v>
      </c>
      <c r="AH422" s="96"/>
      <c r="AI422" s="96"/>
      <c r="AJ422" s="96"/>
      <c r="AK422" s="96" t="s">
        <v>337</v>
      </c>
      <c r="AL422" s="96" t="s">
        <v>887</v>
      </c>
      <c r="AM422" s="96"/>
      <c r="AN422" s="96" t="s">
        <v>890</v>
      </c>
      <c r="AO422" s="100">
        <v>45473</v>
      </c>
      <c r="AP422" s="100">
        <v>45473</v>
      </c>
      <c r="AQ422" s="96"/>
      <c r="AR422" s="97">
        <v>51333.477900999998</v>
      </c>
      <c r="AS422" s="97">
        <v>99.52</v>
      </c>
      <c r="AT422" s="97">
        <v>1</v>
      </c>
      <c r="AU422" s="97">
        <v>51.087077000000001</v>
      </c>
      <c r="AV422" s="97">
        <v>51.087077000000001</v>
      </c>
      <c r="AW422" s="96"/>
      <c r="AX422" s="96"/>
      <c r="AY422" s="96"/>
      <c r="AZ422" s="96"/>
      <c r="BA422" s="98">
        <v>3.3300000000000002E-4</v>
      </c>
      <c r="BB422" s="98">
        <v>2.5999999999999998E-5</v>
      </c>
      <c r="BC422" s="106"/>
    </row>
    <row r="423" spans="1:55" ht="15" customHeight="1">
      <c r="A423" s="106"/>
      <c r="B423" s="96">
        <v>286</v>
      </c>
      <c r="C423" s="96">
        <v>286</v>
      </c>
      <c r="D423" s="96"/>
      <c r="E423" s="96"/>
      <c r="F423" s="96"/>
      <c r="G423" s="96">
        <v>25000928</v>
      </c>
      <c r="H423" s="96" t="s">
        <v>1013</v>
      </c>
      <c r="I423" s="96" t="s">
        <v>812</v>
      </c>
      <c r="J423" s="96" t="s">
        <v>203</v>
      </c>
      <c r="K423" s="96"/>
      <c r="L423" s="96" t="s">
        <v>454</v>
      </c>
      <c r="M423" s="96" t="s">
        <v>338</v>
      </c>
      <c r="N423" s="96" t="s">
        <v>337</v>
      </c>
      <c r="O423" s="96"/>
      <c r="P423" s="100">
        <v>45466</v>
      </c>
      <c r="Q423" s="96" t="s">
        <v>1357</v>
      </c>
      <c r="R423" s="96" t="s">
        <v>414</v>
      </c>
      <c r="S423" s="96" t="s">
        <v>407</v>
      </c>
      <c r="T423" s="96" t="s">
        <v>1200</v>
      </c>
      <c r="U423" s="97">
        <v>6.78</v>
      </c>
      <c r="V423" s="96" t="s">
        <v>3678</v>
      </c>
      <c r="W423" s="98">
        <v>5.2234000000000003E-2</v>
      </c>
      <c r="X423" s="96"/>
      <c r="Y423" s="96"/>
      <c r="Z423" s="96"/>
      <c r="AA423" s="98">
        <v>5.4300000000000001E-2</v>
      </c>
      <c r="AB423" s="100">
        <v>51677</v>
      </c>
      <c r="AC423" s="96" t="s">
        <v>411</v>
      </c>
      <c r="AD423" s="96"/>
      <c r="AE423" s="96"/>
      <c r="AF423" s="96"/>
      <c r="AG423" s="100">
        <v>45291</v>
      </c>
      <c r="AH423" s="96"/>
      <c r="AI423" s="96"/>
      <c r="AJ423" s="96"/>
      <c r="AK423" s="96" t="s">
        <v>337</v>
      </c>
      <c r="AL423" s="96" t="s">
        <v>887</v>
      </c>
      <c r="AM423" s="96"/>
      <c r="AN423" s="96" t="s">
        <v>890</v>
      </c>
      <c r="AO423" s="100">
        <v>45473</v>
      </c>
      <c r="AP423" s="100">
        <v>45473</v>
      </c>
      <c r="AQ423" s="96"/>
      <c r="AR423" s="97">
        <v>49614.65</v>
      </c>
      <c r="AS423" s="97">
        <v>99.37</v>
      </c>
      <c r="AT423" s="97">
        <v>1</v>
      </c>
      <c r="AU423" s="97">
        <v>49.302079999999997</v>
      </c>
      <c r="AV423" s="97">
        <v>49.302079999999997</v>
      </c>
      <c r="AW423" s="96"/>
      <c r="AX423" s="96"/>
      <c r="AY423" s="96"/>
      <c r="AZ423" s="96"/>
      <c r="BA423" s="98">
        <v>3.2200000000000002E-4</v>
      </c>
      <c r="BB423" s="98">
        <v>2.5000000000000001E-5</v>
      </c>
      <c r="BC423" s="106"/>
    </row>
    <row r="424" spans="1:55" ht="15" customHeight="1">
      <c r="A424" s="106"/>
      <c r="B424" s="96">
        <v>286</v>
      </c>
      <c r="C424" s="96">
        <v>286</v>
      </c>
      <c r="D424" s="96"/>
      <c r="E424" s="96"/>
      <c r="F424" s="96"/>
      <c r="G424" s="96">
        <v>25000927</v>
      </c>
      <c r="H424" s="96" t="s">
        <v>1013</v>
      </c>
      <c r="I424" s="96" t="s">
        <v>812</v>
      </c>
      <c r="J424" s="96" t="s">
        <v>203</v>
      </c>
      <c r="K424" s="96"/>
      <c r="L424" s="96" t="s">
        <v>476</v>
      </c>
      <c r="M424" s="96" t="s">
        <v>338</v>
      </c>
      <c r="N424" s="96" t="s">
        <v>337</v>
      </c>
      <c r="O424" s="96"/>
      <c r="P424" s="100">
        <v>45456</v>
      </c>
      <c r="Q424" s="96" t="s">
        <v>1357</v>
      </c>
      <c r="R424" s="96" t="s">
        <v>414</v>
      </c>
      <c r="S424" s="96" t="s">
        <v>407</v>
      </c>
      <c r="T424" s="96" t="s">
        <v>1200</v>
      </c>
      <c r="U424" s="97">
        <v>3.16</v>
      </c>
      <c r="V424" s="96" t="s">
        <v>824</v>
      </c>
      <c r="W424" s="98">
        <v>6.7000000000000004E-2</v>
      </c>
      <c r="X424" s="96"/>
      <c r="Y424" s="96"/>
      <c r="Z424" s="96"/>
      <c r="AA424" s="98">
        <v>6.9199999999999998E-2</v>
      </c>
      <c r="AB424" s="100">
        <v>46753</v>
      </c>
      <c r="AC424" s="96" t="s">
        <v>411</v>
      </c>
      <c r="AD424" s="96"/>
      <c r="AE424" s="96"/>
      <c r="AF424" s="96"/>
      <c r="AG424" s="100">
        <v>45291</v>
      </c>
      <c r="AH424" s="96"/>
      <c r="AI424" s="96"/>
      <c r="AJ424" s="96"/>
      <c r="AK424" s="96" t="s">
        <v>337</v>
      </c>
      <c r="AL424" s="96" t="s">
        <v>887</v>
      </c>
      <c r="AM424" s="96"/>
      <c r="AN424" s="96" t="s">
        <v>890</v>
      </c>
      <c r="AO424" s="100">
        <v>45473</v>
      </c>
      <c r="AP424" s="100">
        <v>45473</v>
      </c>
      <c r="AQ424" s="96"/>
      <c r="AR424" s="97">
        <v>51546.407541</v>
      </c>
      <c r="AS424" s="97">
        <v>99.79</v>
      </c>
      <c r="AT424" s="97">
        <v>1</v>
      </c>
      <c r="AU424" s="97">
        <v>51.438160000000003</v>
      </c>
      <c r="AV424" s="97">
        <v>51.438160000000003</v>
      </c>
      <c r="AW424" s="96"/>
      <c r="AX424" s="96"/>
      <c r="AY424" s="96"/>
      <c r="AZ424" s="96"/>
      <c r="BA424" s="98">
        <v>3.3599999999999998E-4</v>
      </c>
      <c r="BB424" s="98">
        <v>2.5999999999999998E-5</v>
      </c>
      <c r="BC424" s="106"/>
    </row>
    <row r="425" spans="1:55" ht="15" customHeight="1">
      <c r="A425" s="106"/>
      <c r="B425" s="96">
        <v>286</v>
      </c>
      <c r="C425" s="96">
        <v>286</v>
      </c>
      <c r="D425" s="96"/>
      <c r="E425" s="96"/>
      <c r="F425" s="96"/>
      <c r="G425" s="96">
        <v>25000926</v>
      </c>
      <c r="H425" s="96" t="s">
        <v>1013</v>
      </c>
      <c r="I425" s="96" t="s">
        <v>812</v>
      </c>
      <c r="J425" s="96" t="s">
        <v>203</v>
      </c>
      <c r="K425" s="96"/>
      <c r="L425" s="96" t="s">
        <v>476</v>
      </c>
      <c r="M425" s="96" t="s">
        <v>338</v>
      </c>
      <c r="N425" s="96" t="s">
        <v>337</v>
      </c>
      <c r="O425" s="96"/>
      <c r="P425" s="100">
        <v>45456</v>
      </c>
      <c r="Q425" s="96" t="s">
        <v>1357</v>
      </c>
      <c r="R425" s="96" t="s">
        <v>414</v>
      </c>
      <c r="S425" s="96" t="s">
        <v>407</v>
      </c>
      <c r="T425" s="96" t="s">
        <v>1200</v>
      </c>
      <c r="U425" s="97">
        <v>9.51</v>
      </c>
      <c r="V425" s="96" t="s">
        <v>824</v>
      </c>
      <c r="W425" s="98">
        <v>6.7000000000000004E-2</v>
      </c>
      <c r="X425" s="96"/>
      <c r="Y425" s="96"/>
      <c r="Z425" s="96"/>
      <c r="AA425" s="98">
        <v>6.13E-2</v>
      </c>
      <c r="AB425" s="100">
        <v>54057</v>
      </c>
      <c r="AC425" s="96" t="s">
        <v>411</v>
      </c>
      <c r="AD425" s="96"/>
      <c r="AE425" s="96"/>
      <c r="AF425" s="96"/>
      <c r="AG425" s="100">
        <v>45291</v>
      </c>
      <c r="AH425" s="96"/>
      <c r="AI425" s="96"/>
      <c r="AJ425" s="96"/>
      <c r="AK425" s="96" t="s">
        <v>337</v>
      </c>
      <c r="AL425" s="96" t="s">
        <v>887</v>
      </c>
      <c r="AM425" s="96"/>
      <c r="AN425" s="96" t="s">
        <v>890</v>
      </c>
      <c r="AO425" s="100">
        <v>45473</v>
      </c>
      <c r="AP425" s="100">
        <v>45473</v>
      </c>
      <c r="AQ425" s="96"/>
      <c r="AR425" s="97">
        <v>28287.106779999998</v>
      </c>
      <c r="AS425" s="97">
        <v>99.32</v>
      </c>
      <c r="AT425" s="97">
        <v>1</v>
      </c>
      <c r="AU425" s="97">
        <v>28.094753999999998</v>
      </c>
      <c r="AV425" s="97">
        <v>28.094753999999998</v>
      </c>
      <c r="AW425" s="96"/>
      <c r="AX425" s="96"/>
      <c r="AY425" s="96"/>
      <c r="AZ425" s="96"/>
      <c r="BA425" s="98">
        <v>1.83E-4</v>
      </c>
      <c r="BB425" s="98">
        <v>1.4E-5</v>
      </c>
      <c r="BC425" s="106"/>
    </row>
    <row r="426" spans="1:55" ht="15" customHeight="1">
      <c r="A426" s="106"/>
      <c r="B426" s="96">
        <v>286</v>
      </c>
      <c r="C426" s="96">
        <v>286</v>
      </c>
      <c r="D426" s="96"/>
      <c r="E426" s="96"/>
      <c r="F426" s="96"/>
      <c r="G426" s="96">
        <v>25000925</v>
      </c>
      <c r="H426" s="96" t="s">
        <v>1013</v>
      </c>
      <c r="I426" s="96" t="s">
        <v>812</v>
      </c>
      <c r="J426" s="96" t="s">
        <v>203</v>
      </c>
      <c r="K426" s="96"/>
      <c r="L426" s="96" t="s">
        <v>446</v>
      </c>
      <c r="M426" s="96" t="s">
        <v>338</v>
      </c>
      <c r="N426" s="96" t="s">
        <v>337</v>
      </c>
      <c r="O426" s="96"/>
      <c r="P426" s="100">
        <v>45459</v>
      </c>
      <c r="Q426" s="96" t="s">
        <v>1357</v>
      </c>
      <c r="R426" s="96" t="s">
        <v>414</v>
      </c>
      <c r="S426" s="96" t="s">
        <v>407</v>
      </c>
      <c r="T426" s="96" t="s">
        <v>1200</v>
      </c>
      <c r="U426" s="97">
        <v>2.04</v>
      </c>
      <c r="V426" s="96" t="s">
        <v>824</v>
      </c>
      <c r="W426" s="98">
        <v>6.6000000000000003E-2</v>
      </c>
      <c r="X426" s="96"/>
      <c r="Y426" s="96"/>
      <c r="Z426" s="96"/>
      <c r="AA426" s="98">
        <v>6.5699999999999995E-2</v>
      </c>
      <c r="AB426" s="100">
        <v>46262</v>
      </c>
      <c r="AC426" s="96" t="s">
        <v>411</v>
      </c>
      <c r="AD426" s="96"/>
      <c r="AE426" s="96"/>
      <c r="AF426" s="96"/>
      <c r="AG426" s="100">
        <v>45291</v>
      </c>
      <c r="AH426" s="96"/>
      <c r="AI426" s="96"/>
      <c r="AJ426" s="96"/>
      <c r="AK426" s="96" t="s">
        <v>337</v>
      </c>
      <c r="AL426" s="96" t="s">
        <v>887</v>
      </c>
      <c r="AM426" s="96"/>
      <c r="AN426" s="96" t="s">
        <v>890</v>
      </c>
      <c r="AO426" s="100">
        <v>45473</v>
      </c>
      <c r="AP426" s="100">
        <v>45473</v>
      </c>
      <c r="AQ426" s="96"/>
      <c r="AR426" s="97">
        <v>23641.041675</v>
      </c>
      <c r="AS426" s="97">
        <v>100.11</v>
      </c>
      <c r="AT426" s="97">
        <v>1</v>
      </c>
      <c r="AU426" s="97">
        <v>23.667045999999999</v>
      </c>
      <c r="AV426" s="97">
        <v>23.667045999999999</v>
      </c>
      <c r="AW426" s="96"/>
      <c r="AX426" s="96"/>
      <c r="AY426" s="96"/>
      <c r="AZ426" s="96"/>
      <c r="BA426" s="98">
        <v>1.54E-4</v>
      </c>
      <c r="BB426" s="98">
        <v>1.2E-5</v>
      </c>
      <c r="BC426" s="106"/>
    </row>
    <row r="427" spans="1:55" ht="15" customHeight="1">
      <c r="A427" s="106"/>
      <c r="B427" s="96">
        <v>286</v>
      </c>
      <c r="C427" s="96">
        <v>286</v>
      </c>
      <c r="D427" s="96"/>
      <c r="E427" s="96"/>
      <c r="F427" s="96"/>
      <c r="G427" s="96">
        <v>25000924</v>
      </c>
      <c r="H427" s="96" t="s">
        <v>1013</v>
      </c>
      <c r="I427" s="96"/>
      <c r="J427" s="96" t="s">
        <v>203</v>
      </c>
      <c r="K427" s="96"/>
      <c r="L427" s="96" t="s">
        <v>477</v>
      </c>
      <c r="M427" s="96" t="s">
        <v>338</v>
      </c>
      <c r="N427" s="96" t="s">
        <v>338</v>
      </c>
      <c r="O427" s="96"/>
      <c r="P427" s="100">
        <v>45449</v>
      </c>
      <c r="Q427" s="96" t="s">
        <v>409</v>
      </c>
      <c r="R427" s="96" t="s">
        <v>409</v>
      </c>
      <c r="S427" s="96" t="s">
        <v>409</v>
      </c>
      <c r="T427" s="96" t="s">
        <v>1200</v>
      </c>
      <c r="U427" s="97">
        <v>3.56</v>
      </c>
      <c r="V427" s="96" t="s">
        <v>3678</v>
      </c>
      <c r="W427" s="98">
        <v>4.1509999999999998E-2</v>
      </c>
      <c r="X427" s="96"/>
      <c r="Y427" s="96"/>
      <c r="Z427" s="96"/>
      <c r="AA427" s="98">
        <v>4.5100000000000001E-2</v>
      </c>
      <c r="AB427" s="100">
        <v>56381</v>
      </c>
      <c r="AC427" s="96" t="s">
        <v>411</v>
      </c>
      <c r="AD427" s="96"/>
      <c r="AE427" s="96"/>
      <c r="AF427" s="96"/>
      <c r="AG427" s="100">
        <v>45473</v>
      </c>
      <c r="AH427" s="96"/>
      <c r="AI427" s="96"/>
      <c r="AJ427" s="96"/>
      <c r="AK427" s="96" t="s">
        <v>337</v>
      </c>
      <c r="AL427" s="96" t="s">
        <v>887</v>
      </c>
      <c r="AM427" s="96"/>
      <c r="AN427" s="96" t="s">
        <v>890</v>
      </c>
      <c r="AO427" s="100">
        <v>45473</v>
      </c>
      <c r="AP427" s="100">
        <v>45473</v>
      </c>
      <c r="AQ427" s="96"/>
      <c r="AR427" s="97">
        <v>73503.938305999996</v>
      </c>
      <c r="AS427" s="97">
        <v>99.49</v>
      </c>
      <c r="AT427" s="97">
        <v>1</v>
      </c>
      <c r="AU427" s="97">
        <v>73.129068000000004</v>
      </c>
      <c r="AV427" s="97">
        <v>73.129068000000004</v>
      </c>
      <c r="AW427" s="96"/>
      <c r="AX427" s="96"/>
      <c r="AY427" s="96"/>
      <c r="AZ427" s="96"/>
      <c r="BA427" s="98">
        <v>4.7699999999999999E-4</v>
      </c>
      <c r="BB427" s="98">
        <v>3.8000000000000002E-5</v>
      </c>
      <c r="BC427" s="106"/>
    </row>
    <row r="428" spans="1:55" ht="15" customHeight="1">
      <c r="A428" s="106"/>
      <c r="B428" s="96">
        <v>286</v>
      </c>
      <c r="C428" s="96">
        <v>286</v>
      </c>
      <c r="D428" s="96"/>
      <c r="E428" s="96"/>
      <c r="F428" s="96"/>
      <c r="G428" s="96">
        <v>25000933</v>
      </c>
      <c r="H428" s="96" t="s">
        <v>1013</v>
      </c>
      <c r="I428" s="96" t="s">
        <v>812</v>
      </c>
      <c r="J428" s="96" t="s">
        <v>203</v>
      </c>
      <c r="K428" s="96"/>
      <c r="L428" s="96" t="s">
        <v>470</v>
      </c>
      <c r="M428" s="96" t="s">
        <v>338</v>
      </c>
      <c r="N428" s="96" t="s">
        <v>337</v>
      </c>
      <c r="O428" s="96"/>
      <c r="P428" s="100">
        <v>45469</v>
      </c>
      <c r="Q428" s="96" t="s">
        <v>409</v>
      </c>
      <c r="R428" s="96" t="s">
        <v>409</v>
      </c>
      <c r="S428" s="96" t="s">
        <v>409</v>
      </c>
      <c r="T428" s="96" t="s">
        <v>1200</v>
      </c>
      <c r="U428" s="97">
        <v>9.6199999999999992</v>
      </c>
      <c r="V428" s="96" t="s">
        <v>3678</v>
      </c>
      <c r="W428" s="98">
        <v>4.8800000000000003E-2</v>
      </c>
      <c r="X428" s="96"/>
      <c r="Y428" s="96"/>
      <c r="Z428" s="96"/>
      <c r="AA428" s="98">
        <v>5.0299999999999997E-2</v>
      </c>
      <c r="AB428" s="100">
        <v>53508</v>
      </c>
      <c r="AC428" s="96" t="s">
        <v>411</v>
      </c>
      <c r="AD428" s="96"/>
      <c r="AE428" s="96"/>
      <c r="AF428" s="96"/>
      <c r="AG428" s="100">
        <v>45291</v>
      </c>
      <c r="AH428" s="96"/>
      <c r="AI428" s="96"/>
      <c r="AJ428" s="96"/>
      <c r="AK428" s="96" t="s">
        <v>337</v>
      </c>
      <c r="AL428" s="96" t="s">
        <v>887</v>
      </c>
      <c r="AM428" s="96"/>
      <c r="AN428" s="96" t="s">
        <v>890</v>
      </c>
      <c r="AO428" s="100">
        <v>45473</v>
      </c>
      <c r="AP428" s="100">
        <v>45473</v>
      </c>
      <c r="AQ428" s="96"/>
      <c r="AR428" s="97">
        <v>41884.232385000003</v>
      </c>
      <c r="AS428" s="97">
        <v>99.49</v>
      </c>
      <c r="AT428" s="97">
        <v>1</v>
      </c>
      <c r="AU428" s="97">
        <v>41.670622000000002</v>
      </c>
      <c r="AV428" s="97">
        <v>41.670622000000002</v>
      </c>
      <c r="AW428" s="96"/>
      <c r="AX428" s="96"/>
      <c r="AY428" s="96"/>
      <c r="AZ428" s="96"/>
      <c r="BA428" s="98">
        <v>2.72E-4</v>
      </c>
      <c r="BB428" s="98">
        <v>2.0999999999999999E-5</v>
      </c>
      <c r="BC428" s="106"/>
    </row>
    <row r="429" spans="1:55" ht="15" customHeight="1">
      <c r="A429" s="106"/>
      <c r="B429" s="96">
        <v>286</v>
      </c>
      <c r="C429" s="96">
        <v>286</v>
      </c>
      <c r="D429" s="96"/>
      <c r="E429" s="96"/>
      <c r="F429" s="96"/>
      <c r="G429" s="96">
        <v>25000923</v>
      </c>
      <c r="H429" s="96" t="s">
        <v>1013</v>
      </c>
      <c r="I429" s="96" t="s">
        <v>813</v>
      </c>
      <c r="J429" s="96" t="s">
        <v>203</v>
      </c>
      <c r="K429" s="96"/>
      <c r="L429" s="96" t="s">
        <v>454</v>
      </c>
      <c r="M429" s="96" t="s">
        <v>338</v>
      </c>
      <c r="N429" s="96" t="s">
        <v>337</v>
      </c>
      <c r="O429" s="96"/>
      <c r="P429" s="100">
        <v>45442</v>
      </c>
      <c r="Q429" s="96" t="s">
        <v>1520</v>
      </c>
      <c r="R429" s="96" t="s">
        <v>414</v>
      </c>
      <c r="S429" s="96" t="s">
        <v>407</v>
      </c>
      <c r="T429" s="96" t="s">
        <v>1200</v>
      </c>
      <c r="U429" s="97">
        <v>8</v>
      </c>
      <c r="V429" s="96" t="s">
        <v>3678</v>
      </c>
      <c r="W429" s="98">
        <v>4.4484999999999997E-2</v>
      </c>
      <c r="X429" s="96"/>
      <c r="Y429" s="96"/>
      <c r="Z429" s="96"/>
      <c r="AA429" s="98">
        <v>4.7899999999999998E-2</v>
      </c>
      <c r="AB429" s="100">
        <v>52568</v>
      </c>
      <c r="AC429" s="96" t="s">
        <v>411</v>
      </c>
      <c r="AD429" s="96"/>
      <c r="AE429" s="96"/>
      <c r="AF429" s="96"/>
      <c r="AG429" s="100">
        <v>45398</v>
      </c>
      <c r="AH429" s="96"/>
      <c r="AI429" s="96"/>
      <c r="AJ429" s="96"/>
      <c r="AK429" s="96" t="s">
        <v>337</v>
      </c>
      <c r="AL429" s="96" t="s">
        <v>887</v>
      </c>
      <c r="AM429" s="96"/>
      <c r="AN429" s="96" t="s">
        <v>890</v>
      </c>
      <c r="AO429" s="100">
        <v>45473</v>
      </c>
      <c r="AP429" s="100">
        <v>45473</v>
      </c>
      <c r="AQ429" s="96"/>
      <c r="AR429" s="97">
        <v>2309054.722546</v>
      </c>
      <c r="AS429" s="97">
        <v>98.51</v>
      </c>
      <c r="AT429" s="97">
        <v>1</v>
      </c>
      <c r="AU429" s="97">
        <v>2274.6498069999998</v>
      </c>
      <c r="AV429" s="97">
        <v>2274.6498069999998</v>
      </c>
      <c r="AW429" s="96"/>
      <c r="AX429" s="96"/>
      <c r="AY429" s="96"/>
      <c r="AZ429" s="96"/>
      <c r="BA429" s="98">
        <v>1.4862999999999999E-2</v>
      </c>
      <c r="BB429" s="98">
        <v>1.1839999999999999E-3</v>
      </c>
      <c r="BC429" s="106"/>
    </row>
    <row r="430" spans="1:55" ht="15" customHeight="1">
      <c r="A430" s="106"/>
      <c r="B430" s="96">
        <v>286</v>
      </c>
      <c r="C430" s="96">
        <v>286</v>
      </c>
      <c r="D430" s="96"/>
      <c r="E430" s="96"/>
      <c r="F430" s="96"/>
      <c r="G430" s="96">
        <v>25000921</v>
      </c>
      <c r="H430" s="96" t="s">
        <v>1013</v>
      </c>
      <c r="I430" s="96" t="s">
        <v>812</v>
      </c>
      <c r="J430" s="96" t="s">
        <v>203</v>
      </c>
      <c r="K430" s="96"/>
      <c r="L430" s="96" t="s">
        <v>470</v>
      </c>
      <c r="M430" s="96" t="s">
        <v>338</v>
      </c>
      <c r="N430" s="96" t="s">
        <v>337</v>
      </c>
      <c r="O430" s="96"/>
      <c r="P430" s="100">
        <v>45439</v>
      </c>
      <c r="Q430" s="96" t="s">
        <v>1309</v>
      </c>
      <c r="R430" s="96" t="s">
        <v>414</v>
      </c>
      <c r="S430" s="96" t="s">
        <v>407</v>
      </c>
      <c r="T430" s="96" t="s">
        <v>1200</v>
      </c>
      <c r="U430" s="97">
        <v>6.81</v>
      </c>
      <c r="V430" s="96" t="s">
        <v>3678</v>
      </c>
      <c r="W430" s="98">
        <v>4.6581999999999998E-2</v>
      </c>
      <c r="X430" s="96"/>
      <c r="Y430" s="96"/>
      <c r="Z430" s="96"/>
      <c r="AA430" s="98">
        <v>5.2200000000000003E-2</v>
      </c>
      <c r="AB430" s="100">
        <v>49303</v>
      </c>
      <c r="AC430" s="96" t="s">
        <v>411</v>
      </c>
      <c r="AD430" s="96"/>
      <c r="AE430" s="96"/>
      <c r="AF430" s="96"/>
      <c r="AG430" s="100">
        <v>45291</v>
      </c>
      <c r="AH430" s="96"/>
      <c r="AI430" s="96"/>
      <c r="AJ430" s="96"/>
      <c r="AK430" s="96" t="s">
        <v>337</v>
      </c>
      <c r="AL430" s="96" t="s">
        <v>887</v>
      </c>
      <c r="AM430" s="96"/>
      <c r="AN430" s="96" t="s">
        <v>890</v>
      </c>
      <c r="AO430" s="100">
        <v>45473</v>
      </c>
      <c r="AP430" s="100">
        <v>45473</v>
      </c>
      <c r="AQ430" s="96"/>
      <c r="AR430" s="97">
        <v>29874.378363</v>
      </c>
      <c r="AS430" s="97">
        <v>97.18</v>
      </c>
      <c r="AT430" s="97">
        <v>1</v>
      </c>
      <c r="AU430" s="97">
        <v>29.03192</v>
      </c>
      <c r="AV430" s="97">
        <v>29.03192</v>
      </c>
      <c r="AW430" s="96"/>
      <c r="AX430" s="96"/>
      <c r="AY430" s="96"/>
      <c r="AZ430" s="96"/>
      <c r="BA430" s="98">
        <v>1.8900000000000001E-4</v>
      </c>
      <c r="BB430" s="98">
        <v>1.5E-5</v>
      </c>
      <c r="BC430" s="106"/>
    </row>
    <row r="431" spans="1:55" ht="15" customHeight="1">
      <c r="A431" s="106"/>
      <c r="B431" s="96">
        <v>286</v>
      </c>
      <c r="C431" s="96">
        <v>286</v>
      </c>
      <c r="D431" s="96"/>
      <c r="E431" s="96"/>
      <c r="F431" s="96"/>
      <c r="G431" s="96">
        <v>25000920</v>
      </c>
      <c r="H431" s="96" t="s">
        <v>1013</v>
      </c>
      <c r="I431" s="96" t="s">
        <v>812</v>
      </c>
      <c r="J431" s="96" t="s">
        <v>203</v>
      </c>
      <c r="K431" s="96"/>
      <c r="L431" s="96" t="s">
        <v>470</v>
      </c>
      <c r="M431" s="96" t="s">
        <v>338</v>
      </c>
      <c r="N431" s="96" t="s">
        <v>337</v>
      </c>
      <c r="O431" s="96"/>
      <c r="P431" s="100">
        <v>45439</v>
      </c>
      <c r="Q431" s="96" t="s">
        <v>1309</v>
      </c>
      <c r="R431" s="96" t="s">
        <v>414</v>
      </c>
      <c r="S431" s="96" t="s">
        <v>407</v>
      </c>
      <c r="T431" s="96" t="s">
        <v>1200</v>
      </c>
      <c r="U431" s="97">
        <v>7.28</v>
      </c>
      <c r="V431" s="96" t="s">
        <v>3678</v>
      </c>
      <c r="W431" s="98">
        <v>4.6962999999999998E-2</v>
      </c>
      <c r="X431" s="96"/>
      <c r="Y431" s="96"/>
      <c r="Z431" s="96"/>
      <c r="AA431" s="98">
        <v>5.2499999999999998E-2</v>
      </c>
      <c r="AB431" s="100">
        <v>49303</v>
      </c>
      <c r="AC431" s="96" t="s">
        <v>411</v>
      </c>
      <c r="AD431" s="96"/>
      <c r="AE431" s="96"/>
      <c r="AF431" s="96"/>
      <c r="AG431" s="100">
        <v>45291</v>
      </c>
      <c r="AH431" s="96"/>
      <c r="AI431" s="96"/>
      <c r="AJ431" s="96"/>
      <c r="AK431" s="96" t="s">
        <v>337</v>
      </c>
      <c r="AL431" s="96" t="s">
        <v>887</v>
      </c>
      <c r="AM431" s="96"/>
      <c r="AN431" s="96" t="s">
        <v>890</v>
      </c>
      <c r="AO431" s="100">
        <v>45473</v>
      </c>
      <c r="AP431" s="100">
        <v>45473</v>
      </c>
      <c r="AQ431" s="96"/>
      <c r="AR431" s="97">
        <v>17930.034852000001</v>
      </c>
      <c r="AS431" s="97">
        <v>97.02</v>
      </c>
      <c r="AT431" s="97">
        <v>1</v>
      </c>
      <c r="AU431" s="97">
        <v>17.395719</v>
      </c>
      <c r="AV431" s="97">
        <v>17.395719</v>
      </c>
      <c r="AW431" s="96"/>
      <c r="AX431" s="96"/>
      <c r="AY431" s="96"/>
      <c r="AZ431" s="96"/>
      <c r="BA431" s="98">
        <v>1.13E-4</v>
      </c>
      <c r="BB431" s="98">
        <v>9.0000000000000002E-6</v>
      </c>
      <c r="BC431" s="106"/>
    </row>
    <row r="432" spans="1:55" ht="15" customHeight="1">
      <c r="A432" s="106"/>
      <c r="B432" s="96">
        <v>286</v>
      </c>
      <c r="C432" s="96">
        <v>286</v>
      </c>
      <c r="D432" s="96"/>
      <c r="E432" s="96"/>
      <c r="F432" s="96"/>
      <c r="G432" s="96">
        <v>25000919</v>
      </c>
      <c r="H432" s="96" t="s">
        <v>1013</v>
      </c>
      <c r="I432" s="96" t="s">
        <v>812</v>
      </c>
      <c r="J432" s="96" t="s">
        <v>203</v>
      </c>
      <c r="K432" s="96"/>
      <c r="L432" s="96" t="s">
        <v>470</v>
      </c>
      <c r="M432" s="96" t="s">
        <v>338</v>
      </c>
      <c r="N432" s="96" t="s">
        <v>337</v>
      </c>
      <c r="O432" s="96"/>
      <c r="P432" s="100">
        <v>45439</v>
      </c>
      <c r="Q432" s="96" t="s">
        <v>1309</v>
      </c>
      <c r="R432" s="96" t="s">
        <v>414</v>
      </c>
      <c r="S432" s="96" t="s">
        <v>407</v>
      </c>
      <c r="T432" s="96" t="s">
        <v>1200</v>
      </c>
      <c r="U432" s="97">
        <v>7.3</v>
      </c>
      <c r="V432" s="96" t="s">
        <v>3678</v>
      </c>
      <c r="W432" s="98">
        <v>4.6965E-2</v>
      </c>
      <c r="X432" s="96"/>
      <c r="Y432" s="96"/>
      <c r="Z432" s="96"/>
      <c r="AA432" s="98">
        <v>5.2499999999999998E-2</v>
      </c>
      <c r="AB432" s="100">
        <v>49303</v>
      </c>
      <c r="AC432" s="96" t="s">
        <v>411</v>
      </c>
      <c r="AD432" s="96"/>
      <c r="AE432" s="96"/>
      <c r="AF432" s="96"/>
      <c r="AG432" s="100">
        <v>45291</v>
      </c>
      <c r="AH432" s="96"/>
      <c r="AI432" s="96"/>
      <c r="AJ432" s="96"/>
      <c r="AK432" s="96" t="s">
        <v>337</v>
      </c>
      <c r="AL432" s="96" t="s">
        <v>887</v>
      </c>
      <c r="AM432" s="96"/>
      <c r="AN432" s="96" t="s">
        <v>890</v>
      </c>
      <c r="AO432" s="100">
        <v>45473</v>
      </c>
      <c r="AP432" s="100">
        <v>45473</v>
      </c>
      <c r="AQ432" s="96"/>
      <c r="AR432" s="97">
        <v>32693.210305000001</v>
      </c>
      <c r="AS432" s="97">
        <v>96.99</v>
      </c>
      <c r="AT432" s="97">
        <v>1</v>
      </c>
      <c r="AU432" s="97">
        <v>31.709143999999998</v>
      </c>
      <c r="AV432" s="97">
        <v>31.709143999999998</v>
      </c>
      <c r="AW432" s="96"/>
      <c r="AX432" s="96"/>
      <c r="AY432" s="96"/>
      <c r="AZ432" s="96"/>
      <c r="BA432" s="98">
        <v>2.0699999999999999E-4</v>
      </c>
      <c r="BB432" s="98">
        <v>1.5999999999999999E-5</v>
      </c>
      <c r="BC432" s="106"/>
    </row>
    <row r="433" spans="1:55" ht="15" customHeight="1">
      <c r="A433" s="106"/>
      <c r="B433" s="96">
        <v>286</v>
      </c>
      <c r="C433" s="96">
        <v>286</v>
      </c>
      <c r="D433" s="96"/>
      <c r="E433" s="96"/>
      <c r="F433" s="96"/>
      <c r="G433" s="96">
        <v>25000918</v>
      </c>
      <c r="H433" s="96" t="s">
        <v>1013</v>
      </c>
      <c r="I433" s="96"/>
      <c r="J433" s="96" t="s">
        <v>203</v>
      </c>
      <c r="K433" s="96"/>
      <c r="L433" s="96" t="s">
        <v>446</v>
      </c>
      <c r="M433" s="96" t="s">
        <v>338</v>
      </c>
      <c r="N433" s="96" t="s">
        <v>337</v>
      </c>
      <c r="O433" s="96"/>
      <c r="P433" s="100">
        <v>45440</v>
      </c>
      <c r="Q433" s="96" t="s">
        <v>2258</v>
      </c>
      <c r="R433" s="96" t="s">
        <v>311</v>
      </c>
      <c r="S433" s="96" t="s">
        <v>407</v>
      </c>
      <c r="T433" s="96" t="s">
        <v>1200</v>
      </c>
      <c r="U433" s="97">
        <v>0.65</v>
      </c>
      <c r="V433" s="96" t="s">
        <v>824</v>
      </c>
      <c r="W433" s="98">
        <v>6.8000000000000005E-2</v>
      </c>
      <c r="X433" s="96"/>
      <c r="Y433" s="96"/>
      <c r="Z433" s="96"/>
      <c r="AA433" s="98">
        <v>7.0000000000000007E-2</v>
      </c>
      <c r="AB433" s="100">
        <v>45716</v>
      </c>
      <c r="AC433" s="96" t="s">
        <v>411</v>
      </c>
      <c r="AD433" s="96"/>
      <c r="AE433" s="96"/>
      <c r="AF433" s="96"/>
      <c r="AG433" s="100">
        <v>45140</v>
      </c>
      <c r="AH433" s="96"/>
      <c r="AI433" s="96"/>
      <c r="AJ433" s="96"/>
      <c r="AK433" s="96" t="s">
        <v>337</v>
      </c>
      <c r="AL433" s="96" t="s">
        <v>887</v>
      </c>
      <c r="AM433" s="96"/>
      <c r="AN433" s="96" t="s">
        <v>890</v>
      </c>
      <c r="AO433" s="100">
        <v>45473</v>
      </c>
      <c r="AP433" s="100">
        <v>45473</v>
      </c>
      <c r="AQ433" s="96"/>
      <c r="AR433" s="97">
        <v>577498.37213599996</v>
      </c>
      <c r="AS433" s="97">
        <v>100.46</v>
      </c>
      <c r="AT433" s="97">
        <v>1</v>
      </c>
      <c r="AU433" s="97">
        <v>580.15486399999998</v>
      </c>
      <c r="AV433" s="97">
        <v>580.15486399999998</v>
      </c>
      <c r="AW433" s="96"/>
      <c r="AX433" s="96"/>
      <c r="AY433" s="96"/>
      <c r="AZ433" s="96"/>
      <c r="BA433" s="98">
        <v>3.7910000000000001E-3</v>
      </c>
      <c r="BB433" s="98">
        <v>3.0200000000000002E-4</v>
      </c>
      <c r="BC433" s="106"/>
    </row>
    <row r="434" spans="1:55" ht="15" customHeight="1">
      <c r="A434" s="106"/>
      <c r="B434" s="96">
        <v>286</v>
      </c>
      <c r="C434" s="96">
        <v>286</v>
      </c>
      <c r="D434" s="96"/>
      <c r="E434" s="96"/>
      <c r="F434" s="96"/>
      <c r="G434" s="96">
        <v>25000917</v>
      </c>
      <c r="H434" s="96" t="s">
        <v>1013</v>
      </c>
      <c r="I434" s="96" t="s">
        <v>812</v>
      </c>
      <c r="J434" s="96" t="s">
        <v>203</v>
      </c>
      <c r="K434" s="96"/>
      <c r="L434" s="96" t="s">
        <v>446</v>
      </c>
      <c r="M434" s="96" t="s">
        <v>338</v>
      </c>
      <c r="N434" s="96" t="s">
        <v>337</v>
      </c>
      <c r="O434" s="96"/>
      <c r="P434" s="100">
        <v>45427</v>
      </c>
      <c r="Q434" s="96" t="s">
        <v>1357</v>
      </c>
      <c r="R434" s="96" t="s">
        <v>414</v>
      </c>
      <c r="S434" s="96" t="s">
        <v>407</v>
      </c>
      <c r="T434" s="96" t="s">
        <v>1200</v>
      </c>
      <c r="U434" s="97">
        <v>2.0299999999999998</v>
      </c>
      <c r="V434" s="96" t="s">
        <v>824</v>
      </c>
      <c r="W434" s="98">
        <v>6.6000000000000003E-2</v>
      </c>
      <c r="X434" s="96"/>
      <c r="Y434" s="96"/>
      <c r="Z434" s="96"/>
      <c r="AA434" s="98">
        <v>6.83E-2</v>
      </c>
      <c r="AB434" s="100">
        <v>46262</v>
      </c>
      <c r="AC434" s="96" t="s">
        <v>411</v>
      </c>
      <c r="AD434" s="96"/>
      <c r="AE434" s="96"/>
      <c r="AF434" s="96"/>
      <c r="AG434" s="100">
        <v>45291</v>
      </c>
      <c r="AH434" s="96"/>
      <c r="AI434" s="96"/>
      <c r="AJ434" s="96"/>
      <c r="AK434" s="96" t="s">
        <v>337</v>
      </c>
      <c r="AL434" s="96" t="s">
        <v>887</v>
      </c>
      <c r="AM434" s="96"/>
      <c r="AN434" s="96" t="s">
        <v>890</v>
      </c>
      <c r="AO434" s="100">
        <v>45473</v>
      </c>
      <c r="AP434" s="100">
        <v>45473</v>
      </c>
      <c r="AQ434" s="96"/>
      <c r="AR434" s="97">
        <v>23641.041675</v>
      </c>
      <c r="AS434" s="97">
        <v>99.62</v>
      </c>
      <c r="AT434" s="97">
        <v>1</v>
      </c>
      <c r="AU434" s="97">
        <v>23.551205</v>
      </c>
      <c r="AV434" s="97">
        <v>23.551205</v>
      </c>
      <c r="AW434" s="96"/>
      <c r="AX434" s="96"/>
      <c r="AY434" s="96"/>
      <c r="AZ434" s="96"/>
      <c r="BA434" s="98">
        <v>1.5300000000000001E-4</v>
      </c>
      <c r="BB434" s="98">
        <v>1.2E-5</v>
      </c>
      <c r="BC434" s="106"/>
    </row>
    <row r="435" spans="1:55" ht="15" customHeight="1">
      <c r="A435" s="106"/>
      <c r="B435" s="96">
        <v>286</v>
      </c>
      <c r="C435" s="96">
        <v>286</v>
      </c>
      <c r="D435" s="96"/>
      <c r="E435" s="96"/>
      <c r="F435" s="96"/>
      <c r="G435" s="96">
        <v>25000916</v>
      </c>
      <c r="H435" s="96" t="s">
        <v>1013</v>
      </c>
      <c r="I435" s="96"/>
      <c r="J435" s="96" t="s">
        <v>203</v>
      </c>
      <c r="K435" s="96"/>
      <c r="L435" s="96" t="s">
        <v>463</v>
      </c>
      <c r="M435" s="96" t="s">
        <v>338</v>
      </c>
      <c r="N435" s="96" t="s">
        <v>337</v>
      </c>
      <c r="O435" s="96"/>
      <c r="P435" s="100">
        <v>45413</v>
      </c>
      <c r="Q435" s="96" t="s">
        <v>3681</v>
      </c>
      <c r="R435" s="96" t="s">
        <v>311</v>
      </c>
      <c r="S435" s="96" t="s">
        <v>407</v>
      </c>
      <c r="T435" s="96" t="s">
        <v>1200</v>
      </c>
      <c r="U435" s="97">
        <v>0.56999999999999995</v>
      </c>
      <c r="V435" s="96" t="s">
        <v>824</v>
      </c>
      <c r="W435" s="98">
        <v>7.8E-2</v>
      </c>
      <c r="X435" s="96"/>
      <c r="Y435" s="96"/>
      <c r="Z435" s="96"/>
      <c r="AA435" s="98">
        <v>8.0699999999999994E-2</v>
      </c>
      <c r="AB435" s="100">
        <v>45688</v>
      </c>
      <c r="AC435" s="96" t="s">
        <v>411</v>
      </c>
      <c r="AD435" s="96"/>
      <c r="AE435" s="96"/>
      <c r="AF435" s="96"/>
      <c r="AG435" s="100">
        <v>45050</v>
      </c>
      <c r="AH435" s="96"/>
      <c r="AI435" s="96"/>
      <c r="AJ435" s="96"/>
      <c r="AK435" s="96" t="s">
        <v>337</v>
      </c>
      <c r="AL435" s="96" t="s">
        <v>887</v>
      </c>
      <c r="AM435" s="96"/>
      <c r="AN435" s="96" t="s">
        <v>890</v>
      </c>
      <c r="AO435" s="100">
        <v>45473</v>
      </c>
      <c r="AP435" s="100">
        <v>45473</v>
      </c>
      <c r="AQ435" s="96"/>
      <c r="AR435" s="97">
        <v>86075.704331999994</v>
      </c>
      <c r="AS435" s="97">
        <v>101.18</v>
      </c>
      <c r="AT435" s="97">
        <v>1</v>
      </c>
      <c r="AU435" s="97">
        <v>87.091397000000001</v>
      </c>
      <c r="AV435" s="97">
        <v>87.091397000000001</v>
      </c>
      <c r="AW435" s="96"/>
      <c r="AX435" s="96"/>
      <c r="AY435" s="96"/>
      <c r="AZ435" s="96"/>
      <c r="BA435" s="98">
        <v>5.6899999999999995E-4</v>
      </c>
      <c r="BB435" s="98">
        <v>4.5000000000000003E-5</v>
      </c>
      <c r="BC435" s="106"/>
    </row>
    <row r="436" spans="1:55" ht="15" customHeight="1">
      <c r="A436" s="106"/>
      <c r="B436" s="96">
        <v>286</v>
      </c>
      <c r="C436" s="96">
        <v>286</v>
      </c>
      <c r="D436" s="96"/>
      <c r="E436" s="96"/>
      <c r="F436" s="96"/>
      <c r="G436" s="96">
        <v>25000915</v>
      </c>
      <c r="H436" s="96" t="s">
        <v>1013</v>
      </c>
      <c r="I436" s="96" t="s">
        <v>812</v>
      </c>
      <c r="J436" s="96" t="s">
        <v>203</v>
      </c>
      <c r="K436" s="96"/>
      <c r="L436" s="96" t="s">
        <v>476</v>
      </c>
      <c r="M436" s="96" t="s">
        <v>338</v>
      </c>
      <c r="N436" s="96" t="s">
        <v>337</v>
      </c>
      <c r="O436" s="96"/>
      <c r="P436" s="100">
        <v>45428</v>
      </c>
      <c r="Q436" s="96" t="s">
        <v>1357</v>
      </c>
      <c r="R436" s="96" t="s">
        <v>414</v>
      </c>
      <c r="S436" s="96" t="s">
        <v>407</v>
      </c>
      <c r="T436" s="96" t="s">
        <v>1200</v>
      </c>
      <c r="U436" s="97">
        <v>3.16</v>
      </c>
      <c r="V436" s="96" t="s">
        <v>824</v>
      </c>
      <c r="W436" s="98">
        <v>6.7000000000000004E-2</v>
      </c>
      <c r="X436" s="96"/>
      <c r="Y436" s="96"/>
      <c r="Z436" s="96"/>
      <c r="AA436" s="98">
        <v>7.17E-2</v>
      </c>
      <c r="AB436" s="100">
        <v>46753</v>
      </c>
      <c r="AC436" s="96" t="s">
        <v>411</v>
      </c>
      <c r="AD436" s="96"/>
      <c r="AE436" s="96"/>
      <c r="AF436" s="96"/>
      <c r="AG436" s="100">
        <v>45291</v>
      </c>
      <c r="AH436" s="96"/>
      <c r="AI436" s="96"/>
      <c r="AJ436" s="96"/>
      <c r="AK436" s="96" t="s">
        <v>337</v>
      </c>
      <c r="AL436" s="96" t="s">
        <v>887</v>
      </c>
      <c r="AM436" s="96"/>
      <c r="AN436" s="96" t="s">
        <v>890</v>
      </c>
      <c r="AO436" s="100">
        <v>45473</v>
      </c>
      <c r="AP436" s="100">
        <v>45473</v>
      </c>
      <c r="AQ436" s="96"/>
      <c r="AR436" s="97">
        <v>22057.706097999999</v>
      </c>
      <c r="AS436" s="97">
        <v>99.05</v>
      </c>
      <c r="AT436" s="97">
        <v>1</v>
      </c>
      <c r="AU436" s="97">
        <v>21.848157</v>
      </c>
      <c r="AV436" s="97">
        <v>21.848157</v>
      </c>
      <c r="AW436" s="96"/>
      <c r="AX436" s="96"/>
      <c r="AY436" s="96"/>
      <c r="AZ436" s="96"/>
      <c r="BA436" s="98">
        <v>1.4200000000000001E-4</v>
      </c>
      <c r="BB436" s="98">
        <v>1.1E-5</v>
      </c>
      <c r="BC436" s="106"/>
    </row>
    <row r="437" spans="1:55" ht="15" customHeight="1">
      <c r="A437" s="106"/>
      <c r="B437" s="96">
        <v>286</v>
      </c>
      <c r="C437" s="96">
        <v>286</v>
      </c>
      <c r="D437" s="96"/>
      <c r="E437" s="96"/>
      <c r="F437" s="96"/>
      <c r="G437" s="96">
        <v>25000922</v>
      </c>
      <c r="H437" s="96" t="s">
        <v>1013</v>
      </c>
      <c r="I437" s="96"/>
      <c r="J437" s="96" t="s">
        <v>203</v>
      </c>
      <c r="K437" s="96"/>
      <c r="L437" s="96" t="s">
        <v>477</v>
      </c>
      <c r="M437" s="96" t="s">
        <v>338</v>
      </c>
      <c r="N437" s="96" t="s">
        <v>338</v>
      </c>
      <c r="O437" s="96"/>
      <c r="P437" s="100">
        <v>45441</v>
      </c>
      <c r="Q437" s="96" t="s">
        <v>409</v>
      </c>
      <c r="R437" s="96" t="s">
        <v>409</v>
      </c>
      <c r="S437" s="96" t="s">
        <v>409</v>
      </c>
      <c r="T437" s="96" t="s">
        <v>1200</v>
      </c>
      <c r="U437" s="97">
        <v>1.55</v>
      </c>
      <c r="V437" s="96" t="s">
        <v>3678</v>
      </c>
      <c r="W437" s="98">
        <v>7.2800000000000004E-2</v>
      </c>
      <c r="X437" s="96"/>
      <c r="Y437" s="96"/>
      <c r="Z437" s="96"/>
      <c r="AA437" s="98">
        <v>7.8799999999999995E-2</v>
      </c>
      <c r="AB437" s="100">
        <v>48457</v>
      </c>
      <c r="AC437" s="96" t="s">
        <v>411</v>
      </c>
      <c r="AD437" s="96"/>
      <c r="AE437" s="96"/>
      <c r="AF437" s="96"/>
      <c r="AG437" s="100">
        <v>45473</v>
      </c>
      <c r="AH437" s="96"/>
      <c r="AI437" s="96"/>
      <c r="AJ437" s="96"/>
      <c r="AK437" s="96" t="s">
        <v>337</v>
      </c>
      <c r="AL437" s="96" t="s">
        <v>887</v>
      </c>
      <c r="AM437" s="96"/>
      <c r="AN437" s="96" t="s">
        <v>890</v>
      </c>
      <c r="AO437" s="100">
        <v>45473</v>
      </c>
      <c r="AP437" s="100">
        <v>45473</v>
      </c>
      <c r="AQ437" s="96"/>
      <c r="AR437" s="97">
        <v>650822.48115799995</v>
      </c>
      <c r="AS437" s="97">
        <v>106.55</v>
      </c>
      <c r="AT437" s="97">
        <v>1</v>
      </c>
      <c r="AU437" s="97">
        <v>693.45135300000004</v>
      </c>
      <c r="AV437" s="97">
        <v>693.45135300000004</v>
      </c>
      <c r="AW437" s="96"/>
      <c r="AX437" s="96"/>
      <c r="AY437" s="96"/>
      <c r="AZ437" s="96"/>
      <c r="BA437" s="98">
        <v>4.5310000000000003E-3</v>
      </c>
      <c r="BB437" s="98">
        <v>3.6099999999999999E-4</v>
      </c>
      <c r="BC437" s="106"/>
    </row>
    <row r="438" spans="1:55" ht="15" customHeight="1">
      <c r="A438" s="106"/>
      <c r="B438" s="96">
        <v>286</v>
      </c>
      <c r="C438" s="96">
        <v>286</v>
      </c>
      <c r="D438" s="96"/>
      <c r="E438" s="96"/>
      <c r="F438" s="96"/>
      <c r="G438" s="96">
        <v>25000934</v>
      </c>
      <c r="H438" s="96" t="s">
        <v>1013</v>
      </c>
      <c r="I438" s="96" t="s">
        <v>812</v>
      </c>
      <c r="J438" s="96" t="s">
        <v>203</v>
      </c>
      <c r="K438" s="96"/>
      <c r="L438" s="96" t="s">
        <v>470</v>
      </c>
      <c r="M438" s="96" t="s">
        <v>338</v>
      </c>
      <c r="N438" s="96" t="s">
        <v>337</v>
      </c>
      <c r="O438" s="96"/>
      <c r="P438" s="100">
        <v>45469</v>
      </c>
      <c r="Q438" s="96" t="s">
        <v>409</v>
      </c>
      <c r="R438" s="96" t="s">
        <v>409</v>
      </c>
      <c r="S438" s="96" t="s">
        <v>409</v>
      </c>
      <c r="T438" s="96" t="s">
        <v>1200</v>
      </c>
      <c r="U438" s="97">
        <v>8.89</v>
      </c>
      <c r="V438" s="96" t="s">
        <v>3678</v>
      </c>
      <c r="W438" s="98">
        <v>4.87E-2</v>
      </c>
      <c r="X438" s="96"/>
      <c r="Y438" s="96"/>
      <c r="Z438" s="96"/>
      <c r="AA438" s="98">
        <v>5.0200000000000002E-2</v>
      </c>
      <c r="AB438" s="100">
        <v>53417</v>
      </c>
      <c r="AC438" s="96" t="s">
        <v>411</v>
      </c>
      <c r="AD438" s="96"/>
      <c r="AE438" s="96"/>
      <c r="AF438" s="96"/>
      <c r="AG438" s="100">
        <v>45291</v>
      </c>
      <c r="AH438" s="96"/>
      <c r="AI438" s="96"/>
      <c r="AJ438" s="96"/>
      <c r="AK438" s="96" t="s">
        <v>337</v>
      </c>
      <c r="AL438" s="96" t="s">
        <v>887</v>
      </c>
      <c r="AM438" s="96"/>
      <c r="AN438" s="96" t="s">
        <v>890</v>
      </c>
      <c r="AO438" s="100">
        <v>45473</v>
      </c>
      <c r="AP438" s="100">
        <v>45473</v>
      </c>
      <c r="AQ438" s="96"/>
      <c r="AR438" s="97">
        <v>6221.4169920000004</v>
      </c>
      <c r="AS438" s="97">
        <v>99.54</v>
      </c>
      <c r="AT438" s="97">
        <v>1</v>
      </c>
      <c r="AU438" s="97">
        <v>6.1927979999999998</v>
      </c>
      <c r="AV438" s="97">
        <v>6.1927979999999998</v>
      </c>
      <c r="AW438" s="96"/>
      <c r="AX438" s="96"/>
      <c r="AY438" s="96"/>
      <c r="AZ438" s="96"/>
      <c r="BA438" s="98">
        <v>4.0000000000000003E-5</v>
      </c>
      <c r="BB438" s="98">
        <v>3.0000000000000001E-6</v>
      </c>
      <c r="BC438" s="106"/>
    </row>
    <row r="439" spans="1:55" ht="15" customHeight="1">
      <c r="A439" s="106"/>
      <c r="B439" s="96">
        <v>286</v>
      </c>
      <c r="C439" s="96">
        <v>286</v>
      </c>
      <c r="D439" s="96"/>
      <c r="E439" s="96"/>
      <c r="F439" s="96"/>
      <c r="G439" s="96">
        <v>25000935</v>
      </c>
      <c r="H439" s="96" t="s">
        <v>1013</v>
      </c>
      <c r="I439" s="96" t="s">
        <v>812</v>
      </c>
      <c r="J439" s="96" t="s">
        <v>203</v>
      </c>
      <c r="K439" s="96"/>
      <c r="L439" s="96" t="s">
        <v>470</v>
      </c>
      <c r="M439" s="96" t="s">
        <v>338</v>
      </c>
      <c r="N439" s="96" t="s">
        <v>337</v>
      </c>
      <c r="O439" s="96"/>
      <c r="P439" s="100">
        <v>45469</v>
      </c>
      <c r="Q439" s="96" t="s">
        <v>409</v>
      </c>
      <c r="R439" s="96" t="s">
        <v>409</v>
      </c>
      <c r="S439" s="96" t="s">
        <v>409</v>
      </c>
      <c r="T439" s="96" t="s">
        <v>1200</v>
      </c>
      <c r="U439" s="97">
        <v>8.6999999999999993</v>
      </c>
      <c r="V439" s="96" t="s">
        <v>3678</v>
      </c>
      <c r="W439" s="98">
        <v>4.87E-2</v>
      </c>
      <c r="X439" s="96"/>
      <c r="Y439" s="96"/>
      <c r="Z439" s="96"/>
      <c r="AA439" s="98">
        <v>5.0200000000000002E-2</v>
      </c>
      <c r="AB439" s="100">
        <v>53327</v>
      </c>
      <c r="AC439" s="96" t="s">
        <v>411</v>
      </c>
      <c r="AD439" s="96"/>
      <c r="AE439" s="96"/>
      <c r="AF439" s="96"/>
      <c r="AG439" s="100">
        <v>45291</v>
      </c>
      <c r="AH439" s="96"/>
      <c r="AI439" s="96"/>
      <c r="AJ439" s="96"/>
      <c r="AK439" s="96" t="s">
        <v>337</v>
      </c>
      <c r="AL439" s="96" t="s">
        <v>887</v>
      </c>
      <c r="AM439" s="96"/>
      <c r="AN439" s="96" t="s">
        <v>890</v>
      </c>
      <c r="AO439" s="100">
        <v>45473</v>
      </c>
      <c r="AP439" s="100">
        <v>45473</v>
      </c>
      <c r="AQ439" s="96"/>
      <c r="AR439" s="97">
        <v>14871.352064000001</v>
      </c>
      <c r="AS439" s="97">
        <v>99.55</v>
      </c>
      <c r="AT439" s="97">
        <v>1</v>
      </c>
      <c r="AU439" s="97">
        <v>14.80443</v>
      </c>
      <c r="AV439" s="97">
        <v>14.80443</v>
      </c>
      <c r="AW439" s="96"/>
      <c r="AX439" s="96"/>
      <c r="AY439" s="96"/>
      <c r="AZ439" s="96"/>
      <c r="BA439" s="98">
        <v>9.6000000000000002E-5</v>
      </c>
      <c r="BB439" s="98">
        <v>6.9999999999999999E-6</v>
      </c>
      <c r="BC439" s="106"/>
    </row>
    <row r="440" spans="1:55" ht="15" customHeight="1">
      <c r="A440" s="106"/>
      <c r="B440" s="96">
        <v>286</v>
      </c>
      <c r="C440" s="96">
        <v>286</v>
      </c>
      <c r="D440" s="96"/>
      <c r="E440" s="96"/>
      <c r="F440" s="96"/>
      <c r="G440" s="96">
        <v>25000936</v>
      </c>
      <c r="H440" s="96" t="s">
        <v>1013</v>
      </c>
      <c r="I440" s="96"/>
      <c r="J440" s="96" t="s">
        <v>203</v>
      </c>
      <c r="K440" s="96"/>
      <c r="L440" s="96" t="s">
        <v>446</v>
      </c>
      <c r="M440" s="96" t="s">
        <v>338</v>
      </c>
      <c r="N440" s="96" t="s">
        <v>338</v>
      </c>
      <c r="O440" s="96"/>
      <c r="P440" s="100">
        <v>45470</v>
      </c>
      <c r="Q440" s="96" t="s">
        <v>2074</v>
      </c>
      <c r="R440" s="96" t="s">
        <v>311</v>
      </c>
      <c r="S440" s="96" t="s">
        <v>407</v>
      </c>
      <c r="T440" s="96" t="s">
        <v>1200</v>
      </c>
      <c r="U440" s="97">
        <v>3.51</v>
      </c>
      <c r="V440" s="96" t="s">
        <v>824</v>
      </c>
      <c r="W440" s="98">
        <v>0.1</v>
      </c>
      <c r="X440" s="96"/>
      <c r="Y440" s="96"/>
      <c r="Z440" s="96"/>
      <c r="AA440" s="98">
        <v>0.10580000000000001</v>
      </c>
      <c r="AB440" s="100">
        <v>47028</v>
      </c>
      <c r="AC440" s="96" t="s">
        <v>411</v>
      </c>
      <c r="AD440" s="96"/>
      <c r="AE440" s="96"/>
      <c r="AF440" s="96"/>
      <c r="AG440" s="100">
        <v>45443</v>
      </c>
      <c r="AH440" s="96"/>
      <c r="AI440" s="96"/>
      <c r="AJ440" s="96"/>
      <c r="AK440" s="96" t="s">
        <v>337</v>
      </c>
      <c r="AL440" s="96" t="s">
        <v>887</v>
      </c>
      <c r="AM440" s="96"/>
      <c r="AN440" s="96" t="s">
        <v>890</v>
      </c>
      <c r="AO440" s="100">
        <v>45473</v>
      </c>
      <c r="AP440" s="100">
        <v>45473</v>
      </c>
      <c r="AQ440" s="96"/>
      <c r="AR440" s="97">
        <v>81920.106050000002</v>
      </c>
      <c r="AS440" s="97">
        <v>100</v>
      </c>
      <c r="AT440" s="97">
        <v>1</v>
      </c>
      <c r="AU440" s="97">
        <v>81.920106000000004</v>
      </c>
      <c r="AV440" s="97">
        <v>81.920106000000004</v>
      </c>
      <c r="AW440" s="96"/>
      <c r="AX440" s="96"/>
      <c r="AY440" s="96"/>
      <c r="AZ440" s="96"/>
      <c r="BA440" s="98">
        <v>5.3499999999999999E-4</v>
      </c>
      <c r="BB440" s="98">
        <v>4.1999999999999998E-5</v>
      </c>
      <c r="BC440" s="106"/>
    </row>
    <row r="441" spans="1:55" ht="15" customHeight="1">
      <c r="A441" s="106"/>
      <c r="B441" s="96">
        <v>286</v>
      </c>
      <c r="C441" s="96">
        <v>286</v>
      </c>
      <c r="D441" s="96"/>
      <c r="E441" s="96"/>
      <c r="F441" s="96"/>
      <c r="G441" s="96">
        <v>25100354</v>
      </c>
      <c r="H441" s="96" t="s">
        <v>1013</v>
      </c>
      <c r="I441" s="96" t="s">
        <v>812</v>
      </c>
      <c r="J441" s="96" t="s">
        <v>203</v>
      </c>
      <c r="K441" s="96"/>
      <c r="L441" s="96" t="s">
        <v>463</v>
      </c>
      <c r="M441" s="96" t="s">
        <v>338</v>
      </c>
      <c r="N441" s="96" t="s">
        <v>337</v>
      </c>
      <c r="O441" s="96"/>
      <c r="P441" s="100">
        <v>45434</v>
      </c>
      <c r="Q441" s="96" t="s">
        <v>1357</v>
      </c>
      <c r="R441" s="96" t="s">
        <v>414</v>
      </c>
      <c r="S441" s="96" t="s">
        <v>407</v>
      </c>
      <c r="T441" s="96" t="s">
        <v>1202</v>
      </c>
      <c r="U441" s="97">
        <v>9.24</v>
      </c>
      <c r="V441" s="96" t="s">
        <v>824</v>
      </c>
      <c r="W441" s="98">
        <v>5.9076999999999998E-2</v>
      </c>
      <c r="X441" s="96"/>
      <c r="Y441" s="96"/>
      <c r="Z441" s="96"/>
      <c r="AA441" s="98">
        <v>5.2200000000000003E-2</v>
      </c>
      <c r="AB441" s="100">
        <v>53321</v>
      </c>
      <c r="AC441" s="96" t="s">
        <v>411</v>
      </c>
      <c r="AD441" s="96"/>
      <c r="AE441" s="96"/>
      <c r="AF441" s="96"/>
      <c r="AG441" s="100">
        <v>45291</v>
      </c>
      <c r="AH441" s="96"/>
      <c r="AI441" s="96"/>
      <c r="AJ441" s="96"/>
      <c r="AK441" s="96" t="s">
        <v>337</v>
      </c>
      <c r="AL441" s="96" t="s">
        <v>887</v>
      </c>
      <c r="AM441" s="96"/>
      <c r="AN441" s="96" t="s">
        <v>890</v>
      </c>
      <c r="AO441" s="100">
        <v>45473</v>
      </c>
      <c r="AP441" s="100">
        <v>45473</v>
      </c>
      <c r="AQ441" s="96"/>
      <c r="AR441" s="97">
        <v>10485.752105</v>
      </c>
      <c r="AS441" s="97">
        <v>98.81</v>
      </c>
      <c r="AT441" s="97">
        <v>4.0202</v>
      </c>
      <c r="AU441" s="97">
        <v>41.653177999999997</v>
      </c>
      <c r="AV441" s="97">
        <v>10.360970999999999</v>
      </c>
      <c r="AW441" s="96"/>
      <c r="AX441" s="96"/>
      <c r="AY441" s="96"/>
      <c r="AZ441" s="96"/>
      <c r="BA441" s="98">
        <v>2.72E-4</v>
      </c>
      <c r="BB441" s="98">
        <v>2.0999999999999999E-5</v>
      </c>
      <c r="BC441" s="106"/>
    </row>
    <row r="442" spans="1:55" ht="15" customHeight="1">
      <c r="A442" s="106"/>
      <c r="B442" s="96">
        <v>286</v>
      </c>
      <c r="C442" s="96">
        <v>286</v>
      </c>
      <c r="D442" s="96"/>
      <c r="E442" s="96"/>
      <c r="F442" s="96"/>
      <c r="G442" s="96">
        <v>25100353</v>
      </c>
      <c r="H442" s="96" t="s">
        <v>1013</v>
      </c>
      <c r="I442" s="96" t="s">
        <v>812</v>
      </c>
      <c r="J442" s="96" t="s">
        <v>203</v>
      </c>
      <c r="K442" s="96"/>
      <c r="L442" s="96" t="s">
        <v>463</v>
      </c>
      <c r="M442" s="96" t="s">
        <v>338</v>
      </c>
      <c r="N442" s="96" t="s">
        <v>337</v>
      </c>
      <c r="O442" s="96"/>
      <c r="P442" s="100">
        <v>45376</v>
      </c>
      <c r="Q442" s="96" t="s">
        <v>1357</v>
      </c>
      <c r="R442" s="96" t="s">
        <v>414</v>
      </c>
      <c r="S442" s="96" t="s">
        <v>407</v>
      </c>
      <c r="T442" s="96" t="s">
        <v>1202</v>
      </c>
      <c r="U442" s="97">
        <v>9.2200000000000006</v>
      </c>
      <c r="V442" s="96" t="s">
        <v>824</v>
      </c>
      <c r="W442" s="98">
        <v>6.0260000000000001E-2</v>
      </c>
      <c r="X442" s="96"/>
      <c r="Y442" s="96"/>
      <c r="Z442" s="96"/>
      <c r="AA442" s="98">
        <v>5.2900000000000003E-2</v>
      </c>
      <c r="AB442" s="100">
        <v>53321</v>
      </c>
      <c r="AC442" s="96" t="s">
        <v>411</v>
      </c>
      <c r="AD442" s="96"/>
      <c r="AE442" s="96"/>
      <c r="AF442" s="96"/>
      <c r="AG442" s="100">
        <v>45291</v>
      </c>
      <c r="AH442" s="96"/>
      <c r="AI442" s="96"/>
      <c r="AJ442" s="96"/>
      <c r="AK442" s="96" t="s">
        <v>337</v>
      </c>
      <c r="AL442" s="96" t="s">
        <v>887</v>
      </c>
      <c r="AM442" s="96"/>
      <c r="AN442" s="96" t="s">
        <v>890</v>
      </c>
      <c r="AO442" s="100">
        <v>45473</v>
      </c>
      <c r="AP442" s="100">
        <v>45473</v>
      </c>
      <c r="AQ442" s="96"/>
      <c r="AR442" s="97">
        <v>7008.3385179999996</v>
      </c>
      <c r="AS442" s="97">
        <v>98.19</v>
      </c>
      <c r="AT442" s="97">
        <v>4.0202</v>
      </c>
      <c r="AU442" s="97">
        <v>27.664956</v>
      </c>
      <c r="AV442" s="97">
        <v>6.8814869999999999</v>
      </c>
      <c r="AW442" s="96"/>
      <c r="AX442" s="96"/>
      <c r="AY442" s="96"/>
      <c r="AZ442" s="96"/>
      <c r="BA442" s="98">
        <v>1.8000000000000001E-4</v>
      </c>
      <c r="BB442" s="98">
        <v>1.4E-5</v>
      </c>
      <c r="BC442" s="106"/>
    </row>
    <row r="443" spans="1:55" ht="15" customHeight="1">
      <c r="A443" s="106"/>
      <c r="B443" s="96">
        <v>286</v>
      </c>
      <c r="C443" s="96">
        <v>286</v>
      </c>
      <c r="D443" s="96"/>
      <c r="E443" s="96"/>
      <c r="F443" s="96"/>
      <c r="G443" s="96">
        <v>25100352</v>
      </c>
      <c r="H443" s="96" t="s">
        <v>1013</v>
      </c>
      <c r="I443" s="96" t="s">
        <v>813</v>
      </c>
      <c r="J443" s="96" t="s">
        <v>203</v>
      </c>
      <c r="K443" s="96"/>
      <c r="L443" s="96" t="s">
        <v>463</v>
      </c>
      <c r="M443" s="96" t="s">
        <v>338</v>
      </c>
      <c r="N443" s="96" t="s">
        <v>337</v>
      </c>
      <c r="O443" s="96"/>
      <c r="P443" s="100">
        <v>45376</v>
      </c>
      <c r="Q443" s="96" t="s">
        <v>1357</v>
      </c>
      <c r="R443" s="96" t="s">
        <v>414</v>
      </c>
      <c r="S443" s="96" t="s">
        <v>407</v>
      </c>
      <c r="T443" s="96" t="s">
        <v>1202</v>
      </c>
      <c r="U443" s="97">
        <v>0.24</v>
      </c>
      <c r="V443" s="96" t="s">
        <v>824</v>
      </c>
      <c r="W443" s="98">
        <v>6.0260000000000001E-2</v>
      </c>
      <c r="X443" s="96"/>
      <c r="Y443" s="96"/>
      <c r="Z443" s="96"/>
      <c r="AA443" s="98">
        <v>6.3399999999999998E-2</v>
      </c>
      <c r="AB443" s="100">
        <v>45560</v>
      </c>
      <c r="AC443" s="96" t="s">
        <v>411</v>
      </c>
      <c r="AD443" s="96"/>
      <c r="AE443" s="96"/>
      <c r="AF443" s="96"/>
      <c r="AG443" s="100">
        <v>45291</v>
      </c>
      <c r="AH443" s="96"/>
      <c r="AI443" s="96"/>
      <c r="AJ443" s="96"/>
      <c r="AK443" s="96" t="s">
        <v>338</v>
      </c>
      <c r="AL443" s="96" t="s">
        <v>887</v>
      </c>
      <c r="AM443" s="96"/>
      <c r="AN443" s="96" t="s">
        <v>890</v>
      </c>
      <c r="AO443" s="100">
        <v>45473</v>
      </c>
      <c r="AP443" s="100">
        <v>45473</v>
      </c>
      <c r="AQ443" s="96"/>
      <c r="AR443" s="97">
        <v>84606.232994999998</v>
      </c>
      <c r="AS443" s="97">
        <v>100</v>
      </c>
      <c r="AT443" s="97">
        <v>4.0202</v>
      </c>
      <c r="AU443" s="97">
        <v>340.13397700000002</v>
      </c>
      <c r="AV443" s="97">
        <v>84.606232000000006</v>
      </c>
      <c r="AW443" s="96"/>
      <c r="AX443" s="96"/>
      <c r="AY443" s="96"/>
      <c r="AZ443" s="96"/>
      <c r="BA443" s="98">
        <v>2.222E-3</v>
      </c>
      <c r="BB443" s="98">
        <v>1.7699999999999999E-4</v>
      </c>
      <c r="BC443" s="106"/>
    </row>
    <row r="444" spans="1:55" ht="15" customHeight="1">
      <c r="A444" s="106"/>
      <c r="B444" s="96">
        <v>286</v>
      </c>
      <c r="C444" s="96">
        <v>286</v>
      </c>
      <c r="D444" s="96"/>
      <c r="E444" s="96"/>
      <c r="F444" s="96"/>
      <c r="G444" s="96">
        <v>25100351</v>
      </c>
      <c r="H444" s="96" t="s">
        <v>1013</v>
      </c>
      <c r="I444" s="96" t="s">
        <v>813</v>
      </c>
      <c r="J444" s="96" t="s">
        <v>203</v>
      </c>
      <c r="K444" s="96"/>
      <c r="L444" s="96" t="s">
        <v>463</v>
      </c>
      <c r="M444" s="96" t="s">
        <v>338</v>
      </c>
      <c r="N444" s="96" t="s">
        <v>337</v>
      </c>
      <c r="O444" s="96"/>
      <c r="P444" s="100">
        <v>45348</v>
      </c>
      <c r="Q444" s="96" t="s">
        <v>1357</v>
      </c>
      <c r="R444" s="96" t="s">
        <v>414</v>
      </c>
      <c r="S444" s="96" t="s">
        <v>407</v>
      </c>
      <c r="T444" s="96" t="s">
        <v>1202</v>
      </c>
      <c r="U444" s="97">
        <v>9.27</v>
      </c>
      <c r="V444" s="96" t="s">
        <v>824</v>
      </c>
      <c r="W444" s="98">
        <v>5.9636000000000002E-2</v>
      </c>
      <c r="X444" s="96"/>
      <c r="Y444" s="96"/>
      <c r="Z444" s="96"/>
      <c r="AA444" s="98">
        <v>5.1299999999999998E-2</v>
      </c>
      <c r="AB444" s="100">
        <v>53321</v>
      </c>
      <c r="AC444" s="96" t="s">
        <v>411</v>
      </c>
      <c r="AD444" s="96"/>
      <c r="AE444" s="96"/>
      <c r="AF444" s="96"/>
      <c r="AG444" s="100">
        <v>45291</v>
      </c>
      <c r="AH444" s="96"/>
      <c r="AI444" s="96"/>
      <c r="AJ444" s="96"/>
      <c r="AK444" s="96" t="s">
        <v>337</v>
      </c>
      <c r="AL444" s="96" t="s">
        <v>887</v>
      </c>
      <c r="AM444" s="96"/>
      <c r="AN444" s="96" t="s">
        <v>890</v>
      </c>
      <c r="AO444" s="100">
        <v>45473</v>
      </c>
      <c r="AP444" s="100">
        <v>45473</v>
      </c>
      <c r="AQ444" s="96"/>
      <c r="AR444" s="97">
        <v>9150.4227389999996</v>
      </c>
      <c r="AS444" s="97">
        <v>99.59</v>
      </c>
      <c r="AT444" s="97">
        <v>4.0202</v>
      </c>
      <c r="AU444" s="97">
        <v>36.635703999999997</v>
      </c>
      <c r="AV444" s="97">
        <v>9.1129060000000006</v>
      </c>
      <c r="AW444" s="96"/>
      <c r="AX444" s="96"/>
      <c r="AY444" s="96"/>
      <c r="AZ444" s="96"/>
      <c r="BA444" s="98">
        <v>2.3900000000000001E-4</v>
      </c>
      <c r="BB444" s="98">
        <v>1.9000000000000001E-5</v>
      </c>
      <c r="BC444" s="106"/>
    </row>
    <row r="445" spans="1:55" ht="15" customHeight="1">
      <c r="A445" s="106"/>
      <c r="B445" s="96">
        <v>286</v>
      </c>
      <c r="C445" s="96">
        <v>286</v>
      </c>
      <c r="D445" s="96"/>
      <c r="E445" s="96"/>
      <c r="F445" s="96"/>
      <c r="G445" s="96">
        <v>25100348</v>
      </c>
      <c r="H445" s="96" t="s">
        <v>1013</v>
      </c>
      <c r="I445" s="96" t="s">
        <v>813</v>
      </c>
      <c r="J445" s="96" t="s">
        <v>203</v>
      </c>
      <c r="K445" s="96"/>
      <c r="L445" s="96" t="s">
        <v>463</v>
      </c>
      <c r="M445" s="96" t="s">
        <v>338</v>
      </c>
      <c r="N445" s="96" t="s">
        <v>337</v>
      </c>
      <c r="O445" s="96"/>
      <c r="P445" s="100">
        <v>45259</v>
      </c>
      <c r="Q445" s="96" t="s">
        <v>1357</v>
      </c>
      <c r="R445" s="96" t="s">
        <v>414</v>
      </c>
      <c r="S445" s="96" t="s">
        <v>407</v>
      </c>
      <c r="T445" s="96" t="s">
        <v>1202</v>
      </c>
      <c r="U445" s="97">
        <v>9.24</v>
      </c>
      <c r="V445" s="96" t="s">
        <v>824</v>
      </c>
      <c r="W445" s="98">
        <v>5.9523E-2</v>
      </c>
      <c r="X445" s="96"/>
      <c r="Y445" s="96"/>
      <c r="Z445" s="96"/>
      <c r="AA445" s="98">
        <v>5.2299999999999999E-2</v>
      </c>
      <c r="AB445" s="100">
        <v>53321</v>
      </c>
      <c r="AC445" s="96" t="s">
        <v>411</v>
      </c>
      <c r="AD445" s="96"/>
      <c r="AE445" s="96"/>
      <c r="AF445" s="96"/>
      <c r="AG445" s="100">
        <v>45291</v>
      </c>
      <c r="AH445" s="96"/>
      <c r="AI445" s="96"/>
      <c r="AJ445" s="96"/>
      <c r="AK445" s="96" t="s">
        <v>337</v>
      </c>
      <c r="AL445" s="96" t="s">
        <v>887</v>
      </c>
      <c r="AM445" s="96"/>
      <c r="AN445" s="96" t="s">
        <v>890</v>
      </c>
      <c r="AO445" s="100">
        <v>45473</v>
      </c>
      <c r="AP445" s="100">
        <v>45473</v>
      </c>
      <c r="AQ445" s="96"/>
      <c r="AR445" s="97">
        <v>13745.218663</v>
      </c>
      <c r="AS445" s="97">
        <v>98.69</v>
      </c>
      <c r="AT445" s="97">
        <v>4.0202</v>
      </c>
      <c r="AU445" s="97">
        <v>54.534641000000001</v>
      </c>
      <c r="AV445" s="97">
        <v>13.565156</v>
      </c>
      <c r="AW445" s="96"/>
      <c r="AX445" s="96"/>
      <c r="AY445" s="96"/>
      <c r="AZ445" s="96"/>
      <c r="BA445" s="98">
        <v>3.5599999999999998E-4</v>
      </c>
      <c r="BB445" s="98">
        <v>2.8E-5</v>
      </c>
      <c r="BC445" s="106"/>
    </row>
    <row r="446" spans="1:55" ht="15" customHeight="1">
      <c r="A446" s="106"/>
      <c r="B446" s="96">
        <v>286</v>
      </c>
      <c r="C446" s="96">
        <v>286</v>
      </c>
      <c r="D446" s="96"/>
      <c r="E446" s="96"/>
      <c r="F446" s="96"/>
      <c r="G446" s="96">
        <v>25100346</v>
      </c>
      <c r="H446" s="96" t="s">
        <v>1013</v>
      </c>
      <c r="I446" s="96" t="s">
        <v>813</v>
      </c>
      <c r="J446" s="96" t="s">
        <v>203</v>
      </c>
      <c r="K446" s="96"/>
      <c r="L446" s="96" t="s">
        <v>463</v>
      </c>
      <c r="M446" s="96" t="s">
        <v>338</v>
      </c>
      <c r="N446" s="96" t="s">
        <v>337</v>
      </c>
      <c r="O446" s="96"/>
      <c r="P446" s="100">
        <v>45224</v>
      </c>
      <c r="Q446" s="96" t="s">
        <v>1357</v>
      </c>
      <c r="R446" s="96" t="s">
        <v>414</v>
      </c>
      <c r="S446" s="96" t="s">
        <v>407</v>
      </c>
      <c r="T446" s="96" t="s">
        <v>1202</v>
      </c>
      <c r="U446" s="97">
        <v>9.33</v>
      </c>
      <c r="V446" s="96" t="s">
        <v>824</v>
      </c>
      <c r="W446" s="98">
        <v>6.0083999999999999E-2</v>
      </c>
      <c r="X446" s="96"/>
      <c r="Y446" s="96"/>
      <c r="Z446" s="96"/>
      <c r="AA446" s="98">
        <v>4.9500000000000002E-2</v>
      </c>
      <c r="AB446" s="100">
        <v>53321</v>
      </c>
      <c r="AC446" s="96" t="s">
        <v>411</v>
      </c>
      <c r="AD446" s="96"/>
      <c r="AE446" s="96"/>
      <c r="AF446" s="96"/>
      <c r="AG446" s="100">
        <v>45291</v>
      </c>
      <c r="AH446" s="96"/>
      <c r="AI446" s="96"/>
      <c r="AJ446" s="96"/>
      <c r="AK446" s="96" t="s">
        <v>337</v>
      </c>
      <c r="AL446" s="96" t="s">
        <v>887</v>
      </c>
      <c r="AM446" s="96"/>
      <c r="AN446" s="96" t="s">
        <v>890</v>
      </c>
      <c r="AO446" s="100">
        <v>45473</v>
      </c>
      <c r="AP446" s="100">
        <v>45473</v>
      </c>
      <c r="AQ446" s="96"/>
      <c r="AR446" s="97">
        <v>11374.039612</v>
      </c>
      <c r="AS446" s="97">
        <v>101.17</v>
      </c>
      <c r="AT446" s="97">
        <v>4.0202</v>
      </c>
      <c r="AU446" s="97">
        <v>46.260907000000003</v>
      </c>
      <c r="AV446" s="97">
        <v>11.507115000000001</v>
      </c>
      <c r="AW446" s="96"/>
      <c r="AX446" s="96"/>
      <c r="AY446" s="96"/>
      <c r="AZ446" s="96"/>
      <c r="BA446" s="98">
        <v>3.0200000000000002E-4</v>
      </c>
      <c r="BB446" s="98">
        <v>2.4000000000000001E-5</v>
      </c>
      <c r="BC446" s="106"/>
    </row>
    <row r="447" spans="1:55" ht="15" customHeight="1">
      <c r="A447" s="106"/>
      <c r="B447" s="96">
        <v>286</v>
      </c>
      <c r="C447" s="96">
        <v>286</v>
      </c>
      <c r="D447" s="96"/>
      <c r="E447" s="96"/>
      <c r="F447" s="96"/>
      <c r="G447" s="96">
        <v>25100343</v>
      </c>
      <c r="H447" s="96" t="s">
        <v>1013</v>
      </c>
      <c r="I447" s="96" t="s">
        <v>813</v>
      </c>
      <c r="J447" s="96" t="s">
        <v>203</v>
      </c>
      <c r="K447" s="96"/>
      <c r="L447" s="96" t="s">
        <v>463</v>
      </c>
      <c r="M447" s="96" t="s">
        <v>338</v>
      </c>
      <c r="N447" s="96" t="s">
        <v>337</v>
      </c>
      <c r="O447" s="96"/>
      <c r="P447" s="100">
        <v>45196</v>
      </c>
      <c r="Q447" s="96" t="s">
        <v>1357</v>
      </c>
      <c r="R447" s="96" t="s">
        <v>414</v>
      </c>
      <c r="S447" s="96" t="s">
        <v>407</v>
      </c>
      <c r="T447" s="96" t="s">
        <v>1202</v>
      </c>
      <c r="U447" s="97">
        <v>9.08</v>
      </c>
      <c r="V447" s="96" t="s">
        <v>824</v>
      </c>
      <c r="W447" s="98">
        <v>6.0732000000000001E-2</v>
      </c>
      <c r="X447" s="96"/>
      <c r="Y447" s="96"/>
      <c r="Z447" s="96"/>
      <c r="AA447" s="98">
        <v>5.7299999999999997E-2</v>
      </c>
      <c r="AB447" s="100">
        <v>53321</v>
      </c>
      <c r="AC447" s="96" t="s">
        <v>411</v>
      </c>
      <c r="AD447" s="96"/>
      <c r="AE447" s="96"/>
      <c r="AF447" s="96"/>
      <c r="AG447" s="100">
        <v>45291</v>
      </c>
      <c r="AH447" s="96"/>
      <c r="AI447" s="96"/>
      <c r="AJ447" s="96"/>
      <c r="AK447" s="96" t="s">
        <v>337</v>
      </c>
      <c r="AL447" s="96" t="s">
        <v>887</v>
      </c>
      <c r="AM447" s="96"/>
      <c r="AN447" s="96" t="s">
        <v>890</v>
      </c>
      <c r="AO447" s="100">
        <v>45473</v>
      </c>
      <c r="AP447" s="100">
        <v>45473</v>
      </c>
      <c r="AQ447" s="96"/>
      <c r="AR447" s="97">
        <v>1930.3235709999999</v>
      </c>
      <c r="AS447" s="97">
        <v>94.53</v>
      </c>
      <c r="AT447" s="97">
        <v>4.0202</v>
      </c>
      <c r="AU447" s="97">
        <v>7.3357989999999997</v>
      </c>
      <c r="AV447" s="97">
        <v>1.8247340000000001</v>
      </c>
      <c r="AW447" s="96"/>
      <c r="AX447" s="96"/>
      <c r="AY447" s="96"/>
      <c r="AZ447" s="96"/>
      <c r="BA447" s="98">
        <v>4.6999999999999997E-5</v>
      </c>
      <c r="BB447" s="98">
        <v>3.0000000000000001E-6</v>
      </c>
      <c r="BC447" s="106"/>
    </row>
    <row r="448" spans="1:55" ht="15" customHeight="1">
      <c r="A448" s="106"/>
      <c r="B448" s="96">
        <v>286</v>
      </c>
      <c r="C448" s="96">
        <v>286</v>
      </c>
      <c r="D448" s="96"/>
      <c r="E448" s="96"/>
      <c r="F448" s="96"/>
      <c r="G448" s="96">
        <v>25100205</v>
      </c>
      <c r="H448" s="96" t="s">
        <v>1013</v>
      </c>
      <c r="I448" s="96" t="s">
        <v>813</v>
      </c>
      <c r="J448" s="96" t="s">
        <v>203</v>
      </c>
      <c r="K448" s="96"/>
      <c r="L448" s="96" t="s">
        <v>454</v>
      </c>
      <c r="M448" s="96" t="s">
        <v>338</v>
      </c>
      <c r="N448" s="96" t="s">
        <v>337</v>
      </c>
      <c r="O448" s="96"/>
      <c r="P448" s="100">
        <v>44167</v>
      </c>
      <c r="Q448" s="96" t="s">
        <v>1357</v>
      </c>
      <c r="R448" s="96" t="s">
        <v>414</v>
      </c>
      <c r="S448" s="96" t="s">
        <v>407</v>
      </c>
      <c r="T448" s="96" t="s">
        <v>1202</v>
      </c>
      <c r="U448" s="97">
        <v>5.97</v>
      </c>
      <c r="V448" s="96" t="s">
        <v>3678</v>
      </c>
      <c r="W448" s="98">
        <v>2.3451E-2</v>
      </c>
      <c r="X448" s="96"/>
      <c r="Y448" s="96"/>
      <c r="Z448" s="96"/>
      <c r="AA448" s="98">
        <v>5.9700000000000003E-2</v>
      </c>
      <c r="AB448" s="100">
        <v>51317</v>
      </c>
      <c r="AC448" s="96" t="s">
        <v>411</v>
      </c>
      <c r="AD448" s="96"/>
      <c r="AE448" s="96"/>
      <c r="AF448" s="96"/>
      <c r="AG448" s="100">
        <v>45291</v>
      </c>
      <c r="AH448" s="96"/>
      <c r="AI448" s="96"/>
      <c r="AJ448" s="96"/>
      <c r="AK448" s="96" t="s">
        <v>337</v>
      </c>
      <c r="AL448" s="96" t="s">
        <v>887</v>
      </c>
      <c r="AM448" s="96"/>
      <c r="AN448" s="96" t="s">
        <v>890</v>
      </c>
      <c r="AO448" s="100">
        <v>45473</v>
      </c>
      <c r="AP448" s="100">
        <v>45473</v>
      </c>
      <c r="AQ448" s="96"/>
      <c r="AR448" s="97">
        <v>476458.03909600002</v>
      </c>
      <c r="AS448" s="97">
        <v>80.72</v>
      </c>
      <c r="AT448" s="97">
        <v>4.0202</v>
      </c>
      <c r="AU448" s="97">
        <v>1546.1565740000001</v>
      </c>
      <c r="AV448" s="97">
        <v>384.59692899999999</v>
      </c>
      <c r="AW448" s="96"/>
      <c r="AX448" s="96"/>
      <c r="AY448" s="96"/>
      <c r="AZ448" s="96"/>
      <c r="BA448" s="98">
        <v>1.0102999999999999E-2</v>
      </c>
      <c r="BB448" s="98">
        <v>8.0500000000000005E-4</v>
      </c>
      <c r="BC448" s="106"/>
    </row>
    <row r="449" spans="1:55" ht="15" customHeight="1">
      <c r="A449" s="106"/>
      <c r="B449" s="96">
        <v>286</v>
      </c>
      <c r="C449" s="96">
        <v>286</v>
      </c>
      <c r="D449" s="96"/>
      <c r="E449" s="96"/>
      <c r="F449" s="96"/>
      <c r="G449" s="96">
        <v>25100203</v>
      </c>
      <c r="H449" s="96" t="s">
        <v>1013</v>
      </c>
      <c r="I449" s="96" t="s">
        <v>813</v>
      </c>
      <c r="J449" s="96" t="s">
        <v>203</v>
      </c>
      <c r="K449" s="96"/>
      <c r="L449" s="96" t="s">
        <v>454</v>
      </c>
      <c r="M449" s="96" t="s">
        <v>338</v>
      </c>
      <c r="N449" s="96" t="s">
        <v>337</v>
      </c>
      <c r="O449" s="96"/>
      <c r="P449" s="100">
        <v>44105</v>
      </c>
      <c r="Q449" s="96" t="s">
        <v>1357</v>
      </c>
      <c r="R449" s="96" t="s">
        <v>414</v>
      </c>
      <c r="S449" s="96" t="s">
        <v>407</v>
      </c>
      <c r="T449" s="96" t="s">
        <v>1202</v>
      </c>
      <c r="U449" s="97">
        <v>4.55</v>
      </c>
      <c r="V449" s="96" t="s">
        <v>3678</v>
      </c>
      <c r="W449" s="98">
        <v>1.9130000000000001E-2</v>
      </c>
      <c r="X449" s="96"/>
      <c r="Y449" s="96"/>
      <c r="Z449" s="96"/>
      <c r="AA449" s="98">
        <v>4.9299999999999997E-2</v>
      </c>
      <c r="AB449" s="100">
        <v>49034</v>
      </c>
      <c r="AC449" s="96" t="s">
        <v>411</v>
      </c>
      <c r="AD449" s="96"/>
      <c r="AE449" s="96"/>
      <c r="AF449" s="96"/>
      <c r="AG449" s="100">
        <v>45291</v>
      </c>
      <c r="AH449" s="96"/>
      <c r="AI449" s="96"/>
      <c r="AJ449" s="96"/>
      <c r="AK449" s="96" t="s">
        <v>337</v>
      </c>
      <c r="AL449" s="96" t="s">
        <v>887</v>
      </c>
      <c r="AM449" s="96"/>
      <c r="AN449" s="96" t="s">
        <v>890</v>
      </c>
      <c r="AO449" s="100">
        <v>45473</v>
      </c>
      <c r="AP449" s="100">
        <v>45473</v>
      </c>
      <c r="AQ449" s="96"/>
      <c r="AR449" s="97">
        <v>71887.543164999995</v>
      </c>
      <c r="AS449" s="97">
        <v>87.29</v>
      </c>
      <c r="AT449" s="97">
        <v>4.0202</v>
      </c>
      <c r="AU449" s="97">
        <v>252.27010799999999</v>
      </c>
      <c r="AV449" s="97">
        <v>62.750636</v>
      </c>
      <c r="AW449" s="96"/>
      <c r="AX449" s="96"/>
      <c r="AY449" s="96"/>
      <c r="AZ449" s="96"/>
      <c r="BA449" s="98">
        <v>1.6479999999999999E-3</v>
      </c>
      <c r="BB449" s="98">
        <v>1.3100000000000001E-4</v>
      </c>
      <c r="BC449" s="106"/>
    </row>
    <row r="450" spans="1:55" ht="15" customHeight="1">
      <c r="A450" s="106"/>
      <c r="B450" s="96">
        <v>286</v>
      </c>
      <c r="C450" s="96">
        <v>286</v>
      </c>
      <c r="D450" s="96"/>
      <c r="E450" s="96"/>
      <c r="F450" s="96"/>
      <c r="G450" s="96">
        <v>25100155</v>
      </c>
      <c r="H450" s="96" t="s">
        <v>1013</v>
      </c>
      <c r="I450" s="96" t="s">
        <v>813</v>
      </c>
      <c r="J450" s="96" t="s">
        <v>203</v>
      </c>
      <c r="K450" s="96"/>
      <c r="L450" s="96" t="s">
        <v>454</v>
      </c>
      <c r="M450" s="96" t="s">
        <v>338</v>
      </c>
      <c r="N450" s="96" t="s">
        <v>337</v>
      </c>
      <c r="O450" s="96"/>
      <c r="P450" s="100">
        <v>43801</v>
      </c>
      <c r="Q450" s="96" t="s">
        <v>1357</v>
      </c>
      <c r="R450" s="96" t="s">
        <v>414</v>
      </c>
      <c r="S450" s="96" t="s">
        <v>407</v>
      </c>
      <c r="T450" s="96" t="s">
        <v>1202</v>
      </c>
      <c r="U450" s="97">
        <v>4.3600000000000003</v>
      </c>
      <c r="V450" s="96" t="s">
        <v>3678</v>
      </c>
      <c r="W450" s="98">
        <v>2.3630000000000002E-2</v>
      </c>
      <c r="X450" s="96"/>
      <c r="Y450" s="96"/>
      <c r="Z450" s="96"/>
      <c r="AA450" s="98">
        <v>5.6399999999999999E-2</v>
      </c>
      <c r="AB450" s="100">
        <v>49034</v>
      </c>
      <c r="AC450" s="96" t="s">
        <v>411</v>
      </c>
      <c r="AD450" s="96"/>
      <c r="AE450" s="96"/>
      <c r="AF450" s="96"/>
      <c r="AG450" s="100">
        <v>45291</v>
      </c>
      <c r="AH450" s="96"/>
      <c r="AI450" s="96"/>
      <c r="AJ450" s="96"/>
      <c r="AK450" s="96" t="s">
        <v>337</v>
      </c>
      <c r="AL450" s="96" t="s">
        <v>887</v>
      </c>
      <c r="AM450" s="96"/>
      <c r="AN450" s="96" t="s">
        <v>890</v>
      </c>
      <c r="AO450" s="100">
        <v>45473</v>
      </c>
      <c r="AP450" s="100">
        <v>45473</v>
      </c>
      <c r="AQ450" s="96"/>
      <c r="AR450" s="97">
        <v>222830.40687499999</v>
      </c>
      <c r="AS450" s="97">
        <v>86.88</v>
      </c>
      <c r="AT450" s="97">
        <v>4.0202</v>
      </c>
      <c r="AU450" s="97">
        <v>778.29084999999998</v>
      </c>
      <c r="AV450" s="97">
        <v>193.595057</v>
      </c>
      <c r="AW450" s="96"/>
      <c r="AX450" s="96"/>
      <c r="AY450" s="96"/>
      <c r="AZ450" s="96"/>
      <c r="BA450" s="98">
        <v>5.0850000000000001E-3</v>
      </c>
      <c r="BB450" s="98">
        <v>4.0499999999999998E-4</v>
      </c>
      <c r="BC450" s="106"/>
    </row>
    <row r="451" spans="1:55" ht="15" customHeight="1">
      <c r="A451" s="106"/>
      <c r="B451" s="96">
        <v>286</v>
      </c>
      <c r="C451" s="96">
        <v>286</v>
      </c>
      <c r="D451" s="96"/>
      <c r="E451" s="96"/>
      <c r="F451" s="96"/>
      <c r="G451" s="96">
        <v>25100001</v>
      </c>
      <c r="H451" s="96" t="s">
        <v>1013</v>
      </c>
      <c r="I451" s="96" t="s">
        <v>813</v>
      </c>
      <c r="J451" s="96" t="s">
        <v>203</v>
      </c>
      <c r="K451" s="96"/>
      <c r="L451" s="96" t="s">
        <v>453</v>
      </c>
      <c r="M451" s="96" t="s">
        <v>338</v>
      </c>
      <c r="N451" s="96" t="s">
        <v>337</v>
      </c>
      <c r="O451" s="96"/>
      <c r="P451" s="100">
        <v>41792</v>
      </c>
      <c r="Q451" s="96" t="s">
        <v>1305</v>
      </c>
      <c r="R451" s="96" t="s">
        <v>414</v>
      </c>
      <c r="S451" s="96" t="s">
        <v>407</v>
      </c>
      <c r="T451" s="96" t="s">
        <v>1201</v>
      </c>
      <c r="U451" s="97">
        <v>1.28</v>
      </c>
      <c r="V451" s="96" t="s">
        <v>824</v>
      </c>
      <c r="W451" s="98">
        <v>0.04</v>
      </c>
      <c r="X451" s="96"/>
      <c r="Y451" s="96"/>
      <c r="Z451" s="96"/>
      <c r="AA451" s="98">
        <v>8.48E-2</v>
      </c>
      <c r="AB451" s="100">
        <v>46387</v>
      </c>
      <c r="AC451" s="96" t="s">
        <v>411</v>
      </c>
      <c r="AD451" s="96"/>
      <c r="AE451" s="96"/>
      <c r="AF451" s="96"/>
      <c r="AG451" s="100">
        <v>45291</v>
      </c>
      <c r="AH451" s="96"/>
      <c r="AI451" s="96"/>
      <c r="AJ451" s="96"/>
      <c r="AK451" s="96" t="s">
        <v>337</v>
      </c>
      <c r="AL451" s="96" t="s">
        <v>887</v>
      </c>
      <c r="AM451" s="96"/>
      <c r="AN451" s="96" t="s">
        <v>890</v>
      </c>
      <c r="AO451" s="100">
        <v>45473</v>
      </c>
      <c r="AP451" s="100">
        <v>45473</v>
      </c>
      <c r="AQ451" s="96"/>
      <c r="AR451" s="97">
        <v>30768.252067000001</v>
      </c>
      <c r="AS451" s="97">
        <v>101.25</v>
      </c>
      <c r="AT451" s="97">
        <v>3.7589999999999999</v>
      </c>
      <c r="AU451" s="97">
        <v>117.103582</v>
      </c>
      <c r="AV451" s="97">
        <v>31.152854999999999</v>
      </c>
      <c r="AW451" s="96"/>
      <c r="AX451" s="96"/>
      <c r="AY451" s="96"/>
      <c r="AZ451" s="96"/>
      <c r="BA451" s="98">
        <v>7.6499999999999995E-4</v>
      </c>
      <c r="BB451" s="98">
        <v>6.0000000000000002E-5</v>
      </c>
      <c r="BC451" s="106"/>
    </row>
    <row r="452" spans="1:55" ht="15" customHeight="1">
      <c r="A452" s="106"/>
      <c r="B452" s="96">
        <v>286</v>
      </c>
      <c r="C452" s="96">
        <v>286</v>
      </c>
      <c r="D452" s="96"/>
      <c r="E452" s="96"/>
      <c r="F452" s="96"/>
      <c r="G452" s="96">
        <v>25000942</v>
      </c>
      <c r="H452" s="96" t="s">
        <v>1013</v>
      </c>
      <c r="I452" s="96"/>
      <c r="J452" s="96" t="s">
        <v>203</v>
      </c>
      <c r="K452" s="96"/>
      <c r="L452" s="96" t="s">
        <v>477</v>
      </c>
      <c r="M452" s="96" t="s">
        <v>338</v>
      </c>
      <c r="N452" s="96" t="s">
        <v>338</v>
      </c>
      <c r="O452" s="96"/>
      <c r="P452" s="100">
        <v>45473</v>
      </c>
      <c r="Q452" s="96" t="s">
        <v>409</v>
      </c>
      <c r="R452" s="96" t="s">
        <v>409</v>
      </c>
      <c r="S452" s="96" t="s">
        <v>409</v>
      </c>
      <c r="T452" s="96" t="s">
        <v>1200</v>
      </c>
      <c r="U452" s="97">
        <v>7.42</v>
      </c>
      <c r="V452" s="96" t="s">
        <v>824</v>
      </c>
      <c r="W452" s="98">
        <v>8.2699999999999996E-2</v>
      </c>
      <c r="X452" s="96"/>
      <c r="Y452" s="96"/>
      <c r="Z452" s="96"/>
      <c r="AA452" s="98">
        <v>8.3199999999999996E-2</v>
      </c>
      <c r="AB452" s="100">
        <v>56188</v>
      </c>
      <c r="AC452" s="96" t="s">
        <v>411</v>
      </c>
      <c r="AD452" s="96"/>
      <c r="AE452" s="96"/>
      <c r="AF452" s="96"/>
      <c r="AG452" s="100">
        <v>45473</v>
      </c>
      <c r="AH452" s="96"/>
      <c r="AI452" s="96"/>
      <c r="AJ452" s="96"/>
      <c r="AK452" s="96" t="s">
        <v>337</v>
      </c>
      <c r="AL452" s="96" t="s">
        <v>887</v>
      </c>
      <c r="AM452" s="96"/>
      <c r="AN452" s="96" t="s">
        <v>890</v>
      </c>
      <c r="AO452" s="100">
        <v>45473</v>
      </c>
      <c r="AP452" s="100">
        <v>45473</v>
      </c>
      <c r="AQ452" s="96"/>
      <c r="AR452" s="97">
        <v>443580.51570799999</v>
      </c>
      <c r="AS452" s="97">
        <v>105.93</v>
      </c>
      <c r="AT452" s="97">
        <v>1</v>
      </c>
      <c r="AU452" s="97">
        <v>469.88484</v>
      </c>
      <c r="AV452" s="97">
        <v>469.88484</v>
      </c>
      <c r="AW452" s="96"/>
      <c r="AX452" s="96"/>
      <c r="AY452" s="96"/>
      <c r="AZ452" s="96"/>
      <c r="BA452" s="98">
        <v>3.0699999999999998E-3</v>
      </c>
      <c r="BB452" s="98">
        <v>2.4399999999999999E-4</v>
      </c>
      <c r="BC452" s="106"/>
    </row>
    <row r="453" spans="1:55" ht="15" customHeight="1">
      <c r="A453" s="106"/>
      <c r="B453" s="96">
        <v>286</v>
      </c>
      <c r="C453" s="96">
        <v>286</v>
      </c>
      <c r="D453" s="96"/>
      <c r="E453" s="96"/>
      <c r="F453" s="96"/>
      <c r="G453" s="96">
        <v>25000941</v>
      </c>
      <c r="H453" s="96" t="s">
        <v>1013</v>
      </c>
      <c r="I453" s="96"/>
      <c r="J453" s="96" t="s">
        <v>203</v>
      </c>
      <c r="K453" s="96"/>
      <c r="L453" s="96" t="s">
        <v>477</v>
      </c>
      <c r="M453" s="96" t="s">
        <v>338</v>
      </c>
      <c r="N453" s="96" t="s">
        <v>338</v>
      </c>
      <c r="O453" s="96"/>
      <c r="P453" s="100">
        <v>45473</v>
      </c>
      <c r="Q453" s="96" t="s">
        <v>409</v>
      </c>
      <c r="R453" s="96" t="s">
        <v>409</v>
      </c>
      <c r="S453" s="96" t="s">
        <v>409</v>
      </c>
      <c r="T453" s="96" t="s">
        <v>1200</v>
      </c>
      <c r="U453" s="97">
        <v>5.82</v>
      </c>
      <c r="V453" s="96" t="s">
        <v>824</v>
      </c>
      <c r="W453" s="98">
        <v>7.9699999999999993E-2</v>
      </c>
      <c r="X453" s="96"/>
      <c r="Y453" s="96"/>
      <c r="Z453" s="96"/>
      <c r="AA453" s="98">
        <v>0.1492</v>
      </c>
      <c r="AB453" s="100">
        <v>56096</v>
      </c>
      <c r="AC453" s="96" t="s">
        <v>411</v>
      </c>
      <c r="AD453" s="96"/>
      <c r="AE453" s="96"/>
      <c r="AF453" s="96"/>
      <c r="AG453" s="100">
        <v>45473</v>
      </c>
      <c r="AH453" s="96"/>
      <c r="AI453" s="96"/>
      <c r="AJ453" s="96"/>
      <c r="AK453" s="96" t="s">
        <v>337</v>
      </c>
      <c r="AL453" s="96" t="s">
        <v>887</v>
      </c>
      <c r="AM453" s="96"/>
      <c r="AN453" s="96" t="s">
        <v>890</v>
      </c>
      <c r="AO453" s="100">
        <v>45473</v>
      </c>
      <c r="AP453" s="100">
        <v>45473</v>
      </c>
      <c r="AQ453" s="96"/>
      <c r="AR453" s="97">
        <v>238686.53477100001</v>
      </c>
      <c r="AS453" s="97">
        <v>104.72</v>
      </c>
      <c r="AT453" s="97">
        <v>1</v>
      </c>
      <c r="AU453" s="97">
        <v>249.952539</v>
      </c>
      <c r="AV453" s="97">
        <v>249.952539</v>
      </c>
      <c r="AW453" s="96"/>
      <c r="AX453" s="96"/>
      <c r="AY453" s="96"/>
      <c r="AZ453" s="96"/>
      <c r="BA453" s="98">
        <v>1.6329999999999999E-3</v>
      </c>
      <c r="BB453" s="98">
        <v>1.2999999999999999E-4</v>
      </c>
      <c r="BC453" s="106"/>
    </row>
    <row r="454" spans="1:55" ht="15" customHeight="1">
      <c r="A454" s="106"/>
      <c r="B454" s="96">
        <v>286</v>
      </c>
      <c r="C454" s="96">
        <v>286</v>
      </c>
      <c r="D454" s="96"/>
      <c r="E454" s="96"/>
      <c r="F454" s="96"/>
      <c r="G454" s="96">
        <v>25000940</v>
      </c>
      <c r="H454" s="96" t="s">
        <v>1013</v>
      </c>
      <c r="I454" s="96"/>
      <c r="J454" s="96" t="s">
        <v>203</v>
      </c>
      <c r="K454" s="96"/>
      <c r="L454" s="96" t="s">
        <v>477</v>
      </c>
      <c r="M454" s="96" t="s">
        <v>338</v>
      </c>
      <c r="N454" s="96" t="s">
        <v>338</v>
      </c>
      <c r="O454" s="96"/>
      <c r="P454" s="100">
        <v>45473</v>
      </c>
      <c r="Q454" s="96" t="s">
        <v>409</v>
      </c>
      <c r="R454" s="96" t="s">
        <v>409</v>
      </c>
      <c r="S454" s="96" t="s">
        <v>409</v>
      </c>
      <c r="T454" s="96" t="s">
        <v>1200</v>
      </c>
      <c r="U454" s="97">
        <v>6.44</v>
      </c>
      <c r="V454" s="96" t="s">
        <v>3678</v>
      </c>
      <c r="W454" s="98">
        <v>6.8000000000000005E-2</v>
      </c>
      <c r="X454" s="96"/>
      <c r="Y454" s="96"/>
      <c r="Z454" s="96"/>
      <c r="AA454" s="98">
        <v>8.1000000000000003E-2</v>
      </c>
      <c r="AB454" s="100">
        <v>54026</v>
      </c>
      <c r="AC454" s="96" t="s">
        <v>411</v>
      </c>
      <c r="AD454" s="96"/>
      <c r="AE454" s="96"/>
      <c r="AF454" s="96"/>
      <c r="AG454" s="100">
        <v>45473</v>
      </c>
      <c r="AH454" s="96"/>
      <c r="AI454" s="96"/>
      <c r="AJ454" s="96"/>
      <c r="AK454" s="96" t="s">
        <v>337</v>
      </c>
      <c r="AL454" s="96" t="s">
        <v>887</v>
      </c>
      <c r="AM454" s="96"/>
      <c r="AN454" s="96" t="s">
        <v>890</v>
      </c>
      <c r="AO454" s="100">
        <v>45473</v>
      </c>
      <c r="AP454" s="100">
        <v>45473</v>
      </c>
      <c r="AQ454" s="96"/>
      <c r="AR454" s="97">
        <v>8913.4079849999998</v>
      </c>
      <c r="AS454" s="97">
        <v>93.57</v>
      </c>
      <c r="AT454" s="97">
        <v>1</v>
      </c>
      <c r="AU454" s="97">
        <v>8.3402750000000001</v>
      </c>
      <c r="AV454" s="97">
        <v>8.3402750000000001</v>
      </c>
      <c r="AW454" s="96"/>
      <c r="AX454" s="96"/>
      <c r="AY454" s="96"/>
      <c r="AZ454" s="96"/>
      <c r="BA454" s="98">
        <v>5.3999999999999998E-5</v>
      </c>
      <c r="BB454" s="98">
        <v>3.9999999999999998E-6</v>
      </c>
      <c r="BC454" s="106"/>
    </row>
    <row r="455" spans="1:55" ht="15" customHeight="1">
      <c r="A455" s="106"/>
      <c r="B455" s="96">
        <v>286</v>
      </c>
      <c r="C455" s="96">
        <v>286</v>
      </c>
      <c r="D455" s="96"/>
      <c r="E455" s="96"/>
      <c r="F455" s="96"/>
      <c r="G455" s="96">
        <v>25000939</v>
      </c>
      <c r="H455" s="96" t="s">
        <v>1013</v>
      </c>
      <c r="I455" s="96"/>
      <c r="J455" s="96" t="s">
        <v>203</v>
      </c>
      <c r="K455" s="96"/>
      <c r="L455" s="96" t="s">
        <v>477</v>
      </c>
      <c r="M455" s="96" t="s">
        <v>338</v>
      </c>
      <c r="N455" s="96" t="s">
        <v>338</v>
      </c>
      <c r="O455" s="96"/>
      <c r="P455" s="100">
        <v>45473</v>
      </c>
      <c r="Q455" s="96" t="s">
        <v>409</v>
      </c>
      <c r="R455" s="96" t="s">
        <v>409</v>
      </c>
      <c r="S455" s="96" t="s">
        <v>409</v>
      </c>
      <c r="T455" s="96" t="s">
        <v>1200</v>
      </c>
      <c r="U455" s="97">
        <v>10.01</v>
      </c>
      <c r="V455" s="96" t="s">
        <v>824</v>
      </c>
      <c r="W455" s="98">
        <v>5.3800000000000001E-2</v>
      </c>
      <c r="X455" s="96"/>
      <c r="Y455" s="96"/>
      <c r="Z455" s="96"/>
      <c r="AA455" s="98">
        <v>4.2200000000000001E-2</v>
      </c>
      <c r="AB455" s="100">
        <v>54361</v>
      </c>
      <c r="AC455" s="96" t="s">
        <v>411</v>
      </c>
      <c r="AD455" s="96"/>
      <c r="AE455" s="96"/>
      <c r="AF455" s="96"/>
      <c r="AG455" s="100">
        <v>45473</v>
      </c>
      <c r="AH455" s="96"/>
      <c r="AI455" s="96"/>
      <c r="AJ455" s="96"/>
      <c r="AK455" s="96" t="s">
        <v>337</v>
      </c>
      <c r="AL455" s="96" t="s">
        <v>887</v>
      </c>
      <c r="AM455" s="96"/>
      <c r="AN455" s="96" t="s">
        <v>890</v>
      </c>
      <c r="AO455" s="100">
        <v>45473</v>
      </c>
      <c r="AP455" s="100">
        <v>45473</v>
      </c>
      <c r="AQ455" s="96"/>
      <c r="AR455" s="97">
        <v>94083.199219999995</v>
      </c>
      <c r="AS455" s="97">
        <v>112.67</v>
      </c>
      <c r="AT455" s="97">
        <v>1</v>
      </c>
      <c r="AU455" s="97">
        <v>106.00354</v>
      </c>
      <c r="AV455" s="97">
        <v>106.00354</v>
      </c>
      <c r="AW455" s="96"/>
      <c r="AX455" s="96"/>
      <c r="AY455" s="96"/>
      <c r="AZ455" s="96"/>
      <c r="BA455" s="98">
        <v>6.9200000000000002E-4</v>
      </c>
      <c r="BB455" s="98">
        <v>5.5000000000000002E-5</v>
      </c>
      <c r="BC455" s="106"/>
    </row>
    <row r="456" spans="1:55" ht="15" customHeight="1">
      <c r="A456" s="106"/>
      <c r="B456" s="96">
        <v>286</v>
      </c>
      <c r="C456" s="96">
        <v>286</v>
      </c>
      <c r="D456" s="96"/>
      <c r="E456" s="96"/>
      <c r="F456" s="96"/>
      <c r="G456" s="96">
        <v>25000938</v>
      </c>
      <c r="H456" s="96" t="s">
        <v>1013</v>
      </c>
      <c r="I456" s="96"/>
      <c r="J456" s="96" t="s">
        <v>203</v>
      </c>
      <c r="K456" s="96"/>
      <c r="L456" s="96" t="s">
        <v>477</v>
      </c>
      <c r="M456" s="96" t="s">
        <v>338</v>
      </c>
      <c r="N456" s="96" t="s">
        <v>338</v>
      </c>
      <c r="O456" s="96"/>
      <c r="P456" s="100">
        <v>45473</v>
      </c>
      <c r="Q456" s="96" t="s">
        <v>409</v>
      </c>
      <c r="R456" s="96" t="s">
        <v>409</v>
      </c>
      <c r="S456" s="96" t="s">
        <v>409</v>
      </c>
      <c r="T456" s="96" t="s">
        <v>1200</v>
      </c>
      <c r="U456" s="97">
        <v>8.1199999999999992</v>
      </c>
      <c r="V456" s="96" t="s">
        <v>3678</v>
      </c>
      <c r="W456" s="98">
        <v>5.5800000000000002E-2</v>
      </c>
      <c r="X456" s="96"/>
      <c r="Y456" s="96"/>
      <c r="Z456" s="96"/>
      <c r="AA456" s="98">
        <v>4.6199999999999998E-2</v>
      </c>
      <c r="AB456" s="100">
        <v>56127</v>
      </c>
      <c r="AC456" s="96" t="s">
        <v>411</v>
      </c>
      <c r="AD456" s="96"/>
      <c r="AE456" s="96"/>
      <c r="AF456" s="96"/>
      <c r="AG456" s="100">
        <v>45473</v>
      </c>
      <c r="AH456" s="96"/>
      <c r="AI456" s="96"/>
      <c r="AJ456" s="96"/>
      <c r="AK456" s="96" t="s">
        <v>337</v>
      </c>
      <c r="AL456" s="96" t="s">
        <v>887</v>
      </c>
      <c r="AM456" s="96"/>
      <c r="AN456" s="96" t="s">
        <v>890</v>
      </c>
      <c r="AO456" s="100">
        <v>45473</v>
      </c>
      <c r="AP456" s="100">
        <v>45473</v>
      </c>
      <c r="AQ456" s="96"/>
      <c r="AR456" s="97">
        <v>8293.8735670000005</v>
      </c>
      <c r="AS456" s="97">
        <v>108.64</v>
      </c>
      <c r="AT456" s="97">
        <v>1</v>
      </c>
      <c r="AU456" s="97">
        <v>9.0104640000000007</v>
      </c>
      <c r="AV456" s="97">
        <v>9.0104640000000007</v>
      </c>
      <c r="AW456" s="96"/>
      <c r="AX456" s="96"/>
      <c r="AY456" s="96"/>
      <c r="AZ456" s="96"/>
      <c r="BA456" s="98">
        <v>5.8E-5</v>
      </c>
      <c r="BB456" s="98">
        <v>3.9999999999999998E-6</v>
      </c>
      <c r="BC456" s="106"/>
    </row>
    <row r="457" spans="1:55" ht="15" customHeight="1">
      <c r="A457" s="106"/>
      <c r="B457" s="96">
        <v>286</v>
      </c>
      <c r="C457" s="96">
        <v>286</v>
      </c>
      <c r="D457" s="96"/>
      <c r="E457" s="96"/>
      <c r="F457" s="96"/>
      <c r="G457" s="96">
        <v>25000937</v>
      </c>
      <c r="H457" s="96" t="s">
        <v>1013</v>
      </c>
      <c r="I457" s="96"/>
      <c r="J457" s="96" t="s">
        <v>203</v>
      </c>
      <c r="K457" s="96"/>
      <c r="L457" s="96" t="s">
        <v>446</v>
      </c>
      <c r="M457" s="96" t="s">
        <v>338</v>
      </c>
      <c r="N457" s="96" t="s">
        <v>338</v>
      </c>
      <c r="O457" s="96"/>
      <c r="P457" s="100">
        <v>45473</v>
      </c>
      <c r="Q457" s="96" t="s">
        <v>409</v>
      </c>
      <c r="R457" s="96" t="s">
        <v>409</v>
      </c>
      <c r="S457" s="96" t="s">
        <v>409</v>
      </c>
      <c r="T457" s="96" t="s">
        <v>1200</v>
      </c>
      <c r="U457" s="97">
        <v>0.49</v>
      </c>
      <c r="V457" s="96" t="s">
        <v>3678</v>
      </c>
      <c r="W457" s="98">
        <v>0.1</v>
      </c>
      <c r="X457" s="96"/>
      <c r="Y457" s="96"/>
      <c r="Z457" s="96"/>
      <c r="AA457" s="98">
        <v>0.10390000000000001</v>
      </c>
      <c r="AB457" s="100">
        <v>45657</v>
      </c>
      <c r="AC457" s="96" t="s">
        <v>411</v>
      </c>
      <c r="AD457" s="96"/>
      <c r="AE457" s="96"/>
      <c r="AF457" s="96"/>
      <c r="AG457" s="100">
        <v>45292</v>
      </c>
      <c r="AH457" s="96"/>
      <c r="AI457" s="96"/>
      <c r="AJ457" s="96"/>
      <c r="AK457" s="96" t="s">
        <v>337</v>
      </c>
      <c r="AL457" s="96" t="s">
        <v>887</v>
      </c>
      <c r="AM457" s="96"/>
      <c r="AN457" s="96" t="s">
        <v>890</v>
      </c>
      <c r="AO457" s="100">
        <v>45473</v>
      </c>
      <c r="AP457" s="100">
        <v>45473</v>
      </c>
      <c r="AQ457" s="96"/>
      <c r="AR457" s="97">
        <v>208179.208449</v>
      </c>
      <c r="AS457" s="97">
        <v>100</v>
      </c>
      <c r="AT457" s="97">
        <v>1</v>
      </c>
      <c r="AU457" s="97">
        <v>208.17920799999999</v>
      </c>
      <c r="AV457" s="97">
        <v>208.17920799999999</v>
      </c>
      <c r="AW457" s="96"/>
      <c r="AX457" s="96"/>
      <c r="AY457" s="96"/>
      <c r="AZ457" s="96"/>
      <c r="BA457" s="98">
        <v>1.3600000000000001E-3</v>
      </c>
      <c r="BB457" s="98">
        <v>1.08E-4</v>
      </c>
      <c r="BC457" s="106"/>
    </row>
    <row r="458" spans="1:55" ht="15" customHeight="1">
      <c r="A458" s="106"/>
      <c r="B458" s="96">
        <v>286</v>
      </c>
      <c r="C458" s="96">
        <v>286</v>
      </c>
      <c r="D458" s="96"/>
      <c r="E458" s="96"/>
      <c r="F458" s="96"/>
      <c r="G458" s="96">
        <v>25000913</v>
      </c>
      <c r="H458" s="96" t="s">
        <v>1013</v>
      </c>
      <c r="I458" s="96"/>
      <c r="J458" s="96" t="s">
        <v>203</v>
      </c>
      <c r="K458" s="96"/>
      <c r="L458" s="96" t="s">
        <v>477</v>
      </c>
      <c r="M458" s="96" t="s">
        <v>338</v>
      </c>
      <c r="N458" s="96" t="s">
        <v>338</v>
      </c>
      <c r="O458" s="96"/>
      <c r="P458" s="100">
        <v>45400</v>
      </c>
      <c r="Q458" s="96" t="s">
        <v>1309</v>
      </c>
      <c r="R458" s="96" t="s">
        <v>414</v>
      </c>
      <c r="S458" s="96" t="s">
        <v>407</v>
      </c>
      <c r="T458" s="96" t="s">
        <v>1200</v>
      </c>
      <c r="U458" s="97">
        <v>1.68</v>
      </c>
      <c r="V458" s="96" t="s">
        <v>824</v>
      </c>
      <c r="W458" s="98">
        <v>7.4999999999999997E-2</v>
      </c>
      <c r="X458" s="96"/>
      <c r="Y458" s="96"/>
      <c r="Z458" s="96"/>
      <c r="AA458" s="98">
        <v>7.6700000000000004E-2</v>
      </c>
      <c r="AB458" s="100">
        <v>46130</v>
      </c>
      <c r="AC458" s="96" t="s">
        <v>411</v>
      </c>
      <c r="AD458" s="96"/>
      <c r="AE458" s="96"/>
      <c r="AF458" s="96"/>
      <c r="AG458" s="100">
        <v>45473</v>
      </c>
      <c r="AH458" s="96"/>
      <c r="AI458" s="96"/>
      <c r="AJ458" s="96"/>
      <c r="AK458" s="96" t="s">
        <v>337</v>
      </c>
      <c r="AL458" s="96" t="s">
        <v>887</v>
      </c>
      <c r="AM458" s="96"/>
      <c r="AN458" s="96" t="s">
        <v>890</v>
      </c>
      <c r="AO458" s="100">
        <v>45473</v>
      </c>
      <c r="AP458" s="100">
        <v>45473</v>
      </c>
      <c r="AQ458" s="96"/>
      <c r="AR458" s="97">
        <v>753288.33149899996</v>
      </c>
      <c r="AS458" s="97">
        <v>101.28</v>
      </c>
      <c r="AT458" s="97">
        <v>1</v>
      </c>
      <c r="AU458" s="97">
        <v>762.93042200000002</v>
      </c>
      <c r="AV458" s="97">
        <v>762.93042200000002</v>
      </c>
      <c r="AW458" s="96"/>
      <c r="AX458" s="96"/>
      <c r="AY458" s="96"/>
      <c r="AZ458" s="96"/>
      <c r="BA458" s="98">
        <v>4.9849999999999998E-3</v>
      </c>
      <c r="BB458" s="98">
        <v>3.97E-4</v>
      </c>
      <c r="BC458" s="106"/>
    </row>
    <row r="459" spans="1:55" ht="15" customHeight="1">
      <c r="A459" s="106"/>
      <c r="B459" s="96">
        <v>286</v>
      </c>
      <c r="C459" s="96">
        <v>286</v>
      </c>
      <c r="D459" s="96"/>
      <c r="E459" s="96"/>
      <c r="F459" s="96"/>
      <c r="G459" s="96">
        <v>25000781</v>
      </c>
      <c r="H459" s="96" t="s">
        <v>1013</v>
      </c>
      <c r="I459" s="96" t="s">
        <v>3684</v>
      </c>
      <c r="J459" s="96" t="s">
        <v>203</v>
      </c>
      <c r="K459" s="96"/>
      <c r="L459" s="96" t="s">
        <v>463</v>
      </c>
      <c r="M459" s="96" t="s">
        <v>338</v>
      </c>
      <c r="N459" s="96" t="s">
        <v>337</v>
      </c>
      <c r="O459" s="96"/>
      <c r="P459" s="100">
        <v>45047</v>
      </c>
      <c r="Q459" s="96" t="s">
        <v>3681</v>
      </c>
      <c r="R459" s="96" t="s">
        <v>311</v>
      </c>
      <c r="S459" s="96" t="s">
        <v>407</v>
      </c>
      <c r="T459" s="96" t="s">
        <v>1200</v>
      </c>
      <c r="U459" s="97">
        <v>0.67</v>
      </c>
      <c r="V459" s="96" t="s">
        <v>824</v>
      </c>
      <c r="W459" s="98">
        <v>7.8E-2</v>
      </c>
      <c r="X459" s="96"/>
      <c r="Y459" s="96"/>
      <c r="Z459" s="96"/>
      <c r="AA459" s="98">
        <v>7.8E-2</v>
      </c>
      <c r="AB459" s="100">
        <v>45722</v>
      </c>
      <c r="AC459" s="96" t="s">
        <v>411</v>
      </c>
      <c r="AD459" s="96"/>
      <c r="AE459" s="96"/>
      <c r="AF459" s="96"/>
      <c r="AG459" s="100">
        <v>45075</v>
      </c>
      <c r="AH459" s="96"/>
      <c r="AI459" s="96"/>
      <c r="AJ459" s="96"/>
      <c r="AK459" s="96" t="s">
        <v>337</v>
      </c>
      <c r="AL459" s="96" t="s">
        <v>887</v>
      </c>
      <c r="AM459" s="96"/>
      <c r="AN459" s="96" t="s">
        <v>890</v>
      </c>
      <c r="AO459" s="100">
        <v>45473</v>
      </c>
      <c r="AP459" s="100">
        <v>45473</v>
      </c>
      <c r="AQ459" s="96"/>
      <c r="AR459" s="97">
        <v>11970.675155999999</v>
      </c>
      <c r="AS459" s="97">
        <v>100.2</v>
      </c>
      <c r="AT459" s="97">
        <v>1</v>
      </c>
      <c r="AU459" s="97">
        <v>11.994616000000001</v>
      </c>
      <c r="AV459" s="97">
        <v>11.994616000000001</v>
      </c>
      <c r="AW459" s="96"/>
      <c r="AX459" s="96"/>
      <c r="AY459" s="96"/>
      <c r="AZ459" s="96"/>
      <c r="BA459" s="98">
        <v>7.7999999999999999E-5</v>
      </c>
      <c r="BB459" s="98">
        <v>6.0000000000000002E-6</v>
      </c>
      <c r="BC459" s="106"/>
    </row>
    <row r="460" spans="1:55" ht="15" customHeight="1">
      <c r="A460" s="106"/>
      <c r="B460" s="96">
        <v>286</v>
      </c>
      <c r="C460" s="96">
        <v>286</v>
      </c>
      <c r="D460" s="96"/>
      <c r="E460" s="96"/>
      <c r="F460" s="96"/>
      <c r="G460" s="96">
        <v>9861</v>
      </c>
      <c r="H460" s="96" t="s">
        <v>1013</v>
      </c>
      <c r="I460" s="96" t="s">
        <v>813</v>
      </c>
      <c r="J460" s="96" t="s">
        <v>203</v>
      </c>
      <c r="K460" s="96"/>
      <c r="L460" s="96" t="s">
        <v>484</v>
      </c>
      <c r="M460" s="96" t="s">
        <v>338</v>
      </c>
      <c r="N460" s="96" t="s">
        <v>337</v>
      </c>
      <c r="O460" s="96"/>
      <c r="P460" s="100">
        <v>37437</v>
      </c>
      <c r="Q460" s="96" t="s">
        <v>1301</v>
      </c>
      <c r="R460" s="96" t="s">
        <v>414</v>
      </c>
      <c r="S460" s="96" t="s">
        <v>407</v>
      </c>
      <c r="T460" s="96" t="s">
        <v>1200</v>
      </c>
      <c r="U460" s="97">
        <v>1.7</v>
      </c>
      <c r="V460" s="96" t="s">
        <v>3678</v>
      </c>
      <c r="W460" s="98">
        <v>6.5000000000000002E-2</v>
      </c>
      <c r="X460" s="96"/>
      <c r="Y460" s="96"/>
      <c r="Z460" s="96"/>
      <c r="AA460" s="98">
        <v>2.1700000000000001E-2</v>
      </c>
      <c r="AB460" s="100">
        <v>46568</v>
      </c>
      <c r="AC460" s="96" t="s">
        <v>411</v>
      </c>
      <c r="AD460" s="96"/>
      <c r="AE460" s="96"/>
      <c r="AF460" s="96"/>
      <c r="AG460" s="100">
        <v>45291</v>
      </c>
      <c r="AH460" s="96"/>
      <c r="AI460" s="96"/>
      <c r="AJ460" s="96"/>
      <c r="AK460" s="96" t="s">
        <v>337</v>
      </c>
      <c r="AL460" s="96" t="s">
        <v>887</v>
      </c>
      <c r="AM460" s="96"/>
      <c r="AN460" s="96" t="s">
        <v>890</v>
      </c>
      <c r="AO460" s="100">
        <v>45473</v>
      </c>
      <c r="AP460" s="100">
        <v>45473</v>
      </c>
      <c r="AQ460" s="96"/>
      <c r="AR460" s="97">
        <v>119654.82</v>
      </c>
      <c r="AS460" s="97">
        <v>148.63</v>
      </c>
      <c r="AT460" s="97">
        <v>1</v>
      </c>
      <c r="AU460" s="97">
        <v>177.84296000000001</v>
      </c>
      <c r="AV460" s="97">
        <v>177.84296000000001</v>
      </c>
      <c r="AW460" s="96"/>
      <c r="AX460" s="96"/>
      <c r="AY460" s="96"/>
      <c r="AZ460" s="96"/>
      <c r="BA460" s="98">
        <v>1.1620000000000001E-3</v>
      </c>
      <c r="BB460" s="98">
        <v>9.2E-5</v>
      </c>
      <c r="BC460" s="106"/>
    </row>
    <row r="461" spans="1:55" ht="15" customHeight="1">
      <c r="A461" s="106"/>
      <c r="B461" s="96">
        <v>286</v>
      </c>
      <c r="C461" s="96">
        <v>286</v>
      </c>
      <c r="D461" s="96"/>
      <c r="E461" s="96"/>
      <c r="F461" s="96"/>
      <c r="G461" s="96">
        <v>25000779</v>
      </c>
      <c r="H461" s="96" t="s">
        <v>1013</v>
      </c>
      <c r="I461" s="96" t="s">
        <v>813</v>
      </c>
      <c r="J461" s="96" t="s">
        <v>203</v>
      </c>
      <c r="K461" s="96"/>
      <c r="L461" s="96" t="s">
        <v>470</v>
      </c>
      <c r="M461" s="96" t="s">
        <v>338</v>
      </c>
      <c r="N461" s="96" t="s">
        <v>337</v>
      </c>
      <c r="O461" s="96"/>
      <c r="P461" s="100">
        <v>45036</v>
      </c>
      <c r="Q461" s="96" t="s">
        <v>1520</v>
      </c>
      <c r="R461" s="96" t="s">
        <v>414</v>
      </c>
      <c r="S461" s="96" t="s">
        <v>407</v>
      </c>
      <c r="T461" s="96" t="s">
        <v>1200</v>
      </c>
      <c r="U461" s="97">
        <v>7.25</v>
      </c>
      <c r="V461" s="96" t="s">
        <v>3678</v>
      </c>
      <c r="W461" s="98">
        <v>3.3956E-2</v>
      </c>
      <c r="X461" s="96"/>
      <c r="Y461" s="96"/>
      <c r="Z461" s="96"/>
      <c r="AA461" s="98">
        <v>3.9399999999999998E-2</v>
      </c>
      <c r="AB461" s="100">
        <v>49583</v>
      </c>
      <c r="AC461" s="96" t="s">
        <v>411</v>
      </c>
      <c r="AD461" s="96"/>
      <c r="AE461" s="96"/>
      <c r="AF461" s="96"/>
      <c r="AG461" s="100">
        <v>45291</v>
      </c>
      <c r="AH461" s="96"/>
      <c r="AI461" s="96"/>
      <c r="AJ461" s="96"/>
      <c r="AK461" s="96" t="s">
        <v>337</v>
      </c>
      <c r="AL461" s="96" t="s">
        <v>887</v>
      </c>
      <c r="AM461" s="96"/>
      <c r="AN461" s="96" t="s">
        <v>890</v>
      </c>
      <c r="AO461" s="100">
        <v>45473</v>
      </c>
      <c r="AP461" s="100">
        <v>45473</v>
      </c>
      <c r="AQ461" s="96"/>
      <c r="AR461" s="97">
        <v>25745.408787</v>
      </c>
      <c r="AS461" s="97">
        <v>102.51</v>
      </c>
      <c r="AT461" s="97">
        <v>1</v>
      </c>
      <c r="AU461" s="97">
        <v>26.391618000000001</v>
      </c>
      <c r="AV461" s="97">
        <v>26.391618000000001</v>
      </c>
      <c r="AW461" s="96"/>
      <c r="AX461" s="96"/>
      <c r="AY461" s="96"/>
      <c r="AZ461" s="96"/>
      <c r="BA461" s="98">
        <v>1.7200000000000001E-4</v>
      </c>
      <c r="BB461" s="98">
        <v>1.2999999999999999E-5</v>
      </c>
      <c r="BC461" s="106"/>
    </row>
    <row r="462" spans="1:55" ht="15" customHeight="1">
      <c r="A462" s="106"/>
      <c r="B462" s="96">
        <v>286</v>
      </c>
      <c r="C462" s="96">
        <v>286</v>
      </c>
      <c r="D462" s="96"/>
      <c r="E462" s="96"/>
      <c r="F462" s="96"/>
      <c r="G462" s="96">
        <v>25000462</v>
      </c>
      <c r="H462" s="96" t="s">
        <v>1013</v>
      </c>
      <c r="I462" s="96"/>
      <c r="J462" s="96" t="s">
        <v>203</v>
      </c>
      <c r="K462" s="96"/>
      <c r="L462" s="96" t="s">
        <v>477</v>
      </c>
      <c r="M462" s="96" t="s">
        <v>338</v>
      </c>
      <c r="N462" s="96" t="s">
        <v>338</v>
      </c>
      <c r="O462" s="96"/>
      <c r="P462" s="100">
        <v>43797</v>
      </c>
      <c r="Q462" s="96" t="s">
        <v>409</v>
      </c>
      <c r="R462" s="96" t="s">
        <v>409</v>
      </c>
      <c r="S462" s="96" t="s">
        <v>409</v>
      </c>
      <c r="T462" s="96" t="s">
        <v>1200</v>
      </c>
      <c r="U462" s="97">
        <v>1.19</v>
      </c>
      <c r="V462" s="96" t="s">
        <v>3678</v>
      </c>
      <c r="W462" s="98">
        <v>3.5000000000000003E-2</v>
      </c>
      <c r="X462" s="96"/>
      <c r="Y462" s="96"/>
      <c r="Z462" s="96"/>
      <c r="AA462" s="98">
        <v>3.3500000000000002E-2</v>
      </c>
      <c r="AB462" s="100">
        <v>46965</v>
      </c>
      <c r="AC462" s="96" t="s">
        <v>411</v>
      </c>
      <c r="AD462" s="96"/>
      <c r="AE462" s="96"/>
      <c r="AF462" s="96"/>
      <c r="AG462" s="100">
        <v>43797</v>
      </c>
      <c r="AH462" s="96"/>
      <c r="AI462" s="96"/>
      <c r="AJ462" s="96"/>
      <c r="AK462" s="96" t="s">
        <v>337</v>
      </c>
      <c r="AL462" s="96" t="s">
        <v>887</v>
      </c>
      <c r="AM462" s="96"/>
      <c r="AN462" s="96" t="s">
        <v>890</v>
      </c>
      <c r="AO462" s="100">
        <v>45473</v>
      </c>
      <c r="AP462" s="100">
        <v>45473</v>
      </c>
      <c r="AQ462" s="96"/>
      <c r="AR462" s="97">
        <v>42508.582047999997</v>
      </c>
      <c r="AS462" s="97">
        <v>113</v>
      </c>
      <c r="AT462" s="97">
        <v>1</v>
      </c>
      <c r="AU462" s="97">
        <v>48.034697000000001</v>
      </c>
      <c r="AV462" s="97">
        <v>48.034697000000001</v>
      </c>
      <c r="AW462" s="96"/>
      <c r="AX462" s="96"/>
      <c r="AY462" s="96"/>
      <c r="AZ462" s="96"/>
      <c r="BA462" s="98">
        <v>3.1300000000000002E-4</v>
      </c>
      <c r="BB462" s="98">
        <v>2.5000000000000001E-5</v>
      </c>
      <c r="BC462" s="106"/>
    </row>
    <row r="463" spans="1:55" ht="15" customHeight="1">
      <c r="A463" s="106"/>
      <c r="B463" s="96">
        <v>286</v>
      </c>
      <c r="C463" s="96">
        <v>286</v>
      </c>
      <c r="D463" s="96"/>
      <c r="E463" s="96"/>
      <c r="F463" s="96"/>
      <c r="G463" s="96">
        <v>25000458</v>
      </c>
      <c r="H463" s="96" t="s">
        <v>1013</v>
      </c>
      <c r="I463" s="96" t="s">
        <v>818</v>
      </c>
      <c r="J463" s="96" t="s">
        <v>203</v>
      </c>
      <c r="K463" s="96"/>
      <c r="L463" s="96" t="s">
        <v>450</v>
      </c>
      <c r="M463" s="96" t="s">
        <v>338</v>
      </c>
      <c r="N463" s="96" t="s">
        <v>337</v>
      </c>
      <c r="O463" s="96"/>
      <c r="P463" s="100">
        <v>43772</v>
      </c>
      <c r="Q463" s="96" t="s">
        <v>409</v>
      </c>
      <c r="R463" s="96" t="s">
        <v>409</v>
      </c>
      <c r="S463" s="96" t="s">
        <v>409</v>
      </c>
      <c r="T463" s="96" t="s">
        <v>1200</v>
      </c>
      <c r="U463" s="97">
        <v>0.35</v>
      </c>
      <c r="V463" s="96" t="s">
        <v>3678</v>
      </c>
      <c r="W463" s="98">
        <v>4.4600000000000001E-2</v>
      </c>
      <c r="X463" s="96"/>
      <c r="Y463" s="96"/>
      <c r="Z463" s="96"/>
      <c r="AA463" s="98">
        <v>6.3700000000000007E-2</v>
      </c>
      <c r="AB463" s="100">
        <v>45491</v>
      </c>
      <c r="AC463" s="96" t="s">
        <v>411</v>
      </c>
      <c r="AD463" s="96"/>
      <c r="AE463" s="96"/>
      <c r="AF463" s="96"/>
      <c r="AG463" s="100">
        <v>45239</v>
      </c>
      <c r="AH463" s="96"/>
      <c r="AI463" s="96"/>
      <c r="AJ463" s="96"/>
      <c r="AK463" s="96" t="s">
        <v>337</v>
      </c>
      <c r="AL463" s="96" t="s">
        <v>887</v>
      </c>
      <c r="AM463" s="96"/>
      <c r="AN463" s="96" t="s">
        <v>890</v>
      </c>
      <c r="AO463" s="100">
        <v>45473</v>
      </c>
      <c r="AP463" s="100">
        <v>45473</v>
      </c>
      <c r="AQ463" s="96"/>
      <c r="AR463" s="97">
        <v>407440.40406099998</v>
      </c>
      <c r="AS463" s="97">
        <v>100.05</v>
      </c>
      <c r="AT463" s="97">
        <v>1</v>
      </c>
      <c r="AU463" s="97">
        <v>407.64412399999998</v>
      </c>
      <c r="AV463" s="97">
        <v>407.64412399999998</v>
      </c>
      <c r="AW463" s="96"/>
      <c r="AX463" s="96"/>
      <c r="AY463" s="96"/>
      <c r="AZ463" s="96"/>
      <c r="BA463" s="98">
        <v>2.663E-3</v>
      </c>
      <c r="BB463" s="98">
        <v>2.12E-4</v>
      </c>
      <c r="BC463" s="106"/>
    </row>
    <row r="464" spans="1:55" ht="15" customHeight="1">
      <c r="A464" s="106"/>
      <c r="B464" s="96">
        <v>286</v>
      </c>
      <c r="C464" s="96">
        <v>286</v>
      </c>
      <c r="D464" s="96"/>
      <c r="E464" s="96"/>
      <c r="F464" s="96"/>
      <c r="G464" s="96">
        <v>25000457</v>
      </c>
      <c r="H464" s="96" t="s">
        <v>1013</v>
      </c>
      <c r="I464" s="96" t="s">
        <v>3680</v>
      </c>
      <c r="J464" s="96" t="s">
        <v>203</v>
      </c>
      <c r="K464" s="96"/>
      <c r="L464" s="96" t="s">
        <v>446</v>
      </c>
      <c r="M464" s="96" t="s">
        <v>338</v>
      </c>
      <c r="N464" s="96" t="s">
        <v>338</v>
      </c>
      <c r="O464" s="96"/>
      <c r="P464" s="100">
        <v>43769</v>
      </c>
      <c r="Q464" s="96" t="s">
        <v>1328</v>
      </c>
      <c r="R464" s="96" t="s">
        <v>412</v>
      </c>
      <c r="S464" s="96" t="s">
        <v>407</v>
      </c>
      <c r="T464" s="96" t="s">
        <v>1200</v>
      </c>
      <c r="U464" s="97">
        <v>1.23</v>
      </c>
      <c r="V464" s="96" t="s">
        <v>3678</v>
      </c>
      <c r="W464" s="98">
        <v>3.44E-2</v>
      </c>
      <c r="X464" s="96"/>
      <c r="Y464" s="96"/>
      <c r="Z464" s="96"/>
      <c r="AA464" s="98">
        <v>2.9600000000000001E-2</v>
      </c>
      <c r="AB464" s="100">
        <v>46228</v>
      </c>
      <c r="AC464" s="96" t="s">
        <v>411</v>
      </c>
      <c r="AD464" s="96"/>
      <c r="AE464" s="96"/>
      <c r="AF464" s="96"/>
      <c r="AG464" s="100">
        <v>45382</v>
      </c>
      <c r="AH464" s="96"/>
      <c r="AI464" s="96"/>
      <c r="AJ464" s="96"/>
      <c r="AK464" s="96" t="s">
        <v>337</v>
      </c>
      <c r="AL464" s="96" t="s">
        <v>887</v>
      </c>
      <c r="AM464" s="96"/>
      <c r="AN464" s="96" t="s">
        <v>890</v>
      </c>
      <c r="AO464" s="100">
        <v>45473</v>
      </c>
      <c r="AP464" s="100">
        <v>45473</v>
      </c>
      <c r="AQ464" s="96"/>
      <c r="AR464" s="97">
        <v>28856.745750999999</v>
      </c>
      <c r="AS464" s="97">
        <v>113.54</v>
      </c>
      <c r="AT464" s="97">
        <v>1</v>
      </c>
      <c r="AU464" s="97">
        <v>32.763948999999997</v>
      </c>
      <c r="AV464" s="97">
        <v>32.763948999999997</v>
      </c>
      <c r="AW464" s="96"/>
      <c r="AX464" s="96"/>
      <c r="AY464" s="96"/>
      <c r="AZ464" s="96"/>
      <c r="BA464" s="98">
        <v>2.14E-4</v>
      </c>
      <c r="BB464" s="98">
        <v>1.7E-5</v>
      </c>
      <c r="BC464" s="106"/>
    </row>
    <row r="465" spans="1:55" ht="15" customHeight="1">
      <c r="A465" s="106"/>
      <c r="B465" s="96">
        <v>286</v>
      </c>
      <c r="C465" s="96">
        <v>286</v>
      </c>
      <c r="D465" s="96"/>
      <c r="E465" s="96"/>
      <c r="F465" s="96"/>
      <c r="G465" s="96">
        <v>25000455</v>
      </c>
      <c r="H465" s="96" t="s">
        <v>1013</v>
      </c>
      <c r="I465" s="96" t="s">
        <v>812</v>
      </c>
      <c r="J465" s="96" t="s">
        <v>203</v>
      </c>
      <c r="K465" s="96"/>
      <c r="L465" s="96" t="s">
        <v>454</v>
      </c>
      <c r="M465" s="96" t="s">
        <v>338</v>
      </c>
      <c r="N465" s="96" t="s">
        <v>337</v>
      </c>
      <c r="O465" s="96"/>
      <c r="P465" s="100">
        <v>43742</v>
      </c>
      <c r="Q465" s="96" t="s">
        <v>1357</v>
      </c>
      <c r="R465" s="96" t="s">
        <v>414</v>
      </c>
      <c r="S465" s="96" t="s">
        <v>407</v>
      </c>
      <c r="T465" s="96" t="s">
        <v>1200</v>
      </c>
      <c r="U465" s="97">
        <v>7.3</v>
      </c>
      <c r="V465" s="96" t="s">
        <v>3678</v>
      </c>
      <c r="W465" s="98">
        <v>3.1E-2</v>
      </c>
      <c r="X465" s="96"/>
      <c r="Y465" s="96"/>
      <c r="Z465" s="96"/>
      <c r="AA465" s="98">
        <v>4.5199999999999997E-2</v>
      </c>
      <c r="AB465" s="100">
        <v>51677</v>
      </c>
      <c r="AC465" s="96" t="s">
        <v>411</v>
      </c>
      <c r="AD465" s="96"/>
      <c r="AE465" s="96"/>
      <c r="AF465" s="96"/>
      <c r="AG465" s="100">
        <v>45291</v>
      </c>
      <c r="AH465" s="96"/>
      <c r="AI465" s="96"/>
      <c r="AJ465" s="96"/>
      <c r="AK465" s="96" t="s">
        <v>337</v>
      </c>
      <c r="AL465" s="96" t="s">
        <v>887</v>
      </c>
      <c r="AM465" s="96"/>
      <c r="AN465" s="96" t="s">
        <v>890</v>
      </c>
      <c r="AO465" s="100">
        <v>45473</v>
      </c>
      <c r="AP465" s="100">
        <v>45473</v>
      </c>
      <c r="AQ465" s="96"/>
      <c r="AR465" s="97">
        <v>217884.29</v>
      </c>
      <c r="AS465" s="97">
        <v>99.51</v>
      </c>
      <c r="AT465" s="97">
        <v>1</v>
      </c>
      <c r="AU465" s="97">
        <v>216.81665000000001</v>
      </c>
      <c r="AV465" s="97">
        <v>216.81665000000001</v>
      </c>
      <c r="AW465" s="96"/>
      <c r="AX465" s="96"/>
      <c r="AY465" s="96"/>
      <c r="AZ465" s="96"/>
      <c r="BA465" s="98">
        <v>1.4159999999999999E-3</v>
      </c>
      <c r="BB465" s="98">
        <v>1.12E-4</v>
      </c>
      <c r="BC465" s="106"/>
    </row>
    <row r="466" spans="1:55" ht="15" customHeight="1">
      <c r="A466" s="106"/>
      <c r="B466" s="96">
        <v>286</v>
      </c>
      <c r="C466" s="96">
        <v>286</v>
      </c>
      <c r="D466" s="96"/>
      <c r="E466" s="96"/>
      <c r="F466" s="96"/>
      <c r="G466" s="96">
        <v>25000450</v>
      </c>
      <c r="H466" s="96" t="s">
        <v>1013</v>
      </c>
      <c r="I466" s="96"/>
      <c r="J466" s="96" t="s">
        <v>203</v>
      </c>
      <c r="K466" s="96"/>
      <c r="L466" s="96" t="s">
        <v>477</v>
      </c>
      <c r="M466" s="96" t="s">
        <v>338</v>
      </c>
      <c r="N466" s="96" t="s">
        <v>338</v>
      </c>
      <c r="O466" s="96"/>
      <c r="P466" s="100">
        <v>43705</v>
      </c>
      <c r="Q466" s="96" t="s">
        <v>409</v>
      </c>
      <c r="R466" s="96" t="s">
        <v>409</v>
      </c>
      <c r="S466" s="96" t="s">
        <v>409</v>
      </c>
      <c r="T466" s="96" t="s">
        <v>1200</v>
      </c>
      <c r="U466" s="97">
        <v>1.17</v>
      </c>
      <c r="V466" s="96" t="s">
        <v>3678</v>
      </c>
      <c r="W466" s="98">
        <v>3.5000000000000003E-2</v>
      </c>
      <c r="X466" s="96"/>
      <c r="Y466" s="96"/>
      <c r="Z466" s="96"/>
      <c r="AA466" s="98">
        <v>3.1600000000000003E-2</v>
      </c>
      <c r="AB466" s="100">
        <v>46843</v>
      </c>
      <c r="AC466" s="96" t="s">
        <v>411</v>
      </c>
      <c r="AD466" s="96"/>
      <c r="AE466" s="96"/>
      <c r="AF466" s="96"/>
      <c r="AG466" s="100">
        <v>43705</v>
      </c>
      <c r="AH466" s="96"/>
      <c r="AI466" s="96"/>
      <c r="AJ466" s="96"/>
      <c r="AK466" s="96" t="s">
        <v>337</v>
      </c>
      <c r="AL466" s="96" t="s">
        <v>887</v>
      </c>
      <c r="AM466" s="96"/>
      <c r="AN466" s="96" t="s">
        <v>890</v>
      </c>
      <c r="AO466" s="100">
        <v>45473</v>
      </c>
      <c r="AP466" s="100">
        <v>45473</v>
      </c>
      <c r="AQ466" s="96"/>
      <c r="AR466" s="97">
        <v>44234.413374000003</v>
      </c>
      <c r="AS466" s="97">
        <v>113.69</v>
      </c>
      <c r="AT466" s="97">
        <v>1</v>
      </c>
      <c r="AU466" s="97">
        <v>50.290103999999999</v>
      </c>
      <c r="AV466" s="97">
        <v>50.290103999999999</v>
      </c>
      <c r="AW466" s="96"/>
      <c r="AX466" s="96"/>
      <c r="AY466" s="96"/>
      <c r="AZ466" s="96"/>
      <c r="BA466" s="98">
        <v>3.28E-4</v>
      </c>
      <c r="BB466" s="98">
        <v>2.5999999999999998E-5</v>
      </c>
      <c r="BC466" s="106"/>
    </row>
    <row r="467" spans="1:55" ht="15" customHeight="1">
      <c r="A467" s="106"/>
      <c r="B467" s="96">
        <v>286</v>
      </c>
      <c r="C467" s="96">
        <v>286</v>
      </c>
      <c r="D467" s="96"/>
      <c r="E467" s="96"/>
      <c r="F467" s="96"/>
      <c r="G467" s="96">
        <v>25000448</v>
      </c>
      <c r="H467" s="96" t="s">
        <v>1013</v>
      </c>
      <c r="I467" s="96" t="s">
        <v>3680</v>
      </c>
      <c r="J467" s="96" t="s">
        <v>203</v>
      </c>
      <c r="K467" s="96"/>
      <c r="L467" s="96" t="s">
        <v>446</v>
      </c>
      <c r="M467" s="96" t="s">
        <v>338</v>
      </c>
      <c r="N467" s="96" t="s">
        <v>338</v>
      </c>
      <c r="O467" s="96"/>
      <c r="P467" s="100">
        <v>43702</v>
      </c>
      <c r="Q467" s="96" t="s">
        <v>1328</v>
      </c>
      <c r="R467" s="96" t="s">
        <v>412</v>
      </c>
      <c r="S467" s="96" t="s">
        <v>407</v>
      </c>
      <c r="T467" s="96" t="s">
        <v>1200</v>
      </c>
      <c r="U467" s="97">
        <v>1.23</v>
      </c>
      <c r="V467" s="96" t="s">
        <v>3678</v>
      </c>
      <c r="W467" s="98">
        <v>3.44E-2</v>
      </c>
      <c r="X467" s="96"/>
      <c r="Y467" s="96"/>
      <c r="Z467" s="96"/>
      <c r="AA467" s="98">
        <v>2.9600000000000001E-2</v>
      </c>
      <c r="AB467" s="100">
        <v>46228</v>
      </c>
      <c r="AC467" s="96" t="s">
        <v>411</v>
      </c>
      <c r="AD467" s="96"/>
      <c r="AE467" s="96"/>
      <c r="AF467" s="96"/>
      <c r="AG467" s="100">
        <v>45382</v>
      </c>
      <c r="AH467" s="96"/>
      <c r="AI467" s="96"/>
      <c r="AJ467" s="96"/>
      <c r="AK467" s="96" t="s">
        <v>337</v>
      </c>
      <c r="AL467" s="96" t="s">
        <v>887</v>
      </c>
      <c r="AM467" s="96"/>
      <c r="AN467" s="96" t="s">
        <v>890</v>
      </c>
      <c r="AO467" s="100">
        <v>45473</v>
      </c>
      <c r="AP467" s="100">
        <v>45473</v>
      </c>
      <c r="AQ467" s="96"/>
      <c r="AR467" s="97">
        <v>28856.745750999999</v>
      </c>
      <c r="AS467" s="97">
        <v>113.53</v>
      </c>
      <c r="AT467" s="97">
        <v>1</v>
      </c>
      <c r="AU467" s="97">
        <v>32.761063</v>
      </c>
      <c r="AV467" s="97">
        <v>32.761063</v>
      </c>
      <c r="AW467" s="96"/>
      <c r="AX467" s="96"/>
      <c r="AY467" s="96"/>
      <c r="AZ467" s="96"/>
      <c r="BA467" s="98">
        <v>2.14E-4</v>
      </c>
      <c r="BB467" s="98">
        <v>1.7E-5</v>
      </c>
      <c r="BC467" s="106"/>
    </row>
    <row r="468" spans="1:55" ht="15" customHeight="1">
      <c r="A468" s="106"/>
      <c r="B468" s="96">
        <v>286</v>
      </c>
      <c r="C468" s="96">
        <v>286</v>
      </c>
      <c r="D468" s="96"/>
      <c r="E468" s="96"/>
      <c r="F468" s="96"/>
      <c r="G468" s="96">
        <v>25000444</v>
      </c>
      <c r="H468" s="96" t="s">
        <v>1013</v>
      </c>
      <c r="I468" s="96" t="s">
        <v>813</v>
      </c>
      <c r="J468" s="96" t="s">
        <v>203</v>
      </c>
      <c r="K468" s="96"/>
      <c r="L468" s="96" t="s">
        <v>484</v>
      </c>
      <c r="M468" s="96" t="s">
        <v>338</v>
      </c>
      <c r="N468" s="96" t="s">
        <v>337</v>
      </c>
      <c r="O468" s="96"/>
      <c r="P468" s="100">
        <v>43675</v>
      </c>
      <c r="Q468" s="96" t="s">
        <v>1357</v>
      </c>
      <c r="R468" s="96" t="s">
        <v>414</v>
      </c>
      <c r="S468" s="96" t="s">
        <v>407</v>
      </c>
      <c r="T468" s="96" t="s">
        <v>1200</v>
      </c>
      <c r="U468" s="97">
        <v>2.41</v>
      </c>
      <c r="V468" s="96" t="s">
        <v>3678</v>
      </c>
      <c r="W468" s="98">
        <v>2.1111000000000001E-2</v>
      </c>
      <c r="X468" s="96"/>
      <c r="Y468" s="96"/>
      <c r="Z468" s="96"/>
      <c r="AA468" s="98">
        <v>3.5000000000000003E-2</v>
      </c>
      <c r="AB468" s="100">
        <v>47118</v>
      </c>
      <c r="AC468" s="96" t="s">
        <v>411</v>
      </c>
      <c r="AD468" s="96"/>
      <c r="AE468" s="96"/>
      <c r="AF468" s="96"/>
      <c r="AG468" s="100">
        <v>45291</v>
      </c>
      <c r="AH468" s="96"/>
      <c r="AI468" s="96"/>
      <c r="AJ468" s="96"/>
      <c r="AK468" s="96" t="s">
        <v>337</v>
      </c>
      <c r="AL468" s="96" t="s">
        <v>887</v>
      </c>
      <c r="AM468" s="96"/>
      <c r="AN468" s="96" t="s">
        <v>890</v>
      </c>
      <c r="AO468" s="100">
        <v>45473</v>
      </c>
      <c r="AP468" s="100">
        <v>45473</v>
      </c>
      <c r="AQ468" s="96"/>
      <c r="AR468" s="97">
        <v>101321.683368</v>
      </c>
      <c r="AS468" s="97">
        <v>108.95</v>
      </c>
      <c r="AT468" s="97">
        <v>1</v>
      </c>
      <c r="AU468" s="97">
        <v>110.389974</v>
      </c>
      <c r="AV468" s="97">
        <v>110.389974</v>
      </c>
      <c r="AW468" s="96"/>
      <c r="AX468" s="96"/>
      <c r="AY468" s="96"/>
      <c r="AZ468" s="96"/>
      <c r="BA468" s="98">
        <v>7.2099999999999996E-4</v>
      </c>
      <c r="BB468" s="98">
        <v>5.7000000000000003E-5</v>
      </c>
      <c r="BC468" s="106"/>
    </row>
    <row r="469" spans="1:55" ht="15" customHeight="1">
      <c r="A469" s="106"/>
      <c r="B469" s="96">
        <v>286</v>
      </c>
      <c r="C469" s="96">
        <v>286</v>
      </c>
      <c r="D469" s="96"/>
      <c r="E469" s="96"/>
      <c r="F469" s="96"/>
      <c r="G469" s="96">
        <v>25000466</v>
      </c>
      <c r="H469" s="96" t="s">
        <v>1013</v>
      </c>
      <c r="I469" s="96" t="s">
        <v>813</v>
      </c>
      <c r="J469" s="96" t="s">
        <v>203</v>
      </c>
      <c r="K469" s="96"/>
      <c r="L469" s="96" t="s">
        <v>470</v>
      </c>
      <c r="M469" s="96" t="s">
        <v>338</v>
      </c>
      <c r="N469" s="96" t="s">
        <v>337</v>
      </c>
      <c r="O469" s="96"/>
      <c r="P469" s="100">
        <v>43816</v>
      </c>
      <c r="Q469" s="96" t="s">
        <v>3686</v>
      </c>
      <c r="R469" s="96" t="s">
        <v>414</v>
      </c>
      <c r="S469" s="96" t="s">
        <v>407</v>
      </c>
      <c r="T469" s="96" t="s">
        <v>1200</v>
      </c>
      <c r="U469" s="97">
        <v>8.1</v>
      </c>
      <c r="V469" s="96" t="s">
        <v>3678</v>
      </c>
      <c r="W469" s="98">
        <v>0.06</v>
      </c>
      <c r="X469" s="96"/>
      <c r="Y469" s="96"/>
      <c r="Z469" s="96"/>
      <c r="AA469" s="98">
        <v>6.8599999999999994E-2</v>
      </c>
      <c r="AB469" s="100">
        <v>51774</v>
      </c>
      <c r="AC469" s="96" t="s">
        <v>410</v>
      </c>
      <c r="AD469" s="96"/>
      <c r="AE469" s="96"/>
      <c r="AF469" s="96"/>
      <c r="AG469" s="100">
        <v>45382</v>
      </c>
      <c r="AH469" s="96"/>
      <c r="AI469" s="96"/>
      <c r="AJ469" s="96"/>
      <c r="AK469" s="96" t="s">
        <v>337</v>
      </c>
      <c r="AL469" s="96" t="s">
        <v>887</v>
      </c>
      <c r="AM469" s="96"/>
      <c r="AN469" s="96" t="s">
        <v>890</v>
      </c>
      <c r="AO469" s="100">
        <v>45473</v>
      </c>
      <c r="AP469" s="100">
        <v>45473</v>
      </c>
      <c r="AQ469" s="96"/>
      <c r="AR469" s="97">
        <v>356416.79308500001</v>
      </c>
      <c r="AS469" s="97">
        <v>110.11</v>
      </c>
      <c r="AT469" s="97">
        <v>1</v>
      </c>
      <c r="AU469" s="97">
        <v>392.45053000000001</v>
      </c>
      <c r="AV469" s="97">
        <v>392.45053000000001</v>
      </c>
      <c r="AW469" s="96"/>
      <c r="AX469" s="96"/>
      <c r="AY469" s="96"/>
      <c r="AZ469" s="96"/>
      <c r="BA469" s="98">
        <v>2.5639999999999999E-3</v>
      </c>
      <c r="BB469" s="98">
        <v>2.04E-4</v>
      </c>
      <c r="BC469" s="106"/>
    </row>
    <row r="470" spans="1:55" ht="15" customHeight="1">
      <c r="A470" s="106"/>
      <c r="B470" s="96">
        <v>286</v>
      </c>
      <c r="C470" s="96">
        <v>286</v>
      </c>
      <c r="D470" s="96"/>
      <c r="E470" s="96"/>
      <c r="F470" s="96"/>
      <c r="G470" s="96">
        <v>25000443</v>
      </c>
      <c r="H470" s="96" t="s">
        <v>1013</v>
      </c>
      <c r="I470" s="96" t="s">
        <v>813</v>
      </c>
      <c r="J470" s="96" t="s">
        <v>203</v>
      </c>
      <c r="K470" s="96"/>
      <c r="L470" s="96" t="s">
        <v>484</v>
      </c>
      <c r="M470" s="96" t="s">
        <v>338</v>
      </c>
      <c r="N470" s="96" t="s">
        <v>337</v>
      </c>
      <c r="O470" s="96"/>
      <c r="P470" s="100">
        <v>43675</v>
      </c>
      <c r="Q470" s="96" t="s">
        <v>1305</v>
      </c>
      <c r="R470" s="96" t="s">
        <v>414</v>
      </c>
      <c r="S470" s="96" t="s">
        <v>407</v>
      </c>
      <c r="T470" s="96" t="s">
        <v>1200</v>
      </c>
      <c r="U470" s="97">
        <v>7.54</v>
      </c>
      <c r="V470" s="96" t="s">
        <v>3678</v>
      </c>
      <c r="W470" s="98">
        <v>2.9756999999999999E-2</v>
      </c>
      <c r="X470" s="96"/>
      <c r="Y470" s="96"/>
      <c r="Z470" s="96"/>
      <c r="AA470" s="98">
        <v>3.8100000000000002E-2</v>
      </c>
      <c r="AB470" s="100">
        <v>50770</v>
      </c>
      <c r="AC470" s="96" t="s">
        <v>411</v>
      </c>
      <c r="AD470" s="96"/>
      <c r="AE470" s="96"/>
      <c r="AF470" s="96"/>
      <c r="AG470" s="100">
        <v>45291</v>
      </c>
      <c r="AH470" s="96"/>
      <c r="AI470" s="96"/>
      <c r="AJ470" s="96"/>
      <c r="AK470" s="96" t="s">
        <v>337</v>
      </c>
      <c r="AL470" s="96" t="s">
        <v>887</v>
      </c>
      <c r="AM470" s="96"/>
      <c r="AN470" s="96" t="s">
        <v>890</v>
      </c>
      <c r="AO470" s="100">
        <v>45473</v>
      </c>
      <c r="AP470" s="100">
        <v>45473</v>
      </c>
      <c r="AQ470" s="96"/>
      <c r="AR470" s="97">
        <v>907632.52339900006</v>
      </c>
      <c r="AS470" s="97">
        <v>106.06</v>
      </c>
      <c r="AT470" s="97">
        <v>1</v>
      </c>
      <c r="AU470" s="97">
        <v>962.63505399999997</v>
      </c>
      <c r="AV470" s="97">
        <v>962.63505399999997</v>
      </c>
      <c r="AW470" s="96"/>
      <c r="AX470" s="96"/>
      <c r="AY470" s="96"/>
      <c r="AZ470" s="96"/>
      <c r="BA470" s="98">
        <v>6.2899999999999996E-3</v>
      </c>
      <c r="BB470" s="98">
        <v>5.0100000000000003E-4</v>
      </c>
      <c r="BC470" s="106"/>
    </row>
    <row r="471" spans="1:55" ht="15" customHeight="1">
      <c r="A471" s="106"/>
      <c r="B471" s="96">
        <v>286</v>
      </c>
      <c r="C471" s="96">
        <v>286</v>
      </c>
      <c r="D471" s="96"/>
      <c r="E471" s="96"/>
      <c r="F471" s="96"/>
      <c r="G471" s="96">
        <v>25000436</v>
      </c>
      <c r="H471" s="96" t="s">
        <v>1013</v>
      </c>
      <c r="I471" s="96"/>
      <c r="J471" s="96" t="s">
        <v>203</v>
      </c>
      <c r="K471" s="96"/>
      <c r="L471" s="96" t="s">
        <v>477</v>
      </c>
      <c r="M471" s="96" t="s">
        <v>338</v>
      </c>
      <c r="N471" s="96" t="s">
        <v>338</v>
      </c>
      <c r="O471" s="96"/>
      <c r="P471" s="100">
        <v>43643</v>
      </c>
      <c r="Q471" s="96" t="s">
        <v>409</v>
      </c>
      <c r="R471" s="96" t="s">
        <v>409</v>
      </c>
      <c r="S471" s="96" t="s">
        <v>409</v>
      </c>
      <c r="T471" s="96" t="s">
        <v>1200</v>
      </c>
      <c r="U471" s="97">
        <v>1.19</v>
      </c>
      <c r="V471" s="96" t="s">
        <v>3678</v>
      </c>
      <c r="W471" s="98">
        <v>3.5000000000000003E-2</v>
      </c>
      <c r="X471" s="96"/>
      <c r="Y471" s="96"/>
      <c r="Z471" s="96"/>
      <c r="AA471" s="98">
        <v>3.1600000000000003E-2</v>
      </c>
      <c r="AB471" s="100">
        <v>46752</v>
      </c>
      <c r="AC471" s="96" t="s">
        <v>411</v>
      </c>
      <c r="AD471" s="96"/>
      <c r="AE471" s="96"/>
      <c r="AF471" s="96"/>
      <c r="AG471" s="100">
        <v>43433</v>
      </c>
      <c r="AH471" s="96"/>
      <c r="AI471" s="96"/>
      <c r="AJ471" s="96"/>
      <c r="AK471" s="96" t="s">
        <v>337</v>
      </c>
      <c r="AL471" s="96" t="s">
        <v>887</v>
      </c>
      <c r="AM471" s="96"/>
      <c r="AN471" s="96" t="s">
        <v>890</v>
      </c>
      <c r="AO471" s="100">
        <v>45473</v>
      </c>
      <c r="AP471" s="100">
        <v>45473</v>
      </c>
      <c r="AQ471" s="96"/>
      <c r="AR471" s="97">
        <v>50028.643830000001</v>
      </c>
      <c r="AS471" s="97">
        <v>112.69</v>
      </c>
      <c r="AT471" s="97">
        <v>1</v>
      </c>
      <c r="AU471" s="97">
        <v>56.377277999999997</v>
      </c>
      <c r="AV471" s="97">
        <v>56.377277999999997</v>
      </c>
      <c r="AW471" s="96"/>
      <c r="AX471" s="96"/>
      <c r="AY471" s="96"/>
      <c r="AZ471" s="96"/>
      <c r="BA471" s="98">
        <v>3.68E-4</v>
      </c>
      <c r="BB471" s="98">
        <v>2.9E-5</v>
      </c>
      <c r="BC471" s="106"/>
    </row>
    <row r="472" spans="1:55" ht="15" customHeight="1">
      <c r="A472" s="106"/>
      <c r="B472" s="96">
        <v>286</v>
      </c>
      <c r="C472" s="96">
        <v>286</v>
      </c>
      <c r="D472" s="96"/>
      <c r="E472" s="96"/>
      <c r="F472" s="96"/>
      <c r="G472" s="96">
        <v>25000433</v>
      </c>
      <c r="H472" s="96" t="s">
        <v>1013</v>
      </c>
      <c r="I472" s="96" t="s">
        <v>818</v>
      </c>
      <c r="J472" s="96" t="s">
        <v>203</v>
      </c>
      <c r="K472" s="96"/>
      <c r="L472" s="96" t="s">
        <v>483</v>
      </c>
      <c r="M472" s="96" t="s">
        <v>338</v>
      </c>
      <c r="N472" s="96" t="s">
        <v>338</v>
      </c>
      <c r="O472" s="96"/>
      <c r="P472" s="100">
        <v>43620</v>
      </c>
      <c r="Q472" s="96" t="s">
        <v>1332</v>
      </c>
      <c r="R472" s="96" t="s">
        <v>412</v>
      </c>
      <c r="S472" s="96" t="s">
        <v>407</v>
      </c>
      <c r="T472" s="96" t="s">
        <v>1200</v>
      </c>
      <c r="U472" s="97">
        <v>3.3</v>
      </c>
      <c r="V472" s="96" t="s">
        <v>3678</v>
      </c>
      <c r="W472" s="98">
        <v>3.6400000000000002E-2</v>
      </c>
      <c r="X472" s="96"/>
      <c r="Y472" s="96"/>
      <c r="Z472" s="96"/>
      <c r="AA472" s="98">
        <v>5.8200000000000002E-2</v>
      </c>
      <c r="AB472" s="100">
        <v>47635</v>
      </c>
      <c r="AC472" s="96" t="s">
        <v>411</v>
      </c>
      <c r="AD472" s="96"/>
      <c r="AE472" s="96"/>
      <c r="AF472" s="96"/>
      <c r="AG472" s="100"/>
      <c r="AH472" s="96"/>
      <c r="AI472" s="96"/>
      <c r="AJ472" s="96"/>
      <c r="AK472" s="96" t="s">
        <v>337</v>
      </c>
      <c r="AL472" s="96" t="s">
        <v>887</v>
      </c>
      <c r="AM472" s="96"/>
      <c r="AN472" s="96" t="s">
        <v>890</v>
      </c>
      <c r="AO472" s="100">
        <v>45473</v>
      </c>
      <c r="AP472" s="100">
        <v>45473</v>
      </c>
      <c r="AQ472" s="96"/>
      <c r="AR472" s="97">
        <v>1438027.4248329999</v>
      </c>
      <c r="AS472" s="97">
        <v>93.68</v>
      </c>
      <c r="AT472" s="97">
        <v>1</v>
      </c>
      <c r="AU472" s="97">
        <v>1347.1440909999999</v>
      </c>
      <c r="AV472" s="97">
        <v>1347.1440909999999</v>
      </c>
      <c r="AW472" s="96"/>
      <c r="AX472" s="96"/>
      <c r="AY472" s="96"/>
      <c r="AZ472" s="96"/>
      <c r="BA472" s="98">
        <v>8.8020000000000008E-3</v>
      </c>
      <c r="BB472" s="98">
        <v>7.0100000000000002E-4</v>
      </c>
      <c r="BC472" s="106"/>
    </row>
    <row r="473" spans="1:55" ht="15" customHeight="1">
      <c r="A473" s="106"/>
      <c r="B473" s="96">
        <v>286</v>
      </c>
      <c r="C473" s="96">
        <v>286</v>
      </c>
      <c r="D473" s="96"/>
      <c r="E473" s="96"/>
      <c r="F473" s="96"/>
      <c r="G473" s="96">
        <v>25000415</v>
      </c>
      <c r="H473" s="96" t="s">
        <v>1013</v>
      </c>
      <c r="I473" s="96" t="s">
        <v>812</v>
      </c>
      <c r="J473" s="96" t="s">
        <v>203</v>
      </c>
      <c r="K473" s="96"/>
      <c r="L473" s="96" t="s">
        <v>454</v>
      </c>
      <c r="M473" s="96" t="s">
        <v>338</v>
      </c>
      <c r="N473" s="96" t="s">
        <v>337</v>
      </c>
      <c r="O473" s="96"/>
      <c r="P473" s="100">
        <v>43559</v>
      </c>
      <c r="Q473" s="96" t="s">
        <v>1357</v>
      </c>
      <c r="R473" s="96" t="s">
        <v>414</v>
      </c>
      <c r="S473" s="96" t="s">
        <v>407</v>
      </c>
      <c r="T473" s="96" t="s">
        <v>1200</v>
      </c>
      <c r="U473" s="97">
        <v>7.34</v>
      </c>
      <c r="V473" s="96" t="s">
        <v>3678</v>
      </c>
      <c r="W473" s="98">
        <v>3.7199999999999997E-2</v>
      </c>
      <c r="X473" s="96"/>
      <c r="Y473" s="96"/>
      <c r="Z473" s="96"/>
      <c r="AA473" s="98">
        <v>3.8600000000000002E-2</v>
      </c>
      <c r="AB473" s="100">
        <v>51677</v>
      </c>
      <c r="AC473" s="96" t="s">
        <v>411</v>
      </c>
      <c r="AD473" s="96"/>
      <c r="AE473" s="96"/>
      <c r="AF473" s="96"/>
      <c r="AG473" s="100">
        <v>45291</v>
      </c>
      <c r="AH473" s="96"/>
      <c r="AI473" s="96"/>
      <c r="AJ473" s="96"/>
      <c r="AK473" s="96" t="s">
        <v>337</v>
      </c>
      <c r="AL473" s="96" t="s">
        <v>887</v>
      </c>
      <c r="AM473" s="96"/>
      <c r="AN473" s="96" t="s">
        <v>890</v>
      </c>
      <c r="AO473" s="100">
        <v>45473</v>
      </c>
      <c r="AP473" s="100">
        <v>45473</v>
      </c>
      <c r="AQ473" s="96"/>
      <c r="AR473" s="97">
        <v>187151.63</v>
      </c>
      <c r="AS473" s="97">
        <v>110.21</v>
      </c>
      <c r="AT473" s="97">
        <v>1</v>
      </c>
      <c r="AU473" s="97">
        <v>206.25980999999999</v>
      </c>
      <c r="AV473" s="97">
        <v>206.25980999999999</v>
      </c>
      <c r="AW473" s="96"/>
      <c r="AX473" s="96"/>
      <c r="AY473" s="96"/>
      <c r="AZ473" s="96"/>
      <c r="BA473" s="98">
        <v>1.3470000000000001E-3</v>
      </c>
      <c r="BB473" s="98">
        <v>1.07E-4</v>
      </c>
      <c r="BC473" s="106"/>
    </row>
    <row r="474" spans="1:55" ht="15" customHeight="1">
      <c r="A474" s="106"/>
      <c r="B474" s="96">
        <v>286</v>
      </c>
      <c r="C474" s="96">
        <v>286</v>
      </c>
      <c r="D474" s="96"/>
      <c r="E474" s="96"/>
      <c r="F474" s="96"/>
      <c r="G474" s="96">
        <v>25000393</v>
      </c>
      <c r="H474" s="96" t="s">
        <v>1013</v>
      </c>
      <c r="I474" s="96" t="s">
        <v>3680</v>
      </c>
      <c r="J474" s="96" t="s">
        <v>203</v>
      </c>
      <c r="K474" s="96"/>
      <c r="L474" s="96" t="s">
        <v>446</v>
      </c>
      <c r="M474" s="96" t="s">
        <v>338</v>
      </c>
      <c r="N474" s="96" t="s">
        <v>338</v>
      </c>
      <c r="O474" s="96"/>
      <c r="P474" s="100">
        <v>43482</v>
      </c>
      <c r="Q474" s="96" t="s">
        <v>1328</v>
      </c>
      <c r="R474" s="96" t="s">
        <v>412</v>
      </c>
      <c r="S474" s="96" t="s">
        <v>407</v>
      </c>
      <c r="T474" s="96" t="s">
        <v>1200</v>
      </c>
      <c r="U474" s="97">
        <v>1.22</v>
      </c>
      <c r="V474" s="96" t="s">
        <v>3678</v>
      </c>
      <c r="W474" s="98">
        <v>5.0599999999999999E-2</v>
      </c>
      <c r="X474" s="96"/>
      <c r="Y474" s="96"/>
      <c r="Z474" s="96"/>
      <c r="AA474" s="98">
        <v>5.8500000000000003E-2</v>
      </c>
      <c r="AB474" s="100">
        <v>46228</v>
      </c>
      <c r="AC474" s="96" t="s">
        <v>411</v>
      </c>
      <c r="AD474" s="96"/>
      <c r="AE474" s="96"/>
      <c r="AF474" s="96"/>
      <c r="AG474" s="100">
        <v>45382</v>
      </c>
      <c r="AH474" s="96"/>
      <c r="AI474" s="96"/>
      <c r="AJ474" s="96"/>
      <c r="AK474" s="96" t="s">
        <v>337</v>
      </c>
      <c r="AL474" s="96" t="s">
        <v>887</v>
      </c>
      <c r="AM474" s="96"/>
      <c r="AN474" s="96" t="s">
        <v>890</v>
      </c>
      <c r="AO474" s="100">
        <v>45473</v>
      </c>
      <c r="AP474" s="100">
        <v>45473</v>
      </c>
      <c r="AQ474" s="96"/>
      <c r="AR474" s="97">
        <v>28856.745374999999</v>
      </c>
      <c r="AS474" s="97">
        <v>99.16</v>
      </c>
      <c r="AT474" s="97">
        <v>1</v>
      </c>
      <c r="AU474" s="97">
        <v>28.614348</v>
      </c>
      <c r="AV474" s="97">
        <v>28.614348</v>
      </c>
      <c r="AW474" s="96"/>
      <c r="AX474" s="96"/>
      <c r="AY474" s="96"/>
      <c r="AZ474" s="96"/>
      <c r="BA474" s="98">
        <v>1.8599999999999999E-4</v>
      </c>
      <c r="BB474" s="98">
        <v>1.4E-5</v>
      </c>
      <c r="BC474" s="106"/>
    </row>
    <row r="475" spans="1:55" ht="15" customHeight="1">
      <c r="A475" s="106"/>
      <c r="B475" s="96">
        <v>286</v>
      </c>
      <c r="C475" s="96">
        <v>286</v>
      </c>
      <c r="D475" s="96"/>
      <c r="E475" s="96"/>
      <c r="F475" s="96"/>
      <c r="G475" s="96">
        <v>25000387</v>
      </c>
      <c r="H475" s="96" t="s">
        <v>1013</v>
      </c>
      <c r="I475" s="96" t="s">
        <v>812</v>
      </c>
      <c r="J475" s="96" t="s">
        <v>203</v>
      </c>
      <c r="K475" s="96"/>
      <c r="L475" s="96" t="s">
        <v>454</v>
      </c>
      <c r="M475" s="96" t="s">
        <v>338</v>
      </c>
      <c r="N475" s="96" t="s">
        <v>337</v>
      </c>
      <c r="O475" s="96"/>
      <c r="P475" s="100">
        <v>43469</v>
      </c>
      <c r="Q475" s="96" t="s">
        <v>1357</v>
      </c>
      <c r="R475" s="96" t="s">
        <v>414</v>
      </c>
      <c r="S475" s="96" t="s">
        <v>407</v>
      </c>
      <c r="T475" s="96" t="s">
        <v>1200</v>
      </c>
      <c r="U475" s="97">
        <v>7.3</v>
      </c>
      <c r="V475" s="96" t="s">
        <v>3678</v>
      </c>
      <c r="W475" s="98">
        <v>4.1700000000000001E-2</v>
      </c>
      <c r="X475" s="96"/>
      <c r="Y475" s="96"/>
      <c r="Z475" s="96"/>
      <c r="AA475" s="98">
        <v>3.7600000000000001E-2</v>
      </c>
      <c r="AB475" s="100">
        <v>51677</v>
      </c>
      <c r="AC475" s="96" t="s">
        <v>411</v>
      </c>
      <c r="AD475" s="96"/>
      <c r="AE475" s="96"/>
      <c r="AF475" s="96"/>
      <c r="AG475" s="100">
        <v>45291</v>
      </c>
      <c r="AH475" s="96"/>
      <c r="AI475" s="96"/>
      <c r="AJ475" s="96"/>
      <c r="AK475" s="96" t="s">
        <v>337</v>
      </c>
      <c r="AL475" s="96" t="s">
        <v>887</v>
      </c>
      <c r="AM475" s="96"/>
      <c r="AN475" s="96" t="s">
        <v>890</v>
      </c>
      <c r="AO475" s="100">
        <v>45473</v>
      </c>
      <c r="AP475" s="100">
        <v>45473</v>
      </c>
      <c r="AQ475" s="96"/>
      <c r="AR475" s="97">
        <v>78816.84</v>
      </c>
      <c r="AS475" s="97">
        <v>114.37</v>
      </c>
      <c r="AT475" s="97">
        <v>1</v>
      </c>
      <c r="AU475" s="97">
        <v>90.14282</v>
      </c>
      <c r="AV475" s="97">
        <v>90.14282</v>
      </c>
      <c r="AW475" s="96"/>
      <c r="AX475" s="96"/>
      <c r="AY475" s="96"/>
      <c r="AZ475" s="96"/>
      <c r="BA475" s="98">
        <v>5.8900000000000001E-4</v>
      </c>
      <c r="BB475" s="98">
        <v>4.6E-5</v>
      </c>
      <c r="BC475" s="106"/>
    </row>
    <row r="476" spans="1:55" ht="15" customHeight="1">
      <c r="A476" s="106"/>
      <c r="B476" s="96">
        <v>286</v>
      </c>
      <c r="C476" s="96">
        <v>286</v>
      </c>
      <c r="D476" s="96"/>
      <c r="E476" s="96"/>
      <c r="F476" s="96"/>
      <c r="G476" s="96">
        <v>25000386</v>
      </c>
      <c r="H476" s="96" t="s">
        <v>1013</v>
      </c>
      <c r="I476" s="96" t="s">
        <v>785</v>
      </c>
      <c r="J476" s="96" t="s">
        <v>203</v>
      </c>
      <c r="K476" s="96"/>
      <c r="L476" s="96" t="s">
        <v>463</v>
      </c>
      <c r="M476" s="96" t="s">
        <v>338</v>
      </c>
      <c r="N476" s="96" t="s">
        <v>338</v>
      </c>
      <c r="O476" s="96"/>
      <c r="P476" s="100">
        <v>43464</v>
      </c>
      <c r="Q476" s="96" t="s">
        <v>1313</v>
      </c>
      <c r="R476" s="96" t="s">
        <v>412</v>
      </c>
      <c r="S476" s="96" t="s">
        <v>407</v>
      </c>
      <c r="T476" s="96" t="s">
        <v>1200</v>
      </c>
      <c r="U476" s="97">
        <v>3.76</v>
      </c>
      <c r="V476" s="96" t="s">
        <v>3678</v>
      </c>
      <c r="W476" s="98">
        <v>2.3429999999999999E-2</v>
      </c>
      <c r="X476" s="96"/>
      <c r="Y476" s="96"/>
      <c r="Z476" s="96"/>
      <c r="AA476" s="98">
        <v>2.64E-2</v>
      </c>
      <c r="AB476" s="100">
        <v>47119</v>
      </c>
      <c r="AC476" s="96" t="s">
        <v>411</v>
      </c>
      <c r="AD476" s="96"/>
      <c r="AE476" s="96"/>
      <c r="AF476" s="96"/>
      <c r="AG476" s="100">
        <v>44957</v>
      </c>
      <c r="AH476" s="96"/>
      <c r="AI476" s="96"/>
      <c r="AJ476" s="96"/>
      <c r="AK476" s="96" t="s">
        <v>337</v>
      </c>
      <c r="AL476" s="96" t="s">
        <v>887</v>
      </c>
      <c r="AM476" s="96"/>
      <c r="AN476" s="96" t="s">
        <v>890</v>
      </c>
      <c r="AO476" s="100">
        <v>45473</v>
      </c>
      <c r="AP476" s="100">
        <v>45473</v>
      </c>
      <c r="AQ476" s="96"/>
      <c r="AR476" s="97">
        <v>189969.726563</v>
      </c>
      <c r="AS476" s="97">
        <v>112.7</v>
      </c>
      <c r="AT476" s="97">
        <v>1</v>
      </c>
      <c r="AU476" s="97">
        <v>214.09588099999999</v>
      </c>
      <c r="AV476" s="97">
        <v>214.09588099999999</v>
      </c>
      <c r="AW476" s="96"/>
      <c r="AX476" s="96"/>
      <c r="AY476" s="96"/>
      <c r="AZ476" s="96"/>
      <c r="BA476" s="98">
        <v>1.3990000000000001E-3</v>
      </c>
      <c r="BB476" s="98">
        <v>1.11E-4</v>
      </c>
      <c r="BC476" s="106"/>
    </row>
    <row r="477" spans="1:55" ht="15" customHeight="1">
      <c r="A477" s="106"/>
      <c r="B477" s="96">
        <v>286</v>
      </c>
      <c r="C477" s="96">
        <v>286</v>
      </c>
      <c r="D477" s="96"/>
      <c r="E477" s="96"/>
      <c r="F477" s="96"/>
      <c r="G477" s="96">
        <v>25000385</v>
      </c>
      <c r="H477" s="96" t="s">
        <v>1013</v>
      </c>
      <c r="I477" s="96" t="s">
        <v>785</v>
      </c>
      <c r="J477" s="96" t="s">
        <v>203</v>
      </c>
      <c r="K477" s="96"/>
      <c r="L477" s="96" t="s">
        <v>463</v>
      </c>
      <c r="M477" s="96" t="s">
        <v>338</v>
      </c>
      <c r="N477" s="96" t="s">
        <v>338</v>
      </c>
      <c r="O477" s="96"/>
      <c r="P477" s="100">
        <v>43464</v>
      </c>
      <c r="Q477" s="96" t="s">
        <v>1313</v>
      </c>
      <c r="R477" s="96" t="s">
        <v>412</v>
      </c>
      <c r="S477" s="96" t="s">
        <v>407</v>
      </c>
      <c r="T477" s="96" t="s">
        <v>1200</v>
      </c>
      <c r="U477" s="97">
        <v>3.76</v>
      </c>
      <c r="V477" s="96" t="s">
        <v>3678</v>
      </c>
      <c r="W477" s="98">
        <v>2.3429999999999999E-2</v>
      </c>
      <c r="X477" s="96"/>
      <c r="Y477" s="96"/>
      <c r="Z477" s="96"/>
      <c r="AA477" s="98">
        <v>2.64E-2</v>
      </c>
      <c r="AB477" s="100">
        <v>47119</v>
      </c>
      <c r="AC477" s="96" t="s">
        <v>411</v>
      </c>
      <c r="AD477" s="96"/>
      <c r="AE477" s="96"/>
      <c r="AF477" s="96"/>
      <c r="AG477" s="100">
        <v>44957</v>
      </c>
      <c r="AH477" s="96"/>
      <c r="AI477" s="96"/>
      <c r="AJ477" s="96"/>
      <c r="AK477" s="96" t="s">
        <v>337</v>
      </c>
      <c r="AL477" s="96" t="s">
        <v>887</v>
      </c>
      <c r="AM477" s="96"/>
      <c r="AN477" s="96" t="s">
        <v>890</v>
      </c>
      <c r="AO477" s="100">
        <v>45473</v>
      </c>
      <c r="AP477" s="100">
        <v>45473</v>
      </c>
      <c r="AQ477" s="96"/>
      <c r="AR477" s="97">
        <v>353354.82961299998</v>
      </c>
      <c r="AS477" s="97">
        <v>112.7</v>
      </c>
      <c r="AT477" s="97">
        <v>1</v>
      </c>
      <c r="AU477" s="97">
        <v>398.23089199999998</v>
      </c>
      <c r="AV477" s="97">
        <v>398.23089199999998</v>
      </c>
      <c r="AW477" s="96"/>
      <c r="AX477" s="96"/>
      <c r="AY477" s="96"/>
      <c r="AZ477" s="96"/>
      <c r="BA477" s="98">
        <v>2.6020000000000001E-3</v>
      </c>
      <c r="BB477" s="98">
        <v>2.0699999999999999E-4</v>
      </c>
      <c r="BC477" s="106"/>
    </row>
    <row r="478" spans="1:55" ht="15" customHeight="1">
      <c r="A478" s="106"/>
      <c r="B478" s="96">
        <v>286</v>
      </c>
      <c r="C478" s="96">
        <v>286</v>
      </c>
      <c r="D478" s="96"/>
      <c r="E478" s="96"/>
      <c r="F478" s="96"/>
      <c r="G478" s="96">
        <v>25000442</v>
      </c>
      <c r="H478" s="96" t="s">
        <v>1013</v>
      </c>
      <c r="I478" s="96" t="s">
        <v>3680</v>
      </c>
      <c r="J478" s="96" t="s">
        <v>203</v>
      </c>
      <c r="K478" s="96"/>
      <c r="L478" s="96" t="s">
        <v>446</v>
      </c>
      <c r="M478" s="96" t="s">
        <v>338</v>
      </c>
      <c r="N478" s="96" t="s">
        <v>338</v>
      </c>
      <c r="O478" s="96"/>
      <c r="P478" s="100">
        <v>43675</v>
      </c>
      <c r="Q478" s="96" t="s">
        <v>1328</v>
      </c>
      <c r="R478" s="96" t="s">
        <v>412</v>
      </c>
      <c r="S478" s="96" t="s">
        <v>407</v>
      </c>
      <c r="T478" s="96" t="s">
        <v>1200</v>
      </c>
      <c r="U478" s="97">
        <v>1.22</v>
      </c>
      <c r="V478" s="96" t="s">
        <v>3678</v>
      </c>
      <c r="W478" s="98">
        <v>4.8500000000000001E-2</v>
      </c>
      <c r="X478" s="96"/>
      <c r="Y478" s="96"/>
      <c r="Z478" s="96"/>
      <c r="AA478" s="98">
        <v>5.8400000000000001E-2</v>
      </c>
      <c r="AB478" s="100">
        <v>46228</v>
      </c>
      <c r="AC478" s="96" t="s">
        <v>411</v>
      </c>
      <c r="AD478" s="96"/>
      <c r="AE478" s="96"/>
      <c r="AF478" s="96"/>
      <c r="AG478" s="100">
        <v>45382</v>
      </c>
      <c r="AH478" s="96"/>
      <c r="AI478" s="96"/>
      <c r="AJ478" s="96"/>
      <c r="AK478" s="96" t="s">
        <v>337</v>
      </c>
      <c r="AL478" s="96" t="s">
        <v>887</v>
      </c>
      <c r="AM478" s="96"/>
      <c r="AN478" s="96" t="s">
        <v>890</v>
      </c>
      <c r="AO478" s="100">
        <v>45473</v>
      </c>
      <c r="AP478" s="100">
        <v>45473</v>
      </c>
      <c r="AQ478" s="96"/>
      <c r="AR478" s="97">
        <v>28856.745374999999</v>
      </c>
      <c r="AS478" s="97">
        <v>98.91</v>
      </c>
      <c r="AT478" s="97">
        <v>1</v>
      </c>
      <c r="AU478" s="97">
        <v>28.542206</v>
      </c>
      <c r="AV478" s="97">
        <v>28.542206</v>
      </c>
      <c r="AW478" s="96"/>
      <c r="AX478" s="96"/>
      <c r="AY478" s="96"/>
      <c r="AZ478" s="96"/>
      <c r="BA478" s="98">
        <v>1.8599999999999999E-4</v>
      </c>
      <c r="BB478" s="98">
        <v>1.4E-5</v>
      </c>
      <c r="BC478" s="106"/>
    </row>
    <row r="479" spans="1:55" ht="15" customHeight="1">
      <c r="A479" s="106"/>
      <c r="B479" s="96">
        <v>286</v>
      </c>
      <c r="C479" s="96">
        <v>286</v>
      </c>
      <c r="D479" s="96"/>
      <c r="E479" s="96"/>
      <c r="F479" s="96"/>
      <c r="G479" s="96">
        <v>25000378</v>
      </c>
      <c r="H479" s="96" t="s">
        <v>1013</v>
      </c>
      <c r="I479" s="96"/>
      <c r="J479" s="96" t="s">
        <v>203</v>
      </c>
      <c r="K479" s="96"/>
      <c r="L479" s="96" t="s">
        <v>477</v>
      </c>
      <c r="M479" s="96" t="s">
        <v>338</v>
      </c>
      <c r="N479" s="96" t="s">
        <v>338</v>
      </c>
      <c r="O479" s="96"/>
      <c r="P479" s="100">
        <v>43433</v>
      </c>
      <c r="Q479" s="96" t="s">
        <v>409</v>
      </c>
      <c r="R479" s="96" t="s">
        <v>409</v>
      </c>
      <c r="S479" s="96" t="s">
        <v>409</v>
      </c>
      <c r="T479" s="96" t="s">
        <v>1200</v>
      </c>
      <c r="U479" s="97">
        <v>1.03</v>
      </c>
      <c r="V479" s="96" t="s">
        <v>3678</v>
      </c>
      <c r="W479" s="98">
        <v>3.5000000000000003E-2</v>
      </c>
      <c r="X479" s="96"/>
      <c r="Y479" s="96"/>
      <c r="Z479" s="96"/>
      <c r="AA479" s="98">
        <v>2.9700000000000001E-2</v>
      </c>
      <c r="AB479" s="100">
        <v>46568</v>
      </c>
      <c r="AC479" s="96" t="s">
        <v>411</v>
      </c>
      <c r="AD479" s="96"/>
      <c r="AE479" s="96"/>
      <c r="AF479" s="96"/>
      <c r="AG479" s="100">
        <v>43433</v>
      </c>
      <c r="AH479" s="96"/>
      <c r="AI479" s="96"/>
      <c r="AJ479" s="96"/>
      <c r="AK479" s="96" t="s">
        <v>337</v>
      </c>
      <c r="AL479" s="96" t="s">
        <v>887</v>
      </c>
      <c r="AM479" s="96"/>
      <c r="AN479" s="96" t="s">
        <v>890</v>
      </c>
      <c r="AO479" s="100">
        <v>45473</v>
      </c>
      <c r="AP479" s="100">
        <v>45473</v>
      </c>
      <c r="AQ479" s="96"/>
      <c r="AR479" s="97">
        <v>55404.17</v>
      </c>
      <c r="AS479" s="97">
        <v>113.85</v>
      </c>
      <c r="AT479" s="97">
        <v>1</v>
      </c>
      <c r="AU479" s="97">
        <v>63.077649999999998</v>
      </c>
      <c r="AV479" s="97">
        <v>63.077649999999998</v>
      </c>
      <c r="AW479" s="96"/>
      <c r="AX479" s="96"/>
      <c r="AY479" s="96"/>
      <c r="AZ479" s="96"/>
      <c r="BA479" s="98">
        <v>4.1199999999999999E-4</v>
      </c>
      <c r="BB479" s="98">
        <v>3.1999999999999999E-5</v>
      </c>
      <c r="BC479" s="106"/>
    </row>
    <row r="480" spans="1:55" ht="15" customHeight="1">
      <c r="A480" s="106"/>
      <c r="B480" s="96">
        <v>286</v>
      </c>
      <c r="C480" s="96">
        <v>286</v>
      </c>
      <c r="D480" s="96"/>
      <c r="E480" s="96"/>
      <c r="F480" s="96"/>
      <c r="G480" s="96">
        <v>25000474</v>
      </c>
      <c r="H480" s="96" t="s">
        <v>1013</v>
      </c>
      <c r="I480" s="96" t="s">
        <v>785</v>
      </c>
      <c r="J480" s="96" t="s">
        <v>203</v>
      </c>
      <c r="K480" s="96"/>
      <c r="L480" s="96" t="s">
        <v>463</v>
      </c>
      <c r="M480" s="96" t="s">
        <v>338</v>
      </c>
      <c r="N480" s="96" t="s">
        <v>338</v>
      </c>
      <c r="O480" s="96"/>
      <c r="P480" s="100">
        <v>43832</v>
      </c>
      <c r="Q480" s="96" t="s">
        <v>1313</v>
      </c>
      <c r="R480" s="96" t="s">
        <v>412</v>
      </c>
      <c r="S480" s="96" t="s">
        <v>407</v>
      </c>
      <c r="T480" s="96" t="s">
        <v>1200</v>
      </c>
      <c r="U480" s="97">
        <v>3.77</v>
      </c>
      <c r="V480" s="96" t="s">
        <v>3678</v>
      </c>
      <c r="W480" s="98">
        <v>2.3429999999999999E-2</v>
      </c>
      <c r="X480" s="96"/>
      <c r="Y480" s="96"/>
      <c r="Z480" s="96"/>
      <c r="AA480" s="98">
        <v>3.49E-2</v>
      </c>
      <c r="AB480" s="100">
        <v>47119</v>
      </c>
      <c r="AC480" s="96" t="s">
        <v>411</v>
      </c>
      <c r="AD480" s="96"/>
      <c r="AE480" s="96"/>
      <c r="AF480" s="96"/>
      <c r="AG480" s="100">
        <v>44957</v>
      </c>
      <c r="AH480" s="96"/>
      <c r="AI480" s="96"/>
      <c r="AJ480" s="96"/>
      <c r="AK480" s="96" t="s">
        <v>337</v>
      </c>
      <c r="AL480" s="96" t="s">
        <v>887</v>
      </c>
      <c r="AM480" s="96"/>
      <c r="AN480" s="96" t="s">
        <v>890</v>
      </c>
      <c r="AO480" s="100">
        <v>45473</v>
      </c>
      <c r="AP480" s="100">
        <v>45473</v>
      </c>
      <c r="AQ480" s="96"/>
      <c r="AR480" s="97">
        <v>257135.05561000001</v>
      </c>
      <c r="AS480" s="97">
        <v>108.91</v>
      </c>
      <c r="AT480" s="97">
        <v>1</v>
      </c>
      <c r="AU480" s="97">
        <v>280.04578900000001</v>
      </c>
      <c r="AV480" s="97">
        <v>280.04578900000001</v>
      </c>
      <c r="AW480" s="96"/>
      <c r="AX480" s="96"/>
      <c r="AY480" s="96"/>
      <c r="AZ480" s="96"/>
      <c r="BA480" s="98">
        <v>1.8289999999999999E-3</v>
      </c>
      <c r="BB480" s="98">
        <v>1.45E-4</v>
      </c>
      <c r="BC480" s="106"/>
    </row>
    <row r="481" spans="1:55" ht="15" customHeight="1">
      <c r="A481" s="106"/>
      <c r="B481" s="96">
        <v>286</v>
      </c>
      <c r="C481" s="96">
        <v>286</v>
      </c>
      <c r="D481" s="96"/>
      <c r="E481" s="96"/>
      <c r="F481" s="96"/>
      <c r="G481" s="96">
        <v>25000482</v>
      </c>
      <c r="H481" s="96" t="s">
        <v>1013</v>
      </c>
      <c r="I481" s="96" t="s">
        <v>818</v>
      </c>
      <c r="J481" s="96" t="s">
        <v>203</v>
      </c>
      <c r="K481" s="96"/>
      <c r="L481" s="96" t="s">
        <v>473</v>
      </c>
      <c r="M481" s="96" t="s">
        <v>338</v>
      </c>
      <c r="N481" s="96" t="s">
        <v>337</v>
      </c>
      <c r="O481" s="96"/>
      <c r="P481" s="100">
        <v>43873</v>
      </c>
      <c r="Q481" s="96" t="s">
        <v>409</v>
      </c>
      <c r="R481" s="96" t="s">
        <v>409</v>
      </c>
      <c r="S481" s="96" t="s">
        <v>409</v>
      </c>
      <c r="T481" s="96" t="s">
        <v>1200</v>
      </c>
      <c r="U481" s="97">
        <v>4.5</v>
      </c>
      <c r="V481" s="96" t="s">
        <v>3678</v>
      </c>
      <c r="W481" s="98">
        <v>3.5299999999999998E-2</v>
      </c>
      <c r="X481" s="96"/>
      <c r="Y481" s="96"/>
      <c r="Z481" s="96"/>
      <c r="AA481" s="98">
        <v>6.4100000000000004E-2</v>
      </c>
      <c r="AB481" s="100">
        <v>49352</v>
      </c>
      <c r="AC481" s="96" t="s">
        <v>411</v>
      </c>
      <c r="AD481" s="96"/>
      <c r="AE481" s="96"/>
      <c r="AF481" s="96"/>
      <c r="AG481" s="100">
        <v>45199</v>
      </c>
      <c r="AH481" s="96"/>
      <c r="AI481" s="96"/>
      <c r="AJ481" s="96"/>
      <c r="AK481" s="96" t="s">
        <v>337</v>
      </c>
      <c r="AL481" s="96" t="s">
        <v>887</v>
      </c>
      <c r="AM481" s="96"/>
      <c r="AN481" s="96" t="s">
        <v>890</v>
      </c>
      <c r="AO481" s="100">
        <v>45473</v>
      </c>
      <c r="AP481" s="100">
        <v>45473</v>
      </c>
      <c r="AQ481" s="96"/>
      <c r="AR481" s="97">
        <v>106066.62</v>
      </c>
      <c r="AS481" s="97">
        <v>88.67</v>
      </c>
      <c r="AT481" s="97">
        <v>1</v>
      </c>
      <c r="AU481" s="97">
        <v>94.049270000000007</v>
      </c>
      <c r="AV481" s="97">
        <v>94.049270000000007</v>
      </c>
      <c r="AW481" s="96"/>
      <c r="AX481" s="96"/>
      <c r="AY481" s="96"/>
      <c r="AZ481" s="96"/>
      <c r="BA481" s="98">
        <v>6.1399999999999996E-4</v>
      </c>
      <c r="BB481" s="98">
        <v>4.8000000000000001E-5</v>
      </c>
      <c r="BC481" s="106"/>
    </row>
    <row r="482" spans="1:55" ht="15" customHeight="1">
      <c r="A482" s="106"/>
      <c r="B482" s="96">
        <v>286</v>
      </c>
      <c r="C482" s="96">
        <v>286</v>
      </c>
      <c r="D482" s="96"/>
      <c r="E482" s="96"/>
      <c r="F482" s="96"/>
      <c r="G482" s="96">
        <v>25000580</v>
      </c>
      <c r="H482" s="96" t="s">
        <v>1013</v>
      </c>
      <c r="I482" s="96" t="s">
        <v>813</v>
      </c>
      <c r="J482" s="96" t="s">
        <v>203</v>
      </c>
      <c r="K482" s="96"/>
      <c r="L482" s="96" t="s">
        <v>470</v>
      </c>
      <c r="M482" s="96" t="s">
        <v>338</v>
      </c>
      <c r="N482" s="96" t="s">
        <v>337</v>
      </c>
      <c r="O482" s="96"/>
      <c r="P482" s="100">
        <v>44227</v>
      </c>
      <c r="Q482" s="96" t="s">
        <v>1520</v>
      </c>
      <c r="R482" s="96" t="s">
        <v>414</v>
      </c>
      <c r="S482" s="96" t="s">
        <v>407</v>
      </c>
      <c r="T482" s="96" t="s">
        <v>1200</v>
      </c>
      <c r="U482" s="97">
        <v>4.05</v>
      </c>
      <c r="V482" s="96" t="s">
        <v>3678</v>
      </c>
      <c r="W482" s="98">
        <v>7.6249999999999998E-3</v>
      </c>
      <c r="X482" s="96"/>
      <c r="Y482" s="96"/>
      <c r="Z482" s="96"/>
      <c r="AA482" s="98">
        <v>3.3799999999999997E-2</v>
      </c>
      <c r="AB482" s="100">
        <v>48852</v>
      </c>
      <c r="AC482" s="96" t="s">
        <v>411</v>
      </c>
      <c r="AD482" s="96"/>
      <c r="AE482" s="96"/>
      <c r="AF482" s="96"/>
      <c r="AG482" s="100">
        <v>45291</v>
      </c>
      <c r="AH482" s="96"/>
      <c r="AI482" s="96"/>
      <c r="AJ482" s="96"/>
      <c r="AK482" s="96" t="s">
        <v>337</v>
      </c>
      <c r="AL482" s="96" t="s">
        <v>887</v>
      </c>
      <c r="AM482" s="96"/>
      <c r="AN482" s="96" t="s">
        <v>890</v>
      </c>
      <c r="AO482" s="100">
        <v>45473</v>
      </c>
      <c r="AP482" s="100">
        <v>45473</v>
      </c>
      <c r="AQ482" s="96"/>
      <c r="AR482" s="97">
        <v>109786.378511</v>
      </c>
      <c r="AS482" s="97">
        <v>102.37</v>
      </c>
      <c r="AT482" s="97">
        <v>1</v>
      </c>
      <c r="AU482" s="97">
        <v>112.38831500000001</v>
      </c>
      <c r="AV482" s="97">
        <v>112.38831500000001</v>
      </c>
      <c r="AW482" s="96"/>
      <c r="AX482" s="96"/>
      <c r="AY482" s="96"/>
      <c r="AZ482" s="96"/>
      <c r="BA482" s="98">
        <v>7.3399999999999995E-4</v>
      </c>
      <c r="BB482" s="98">
        <v>5.8E-5</v>
      </c>
      <c r="BC482" s="106"/>
    </row>
    <row r="483" spans="1:55" ht="15" customHeight="1">
      <c r="A483" s="106"/>
      <c r="B483" s="96">
        <v>286</v>
      </c>
      <c r="C483" s="96">
        <v>286</v>
      </c>
      <c r="D483" s="96"/>
      <c r="E483" s="96"/>
      <c r="F483" s="96"/>
      <c r="G483" s="96">
        <v>25000579</v>
      </c>
      <c r="H483" s="96" t="s">
        <v>1013</v>
      </c>
      <c r="I483" s="96" t="s">
        <v>813</v>
      </c>
      <c r="J483" s="96" t="s">
        <v>203</v>
      </c>
      <c r="K483" s="96"/>
      <c r="L483" s="96" t="s">
        <v>470</v>
      </c>
      <c r="M483" s="96" t="s">
        <v>338</v>
      </c>
      <c r="N483" s="96" t="s">
        <v>337</v>
      </c>
      <c r="O483" s="96"/>
      <c r="P483" s="100">
        <v>44227</v>
      </c>
      <c r="Q483" s="96" t="s">
        <v>1520</v>
      </c>
      <c r="R483" s="96" t="s">
        <v>414</v>
      </c>
      <c r="S483" s="96" t="s">
        <v>407</v>
      </c>
      <c r="T483" s="96" t="s">
        <v>1200</v>
      </c>
      <c r="U483" s="97">
        <v>4.3499999999999996</v>
      </c>
      <c r="V483" s="96" t="s">
        <v>3678</v>
      </c>
      <c r="W483" s="98">
        <v>7.9089999999999994E-3</v>
      </c>
      <c r="X483" s="96"/>
      <c r="Y483" s="96"/>
      <c r="Z483" s="96"/>
      <c r="AA483" s="98">
        <v>3.5900000000000001E-2</v>
      </c>
      <c r="AB483" s="100">
        <v>48852</v>
      </c>
      <c r="AC483" s="96" t="s">
        <v>411</v>
      </c>
      <c r="AD483" s="96"/>
      <c r="AE483" s="96"/>
      <c r="AF483" s="96"/>
      <c r="AG483" s="100">
        <v>45291</v>
      </c>
      <c r="AH483" s="96"/>
      <c r="AI483" s="96"/>
      <c r="AJ483" s="96"/>
      <c r="AK483" s="96" t="s">
        <v>337</v>
      </c>
      <c r="AL483" s="96" t="s">
        <v>887</v>
      </c>
      <c r="AM483" s="96"/>
      <c r="AN483" s="96" t="s">
        <v>890</v>
      </c>
      <c r="AO483" s="100">
        <v>45473</v>
      </c>
      <c r="AP483" s="100">
        <v>45473</v>
      </c>
      <c r="AQ483" s="96"/>
      <c r="AR483" s="97">
        <v>24270.936970999999</v>
      </c>
      <c r="AS483" s="97">
        <v>100.79</v>
      </c>
      <c r="AT483" s="97">
        <v>1</v>
      </c>
      <c r="AU483" s="97">
        <v>24.462676999999999</v>
      </c>
      <c r="AV483" s="97">
        <v>24.462676999999999</v>
      </c>
      <c r="AW483" s="96"/>
      <c r="AX483" s="96"/>
      <c r="AY483" s="96"/>
      <c r="AZ483" s="96"/>
      <c r="BA483" s="98">
        <v>1.5899999999999999E-4</v>
      </c>
      <c r="BB483" s="98">
        <v>1.2E-5</v>
      </c>
      <c r="BC483" s="106"/>
    </row>
    <row r="484" spans="1:55" ht="15" customHeight="1">
      <c r="A484" s="106"/>
      <c r="B484" s="96">
        <v>286</v>
      </c>
      <c r="C484" s="96">
        <v>286</v>
      </c>
      <c r="D484" s="96"/>
      <c r="E484" s="96"/>
      <c r="F484" s="96"/>
      <c r="G484" s="96">
        <v>25000578</v>
      </c>
      <c r="H484" s="96" t="s">
        <v>1013</v>
      </c>
      <c r="I484" s="96" t="s">
        <v>813</v>
      </c>
      <c r="J484" s="96" t="s">
        <v>203</v>
      </c>
      <c r="K484" s="96"/>
      <c r="L484" s="96" t="s">
        <v>470</v>
      </c>
      <c r="M484" s="96" t="s">
        <v>338</v>
      </c>
      <c r="N484" s="96" t="s">
        <v>337</v>
      </c>
      <c r="O484" s="96"/>
      <c r="P484" s="100">
        <v>44227</v>
      </c>
      <c r="Q484" s="96" t="s">
        <v>1357</v>
      </c>
      <c r="R484" s="96" t="s">
        <v>414</v>
      </c>
      <c r="S484" s="96" t="s">
        <v>407</v>
      </c>
      <c r="T484" s="96" t="s">
        <v>1200</v>
      </c>
      <c r="U484" s="97">
        <v>4.1900000000000004</v>
      </c>
      <c r="V484" s="96" t="s">
        <v>3678</v>
      </c>
      <c r="W484" s="98">
        <v>7.6629999999999997E-3</v>
      </c>
      <c r="X484" s="96"/>
      <c r="Y484" s="96"/>
      <c r="Z484" s="96"/>
      <c r="AA484" s="98">
        <v>3.5400000000000001E-2</v>
      </c>
      <c r="AB484" s="100">
        <v>48760</v>
      </c>
      <c r="AC484" s="96" t="s">
        <v>411</v>
      </c>
      <c r="AD484" s="96"/>
      <c r="AE484" s="96"/>
      <c r="AF484" s="96"/>
      <c r="AG484" s="100">
        <v>45291</v>
      </c>
      <c r="AH484" s="96"/>
      <c r="AI484" s="96"/>
      <c r="AJ484" s="96"/>
      <c r="AK484" s="96" t="s">
        <v>337</v>
      </c>
      <c r="AL484" s="96" t="s">
        <v>887</v>
      </c>
      <c r="AM484" s="96"/>
      <c r="AN484" s="96" t="s">
        <v>890</v>
      </c>
      <c r="AO484" s="100">
        <v>45473</v>
      </c>
      <c r="AP484" s="100">
        <v>45473</v>
      </c>
      <c r="AQ484" s="96"/>
      <c r="AR484" s="97">
        <v>82770.186772000001</v>
      </c>
      <c r="AS484" s="97">
        <v>101.34</v>
      </c>
      <c r="AT484" s="97">
        <v>1</v>
      </c>
      <c r="AU484" s="97">
        <v>83.879306999999997</v>
      </c>
      <c r="AV484" s="97">
        <v>83.879306999999997</v>
      </c>
      <c r="AW484" s="96"/>
      <c r="AX484" s="96"/>
      <c r="AY484" s="96"/>
      <c r="AZ484" s="96"/>
      <c r="BA484" s="98">
        <v>5.4799999999999998E-4</v>
      </c>
      <c r="BB484" s="98">
        <v>4.3000000000000002E-5</v>
      </c>
      <c r="BC484" s="106"/>
    </row>
    <row r="485" spans="1:55" ht="15" customHeight="1">
      <c r="A485" s="106"/>
      <c r="B485" s="96">
        <v>286</v>
      </c>
      <c r="C485" s="96">
        <v>286</v>
      </c>
      <c r="D485" s="96"/>
      <c r="E485" s="96"/>
      <c r="F485" s="96"/>
      <c r="G485" s="96">
        <v>25000577</v>
      </c>
      <c r="H485" s="96" t="s">
        <v>1013</v>
      </c>
      <c r="I485" s="96" t="s">
        <v>813</v>
      </c>
      <c r="J485" s="96" t="s">
        <v>203</v>
      </c>
      <c r="K485" s="96"/>
      <c r="L485" s="96" t="s">
        <v>470</v>
      </c>
      <c r="M485" s="96" t="s">
        <v>338</v>
      </c>
      <c r="N485" s="96" t="s">
        <v>337</v>
      </c>
      <c r="O485" s="96"/>
      <c r="P485" s="100">
        <v>44227</v>
      </c>
      <c r="Q485" s="96" t="s">
        <v>1520</v>
      </c>
      <c r="R485" s="96" t="s">
        <v>414</v>
      </c>
      <c r="S485" s="96" t="s">
        <v>407</v>
      </c>
      <c r="T485" s="96" t="s">
        <v>1200</v>
      </c>
      <c r="U485" s="97">
        <v>4.46</v>
      </c>
      <c r="V485" s="96" t="s">
        <v>3678</v>
      </c>
      <c r="W485" s="98">
        <v>8.0000000000000002E-3</v>
      </c>
      <c r="X485" s="96"/>
      <c r="Y485" s="96"/>
      <c r="Z485" s="96"/>
      <c r="AA485" s="98">
        <v>3.5999999999999997E-2</v>
      </c>
      <c r="AB485" s="100">
        <v>48944</v>
      </c>
      <c r="AC485" s="96" t="s">
        <v>411</v>
      </c>
      <c r="AD485" s="96"/>
      <c r="AE485" s="96"/>
      <c r="AF485" s="96"/>
      <c r="AG485" s="100">
        <v>45291</v>
      </c>
      <c r="AH485" s="96"/>
      <c r="AI485" s="96"/>
      <c r="AJ485" s="96"/>
      <c r="AK485" s="96" t="s">
        <v>337</v>
      </c>
      <c r="AL485" s="96" t="s">
        <v>887</v>
      </c>
      <c r="AM485" s="96"/>
      <c r="AN485" s="96" t="s">
        <v>890</v>
      </c>
      <c r="AO485" s="100">
        <v>45473</v>
      </c>
      <c r="AP485" s="100">
        <v>45473</v>
      </c>
      <c r="AQ485" s="96"/>
      <c r="AR485" s="97">
        <v>42468.790759000003</v>
      </c>
      <c r="AS485" s="97">
        <v>100.48</v>
      </c>
      <c r="AT485" s="97">
        <v>1</v>
      </c>
      <c r="AU485" s="97">
        <v>42.672640000000001</v>
      </c>
      <c r="AV485" s="97">
        <v>42.672640000000001</v>
      </c>
      <c r="AW485" s="96"/>
      <c r="AX485" s="96"/>
      <c r="AY485" s="96"/>
      <c r="AZ485" s="96"/>
      <c r="BA485" s="98">
        <v>2.7799999999999998E-4</v>
      </c>
      <c r="BB485" s="98">
        <v>2.1999999999999999E-5</v>
      </c>
      <c r="BC485" s="106"/>
    </row>
    <row r="486" spans="1:55" ht="15" customHeight="1">
      <c r="A486" s="106"/>
      <c r="B486" s="96">
        <v>286</v>
      </c>
      <c r="C486" s="96">
        <v>286</v>
      </c>
      <c r="D486" s="96"/>
      <c r="E486" s="96"/>
      <c r="F486" s="96"/>
      <c r="G486" s="96">
        <v>25000576</v>
      </c>
      <c r="H486" s="96" t="s">
        <v>1013</v>
      </c>
      <c r="I486" s="96" t="s">
        <v>813</v>
      </c>
      <c r="J486" s="96" t="s">
        <v>203</v>
      </c>
      <c r="K486" s="96"/>
      <c r="L486" s="96" t="s">
        <v>470</v>
      </c>
      <c r="M486" s="96" t="s">
        <v>338</v>
      </c>
      <c r="N486" s="96" t="s">
        <v>337</v>
      </c>
      <c r="O486" s="96"/>
      <c r="P486" s="100">
        <v>44227</v>
      </c>
      <c r="Q486" s="96" t="s">
        <v>1520</v>
      </c>
      <c r="R486" s="96" t="s">
        <v>414</v>
      </c>
      <c r="S486" s="96" t="s">
        <v>407</v>
      </c>
      <c r="T486" s="96" t="s">
        <v>1200</v>
      </c>
      <c r="U486" s="97">
        <v>5.22</v>
      </c>
      <c r="V486" s="96" t="s">
        <v>3678</v>
      </c>
      <c r="W486" s="98">
        <v>8.6840000000000007E-3</v>
      </c>
      <c r="X486" s="96"/>
      <c r="Y486" s="96"/>
      <c r="Z486" s="96"/>
      <c r="AA486" s="98">
        <v>2.87E-2</v>
      </c>
      <c r="AB486" s="100">
        <v>49582</v>
      </c>
      <c r="AC486" s="96" t="s">
        <v>411</v>
      </c>
      <c r="AD486" s="96"/>
      <c r="AE486" s="96"/>
      <c r="AF486" s="96"/>
      <c r="AG486" s="100">
        <v>45291</v>
      </c>
      <c r="AH486" s="96"/>
      <c r="AI486" s="96"/>
      <c r="AJ486" s="96"/>
      <c r="AK486" s="96" t="s">
        <v>337</v>
      </c>
      <c r="AL486" s="96" t="s">
        <v>887</v>
      </c>
      <c r="AM486" s="96"/>
      <c r="AN486" s="96" t="s">
        <v>890</v>
      </c>
      <c r="AO486" s="100">
        <v>45473</v>
      </c>
      <c r="AP486" s="100">
        <v>45473</v>
      </c>
      <c r="AQ486" s="96"/>
      <c r="AR486" s="97">
        <v>363834.0086</v>
      </c>
      <c r="AS486" s="97">
        <v>102.58</v>
      </c>
      <c r="AT486" s="97">
        <v>1</v>
      </c>
      <c r="AU486" s="97">
        <v>373.22092600000002</v>
      </c>
      <c r="AV486" s="97">
        <v>373.22092600000002</v>
      </c>
      <c r="AW486" s="96"/>
      <c r="AX486" s="96"/>
      <c r="AY486" s="96"/>
      <c r="AZ486" s="96"/>
      <c r="BA486" s="98">
        <v>2.4380000000000001E-3</v>
      </c>
      <c r="BB486" s="98">
        <v>1.94E-4</v>
      </c>
      <c r="BC486" s="106"/>
    </row>
    <row r="487" spans="1:55" ht="15" customHeight="1">
      <c r="A487" s="106"/>
      <c r="B487" s="96">
        <v>286</v>
      </c>
      <c r="C487" s="96">
        <v>286</v>
      </c>
      <c r="D487" s="96"/>
      <c r="E487" s="96"/>
      <c r="F487" s="96"/>
      <c r="G487" s="96">
        <v>25000573</v>
      </c>
      <c r="H487" s="96" t="s">
        <v>1013</v>
      </c>
      <c r="I487" s="96" t="s">
        <v>812</v>
      </c>
      <c r="J487" s="96" t="s">
        <v>203</v>
      </c>
      <c r="K487" s="96"/>
      <c r="L487" s="96" t="s">
        <v>454</v>
      </c>
      <c r="M487" s="96" t="s">
        <v>338</v>
      </c>
      <c r="N487" s="96" t="s">
        <v>337</v>
      </c>
      <c r="O487" s="96"/>
      <c r="P487" s="100">
        <v>44200</v>
      </c>
      <c r="Q487" s="96" t="s">
        <v>1357</v>
      </c>
      <c r="R487" s="96" t="s">
        <v>414</v>
      </c>
      <c r="S487" s="96" t="s">
        <v>407</v>
      </c>
      <c r="T487" s="96" t="s">
        <v>1200</v>
      </c>
      <c r="U487" s="97">
        <v>7.24</v>
      </c>
      <c r="V487" s="96" t="s">
        <v>3678</v>
      </c>
      <c r="W487" s="98">
        <v>3.1E-2</v>
      </c>
      <c r="X487" s="96"/>
      <c r="Y487" s="96"/>
      <c r="Z487" s="96"/>
      <c r="AA487" s="98">
        <v>4.7899999999999998E-2</v>
      </c>
      <c r="AB487" s="100">
        <v>51677</v>
      </c>
      <c r="AC487" s="96" t="s">
        <v>411</v>
      </c>
      <c r="AD487" s="96"/>
      <c r="AE487" s="96"/>
      <c r="AF487" s="96"/>
      <c r="AG487" s="100">
        <v>45291</v>
      </c>
      <c r="AH487" s="96"/>
      <c r="AI487" s="96"/>
      <c r="AJ487" s="96"/>
      <c r="AK487" s="96" t="s">
        <v>337</v>
      </c>
      <c r="AL487" s="96" t="s">
        <v>887</v>
      </c>
      <c r="AM487" s="96"/>
      <c r="AN487" s="96" t="s">
        <v>890</v>
      </c>
      <c r="AO487" s="100">
        <v>45473</v>
      </c>
      <c r="AP487" s="100">
        <v>45473</v>
      </c>
      <c r="AQ487" s="96"/>
      <c r="AR487" s="97">
        <v>30752.57</v>
      </c>
      <c r="AS487" s="97">
        <v>98.46</v>
      </c>
      <c r="AT487" s="97">
        <v>1</v>
      </c>
      <c r="AU487" s="97">
        <v>30.278980000000001</v>
      </c>
      <c r="AV487" s="97">
        <v>30.278980000000001</v>
      </c>
      <c r="AW487" s="96"/>
      <c r="AX487" s="96"/>
      <c r="AY487" s="96"/>
      <c r="AZ487" s="96"/>
      <c r="BA487" s="98">
        <v>1.9699999999999999E-4</v>
      </c>
      <c r="BB487" s="98">
        <v>1.5E-5</v>
      </c>
      <c r="BC487" s="106"/>
    </row>
    <row r="488" spans="1:55" ht="15" customHeight="1">
      <c r="A488" s="106"/>
      <c r="B488" s="96">
        <v>286</v>
      </c>
      <c r="C488" s="96">
        <v>286</v>
      </c>
      <c r="D488" s="96"/>
      <c r="E488" s="96"/>
      <c r="F488" s="96"/>
      <c r="G488" s="96">
        <v>25000780</v>
      </c>
      <c r="H488" s="96" t="s">
        <v>1013</v>
      </c>
      <c r="I488" s="96" t="s">
        <v>813</v>
      </c>
      <c r="J488" s="96" t="s">
        <v>203</v>
      </c>
      <c r="K488" s="96"/>
      <c r="L488" s="96" t="s">
        <v>470</v>
      </c>
      <c r="M488" s="96" t="s">
        <v>338</v>
      </c>
      <c r="N488" s="96" t="s">
        <v>337</v>
      </c>
      <c r="O488" s="96"/>
      <c r="P488" s="100">
        <v>45036</v>
      </c>
      <c r="Q488" s="96" t="s">
        <v>1520</v>
      </c>
      <c r="R488" s="96" t="s">
        <v>414</v>
      </c>
      <c r="S488" s="96" t="s">
        <v>407</v>
      </c>
      <c r="T488" s="96" t="s">
        <v>1200</v>
      </c>
      <c r="U488" s="97">
        <v>5.13</v>
      </c>
      <c r="V488" s="96" t="s">
        <v>3678</v>
      </c>
      <c r="W488" s="98">
        <v>3.3447999999999999E-2</v>
      </c>
      <c r="X488" s="96"/>
      <c r="Y488" s="96"/>
      <c r="Z488" s="96"/>
      <c r="AA488" s="98">
        <v>3.7600000000000001E-2</v>
      </c>
      <c r="AB488" s="100">
        <v>49583</v>
      </c>
      <c r="AC488" s="96" t="s">
        <v>411</v>
      </c>
      <c r="AD488" s="96"/>
      <c r="AE488" s="96"/>
      <c r="AF488" s="96"/>
      <c r="AG488" s="100">
        <v>45291</v>
      </c>
      <c r="AH488" s="96"/>
      <c r="AI488" s="96"/>
      <c r="AJ488" s="96"/>
      <c r="AK488" s="96" t="s">
        <v>337</v>
      </c>
      <c r="AL488" s="96" t="s">
        <v>887</v>
      </c>
      <c r="AM488" s="96"/>
      <c r="AN488" s="96" t="s">
        <v>890</v>
      </c>
      <c r="AO488" s="100">
        <v>45473</v>
      </c>
      <c r="AP488" s="100">
        <v>45473</v>
      </c>
      <c r="AQ488" s="96"/>
      <c r="AR488" s="97">
        <v>14404.994158</v>
      </c>
      <c r="AS488" s="97">
        <v>102.7</v>
      </c>
      <c r="AT488" s="97">
        <v>1</v>
      </c>
      <c r="AU488" s="97">
        <v>14.793929</v>
      </c>
      <c r="AV488" s="97">
        <v>14.793929</v>
      </c>
      <c r="AW488" s="96"/>
      <c r="AX488" s="96"/>
      <c r="AY488" s="96"/>
      <c r="AZ488" s="96"/>
      <c r="BA488" s="98">
        <v>9.6000000000000002E-5</v>
      </c>
      <c r="BB488" s="98">
        <v>6.9999999999999999E-6</v>
      </c>
      <c r="BC488" s="106"/>
    </row>
    <row r="489" spans="1:55" ht="15" customHeight="1">
      <c r="A489" s="106"/>
      <c r="B489" s="96">
        <v>286</v>
      </c>
      <c r="C489" s="96">
        <v>286</v>
      </c>
      <c r="D489" s="96"/>
      <c r="E489" s="96"/>
      <c r="F489" s="96"/>
      <c r="G489" s="96">
        <v>25000481</v>
      </c>
      <c r="H489" s="96" t="s">
        <v>1013</v>
      </c>
      <c r="I489" s="96" t="s">
        <v>818</v>
      </c>
      <c r="J489" s="96" t="s">
        <v>203</v>
      </c>
      <c r="K489" s="96"/>
      <c r="L489" s="96" t="s">
        <v>473</v>
      </c>
      <c r="M489" s="96" t="s">
        <v>338</v>
      </c>
      <c r="N489" s="96" t="s">
        <v>337</v>
      </c>
      <c r="O489" s="96"/>
      <c r="P489" s="100">
        <v>43873</v>
      </c>
      <c r="Q489" s="96" t="s">
        <v>409</v>
      </c>
      <c r="R489" s="96" t="s">
        <v>409</v>
      </c>
      <c r="S489" s="96" t="s">
        <v>409</v>
      </c>
      <c r="T489" s="96" t="s">
        <v>1200</v>
      </c>
      <c r="U489" s="97">
        <v>4.83</v>
      </c>
      <c r="V489" s="96" t="s">
        <v>3678</v>
      </c>
      <c r="W489" s="98">
        <v>2.3300000000000001E-2</v>
      </c>
      <c r="X489" s="96"/>
      <c r="Y489" s="96"/>
      <c r="Z489" s="96"/>
      <c r="AA489" s="98">
        <v>3.6700000000000003E-2</v>
      </c>
      <c r="AB489" s="100">
        <v>49352</v>
      </c>
      <c r="AC489" s="96" t="s">
        <v>411</v>
      </c>
      <c r="AD489" s="96"/>
      <c r="AE489" s="96"/>
      <c r="AF489" s="96"/>
      <c r="AG489" s="100">
        <v>45199</v>
      </c>
      <c r="AH489" s="96"/>
      <c r="AI489" s="96"/>
      <c r="AJ489" s="96"/>
      <c r="AK489" s="96" t="s">
        <v>337</v>
      </c>
      <c r="AL489" s="96" t="s">
        <v>887</v>
      </c>
      <c r="AM489" s="96"/>
      <c r="AN489" s="96" t="s">
        <v>890</v>
      </c>
      <c r="AO489" s="100">
        <v>45473</v>
      </c>
      <c r="AP489" s="100">
        <v>45473</v>
      </c>
      <c r="AQ489" s="96"/>
      <c r="AR489" s="97">
        <v>228043.39</v>
      </c>
      <c r="AS489" s="97">
        <v>106.31</v>
      </c>
      <c r="AT489" s="97">
        <v>1</v>
      </c>
      <c r="AU489" s="97">
        <v>242.43293</v>
      </c>
      <c r="AV489" s="97">
        <v>242.43293</v>
      </c>
      <c r="AW489" s="96"/>
      <c r="AX489" s="96"/>
      <c r="AY489" s="96"/>
      <c r="AZ489" s="96"/>
      <c r="BA489" s="98">
        <v>1.5839999999999999E-3</v>
      </c>
      <c r="BB489" s="98">
        <v>1.26E-4</v>
      </c>
      <c r="BC489" s="106"/>
    </row>
    <row r="490" spans="1:55" ht="15" customHeight="1">
      <c r="A490" s="106"/>
      <c r="B490" s="96">
        <v>286</v>
      </c>
      <c r="C490" s="96">
        <v>286</v>
      </c>
      <c r="D490" s="96"/>
      <c r="E490" s="96"/>
      <c r="F490" s="96"/>
      <c r="G490" s="96">
        <v>25000551</v>
      </c>
      <c r="H490" s="96" t="s">
        <v>1013</v>
      </c>
      <c r="I490" s="96" t="s">
        <v>818</v>
      </c>
      <c r="J490" s="96" t="s">
        <v>203</v>
      </c>
      <c r="K490" s="96"/>
      <c r="L490" s="96" t="s">
        <v>473</v>
      </c>
      <c r="M490" s="96" t="s">
        <v>338</v>
      </c>
      <c r="N490" s="96" t="s">
        <v>337</v>
      </c>
      <c r="O490" s="96"/>
      <c r="P490" s="100">
        <v>44133</v>
      </c>
      <c r="Q490" s="96" t="s">
        <v>409</v>
      </c>
      <c r="R490" s="96" t="s">
        <v>409</v>
      </c>
      <c r="S490" s="96" t="s">
        <v>409</v>
      </c>
      <c r="T490" s="96" t="s">
        <v>1200</v>
      </c>
      <c r="U490" s="97">
        <v>4.72</v>
      </c>
      <c r="V490" s="96" t="s">
        <v>3678</v>
      </c>
      <c r="W490" s="98">
        <v>3.5299999999999998E-2</v>
      </c>
      <c r="X490" s="96"/>
      <c r="Y490" s="96"/>
      <c r="Z490" s="96"/>
      <c r="AA490" s="98">
        <v>6.4399999999999999E-2</v>
      </c>
      <c r="AB490" s="100">
        <v>49611</v>
      </c>
      <c r="AC490" s="96" t="s">
        <v>411</v>
      </c>
      <c r="AD490" s="96"/>
      <c r="AE490" s="96"/>
      <c r="AF490" s="96"/>
      <c r="AG490" s="100">
        <v>45199</v>
      </c>
      <c r="AH490" s="96"/>
      <c r="AI490" s="96"/>
      <c r="AJ490" s="96"/>
      <c r="AK490" s="96" t="s">
        <v>337</v>
      </c>
      <c r="AL490" s="96" t="s">
        <v>887</v>
      </c>
      <c r="AM490" s="96"/>
      <c r="AN490" s="96" t="s">
        <v>890</v>
      </c>
      <c r="AO490" s="100">
        <v>45473</v>
      </c>
      <c r="AP490" s="100">
        <v>45473</v>
      </c>
      <c r="AQ490" s="96"/>
      <c r="AR490" s="97">
        <v>243953.38</v>
      </c>
      <c r="AS490" s="97">
        <v>88.08</v>
      </c>
      <c r="AT490" s="97">
        <v>1</v>
      </c>
      <c r="AU490" s="97">
        <v>214.87414000000001</v>
      </c>
      <c r="AV490" s="97">
        <v>214.87414000000001</v>
      </c>
      <c r="AW490" s="96"/>
      <c r="AX490" s="96"/>
      <c r="AY490" s="96"/>
      <c r="AZ490" s="96"/>
      <c r="BA490" s="98">
        <v>1.4040000000000001E-3</v>
      </c>
      <c r="BB490" s="98">
        <v>1.11E-4</v>
      </c>
      <c r="BC490" s="106"/>
    </row>
    <row r="491" spans="1:55" ht="15" customHeight="1">
      <c r="A491" s="106"/>
      <c r="B491" s="96">
        <v>286</v>
      </c>
      <c r="C491" s="96">
        <v>286</v>
      </c>
      <c r="D491" s="96"/>
      <c r="E491" s="96"/>
      <c r="F491" s="96"/>
      <c r="G491" s="96">
        <v>25000546</v>
      </c>
      <c r="H491" s="96" t="s">
        <v>1013</v>
      </c>
      <c r="I491" s="96" t="s">
        <v>812</v>
      </c>
      <c r="J491" s="96" t="s">
        <v>203</v>
      </c>
      <c r="K491" s="96"/>
      <c r="L491" s="96" t="s">
        <v>454</v>
      </c>
      <c r="M491" s="96" t="s">
        <v>338</v>
      </c>
      <c r="N491" s="96" t="s">
        <v>337</v>
      </c>
      <c r="O491" s="96"/>
      <c r="P491" s="100">
        <v>44108</v>
      </c>
      <c r="Q491" s="96" t="s">
        <v>1357</v>
      </c>
      <c r="R491" s="96" t="s">
        <v>414</v>
      </c>
      <c r="S491" s="96" t="s">
        <v>407</v>
      </c>
      <c r="T491" s="96" t="s">
        <v>1200</v>
      </c>
      <c r="U491" s="97">
        <v>7.31</v>
      </c>
      <c r="V491" s="96" t="s">
        <v>3678</v>
      </c>
      <c r="W491" s="98">
        <v>3.1E-2</v>
      </c>
      <c r="X491" s="96"/>
      <c r="Y491" s="96"/>
      <c r="Z491" s="96"/>
      <c r="AA491" s="98">
        <v>4.4900000000000002E-2</v>
      </c>
      <c r="AB491" s="100">
        <v>51677</v>
      </c>
      <c r="AC491" s="96" t="s">
        <v>411</v>
      </c>
      <c r="AD491" s="96"/>
      <c r="AE491" s="96"/>
      <c r="AF491" s="96"/>
      <c r="AG491" s="100">
        <v>45291</v>
      </c>
      <c r="AH491" s="96"/>
      <c r="AI491" s="96"/>
      <c r="AJ491" s="96"/>
      <c r="AK491" s="96" t="s">
        <v>337</v>
      </c>
      <c r="AL491" s="96" t="s">
        <v>887</v>
      </c>
      <c r="AM491" s="96"/>
      <c r="AN491" s="96" t="s">
        <v>890</v>
      </c>
      <c r="AO491" s="100">
        <v>45473</v>
      </c>
      <c r="AP491" s="100">
        <v>45473</v>
      </c>
      <c r="AQ491" s="96"/>
      <c r="AR491" s="97">
        <v>59274.83</v>
      </c>
      <c r="AS491" s="97">
        <v>100.52</v>
      </c>
      <c r="AT491" s="97">
        <v>1</v>
      </c>
      <c r="AU491" s="97">
        <v>59.583060000000003</v>
      </c>
      <c r="AV491" s="97">
        <v>59.583060000000003</v>
      </c>
      <c r="AW491" s="96"/>
      <c r="AX491" s="96"/>
      <c r="AY491" s="96"/>
      <c r="AZ491" s="96"/>
      <c r="BA491" s="98">
        <v>3.8900000000000002E-4</v>
      </c>
      <c r="BB491" s="98">
        <v>3.1000000000000001E-5</v>
      </c>
      <c r="BC491" s="106"/>
    </row>
    <row r="492" spans="1:55" ht="15" customHeight="1">
      <c r="A492" s="106"/>
      <c r="B492" s="96">
        <v>286</v>
      </c>
      <c r="C492" s="96">
        <v>286</v>
      </c>
      <c r="D492" s="96"/>
      <c r="E492" s="96"/>
      <c r="F492" s="96"/>
      <c r="G492" s="96">
        <v>25000538</v>
      </c>
      <c r="H492" s="96" t="s">
        <v>1013</v>
      </c>
      <c r="I492" s="96" t="s">
        <v>818</v>
      </c>
      <c r="J492" s="96" t="s">
        <v>203</v>
      </c>
      <c r="K492" s="96"/>
      <c r="L492" s="96" t="s">
        <v>477</v>
      </c>
      <c r="M492" s="96" t="s">
        <v>338</v>
      </c>
      <c r="N492" s="96" t="s">
        <v>338</v>
      </c>
      <c r="O492" s="96"/>
      <c r="P492" s="100">
        <v>44073</v>
      </c>
      <c r="Q492" s="96" t="s">
        <v>1305</v>
      </c>
      <c r="R492" s="96" t="s">
        <v>414</v>
      </c>
      <c r="S492" s="96" t="s">
        <v>407</v>
      </c>
      <c r="T492" s="96" t="s">
        <v>1200</v>
      </c>
      <c r="U492" s="97">
        <v>0.41</v>
      </c>
      <c r="V492" s="96" t="s">
        <v>824</v>
      </c>
      <c r="W492" s="98">
        <v>6.8500000000000005E-2</v>
      </c>
      <c r="X492" s="96"/>
      <c r="Y492" s="96"/>
      <c r="Z492" s="96"/>
      <c r="AA492" s="98">
        <v>5.7200000000000001E-2</v>
      </c>
      <c r="AB492" s="100">
        <v>45716</v>
      </c>
      <c r="AC492" s="96" t="s">
        <v>411</v>
      </c>
      <c r="AD492" s="96"/>
      <c r="AE492" s="96"/>
      <c r="AF492" s="96"/>
      <c r="AG492" s="100">
        <v>45237</v>
      </c>
      <c r="AH492" s="96"/>
      <c r="AI492" s="96"/>
      <c r="AJ492" s="96"/>
      <c r="AK492" s="96" t="s">
        <v>337</v>
      </c>
      <c r="AL492" s="96" t="s">
        <v>887</v>
      </c>
      <c r="AM492" s="96"/>
      <c r="AN492" s="96" t="s">
        <v>890</v>
      </c>
      <c r="AO492" s="100">
        <v>45473</v>
      </c>
      <c r="AP492" s="100">
        <v>45473</v>
      </c>
      <c r="AQ492" s="96"/>
      <c r="AR492" s="97">
        <v>260512.22629399999</v>
      </c>
      <c r="AS492" s="97">
        <v>101.01</v>
      </c>
      <c r="AT492" s="97">
        <v>1</v>
      </c>
      <c r="AU492" s="97">
        <v>263.14339899999999</v>
      </c>
      <c r="AV492" s="97">
        <v>263.14339899999999</v>
      </c>
      <c r="AW492" s="96"/>
      <c r="AX492" s="96"/>
      <c r="AY492" s="96"/>
      <c r="AZ492" s="96"/>
      <c r="BA492" s="98">
        <v>1.719E-3</v>
      </c>
      <c r="BB492" s="98">
        <v>1.37E-4</v>
      </c>
      <c r="BC492" s="106"/>
    </row>
    <row r="493" spans="1:55" ht="15" customHeight="1">
      <c r="A493" s="106"/>
      <c r="B493" s="96">
        <v>286</v>
      </c>
      <c r="C493" s="96">
        <v>286</v>
      </c>
      <c r="D493" s="96"/>
      <c r="E493" s="96"/>
      <c r="F493" s="96"/>
      <c r="G493" s="96">
        <v>25000528</v>
      </c>
      <c r="H493" s="96" t="s">
        <v>1013</v>
      </c>
      <c r="I493" s="96" t="s">
        <v>812</v>
      </c>
      <c r="J493" s="96" t="s">
        <v>203</v>
      </c>
      <c r="K493" s="96"/>
      <c r="L493" s="96" t="s">
        <v>454</v>
      </c>
      <c r="M493" s="96" t="s">
        <v>338</v>
      </c>
      <c r="N493" s="96" t="s">
        <v>337</v>
      </c>
      <c r="O493" s="96"/>
      <c r="P493" s="100">
        <v>44015</v>
      </c>
      <c r="Q493" s="96" t="s">
        <v>1357</v>
      </c>
      <c r="R493" s="96" t="s">
        <v>414</v>
      </c>
      <c r="S493" s="96" t="s">
        <v>407</v>
      </c>
      <c r="T493" s="96" t="s">
        <v>1200</v>
      </c>
      <c r="U493" s="97">
        <v>7.37</v>
      </c>
      <c r="V493" s="96" t="s">
        <v>3678</v>
      </c>
      <c r="W493" s="98">
        <v>3.1399999999999997E-2</v>
      </c>
      <c r="X493" s="96"/>
      <c r="Y493" s="96"/>
      <c r="Z493" s="96"/>
      <c r="AA493" s="98">
        <v>4.2000000000000003E-2</v>
      </c>
      <c r="AB493" s="100">
        <v>51677</v>
      </c>
      <c r="AC493" s="96" t="s">
        <v>411</v>
      </c>
      <c r="AD493" s="96"/>
      <c r="AE493" s="96"/>
      <c r="AF493" s="96"/>
      <c r="AG493" s="100">
        <v>45291</v>
      </c>
      <c r="AH493" s="96"/>
      <c r="AI493" s="96"/>
      <c r="AJ493" s="96"/>
      <c r="AK493" s="96" t="s">
        <v>337</v>
      </c>
      <c r="AL493" s="96" t="s">
        <v>887</v>
      </c>
      <c r="AM493" s="96"/>
      <c r="AN493" s="96" t="s">
        <v>890</v>
      </c>
      <c r="AO493" s="100">
        <v>45473</v>
      </c>
      <c r="AP493" s="100">
        <v>45473</v>
      </c>
      <c r="AQ493" s="96"/>
      <c r="AR493" s="97">
        <v>36544.18</v>
      </c>
      <c r="AS493" s="97">
        <v>102.7</v>
      </c>
      <c r="AT493" s="97">
        <v>1</v>
      </c>
      <c r="AU493" s="97">
        <v>37.530880000000003</v>
      </c>
      <c r="AV493" s="97">
        <v>37.530880000000003</v>
      </c>
      <c r="AW493" s="96"/>
      <c r="AX493" s="96"/>
      <c r="AY493" s="96"/>
      <c r="AZ493" s="96"/>
      <c r="BA493" s="98">
        <v>2.4499999999999999E-4</v>
      </c>
      <c r="BB493" s="98">
        <v>1.9000000000000001E-5</v>
      </c>
      <c r="BC493" s="106"/>
    </row>
    <row r="494" spans="1:55" ht="15" customHeight="1">
      <c r="A494" s="106"/>
      <c r="B494" s="96">
        <v>286</v>
      </c>
      <c r="C494" s="96">
        <v>286</v>
      </c>
      <c r="D494" s="96"/>
      <c r="E494" s="96"/>
      <c r="F494" s="96"/>
      <c r="G494" s="96">
        <v>25000525</v>
      </c>
      <c r="H494" s="96" t="s">
        <v>1013</v>
      </c>
      <c r="I494" s="96"/>
      <c r="J494" s="96" t="s">
        <v>203</v>
      </c>
      <c r="K494" s="96"/>
      <c r="L494" s="96" t="s">
        <v>446</v>
      </c>
      <c r="M494" s="96" t="s">
        <v>338</v>
      </c>
      <c r="N494" s="96" t="s">
        <v>338</v>
      </c>
      <c r="O494" s="96"/>
      <c r="P494" s="100">
        <v>44012</v>
      </c>
      <c r="Q494" s="96" t="s">
        <v>1309</v>
      </c>
      <c r="R494" s="96" t="s">
        <v>414</v>
      </c>
      <c r="S494" s="96" t="s">
        <v>407</v>
      </c>
      <c r="T494" s="96" t="s">
        <v>1200</v>
      </c>
      <c r="U494" s="97">
        <v>0.99</v>
      </c>
      <c r="V494" s="96" t="s">
        <v>3678</v>
      </c>
      <c r="W494" s="98">
        <v>3.85E-2</v>
      </c>
      <c r="X494" s="96"/>
      <c r="Y494" s="96"/>
      <c r="Z494" s="96"/>
      <c r="AA494" s="98">
        <v>2.9700000000000001E-2</v>
      </c>
      <c r="AB494" s="100">
        <v>45838</v>
      </c>
      <c r="AC494" s="96" t="s">
        <v>411</v>
      </c>
      <c r="AD494" s="96"/>
      <c r="AE494" s="96"/>
      <c r="AF494" s="96"/>
      <c r="AG494" s="100"/>
      <c r="AH494" s="96"/>
      <c r="AI494" s="96"/>
      <c r="AJ494" s="96"/>
      <c r="AK494" s="96" t="s">
        <v>337</v>
      </c>
      <c r="AL494" s="96" t="s">
        <v>887</v>
      </c>
      <c r="AM494" s="96"/>
      <c r="AN494" s="96" t="s">
        <v>890</v>
      </c>
      <c r="AO494" s="100">
        <v>45473</v>
      </c>
      <c r="AP494" s="100">
        <v>45473</v>
      </c>
      <c r="AQ494" s="96"/>
      <c r="AR494" s="97">
        <v>46892.198635000001</v>
      </c>
      <c r="AS494" s="97">
        <v>114.64</v>
      </c>
      <c r="AT494" s="97">
        <v>1</v>
      </c>
      <c r="AU494" s="97">
        <v>53.757216</v>
      </c>
      <c r="AV494" s="97">
        <v>53.757216</v>
      </c>
      <c r="AW494" s="96"/>
      <c r="AX494" s="96"/>
      <c r="AY494" s="96"/>
      <c r="AZ494" s="96"/>
      <c r="BA494" s="98">
        <v>3.5100000000000002E-4</v>
      </c>
      <c r="BB494" s="98">
        <v>2.6999999999999999E-5</v>
      </c>
      <c r="BC494" s="106"/>
    </row>
    <row r="495" spans="1:55" ht="15" customHeight="1">
      <c r="A495" s="106"/>
      <c r="B495" s="96">
        <v>286</v>
      </c>
      <c r="C495" s="96">
        <v>286</v>
      </c>
      <c r="D495" s="96"/>
      <c r="E495" s="96"/>
      <c r="F495" s="96"/>
      <c r="G495" s="96">
        <v>25000502</v>
      </c>
      <c r="H495" s="96" t="s">
        <v>1013</v>
      </c>
      <c r="I495" s="96" t="s">
        <v>812</v>
      </c>
      <c r="J495" s="96" t="s">
        <v>203</v>
      </c>
      <c r="K495" s="96"/>
      <c r="L495" s="96" t="s">
        <v>454</v>
      </c>
      <c r="M495" s="96" t="s">
        <v>338</v>
      </c>
      <c r="N495" s="96" t="s">
        <v>337</v>
      </c>
      <c r="O495" s="96"/>
      <c r="P495" s="100">
        <v>43924</v>
      </c>
      <c r="Q495" s="96" t="s">
        <v>1357</v>
      </c>
      <c r="R495" s="96" t="s">
        <v>414</v>
      </c>
      <c r="S495" s="96" t="s">
        <v>407</v>
      </c>
      <c r="T495" s="96" t="s">
        <v>1200</v>
      </c>
      <c r="U495" s="97">
        <v>7.49</v>
      </c>
      <c r="V495" s="96" t="s">
        <v>3678</v>
      </c>
      <c r="W495" s="98">
        <v>3.1399999999999997E-2</v>
      </c>
      <c r="X495" s="96"/>
      <c r="Y495" s="96"/>
      <c r="Z495" s="96"/>
      <c r="AA495" s="98">
        <v>3.6299999999999999E-2</v>
      </c>
      <c r="AB495" s="100">
        <v>51677</v>
      </c>
      <c r="AC495" s="96" t="s">
        <v>411</v>
      </c>
      <c r="AD495" s="96"/>
      <c r="AE495" s="96"/>
      <c r="AF495" s="96"/>
      <c r="AG495" s="100">
        <v>45291</v>
      </c>
      <c r="AH495" s="96"/>
      <c r="AI495" s="96"/>
      <c r="AJ495" s="96"/>
      <c r="AK495" s="96" t="s">
        <v>337</v>
      </c>
      <c r="AL495" s="96" t="s">
        <v>887</v>
      </c>
      <c r="AM495" s="96"/>
      <c r="AN495" s="96" t="s">
        <v>890</v>
      </c>
      <c r="AO495" s="100">
        <v>45473</v>
      </c>
      <c r="AP495" s="100">
        <v>45473</v>
      </c>
      <c r="AQ495" s="96"/>
      <c r="AR495" s="97">
        <v>44329.24</v>
      </c>
      <c r="AS495" s="97">
        <v>107.1</v>
      </c>
      <c r="AT495" s="97">
        <v>1</v>
      </c>
      <c r="AU495" s="97">
        <v>47.476619999999997</v>
      </c>
      <c r="AV495" s="97">
        <v>47.476619999999997</v>
      </c>
      <c r="AW495" s="96"/>
      <c r="AX495" s="96"/>
      <c r="AY495" s="96"/>
      <c r="AZ495" s="96"/>
      <c r="BA495" s="98">
        <v>3.1E-4</v>
      </c>
      <c r="BB495" s="98">
        <v>2.4000000000000001E-5</v>
      </c>
      <c r="BC495" s="106"/>
    </row>
    <row r="496" spans="1:55" ht="15" customHeight="1">
      <c r="A496" s="106"/>
      <c r="B496" s="96">
        <v>286</v>
      </c>
      <c r="C496" s="96">
        <v>286</v>
      </c>
      <c r="D496" s="96"/>
      <c r="E496" s="96"/>
      <c r="F496" s="96"/>
      <c r="G496" s="96">
        <v>25000494</v>
      </c>
      <c r="H496" s="96" t="s">
        <v>1013</v>
      </c>
      <c r="I496" s="96" t="s">
        <v>785</v>
      </c>
      <c r="J496" s="96" t="s">
        <v>203</v>
      </c>
      <c r="K496" s="96"/>
      <c r="L496" s="96" t="s">
        <v>463</v>
      </c>
      <c r="M496" s="96" t="s">
        <v>338</v>
      </c>
      <c r="N496" s="96" t="s">
        <v>338</v>
      </c>
      <c r="O496" s="96"/>
      <c r="P496" s="100">
        <v>43909</v>
      </c>
      <c r="Q496" s="96" t="s">
        <v>1309</v>
      </c>
      <c r="R496" s="96" t="s">
        <v>414</v>
      </c>
      <c r="S496" s="96" t="s">
        <v>407</v>
      </c>
      <c r="T496" s="96" t="s">
        <v>1200</v>
      </c>
      <c r="U496" s="97">
        <v>2.25</v>
      </c>
      <c r="V496" s="96" t="s">
        <v>3678</v>
      </c>
      <c r="W496" s="98">
        <v>3.4299999999999997E-2</v>
      </c>
      <c r="X496" s="96"/>
      <c r="Y496" s="96"/>
      <c r="Z496" s="96"/>
      <c r="AA496" s="98">
        <v>6.4600000000000005E-2</v>
      </c>
      <c r="AB496" s="100">
        <v>47187</v>
      </c>
      <c r="AC496" s="96" t="s">
        <v>411</v>
      </c>
      <c r="AD496" s="96"/>
      <c r="AE496" s="96"/>
      <c r="AF496" s="96"/>
      <c r="AG496" s="100">
        <v>45004</v>
      </c>
      <c r="AH496" s="96"/>
      <c r="AI496" s="96"/>
      <c r="AJ496" s="96"/>
      <c r="AK496" s="96" t="s">
        <v>337</v>
      </c>
      <c r="AL496" s="96" t="s">
        <v>887</v>
      </c>
      <c r="AM496" s="96"/>
      <c r="AN496" s="96" t="s">
        <v>890</v>
      </c>
      <c r="AO496" s="100">
        <v>45473</v>
      </c>
      <c r="AP496" s="100">
        <v>45473</v>
      </c>
      <c r="AQ496" s="96"/>
      <c r="AR496" s="97">
        <v>86837.406818000003</v>
      </c>
      <c r="AS496" s="97">
        <v>94.66</v>
      </c>
      <c r="AT496" s="97">
        <v>1</v>
      </c>
      <c r="AU496" s="97">
        <v>82.200288999999998</v>
      </c>
      <c r="AV496" s="97">
        <v>82.200288999999998</v>
      </c>
      <c r="AW496" s="96"/>
      <c r="AX496" s="96"/>
      <c r="AY496" s="96"/>
      <c r="AZ496" s="96"/>
      <c r="BA496" s="98">
        <v>5.3700000000000004E-4</v>
      </c>
      <c r="BB496" s="98">
        <v>4.1999999999999998E-5</v>
      </c>
      <c r="BC496" s="106"/>
    </row>
    <row r="497" spans="1:55" ht="15" customHeight="1">
      <c r="A497" s="106"/>
      <c r="B497" s="96">
        <v>286</v>
      </c>
      <c r="C497" s="96">
        <v>286</v>
      </c>
      <c r="D497" s="96"/>
      <c r="E497" s="96"/>
      <c r="F497" s="96"/>
      <c r="G497" s="96">
        <v>25000487</v>
      </c>
      <c r="H497" s="96" t="s">
        <v>1013</v>
      </c>
      <c r="I497" s="96" t="s">
        <v>3684</v>
      </c>
      <c r="J497" s="96" t="s">
        <v>203</v>
      </c>
      <c r="K497" s="96"/>
      <c r="L497" s="96" t="s">
        <v>463</v>
      </c>
      <c r="M497" s="96" t="s">
        <v>338</v>
      </c>
      <c r="N497" s="96" t="s">
        <v>337</v>
      </c>
      <c r="O497" s="96"/>
      <c r="P497" s="100">
        <v>43888</v>
      </c>
      <c r="Q497" s="96" t="s">
        <v>3681</v>
      </c>
      <c r="R497" s="96" t="s">
        <v>311</v>
      </c>
      <c r="S497" s="96" t="s">
        <v>407</v>
      </c>
      <c r="T497" s="96" t="s">
        <v>1200</v>
      </c>
      <c r="U497" s="97">
        <v>0.56999999999999995</v>
      </c>
      <c r="V497" s="96" t="s">
        <v>3678</v>
      </c>
      <c r="W497" s="98">
        <v>2.5499999999999998E-2</v>
      </c>
      <c r="X497" s="96"/>
      <c r="Y497" s="96"/>
      <c r="Z497" s="96"/>
      <c r="AA497" s="98">
        <v>2.7199999999999998E-2</v>
      </c>
      <c r="AB497" s="100">
        <v>45688</v>
      </c>
      <c r="AC497" s="96" t="s">
        <v>411</v>
      </c>
      <c r="AD497" s="96"/>
      <c r="AE497" s="96"/>
      <c r="AF497" s="96"/>
      <c r="AG497" s="100">
        <v>45075</v>
      </c>
      <c r="AH497" s="96"/>
      <c r="AI497" s="96"/>
      <c r="AJ497" s="96"/>
      <c r="AK497" s="96" t="s">
        <v>337</v>
      </c>
      <c r="AL497" s="96" t="s">
        <v>887</v>
      </c>
      <c r="AM497" s="96"/>
      <c r="AN497" s="96" t="s">
        <v>890</v>
      </c>
      <c r="AO497" s="100">
        <v>45473</v>
      </c>
      <c r="AP497" s="100">
        <v>45473</v>
      </c>
      <c r="AQ497" s="96"/>
      <c r="AR497" s="97">
        <v>522832.38405699999</v>
      </c>
      <c r="AS497" s="97">
        <v>113.73</v>
      </c>
      <c r="AT497" s="97">
        <v>1</v>
      </c>
      <c r="AU497" s="97">
        <v>594.61726999999996</v>
      </c>
      <c r="AV497" s="97">
        <v>594.61726999999996</v>
      </c>
      <c r="AW497" s="96"/>
      <c r="AX497" s="96"/>
      <c r="AY497" s="96"/>
      <c r="AZ497" s="96"/>
      <c r="BA497" s="98">
        <v>3.885E-3</v>
      </c>
      <c r="BB497" s="98">
        <v>3.0899999999999998E-4</v>
      </c>
      <c r="BC497" s="106"/>
    </row>
    <row r="498" spans="1:55" ht="15" customHeight="1">
      <c r="A498" s="106"/>
      <c r="B498" s="96">
        <v>286</v>
      </c>
      <c r="C498" s="96">
        <v>286</v>
      </c>
      <c r="D498" s="96"/>
      <c r="E498" s="96"/>
      <c r="F498" s="96"/>
      <c r="G498" s="96">
        <v>25000550</v>
      </c>
      <c r="H498" s="96" t="s">
        <v>1013</v>
      </c>
      <c r="I498" s="96" t="s">
        <v>818</v>
      </c>
      <c r="J498" s="96" t="s">
        <v>203</v>
      </c>
      <c r="K498" s="96"/>
      <c r="L498" s="96" t="s">
        <v>473</v>
      </c>
      <c r="M498" s="96" t="s">
        <v>338</v>
      </c>
      <c r="N498" s="96" t="s">
        <v>337</v>
      </c>
      <c r="O498" s="96"/>
      <c r="P498" s="100">
        <v>44133</v>
      </c>
      <c r="Q498" s="96" t="s">
        <v>409</v>
      </c>
      <c r="R498" s="96" t="s">
        <v>409</v>
      </c>
      <c r="S498" s="96" t="s">
        <v>409</v>
      </c>
      <c r="T498" s="96" t="s">
        <v>1200</v>
      </c>
      <c r="U498" s="97">
        <v>5.09</v>
      </c>
      <c r="V498" s="96" t="s">
        <v>3678</v>
      </c>
      <c r="W498" s="98">
        <v>2.3300000000000001E-2</v>
      </c>
      <c r="X498" s="96"/>
      <c r="Y498" s="96"/>
      <c r="Z498" s="96"/>
      <c r="AA498" s="98">
        <v>3.6900000000000002E-2</v>
      </c>
      <c r="AB498" s="100">
        <v>49611</v>
      </c>
      <c r="AC498" s="96" t="s">
        <v>411</v>
      </c>
      <c r="AD498" s="96"/>
      <c r="AE498" s="96"/>
      <c r="AF498" s="96"/>
      <c r="AG498" s="100">
        <v>45199</v>
      </c>
      <c r="AH498" s="96"/>
      <c r="AI498" s="96"/>
      <c r="AJ498" s="96"/>
      <c r="AK498" s="96" t="s">
        <v>337</v>
      </c>
      <c r="AL498" s="96" t="s">
        <v>887</v>
      </c>
      <c r="AM498" s="96"/>
      <c r="AN498" s="96" t="s">
        <v>890</v>
      </c>
      <c r="AO498" s="100">
        <v>45473</v>
      </c>
      <c r="AP498" s="100">
        <v>45473</v>
      </c>
      <c r="AQ498" s="96"/>
      <c r="AR498" s="97">
        <v>113466.62</v>
      </c>
      <c r="AS498" s="97">
        <v>106.7</v>
      </c>
      <c r="AT498" s="97">
        <v>1</v>
      </c>
      <c r="AU498" s="97">
        <v>121.06887999999999</v>
      </c>
      <c r="AV498" s="97">
        <v>121.06887999999999</v>
      </c>
      <c r="AW498" s="96"/>
      <c r="AX498" s="96"/>
      <c r="AY498" s="96"/>
      <c r="AZ498" s="96"/>
      <c r="BA498" s="98">
        <v>7.9100000000000004E-4</v>
      </c>
      <c r="BB498" s="98">
        <v>6.3E-5</v>
      </c>
      <c r="BC498" s="106"/>
    </row>
    <row r="499" spans="1:55" ht="15" customHeight="1">
      <c r="A499" s="106"/>
      <c r="B499" s="96">
        <v>286</v>
      </c>
      <c r="C499" s="96">
        <v>286</v>
      </c>
      <c r="D499" s="96"/>
      <c r="E499" s="96"/>
      <c r="F499" s="96"/>
      <c r="G499" s="96">
        <v>25000581</v>
      </c>
      <c r="H499" s="96" t="s">
        <v>1013</v>
      </c>
      <c r="I499" s="96" t="s">
        <v>813</v>
      </c>
      <c r="J499" s="96" t="s">
        <v>203</v>
      </c>
      <c r="K499" s="96"/>
      <c r="L499" s="96" t="s">
        <v>470</v>
      </c>
      <c r="M499" s="96" t="s">
        <v>338</v>
      </c>
      <c r="N499" s="96" t="s">
        <v>337</v>
      </c>
      <c r="O499" s="96"/>
      <c r="P499" s="100">
        <v>44230</v>
      </c>
      <c r="Q499" s="96" t="s">
        <v>1520</v>
      </c>
      <c r="R499" s="96" t="s">
        <v>414</v>
      </c>
      <c r="S499" s="96" t="s">
        <v>407</v>
      </c>
      <c r="T499" s="96" t="s">
        <v>1200</v>
      </c>
      <c r="U499" s="97">
        <v>5.38</v>
      </c>
      <c r="V499" s="96" t="s">
        <v>3678</v>
      </c>
      <c r="W499" s="98">
        <v>8.9820000000000004E-3</v>
      </c>
      <c r="X499" s="96"/>
      <c r="Y499" s="96"/>
      <c r="Z499" s="96"/>
      <c r="AA499" s="98">
        <v>2.7900000000000001E-2</v>
      </c>
      <c r="AB499" s="100">
        <v>49582</v>
      </c>
      <c r="AC499" s="96" t="s">
        <v>411</v>
      </c>
      <c r="AD499" s="96"/>
      <c r="AE499" s="96"/>
      <c r="AF499" s="96"/>
      <c r="AG499" s="100">
        <v>45291</v>
      </c>
      <c r="AH499" s="96"/>
      <c r="AI499" s="96"/>
      <c r="AJ499" s="96"/>
      <c r="AK499" s="96" t="s">
        <v>337</v>
      </c>
      <c r="AL499" s="96" t="s">
        <v>887</v>
      </c>
      <c r="AM499" s="96"/>
      <c r="AN499" s="96" t="s">
        <v>890</v>
      </c>
      <c r="AO499" s="100">
        <v>45473</v>
      </c>
      <c r="AP499" s="100">
        <v>45473</v>
      </c>
      <c r="AQ499" s="96"/>
      <c r="AR499" s="97">
        <v>192867.88940799999</v>
      </c>
      <c r="AS499" s="97">
        <v>102.68</v>
      </c>
      <c r="AT499" s="97">
        <v>1</v>
      </c>
      <c r="AU499" s="97">
        <v>198.03674799999999</v>
      </c>
      <c r="AV499" s="97">
        <v>198.03674799999999</v>
      </c>
      <c r="AW499" s="96"/>
      <c r="AX499" s="96"/>
      <c r="AY499" s="96"/>
      <c r="AZ499" s="96"/>
      <c r="BA499" s="98">
        <v>1.294E-3</v>
      </c>
      <c r="BB499" s="98">
        <v>1.03E-4</v>
      </c>
      <c r="BC499" s="106"/>
    </row>
    <row r="500" spans="1:55" ht="15" customHeight="1">
      <c r="A500" s="106"/>
      <c r="B500" s="96">
        <v>286</v>
      </c>
      <c r="C500" s="96">
        <v>286</v>
      </c>
      <c r="D500" s="96"/>
      <c r="E500" s="96"/>
      <c r="F500" s="96"/>
      <c r="G500" s="96">
        <v>25000365</v>
      </c>
      <c r="H500" s="96" t="s">
        <v>1013</v>
      </c>
      <c r="I500" s="96"/>
      <c r="J500" s="96" t="s">
        <v>203</v>
      </c>
      <c r="K500" s="96"/>
      <c r="L500" s="96" t="s">
        <v>450</v>
      </c>
      <c r="M500" s="96" t="s">
        <v>338</v>
      </c>
      <c r="N500" s="96" t="s">
        <v>338</v>
      </c>
      <c r="O500" s="96"/>
      <c r="P500" s="100">
        <v>43380</v>
      </c>
      <c r="Q500" s="96" t="s">
        <v>1320</v>
      </c>
      <c r="R500" s="96" t="s">
        <v>412</v>
      </c>
      <c r="S500" s="96" t="s">
        <v>407</v>
      </c>
      <c r="T500" s="96" t="s">
        <v>1200</v>
      </c>
      <c r="U500" s="97">
        <v>2</v>
      </c>
      <c r="V500" s="96" t="s">
        <v>3678</v>
      </c>
      <c r="W500" s="98">
        <v>3.6799999999999999E-2</v>
      </c>
      <c r="X500" s="96"/>
      <c r="Y500" s="96"/>
      <c r="Z500" s="96"/>
      <c r="AA500" s="98">
        <v>5.7599999999999998E-2</v>
      </c>
      <c r="AB500" s="100">
        <v>47033</v>
      </c>
      <c r="AC500" s="96" t="s">
        <v>411</v>
      </c>
      <c r="AD500" s="96"/>
      <c r="AE500" s="96"/>
      <c r="AF500" s="96"/>
      <c r="AG500" s="100"/>
      <c r="AH500" s="96"/>
      <c r="AI500" s="96"/>
      <c r="AJ500" s="96"/>
      <c r="AK500" s="96" t="s">
        <v>337</v>
      </c>
      <c r="AL500" s="96" t="s">
        <v>887</v>
      </c>
      <c r="AM500" s="96"/>
      <c r="AN500" s="96" t="s">
        <v>890</v>
      </c>
      <c r="AO500" s="100">
        <v>45473</v>
      </c>
      <c r="AP500" s="100">
        <v>45473</v>
      </c>
      <c r="AQ500" s="96"/>
      <c r="AR500" s="97">
        <v>274319.36201899999</v>
      </c>
      <c r="AS500" s="97">
        <v>96.99</v>
      </c>
      <c r="AT500" s="97">
        <v>1</v>
      </c>
      <c r="AU500" s="97">
        <v>266.06234899999998</v>
      </c>
      <c r="AV500" s="97">
        <v>266.06234899999998</v>
      </c>
      <c r="AW500" s="96"/>
      <c r="AX500" s="96"/>
      <c r="AY500" s="96"/>
      <c r="AZ500" s="96"/>
      <c r="BA500" s="98">
        <v>1.738E-3</v>
      </c>
      <c r="BB500" s="98">
        <v>1.3799999999999999E-4</v>
      </c>
      <c r="BC500" s="106"/>
    </row>
    <row r="501" spans="1:55" ht="15" customHeight="1">
      <c r="A501" s="106"/>
      <c r="B501" s="96">
        <v>286</v>
      </c>
      <c r="C501" s="96">
        <v>286</v>
      </c>
      <c r="D501" s="96"/>
      <c r="E501" s="96"/>
      <c r="F501" s="96"/>
      <c r="G501" s="96">
        <v>25000357</v>
      </c>
      <c r="H501" s="96" t="s">
        <v>1013</v>
      </c>
      <c r="I501" s="96" t="s">
        <v>3680</v>
      </c>
      <c r="J501" s="96" t="s">
        <v>203</v>
      </c>
      <c r="K501" s="96"/>
      <c r="L501" s="96" t="s">
        <v>446</v>
      </c>
      <c r="M501" s="96" t="s">
        <v>338</v>
      </c>
      <c r="N501" s="96" t="s">
        <v>338</v>
      </c>
      <c r="O501" s="96"/>
      <c r="P501" s="100">
        <v>43311</v>
      </c>
      <c r="Q501" s="96" t="s">
        <v>1328</v>
      </c>
      <c r="R501" s="96" t="s">
        <v>412</v>
      </c>
      <c r="S501" s="96" t="s">
        <v>407</v>
      </c>
      <c r="T501" s="96" t="s">
        <v>1200</v>
      </c>
      <c r="U501" s="97">
        <v>1.23</v>
      </c>
      <c r="V501" s="96" t="s">
        <v>3678</v>
      </c>
      <c r="W501" s="98">
        <v>3.5799999999999998E-2</v>
      </c>
      <c r="X501" s="96"/>
      <c r="Y501" s="96"/>
      <c r="Z501" s="96"/>
      <c r="AA501" s="98">
        <v>2.9499999999999998E-2</v>
      </c>
      <c r="AB501" s="100">
        <v>46228</v>
      </c>
      <c r="AC501" s="96" t="s">
        <v>411</v>
      </c>
      <c r="AD501" s="96"/>
      <c r="AE501" s="96"/>
      <c r="AF501" s="96"/>
      <c r="AG501" s="100">
        <v>45382</v>
      </c>
      <c r="AH501" s="96"/>
      <c r="AI501" s="96"/>
      <c r="AJ501" s="96"/>
      <c r="AK501" s="96" t="s">
        <v>337</v>
      </c>
      <c r="AL501" s="96" t="s">
        <v>887</v>
      </c>
      <c r="AM501" s="96"/>
      <c r="AN501" s="96" t="s">
        <v>890</v>
      </c>
      <c r="AO501" s="100">
        <v>45473</v>
      </c>
      <c r="AP501" s="100">
        <v>45473</v>
      </c>
      <c r="AQ501" s="96"/>
      <c r="AR501" s="97">
        <v>28856.743265000001</v>
      </c>
      <c r="AS501" s="97">
        <v>114.3</v>
      </c>
      <c r="AT501" s="97">
        <v>1</v>
      </c>
      <c r="AU501" s="97">
        <v>32.983257000000002</v>
      </c>
      <c r="AV501" s="97">
        <v>32.983257000000002</v>
      </c>
      <c r="AW501" s="96"/>
      <c r="AX501" s="96"/>
      <c r="AY501" s="96"/>
      <c r="AZ501" s="96"/>
      <c r="BA501" s="98">
        <v>2.1499999999999999E-4</v>
      </c>
      <c r="BB501" s="98">
        <v>1.7E-5</v>
      </c>
      <c r="BC501" s="106"/>
    </row>
    <row r="502" spans="1:55" ht="15" customHeight="1">
      <c r="A502" s="106"/>
      <c r="B502" s="96">
        <v>286</v>
      </c>
      <c r="C502" s="96">
        <v>286</v>
      </c>
      <c r="D502" s="96"/>
      <c r="E502" s="96"/>
      <c r="F502" s="96"/>
      <c r="G502" s="96">
        <v>25000199</v>
      </c>
      <c r="H502" s="96" t="s">
        <v>1013</v>
      </c>
      <c r="I502" s="96" t="s">
        <v>3680</v>
      </c>
      <c r="J502" s="96" t="s">
        <v>203</v>
      </c>
      <c r="K502" s="96"/>
      <c r="L502" s="96" t="s">
        <v>463</v>
      </c>
      <c r="M502" s="96" t="s">
        <v>338</v>
      </c>
      <c r="N502" s="96" t="s">
        <v>338</v>
      </c>
      <c r="O502" s="96"/>
      <c r="P502" s="100">
        <v>42536</v>
      </c>
      <c r="Q502" s="96" t="s">
        <v>1199</v>
      </c>
      <c r="R502" s="96" t="s">
        <v>412</v>
      </c>
      <c r="S502" s="96" t="s">
        <v>407</v>
      </c>
      <c r="T502" s="96" t="s">
        <v>1200</v>
      </c>
      <c r="U502" s="97">
        <v>5.9</v>
      </c>
      <c r="V502" s="96" t="s">
        <v>3678</v>
      </c>
      <c r="W502" s="98">
        <v>1.83E-2</v>
      </c>
      <c r="X502" s="96"/>
      <c r="Y502" s="96"/>
      <c r="Z502" s="96"/>
      <c r="AA502" s="98">
        <v>2.6100000000000002E-2</v>
      </c>
      <c r="AB502" s="100">
        <v>49841</v>
      </c>
      <c r="AC502" s="96" t="s">
        <v>411</v>
      </c>
      <c r="AD502" s="96"/>
      <c r="AE502" s="96"/>
      <c r="AF502" s="96"/>
      <c r="AG502" s="100">
        <v>44561</v>
      </c>
      <c r="AH502" s="96"/>
      <c r="AI502" s="96"/>
      <c r="AJ502" s="96"/>
      <c r="AK502" s="96" t="s">
        <v>337</v>
      </c>
      <c r="AL502" s="96" t="s">
        <v>887</v>
      </c>
      <c r="AM502" s="96"/>
      <c r="AN502" s="96" t="s">
        <v>890</v>
      </c>
      <c r="AO502" s="100">
        <v>45473</v>
      </c>
      <c r="AP502" s="100">
        <v>45473</v>
      </c>
      <c r="AQ502" s="96"/>
      <c r="AR502" s="97">
        <v>752468.53187599999</v>
      </c>
      <c r="AS502" s="97">
        <v>110.36</v>
      </c>
      <c r="AT502" s="97">
        <v>1</v>
      </c>
      <c r="AU502" s="97">
        <v>830.42427099999998</v>
      </c>
      <c r="AV502" s="97">
        <v>830.42427099999998</v>
      </c>
      <c r="AW502" s="96"/>
      <c r="AX502" s="96"/>
      <c r="AY502" s="96"/>
      <c r="AZ502" s="96"/>
      <c r="BA502" s="98">
        <v>5.4260000000000003E-3</v>
      </c>
      <c r="BB502" s="98">
        <v>4.3199999999999998E-4</v>
      </c>
      <c r="BC502" s="106"/>
    </row>
    <row r="503" spans="1:55" ht="15" customHeight="1">
      <c r="A503" s="106"/>
      <c r="B503" s="96">
        <v>286</v>
      </c>
      <c r="C503" s="96">
        <v>286</v>
      </c>
      <c r="D503" s="96"/>
      <c r="E503" s="96"/>
      <c r="F503" s="96"/>
      <c r="G503" s="96">
        <v>25000198</v>
      </c>
      <c r="H503" s="96" t="s">
        <v>1013</v>
      </c>
      <c r="I503" s="96" t="s">
        <v>3680</v>
      </c>
      <c r="J503" s="96" t="s">
        <v>203</v>
      </c>
      <c r="K503" s="96"/>
      <c r="L503" s="96" t="s">
        <v>463</v>
      </c>
      <c r="M503" s="96" t="s">
        <v>338</v>
      </c>
      <c r="N503" s="96" t="s">
        <v>338</v>
      </c>
      <c r="O503" s="96"/>
      <c r="P503" s="100">
        <v>42536</v>
      </c>
      <c r="Q503" s="96" t="s">
        <v>1199</v>
      </c>
      <c r="R503" s="96" t="s">
        <v>412</v>
      </c>
      <c r="S503" s="96" t="s">
        <v>407</v>
      </c>
      <c r="T503" s="96" t="s">
        <v>1200</v>
      </c>
      <c r="U503" s="97">
        <v>5.9</v>
      </c>
      <c r="V503" s="96" t="s">
        <v>3678</v>
      </c>
      <c r="W503" s="98">
        <v>1.8100000000000002E-2</v>
      </c>
      <c r="X503" s="96"/>
      <c r="Y503" s="96"/>
      <c r="Z503" s="96"/>
      <c r="AA503" s="98">
        <v>2.5999999999999999E-2</v>
      </c>
      <c r="AB503" s="100">
        <v>49841</v>
      </c>
      <c r="AC503" s="96" t="s">
        <v>411</v>
      </c>
      <c r="AD503" s="96"/>
      <c r="AE503" s="96"/>
      <c r="AF503" s="96"/>
      <c r="AG503" s="100">
        <v>44561</v>
      </c>
      <c r="AH503" s="96"/>
      <c r="AI503" s="96"/>
      <c r="AJ503" s="96"/>
      <c r="AK503" s="96" t="s">
        <v>337</v>
      </c>
      <c r="AL503" s="96" t="s">
        <v>887</v>
      </c>
      <c r="AM503" s="96"/>
      <c r="AN503" s="96" t="s">
        <v>890</v>
      </c>
      <c r="AO503" s="100">
        <v>45473</v>
      </c>
      <c r="AP503" s="100">
        <v>45473</v>
      </c>
      <c r="AQ503" s="96"/>
      <c r="AR503" s="97">
        <v>389329.777558</v>
      </c>
      <c r="AS503" s="97">
        <v>110.25</v>
      </c>
      <c r="AT503" s="97">
        <v>1</v>
      </c>
      <c r="AU503" s="97">
        <v>429.23607900000002</v>
      </c>
      <c r="AV503" s="97">
        <v>429.23607900000002</v>
      </c>
      <c r="AW503" s="96"/>
      <c r="AX503" s="96"/>
      <c r="AY503" s="96"/>
      <c r="AZ503" s="96"/>
      <c r="BA503" s="98">
        <v>2.8040000000000001E-3</v>
      </c>
      <c r="BB503" s="98">
        <v>2.23E-4</v>
      </c>
      <c r="BC503" s="106"/>
    </row>
    <row r="504" spans="1:55" ht="15" customHeight="1">
      <c r="A504" s="106"/>
      <c r="B504" s="96">
        <v>286</v>
      </c>
      <c r="C504" s="96">
        <v>286</v>
      </c>
      <c r="D504" s="96"/>
      <c r="E504" s="96"/>
      <c r="F504" s="96"/>
      <c r="G504" s="96">
        <v>25000197</v>
      </c>
      <c r="H504" s="96" t="s">
        <v>1013</v>
      </c>
      <c r="I504" s="96" t="s">
        <v>813</v>
      </c>
      <c r="J504" s="96" t="s">
        <v>203</v>
      </c>
      <c r="K504" s="96"/>
      <c r="L504" s="96" t="s">
        <v>454</v>
      </c>
      <c r="M504" s="96" t="s">
        <v>338</v>
      </c>
      <c r="N504" s="96" t="s">
        <v>337</v>
      </c>
      <c r="O504" s="96"/>
      <c r="P504" s="100">
        <v>42516</v>
      </c>
      <c r="Q504" s="96" t="s">
        <v>1320</v>
      </c>
      <c r="R504" s="96" t="s">
        <v>412</v>
      </c>
      <c r="S504" s="96" t="s">
        <v>407</v>
      </c>
      <c r="T504" s="96" t="s">
        <v>1200</v>
      </c>
      <c r="U504" s="97">
        <v>3.15</v>
      </c>
      <c r="V504" s="96" t="s">
        <v>3678</v>
      </c>
      <c r="W504" s="98">
        <v>2.3269999999999999E-2</v>
      </c>
      <c r="X504" s="96"/>
      <c r="Y504" s="96"/>
      <c r="Z504" s="96"/>
      <c r="AA504" s="98">
        <v>3.4099999999999998E-2</v>
      </c>
      <c r="AB504" s="100">
        <v>47927</v>
      </c>
      <c r="AC504" s="96" t="s">
        <v>411</v>
      </c>
      <c r="AD504" s="96"/>
      <c r="AE504" s="96"/>
      <c r="AF504" s="96"/>
      <c r="AG504" s="100">
        <v>45291</v>
      </c>
      <c r="AH504" s="96"/>
      <c r="AI504" s="96"/>
      <c r="AJ504" s="96"/>
      <c r="AK504" s="96" t="s">
        <v>337</v>
      </c>
      <c r="AL504" s="96" t="s">
        <v>887</v>
      </c>
      <c r="AM504" s="96"/>
      <c r="AN504" s="96" t="s">
        <v>890</v>
      </c>
      <c r="AO504" s="100">
        <v>45473</v>
      </c>
      <c r="AP504" s="100">
        <v>45473</v>
      </c>
      <c r="AQ504" s="96"/>
      <c r="AR504" s="97">
        <v>1290012.6100000001</v>
      </c>
      <c r="AS504" s="97">
        <v>111.65</v>
      </c>
      <c r="AT504" s="97">
        <v>1</v>
      </c>
      <c r="AU504" s="97">
        <v>1440.29908</v>
      </c>
      <c r="AV504" s="97">
        <v>1440.29908</v>
      </c>
      <c r="AW504" s="96"/>
      <c r="AX504" s="96"/>
      <c r="AY504" s="96"/>
      <c r="AZ504" s="96"/>
      <c r="BA504" s="98">
        <v>9.4109999999999992E-3</v>
      </c>
      <c r="BB504" s="98">
        <v>7.5000000000000002E-4</v>
      </c>
      <c r="BC504" s="106"/>
    </row>
    <row r="505" spans="1:55" ht="15" customHeight="1">
      <c r="A505" s="106"/>
      <c r="B505" s="96">
        <v>286</v>
      </c>
      <c r="C505" s="96">
        <v>286</v>
      </c>
      <c r="D505" s="96"/>
      <c r="E505" s="96"/>
      <c r="F505" s="96"/>
      <c r="G505" s="96">
        <v>25000196</v>
      </c>
      <c r="H505" s="96" t="s">
        <v>1013</v>
      </c>
      <c r="I505" s="96" t="s">
        <v>3680</v>
      </c>
      <c r="J505" s="96" t="s">
        <v>203</v>
      </c>
      <c r="K505" s="96"/>
      <c r="L505" s="96" t="s">
        <v>463</v>
      </c>
      <c r="M505" s="96" t="s">
        <v>338</v>
      </c>
      <c r="N505" s="96" t="s">
        <v>338</v>
      </c>
      <c r="O505" s="96"/>
      <c r="P505" s="100">
        <v>42514</v>
      </c>
      <c r="Q505" s="96" t="s">
        <v>1301</v>
      </c>
      <c r="R505" s="96" t="s">
        <v>414</v>
      </c>
      <c r="S505" s="96" t="s">
        <v>407</v>
      </c>
      <c r="T505" s="96" t="s">
        <v>1200</v>
      </c>
      <c r="U505" s="97">
        <v>1.83</v>
      </c>
      <c r="V505" s="96" t="s">
        <v>3678</v>
      </c>
      <c r="W505" s="98">
        <v>1.4999999999999999E-2</v>
      </c>
      <c r="X505" s="96"/>
      <c r="Y505" s="96"/>
      <c r="Z505" s="96"/>
      <c r="AA505" s="98">
        <v>2.1899999999999999E-2</v>
      </c>
      <c r="AB505" s="100">
        <v>46844</v>
      </c>
      <c r="AC505" s="96" t="s">
        <v>411</v>
      </c>
      <c r="AD505" s="96"/>
      <c r="AE505" s="96"/>
      <c r="AF505" s="96"/>
      <c r="AG505" s="100">
        <v>45006</v>
      </c>
      <c r="AH505" s="96"/>
      <c r="AI505" s="96"/>
      <c r="AJ505" s="96"/>
      <c r="AK505" s="96" t="s">
        <v>337</v>
      </c>
      <c r="AL505" s="96" t="s">
        <v>887</v>
      </c>
      <c r="AM505" s="96"/>
      <c r="AN505" s="96" t="s">
        <v>890</v>
      </c>
      <c r="AO505" s="100">
        <v>45473</v>
      </c>
      <c r="AP505" s="100">
        <v>45473</v>
      </c>
      <c r="AQ505" s="96"/>
      <c r="AR505" s="97">
        <v>745755.44818399998</v>
      </c>
      <c r="AS505" s="97">
        <v>114.36</v>
      </c>
      <c r="AT505" s="97">
        <v>1</v>
      </c>
      <c r="AU505" s="97">
        <v>852.84592999999995</v>
      </c>
      <c r="AV505" s="97">
        <v>852.84592999999995</v>
      </c>
      <c r="AW505" s="96"/>
      <c r="AX505" s="96"/>
      <c r="AY505" s="96"/>
      <c r="AZ505" s="96"/>
      <c r="BA505" s="98">
        <v>5.5719999999999997E-3</v>
      </c>
      <c r="BB505" s="98">
        <v>4.44E-4</v>
      </c>
      <c r="BC505" s="106"/>
    </row>
    <row r="506" spans="1:55" ht="15" customHeight="1">
      <c r="A506" s="106"/>
      <c r="B506" s="96">
        <v>286</v>
      </c>
      <c r="C506" s="96">
        <v>286</v>
      </c>
      <c r="D506" s="96"/>
      <c r="E506" s="96"/>
      <c r="F506" s="96"/>
      <c r="G506" s="96">
        <v>25000187</v>
      </c>
      <c r="H506" s="96" t="s">
        <v>1013</v>
      </c>
      <c r="I506" s="96" t="s">
        <v>3680</v>
      </c>
      <c r="J506" s="96" t="s">
        <v>203</v>
      </c>
      <c r="K506" s="96"/>
      <c r="L506" s="96" t="s">
        <v>476</v>
      </c>
      <c r="M506" s="96" t="s">
        <v>338</v>
      </c>
      <c r="N506" s="96" t="s">
        <v>337</v>
      </c>
      <c r="O506" s="96"/>
      <c r="P506" s="100">
        <v>41851</v>
      </c>
      <c r="Q506" s="96" t="s">
        <v>1439</v>
      </c>
      <c r="R506" s="96" t="s">
        <v>412</v>
      </c>
      <c r="S506" s="96" t="s">
        <v>407</v>
      </c>
      <c r="T506" s="96" t="s">
        <v>1200</v>
      </c>
      <c r="U506" s="97">
        <v>3.19</v>
      </c>
      <c r="V506" s="96" t="s">
        <v>824</v>
      </c>
      <c r="W506" s="98">
        <v>6.8000000000000005E-2</v>
      </c>
      <c r="X506" s="96"/>
      <c r="Y506" s="96"/>
      <c r="Z506" s="96"/>
      <c r="AA506" s="98">
        <v>6.5299999999999997E-2</v>
      </c>
      <c r="AB506" s="100">
        <v>47842</v>
      </c>
      <c r="AC506" s="96" t="s">
        <v>410</v>
      </c>
      <c r="AD506" s="96"/>
      <c r="AE506" s="96"/>
      <c r="AF506" s="96"/>
      <c r="AG506" s="100">
        <v>45473</v>
      </c>
      <c r="AH506" s="96"/>
      <c r="AI506" s="96"/>
      <c r="AJ506" s="96"/>
      <c r="AK506" s="96" t="s">
        <v>337</v>
      </c>
      <c r="AL506" s="96" t="s">
        <v>887</v>
      </c>
      <c r="AM506" s="96"/>
      <c r="AN506" s="96" t="s">
        <v>890</v>
      </c>
      <c r="AO506" s="100">
        <v>45473</v>
      </c>
      <c r="AP506" s="100">
        <v>45473</v>
      </c>
      <c r="AQ506" s="96"/>
      <c r="AR506" s="97">
        <v>364166.7</v>
      </c>
      <c r="AS506" s="97">
        <v>101.56</v>
      </c>
      <c r="AT506" s="97">
        <v>1</v>
      </c>
      <c r="AU506" s="97">
        <v>369.84769999999997</v>
      </c>
      <c r="AV506" s="97">
        <v>369.84769999999997</v>
      </c>
      <c r="AW506" s="96"/>
      <c r="AX506" s="96"/>
      <c r="AY506" s="96"/>
      <c r="AZ506" s="96"/>
      <c r="BA506" s="98">
        <v>2.4160000000000002E-3</v>
      </c>
      <c r="BB506" s="98">
        <v>1.92E-4</v>
      </c>
      <c r="BC506" s="106"/>
    </row>
    <row r="507" spans="1:55" ht="15" customHeight="1">
      <c r="A507" s="106"/>
      <c r="B507" s="96">
        <v>286</v>
      </c>
      <c r="C507" s="96">
        <v>286</v>
      </c>
      <c r="D507" s="96"/>
      <c r="E507" s="96"/>
      <c r="F507" s="96"/>
      <c r="G507" s="96">
        <v>25000186</v>
      </c>
      <c r="H507" s="96" t="s">
        <v>1013</v>
      </c>
      <c r="I507" s="96" t="s">
        <v>3680</v>
      </c>
      <c r="J507" s="96" t="s">
        <v>203</v>
      </c>
      <c r="K507" s="96"/>
      <c r="L507" s="96" t="s">
        <v>476</v>
      </c>
      <c r="M507" s="96" t="s">
        <v>338</v>
      </c>
      <c r="N507" s="96" t="s">
        <v>337</v>
      </c>
      <c r="O507" s="96"/>
      <c r="P507" s="100">
        <v>41851</v>
      </c>
      <c r="Q507" s="96" t="s">
        <v>1439</v>
      </c>
      <c r="R507" s="96" t="s">
        <v>412</v>
      </c>
      <c r="S507" s="96" t="s">
        <v>407</v>
      </c>
      <c r="T507" s="96" t="s">
        <v>1200</v>
      </c>
      <c r="U507" s="97">
        <v>3.42</v>
      </c>
      <c r="V507" s="96" t="s">
        <v>3678</v>
      </c>
      <c r="W507" s="98">
        <v>3.0300000000000001E-2</v>
      </c>
      <c r="X507" s="96"/>
      <c r="Y507" s="96"/>
      <c r="Z507" s="96"/>
      <c r="AA507" s="98">
        <v>2.9100000000000001E-2</v>
      </c>
      <c r="AB507" s="100">
        <v>47842</v>
      </c>
      <c r="AC507" s="96" t="s">
        <v>410</v>
      </c>
      <c r="AD507" s="96"/>
      <c r="AE507" s="96"/>
      <c r="AF507" s="96"/>
      <c r="AG507" s="100">
        <v>45473</v>
      </c>
      <c r="AH507" s="96"/>
      <c r="AI507" s="96"/>
      <c r="AJ507" s="96"/>
      <c r="AK507" s="96" t="s">
        <v>337</v>
      </c>
      <c r="AL507" s="96" t="s">
        <v>887</v>
      </c>
      <c r="AM507" s="96"/>
      <c r="AN507" s="96" t="s">
        <v>890</v>
      </c>
      <c r="AO507" s="100">
        <v>45473</v>
      </c>
      <c r="AP507" s="100">
        <v>45473</v>
      </c>
      <c r="AQ507" s="96"/>
      <c r="AR507" s="97">
        <v>728333.32</v>
      </c>
      <c r="AS507" s="97">
        <v>115.18</v>
      </c>
      <c r="AT507" s="97">
        <v>1</v>
      </c>
      <c r="AU507" s="97">
        <v>838.89431999999999</v>
      </c>
      <c r="AV507" s="97">
        <v>838.89431999999999</v>
      </c>
      <c r="AW507" s="96"/>
      <c r="AX507" s="96"/>
      <c r="AY507" s="96"/>
      <c r="AZ507" s="96"/>
      <c r="BA507" s="98">
        <v>5.4809999999999998E-3</v>
      </c>
      <c r="BB507" s="98">
        <v>4.3600000000000003E-4</v>
      </c>
      <c r="BC507" s="106"/>
    </row>
    <row r="508" spans="1:55" ht="15" customHeight="1">
      <c r="A508" s="106"/>
      <c r="B508" s="96">
        <v>286</v>
      </c>
      <c r="C508" s="96">
        <v>286</v>
      </c>
      <c r="D508" s="96"/>
      <c r="E508" s="96"/>
      <c r="F508" s="96"/>
      <c r="G508" s="96">
        <v>25000185</v>
      </c>
      <c r="H508" s="96" t="s">
        <v>1013</v>
      </c>
      <c r="I508" s="96" t="s">
        <v>3680</v>
      </c>
      <c r="J508" s="96" t="s">
        <v>203</v>
      </c>
      <c r="K508" s="96"/>
      <c r="L508" s="96" t="s">
        <v>476</v>
      </c>
      <c r="M508" s="96" t="s">
        <v>338</v>
      </c>
      <c r="N508" s="96" t="s">
        <v>337</v>
      </c>
      <c r="O508" s="96"/>
      <c r="P508" s="100">
        <v>41851</v>
      </c>
      <c r="Q508" s="96" t="s">
        <v>1439</v>
      </c>
      <c r="R508" s="96" t="s">
        <v>412</v>
      </c>
      <c r="S508" s="96" t="s">
        <v>407</v>
      </c>
      <c r="T508" s="96" t="s">
        <v>1200</v>
      </c>
      <c r="U508" s="97">
        <v>3.42</v>
      </c>
      <c r="V508" s="96" t="s">
        <v>3678</v>
      </c>
      <c r="W508" s="98">
        <v>3.0216E-2</v>
      </c>
      <c r="X508" s="96"/>
      <c r="Y508" s="96"/>
      <c r="Z508" s="96"/>
      <c r="AA508" s="98">
        <v>2.9499999999999998E-2</v>
      </c>
      <c r="AB508" s="100">
        <v>47842</v>
      </c>
      <c r="AC508" s="96" t="s">
        <v>410</v>
      </c>
      <c r="AD508" s="96"/>
      <c r="AE508" s="96"/>
      <c r="AF508" s="96"/>
      <c r="AG508" s="100">
        <v>45473</v>
      </c>
      <c r="AH508" s="96"/>
      <c r="AI508" s="96"/>
      <c r="AJ508" s="96"/>
      <c r="AK508" s="96" t="s">
        <v>337</v>
      </c>
      <c r="AL508" s="96" t="s">
        <v>887</v>
      </c>
      <c r="AM508" s="96"/>
      <c r="AN508" s="96" t="s">
        <v>890</v>
      </c>
      <c r="AO508" s="100">
        <v>45473</v>
      </c>
      <c r="AP508" s="100">
        <v>45473</v>
      </c>
      <c r="AQ508" s="96"/>
      <c r="AR508" s="97">
        <v>873999.99</v>
      </c>
      <c r="AS508" s="97">
        <v>114.53</v>
      </c>
      <c r="AT508" s="97">
        <v>1</v>
      </c>
      <c r="AU508" s="97">
        <v>1000.9921900000001</v>
      </c>
      <c r="AV508" s="97">
        <v>1000.9921900000001</v>
      </c>
      <c r="AW508" s="96"/>
      <c r="AX508" s="96"/>
      <c r="AY508" s="96"/>
      <c r="AZ508" s="96"/>
      <c r="BA508" s="98">
        <v>6.5409999999999999E-3</v>
      </c>
      <c r="BB508" s="98">
        <v>5.2099999999999998E-4</v>
      </c>
      <c r="BC508" s="106"/>
    </row>
    <row r="509" spans="1:55" ht="15" customHeight="1">
      <c r="A509" s="106"/>
      <c r="B509" s="96">
        <v>286</v>
      </c>
      <c r="C509" s="96">
        <v>286</v>
      </c>
      <c r="D509" s="96"/>
      <c r="E509" s="96"/>
      <c r="F509" s="96"/>
      <c r="G509" s="96">
        <v>25000210</v>
      </c>
      <c r="H509" s="96" t="s">
        <v>1013</v>
      </c>
      <c r="I509" s="96"/>
      <c r="J509" s="96" t="s">
        <v>203</v>
      </c>
      <c r="K509" s="96"/>
      <c r="L509" s="96" t="s">
        <v>477</v>
      </c>
      <c r="M509" s="96" t="s">
        <v>338</v>
      </c>
      <c r="N509" s="96" t="s">
        <v>337</v>
      </c>
      <c r="O509" s="96"/>
      <c r="P509" s="100">
        <v>42491</v>
      </c>
      <c r="Q509" s="96" t="s">
        <v>3690</v>
      </c>
      <c r="R509" s="96" t="s">
        <v>311</v>
      </c>
      <c r="S509" s="96" t="s">
        <v>408</v>
      </c>
      <c r="T509" s="96" t="s">
        <v>1200</v>
      </c>
      <c r="U509" s="97">
        <v>1.53</v>
      </c>
      <c r="V509" s="96" t="s">
        <v>824</v>
      </c>
      <c r="W509" s="98">
        <v>8.6757000000000015E-2</v>
      </c>
      <c r="X509" s="96"/>
      <c r="Y509" s="96"/>
      <c r="Z509" s="96"/>
      <c r="AA509" s="98">
        <v>0.1067</v>
      </c>
      <c r="AB509" s="100">
        <v>49459</v>
      </c>
      <c r="AC509" s="96" t="s">
        <v>411</v>
      </c>
      <c r="AD509" s="96"/>
      <c r="AE509" s="96"/>
      <c r="AF509" s="96"/>
      <c r="AG509" s="100">
        <v>45179</v>
      </c>
      <c r="AH509" s="96"/>
      <c r="AI509" s="96"/>
      <c r="AJ509" s="96"/>
      <c r="AK509" s="96" t="s">
        <v>337</v>
      </c>
      <c r="AL509" s="96" t="s">
        <v>887</v>
      </c>
      <c r="AM509" s="96"/>
      <c r="AN509" s="96" t="s">
        <v>890</v>
      </c>
      <c r="AO509" s="100">
        <v>45473</v>
      </c>
      <c r="AP509" s="100">
        <v>45473</v>
      </c>
      <c r="AQ509" s="96"/>
      <c r="AR509" s="97">
        <v>2457009.62</v>
      </c>
      <c r="AS509" s="97">
        <v>105.8717</v>
      </c>
      <c r="AT509" s="97">
        <v>1</v>
      </c>
      <c r="AU509" s="97">
        <v>2601.2778499999999</v>
      </c>
      <c r="AV509" s="97">
        <v>2601.2778499999999</v>
      </c>
      <c r="AW509" s="96"/>
      <c r="AX509" s="96"/>
      <c r="AY509" s="96"/>
      <c r="AZ509" s="96"/>
      <c r="BA509" s="98">
        <v>1.6997999999999999E-2</v>
      </c>
      <c r="BB509" s="98">
        <v>1.354E-3</v>
      </c>
      <c r="BC509" s="106"/>
    </row>
    <row r="510" spans="1:55" ht="15" customHeight="1">
      <c r="A510" s="106"/>
      <c r="B510" s="96">
        <v>286</v>
      </c>
      <c r="C510" s="96">
        <v>286</v>
      </c>
      <c r="D510" s="96"/>
      <c r="E510" s="96"/>
      <c r="F510" s="96"/>
      <c r="G510" s="96">
        <v>25000184</v>
      </c>
      <c r="H510" s="96" t="s">
        <v>1013</v>
      </c>
      <c r="I510" s="96" t="s">
        <v>3680</v>
      </c>
      <c r="J510" s="96" t="s">
        <v>203</v>
      </c>
      <c r="K510" s="96"/>
      <c r="L510" s="96" t="s">
        <v>476</v>
      </c>
      <c r="M510" s="96" t="s">
        <v>338</v>
      </c>
      <c r="N510" s="96" t="s">
        <v>337</v>
      </c>
      <c r="O510" s="96"/>
      <c r="P510" s="100">
        <v>41851</v>
      </c>
      <c r="Q510" s="96" t="s">
        <v>1439</v>
      </c>
      <c r="R510" s="96" t="s">
        <v>412</v>
      </c>
      <c r="S510" s="96" t="s">
        <v>407</v>
      </c>
      <c r="T510" s="96" t="s">
        <v>1200</v>
      </c>
      <c r="U510" s="97">
        <v>3.44</v>
      </c>
      <c r="V510" s="96" t="s">
        <v>3678</v>
      </c>
      <c r="W510" s="98">
        <v>2.75E-2</v>
      </c>
      <c r="X510" s="96"/>
      <c r="Y510" s="96"/>
      <c r="Z510" s="96"/>
      <c r="AA510" s="98">
        <v>2.8199999999999999E-2</v>
      </c>
      <c r="AB510" s="100">
        <v>47842</v>
      </c>
      <c r="AC510" s="96" t="s">
        <v>410</v>
      </c>
      <c r="AD510" s="96"/>
      <c r="AE510" s="96"/>
      <c r="AF510" s="96"/>
      <c r="AG510" s="100">
        <v>45473</v>
      </c>
      <c r="AH510" s="96"/>
      <c r="AI510" s="96"/>
      <c r="AJ510" s="96"/>
      <c r="AK510" s="96" t="s">
        <v>337</v>
      </c>
      <c r="AL510" s="96" t="s">
        <v>887</v>
      </c>
      <c r="AM510" s="96"/>
      <c r="AN510" s="96" t="s">
        <v>890</v>
      </c>
      <c r="AO510" s="100">
        <v>45473</v>
      </c>
      <c r="AP510" s="100">
        <v>45473</v>
      </c>
      <c r="AQ510" s="96"/>
      <c r="AR510" s="97">
        <v>218500</v>
      </c>
      <c r="AS510" s="97">
        <v>114.2</v>
      </c>
      <c r="AT510" s="97">
        <v>1</v>
      </c>
      <c r="AU510" s="97">
        <v>249.52699999999999</v>
      </c>
      <c r="AV510" s="97">
        <v>249.52699999999999</v>
      </c>
      <c r="AW510" s="96"/>
      <c r="AX510" s="96"/>
      <c r="AY510" s="96"/>
      <c r="AZ510" s="96"/>
      <c r="BA510" s="98">
        <v>1.6299999999999999E-3</v>
      </c>
      <c r="BB510" s="98">
        <v>1.2899999999999999E-4</v>
      </c>
      <c r="BC510" s="106"/>
    </row>
    <row r="511" spans="1:55" ht="15" customHeight="1">
      <c r="A511" s="106"/>
      <c r="B511" s="96">
        <v>286</v>
      </c>
      <c r="C511" s="96">
        <v>286</v>
      </c>
      <c r="D511" s="96"/>
      <c r="E511" s="96"/>
      <c r="F511" s="96"/>
      <c r="G511" s="96">
        <v>25000182</v>
      </c>
      <c r="H511" s="96" t="s">
        <v>1013</v>
      </c>
      <c r="I511" s="96" t="s">
        <v>3687</v>
      </c>
      <c r="J511" s="96" t="s">
        <v>203</v>
      </c>
      <c r="K511" s="96"/>
      <c r="L511" s="96" t="s">
        <v>477</v>
      </c>
      <c r="M511" s="96" t="s">
        <v>338</v>
      </c>
      <c r="N511" s="96" t="s">
        <v>338</v>
      </c>
      <c r="O511" s="96"/>
      <c r="P511" s="100">
        <v>42369</v>
      </c>
      <c r="Q511" s="96" t="s">
        <v>409</v>
      </c>
      <c r="R511" s="96" t="s">
        <v>409</v>
      </c>
      <c r="S511" s="96" t="s">
        <v>409</v>
      </c>
      <c r="T511" s="96" t="s">
        <v>1200</v>
      </c>
      <c r="U511" s="97">
        <v>6.26</v>
      </c>
      <c r="V511" s="96" t="s">
        <v>824</v>
      </c>
      <c r="W511" s="98">
        <v>1.84E-2</v>
      </c>
      <c r="X511" s="96"/>
      <c r="Y511" s="96"/>
      <c r="Z511" s="96"/>
      <c r="AA511" s="98">
        <v>7.17E-2</v>
      </c>
      <c r="AB511" s="100">
        <v>53447</v>
      </c>
      <c r="AC511" s="96" t="s">
        <v>411</v>
      </c>
      <c r="AD511" s="96"/>
      <c r="AE511" s="96"/>
      <c r="AF511" s="96"/>
      <c r="AG511" s="100">
        <v>44986</v>
      </c>
      <c r="AH511" s="96"/>
      <c r="AI511" s="96"/>
      <c r="AJ511" s="96"/>
      <c r="AK511" s="96" t="s">
        <v>337</v>
      </c>
      <c r="AL511" s="96" t="s">
        <v>887</v>
      </c>
      <c r="AM511" s="96"/>
      <c r="AN511" s="96" t="s">
        <v>890</v>
      </c>
      <c r="AO511" s="100">
        <v>45473</v>
      </c>
      <c r="AP511" s="100">
        <v>45473</v>
      </c>
      <c r="AQ511" s="96"/>
      <c r="AR511" s="97">
        <v>343440.174016</v>
      </c>
      <c r="AS511" s="97">
        <v>108.15</v>
      </c>
      <c r="AT511" s="97">
        <v>1</v>
      </c>
      <c r="AU511" s="97">
        <v>371.43054799999999</v>
      </c>
      <c r="AV511" s="97">
        <v>371.43054799999999</v>
      </c>
      <c r="AW511" s="96"/>
      <c r="AX511" s="96"/>
      <c r="AY511" s="96"/>
      <c r="AZ511" s="96"/>
      <c r="BA511" s="98">
        <v>2.4269999999999999E-3</v>
      </c>
      <c r="BB511" s="98">
        <v>1.93E-4</v>
      </c>
      <c r="BC511" s="106"/>
    </row>
    <row r="512" spans="1:55" ht="15" customHeight="1">
      <c r="A512" s="106"/>
      <c r="B512" s="96">
        <v>286</v>
      </c>
      <c r="C512" s="96">
        <v>286</v>
      </c>
      <c r="D512" s="96"/>
      <c r="E512" s="96"/>
      <c r="F512" s="96"/>
      <c r="G512" s="96">
        <v>25000181</v>
      </c>
      <c r="H512" s="96" t="s">
        <v>1013</v>
      </c>
      <c r="I512" s="96" t="s">
        <v>3687</v>
      </c>
      <c r="J512" s="96" t="s">
        <v>203</v>
      </c>
      <c r="K512" s="96"/>
      <c r="L512" s="96" t="s">
        <v>477</v>
      </c>
      <c r="M512" s="96" t="s">
        <v>338</v>
      </c>
      <c r="N512" s="96" t="s">
        <v>338</v>
      </c>
      <c r="O512" s="96"/>
      <c r="P512" s="100">
        <v>42369</v>
      </c>
      <c r="Q512" s="96" t="s">
        <v>409</v>
      </c>
      <c r="R512" s="96" t="s">
        <v>409</v>
      </c>
      <c r="S512" s="96" t="s">
        <v>409</v>
      </c>
      <c r="T512" s="96" t="s">
        <v>1200</v>
      </c>
      <c r="U512" s="97">
        <v>4.47</v>
      </c>
      <c r="V512" s="96" t="s">
        <v>3678</v>
      </c>
      <c r="W512" s="98">
        <v>4.6306700000000006E-2</v>
      </c>
      <c r="X512" s="96"/>
      <c r="Y512" s="96"/>
      <c r="Z512" s="96"/>
      <c r="AA512" s="98">
        <v>5.2900000000000003E-2</v>
      </c>
      <c r="AB512" s="100">
        <v>52627</v>
      </c>
      <c r="AC512" s="96" t="s">
        <v>411</v>
      </c>
      <c r="AD512" s="96"/>
      <c r="AE512" s="96"/>
      <c r="AF512" s="96"/>
      <c r="AG512" s="100">
        <v>44986</v>
      </c>
      <c r="AH512" s="96"/>
      <c r="AI512" s="96"/>
      <c r="AJ512" s="96"/>
      <c r="AK512" s="96" t="s">
        <v>337</v>
      </c>
      <c r="AL512" s="96" t="s">
        <v>887</v>
      </c>
      <c r="AM512" s="96"/>
      <c r="AN512" s="96" t="s">
        <v>890</v>
      </c>
      <c r="AO512" s="100">
        <v>45473</v>
      </c>
      <c r="AP512" s="100">
        <v>45473</v>
      </c>
      <c r="AQ512" s="96"/>
      <c r="AR512" s="97">
        <v>101858.727365</v>
      </c>
      <c r="AS512" s="97">
        <v>98.61</v>
      </c>
      <c r="AT512" s="97">
        <v>1</v>
      </c>
      <c r="AU512" s="97">
        <v>100.442891</v>
      </c>
      <c r="AV512" s="97">
        <v>100.442891</v>
      </c>
      <c r="AW512" s="96"/>
      <c r="AX512" s="96"/>
      <c r="AY512" s="96"/>
      <c r="AZ512" s="96"/>
      <c r="BA512" s="98">
        <v>6.5600000000000001E-4</v>
      </c>
      <c r="BB512" s="98">
        <v>5.1999999999999997E-5</v>
      </c>
      <c r="BC512" s="106"/>
    </row>
    <row r="513" spans="1:55" ht="15" customHeight="1">
      <c r="A513" s="106"/>
      <c r="B513" s="96">
        <v>286</v>
      </c>
      <c r="C513" s="96">
        <v>286</v>
      </c>
      <c r="D513" s="96"/>
      <c r="E513" s="96"/>
      <c r="F513" s="96"/>
      <c r="G513" s="96">
        <v>25000180</v>
      </c>
      <c r="H513" s="96" t="s">
        <v>1013</v>
      </c>
      <c r="I513" s="96" t="s">
        <v>3687</v>
      </c>
      <c r="J513" s="96" t="s">
        <v>203</v>
      </c>
      <c r="K513" s="96"/>
      <c r="L513" s="96" t="s">
        <v>477</v>
      </c>
      <c r="M513" s="96" t="s">
        <v>338</v>
      </c>
      <c r="N513" s="96" t="s">
        <v>338</v>
      </c>
      <c r="O513" s="96"/>
      <c r="P513" s="100">
        <v>42369</v>
      </c>
      <c r="Q513" s="96" t="s">
        <v>409</v>
      </c>
      <c r="R513" s="96" t="s">
        <v>409</v>
      </c>
      <c r="S513" s="96" t="s">
        <v>409</v>
      </c>
      <c r="T513" s="96" t="s">
        <v>1200</v>
      </c>
      <c r="U513" s="97">
        <v>6.84</v>
      </c>
      <c r="V513" s="96" t="s">
        <v>824</v>
      </c>
      <c r="W513" s="98">
        <v>0.06</v>
      </c>
      <c r="X513" s="96"/>
      <c r="Y513" s="96"/>
      <c r="Z513" s="96"/>
      <c r="AA513" s="98">
        <v>5.9200000000000003E-2</v>
      </c>
      <c r="AB513" s="100">
        <v>53447</v>
      </c>
      <c r="AC513" s="96" t="s">
        <v>411</v>
      </c>
      <c r="AD513" s="96"/>
      <c r="AE513" s="96"/>
      <c r="AF513" s="96"/>
      <c r="AG513" s="100">
        <v>44986</v>
      </c>
      <c r="AH513" s="96"/>
      <c r="AI513" s="96"/>
      <c r="AJ513" s="96"/>
      <c r="AK513" s="96" t="s">
        <v>337</v>
      </c>
      <c r="AL513" s="96" t="s">
        <v>887</v>
      </c>
      <c r="AM513" s="96"/>
      <c r="AN513" s="96" t="s">
        <v>890</v>
      </c>
      <c r="AO513" s="100">
        <v>45473</v>
      </c>
      <c r="AP513" s="100">
        <v>45473</v>
      </c>
      <c r="AQ513" s="96"/>
      <c r="AR513" s="97">
        <v>256913.13426799999</v>
      </c>
      <c r="AS513" s="97">
        <v>99.41</v>
      </c>
      <c r="AT513" s="97">
        <v>1</v>
      </c>
      <c r="AU513" s="97">
        <v>255.397346</v>
      </c>
      <c r="AV513" s="97">
        <v>255.397346</v>
      </c>
      <c r="AW513" s="96"/>
      <c r="AX513" s="96"/>
      <c r="AY513" s="96"/>
      <c r="AZ513" s="96"/>
      <c r="BA513" s="98">
        <v>1.668E-3</v>
      </c>
      <c r="BB513" s="98">
        <v>1.3300000000000001E-4</v>
      </c>
      <c r="BC513" s="106"/>
    </row>
    <row r="514" spans="1:55" ht="15" customHeight="1">
      <c r="A514" s="106"/>
      <c r="B514" s="96">
        <v>286</v>
      </c>
      <c r="C514" s="96">
        <v>286</v>
      </c>
      <c r="D514" s="96"/>
      <c r="E514" s="96"/>
      <c r="F514" s="96"/>
      <c r="G514" s="96">
        <v>25000139</v>
      </c>
      <c r="H514" s="96" t="s">
        <v>1013</v>
      </c>
      <c r="I514" s="96" t="s">
        <v>813</v>
      </c>
      <c r="J514" s="96" t="s">
        <v>203</v>
      </c>
      <c r="K514" s="96"/>
      <c r="L514" s="96" t="s">
        <v>454</v>
      </c>
      <c r="M514" s="96" t="s">
        <v>338</v>
      </c>
      <c r="N514" s="96" t="s">
        <v>337</v>
      </c>
      <c r="O514" s="96"/>
      <c r="P514" s="100">
        <v>42122</v>
      </c>
      <c r="Q514" s="96" t="s">
        <v>1336</v>
      </c>
      <c r="R514" s="96" t="s">
        <v>414</v>
      </c>
      <c r="S514" s="96" t="s">
        <v>407</v>
      </c>
      <c r="T514" s="96" t="s">
        <v>1200</v>
      </c>
      <c r="U514" s="97">
        <v>3.9</v>
      </c>
      <c r="V514" s="96" t="s">
        <v>3678</v>
      </c>
      <c r="W514" s="98">
        <v>2.5562999999999999E-2</v>
      </c>
      <c r="X514" s="96"/>
      <c r="Y514" s="96"/>
      <c r="Z514" s="96"/>
      <c r="AA514" s="98">
        <v>0.03</v>
      </c>
      <c r="AB514" s="100">
        <v>48482</v>
      </c>
      <c r="AC514" s="96" t="s">
        <v>411</v>
      </c>
      <c r="AD514" s="96"/>
      <c r="AE514" s="96"/>
      <c r="AF514" s="96"/>
      <c r="AG514" s="100">
        <v>45291</v>
      </c>
      <c r="AH514" s="96"/>
      <c r="AI514" s="96"/>
      <c r="AJ514" s="96"/>
      <c r="AK514" s="96" t="s">
        <v>337</v>
      </c>
      <c r="AL514" s="96" t="s">
        <v>887</v>
      </c>
      <c r="AM514" s="96"/>
      <c r="AN514" s="96" t="s">
        <v>890</v>
      </c>
      <c r="AO514" s="100">
        <v>45473</v>
      </c>
      <c r="AP514" s="100">
        <v>45473</v>
      </c>
      <c r="AQ514" s="96"/>
      <c r="AR514" s="97">
        <v>10592225.449999999</v>
      </c>
      <c r="AS514" s="97">
        <v>115.13</v>
      </c>
      <c r="AT514" s="97">
        <v>1</v>
      </c>
      <c r="AU514" s="97">
        <v>12194.829159999999</v>
      </c>
      <c r="AV514" s="97">
        <v>12194.829159999999</v>
      </c>
      <c r="AW514" s="96"/>
      <c r="AX514" s="96"/>
      <c r="AY514" s="96"/>
      <c r="AZ514" s="96"/>
      <c r="BA514" s="98">
        <v>7.9686999999999994E-2</v>
      </c>
      <c r="BB514" s="98">
        <v>6.3499999999999997E-3</v>
      </c>
      <c r="BC514" s="106"/>
    </row>
    <row r="515" spans="1:55" ht="15" customHeight="1">
      <c r="A515" s="106"/>
      <c r="B515" s="96">
        <v>286</v>
      </c>
      <c r="C515" s="96">
        <v>286</v>
      </c>
      <c r="D515" s="96"/>
      <c r="E515" s="96"/>
      <c r="F515" s="96"/>
      <c r="G515" s="96">
        <v>25000119</v>
      </c>
      <c r="H515" s="96" t="s">
        <v>1013</v>
      </c>
      <c r="I515" s="96" t="s">
        <v>813</v>
      </c>
      <c r="J515" s="96" t="s">
        <v>203</v>
      </c>
      <c r="K515" s="96"/>
      <c r="L515" s="96" t="s">
        <v>463</v>
      </c>
      <c r="M515" s="96" t="s">
        <v>338</v>
      </c>
      <c r="N515" s="96" t="s">
        <v>337</v>
      </c>
      <c r="O515" s="96"/>
      <c r="P515" s="100">
        <v>40618</v>
      </c>
      <c r="Q515" s="96" t="s">
        <v>1520</v>
      </c>
      <c r="R515" s="96" t="s">
        <v>414</v>
      </c>
      <c r="S515" s="96" t="s">
        <v>407</v>
      </c>
      <c r="T515" s="96" t="s">
        <v>1200</v>
      </c>
      <c r="U515" s="97">
        <v>0.41</v>
      </c>
      <c r="V515" s="96" t="s">
        <v>3678</v>
      </c>
      <c r="W515" s="98">
        <v>7.1499999999999994E-2</v>
      </c>
      <c r="X515" s="96"/>
      <c r="Y515" s="96"/>
      <c r="Z515" s="96"/>
      <c r="AA515" s="98">
        <v>1.5800000000000002E-2</v>
      </c>
      <c r="AB515" s="100">
        <v>45688</v>
      </c>
      <c r="AC515" s="96" t="s">
        <v>410</v>
      </c>
      <c r="AD515" s="96"/>
      <c r="AE515" s="96"/>
      <c r="AF515" s="96"/>
      <c r="AG515" s="100">
        <v>45291</v>
      </c>
      <c r="AH515" s="96"/>
      <c r="AI515" s="96"/>
      <c r="AJ515" s="96"/>
      <c r="AK515" s="96" t="s">
        <v>337</v>
      </c>
      <c r="AL515" s="96" t="s">
        <v>887</v>
      </c>
      <c r="AM515" s="96"/>
      <c r="AN515" s="96" t="s">
        <v>890</v>
      </c>
      <c r="AO515" s="100">
        <v>45473</v>
      </c>
      <c r="AP515" s="100">
        <v>45473</v>
      </c>
      <c r="AQ515" s="96"/>
      <c r="AR515" s="97">
        <v>3776618.32</v>
      </c>
      <c r="AS515" s="97">
        <v>125.44</v>
      </c>
      <c r="AT515" s="97">
        <v>1</v>
      </c>
      <c r="AU515" s="97">
        <v>4737.3900199999998</v>
      </c>
      <c r="AV515" s="97">
        <v>4737.3900199999998</v>
      </c>
      <c r="AW515" s="96"/>
      <c r="AX515" s="96"/>
      <c r="AY515" s="96"/>
      <c r="AZ515" s="96"/>
      <c r="BA515" s="98">
        <v>3.0956000000000001E-2</v>
      </c>
      <c r="BB515" s="98">
        <v>2.467E-3</v>
      </c>
      <c r="BC515" s="106"/>
    </row>
    <row r="516" spans="1:55" ht="15" customHeight="1">
      <c r="A516" s="106"/>
      <c r="B516" s="96">
        <v>286</v>
      </c>
      <c r="C516" s="96">
        <v>286</v>
      </c>
      <c r="D516" s="96"/>
      <c r="E516" s="96"/>
      <c r="F516" s="96"/>
      <c r="G516" s="96">
        <v>25000107</v>
      </c>
      <c r="H516" s="96" t="s">
        <v>1013</v>
      </c>
      <c r="I516" s="96" t="s">
        <v>3684</v>
      </c>
      <c r="J516" s="96" t="s">
        <v>203</v>
      </c>
      <c r="K516" s="96"/>
      <c r="L516" s="96" t="s">
        <v>463</v>
      </c>
      <c r="M516" s="96" t="s">
        <v>337</v>
      </c>
      <c r="N516" s="96" t="s">
        <v>338</v>
      </c>
      <c r="O516" s="96"/>
      <c r="P516" s="100">
        <v>42002</v>
      </c>
      <c r="Q516" s="96" t="s">
        <v>1313</v>
      </c>
      <c r="R516" s="96" t="s">
        <v>412</v>
      </c>
      <c r="S516" s="96" t="s">
        <v>407</v>
      </c>
      <c r="T516" s="96" t="s">
        <v>1200</v>
      </c>
      <c r="U516" s="97">
        <v>2.36</v>
      </c>
      <c r="V516" s="96" t="s">
        <v>3678</v>
      </c>
      <c r="W516" s="98">
        <v>2.5000000000000001E-2</v>
      </c>
      <c r="X516" s="96"/>
      <c r="Y516" s="96"/>
      <c r="Z516" s="96"/>
      <c r="AA516" s="98">
        <v>2.3699999999999999E-2</v>
      </c>
      <c r="AB516" s="100">
        <v>46388</v>
      </c>
      <c r="AC516" s="96" t="s">
        <v>411</v>
      </c>
      <c r="AD516" s="96"/>
      <c r="AE516" s="96"/>
      <c r="AF516" s="96"/>
      <c r="AG516" s="100">
        <v>44917</v>
      </c>
      <c r="AH516" s="96"/>
      <c r="AI516" s="96"/>
      <c r="AJ516" s="96"/>
      <c r="AK516" s="96" t="s">
        <v>337</v>
      </c>
      <c r="AL516" s="96" t="s">
        <v>887</v>
      </c>
      <c r="AM516" s="96"/>
      <c r="AN516" s="96" t="s">
        <v>890</v>
      </c>
      <c r="AO516" s="100">
        <v>45473</v>
      </c>
      <c r="AP516" s="100">
        <v>45473</v>
      </c>
      <c r="AQ516" s="96"/>
      <c r="AR516" s="97">
        <v>512150.49182699999</v>
      </c>
      <c r="AS516" s="97">
        <v>114.6</v>
      </c>
      <c r="AT516" s="97">
        <v>1</v>
      </c>
      <c r="AU516" s="97">
        <v>586.92446299999995</v>
      </c>
      <c r="AV516" s="97">
        <v>586.92446299999995</v>
      </c>
      <c r="AW516" s="96"/>
      <c r="AX516" s="96"/>
      <c r="AY516" s="96"/>
      <c r="AZ516" s="96"/>
      <c r="BA516" s="98">
        <v>3.8349999999999999E-3</v>
      </c>
      <c r="BB516" s="98">
        <v>3.0499999999999999E-4</v>
      </c>
      <c r="BC516" s="106"/>
    </row>
    <row r="517" spans="1:55" ht="15" customHeight="1">
      <c r="A517" s="106"/>
      <c r="B517" s="96">
        <v>286</v>
      </c>
      <c r="C517" s="96">
        <v>286</v>
      </c>
      <c r="D517" s="96"/>
      <c r="E517" s="96"/>
      <c r="F517" s="96"/>
      <c r="G517" s="96">
        <v>25000073</v>
      </c>
      <c r="H517" s="96" t="s">
        <v>1013</v>
      </c>
      <c r="I517" s="96" t="s">
        <v>785</v>
      </c>
      <c r="J517" s="96" t="s">
        <v>203</v>
      </c>
      <c r="K517" s="96"/>
      <c r="L517" s="96" t="s">
        <v>463</v>
      </c>
      <c r="M517" s="96" t="s">
        <v>337</v>
      </c>
      <c r="N517" s="96" t="s">
        <v>338</v>
      </c>
      <c r="O517" s="96"/>
      <c r="P517" s="100">
        <v>41771</v>
      </c>
      <c r="Q517" s="96" t="s">
        <v>1324</v>
      </c>
      <c r="R517" s="96" t="s">
        <v>412</v>
      </c>
      <c r="S517" s="96" t="s">
        <v>407</v>
      </c>
      <c r="T517" s="96" t="s">
        <v>1200</v>
      </c>
      <c r="U517" s="97">
        <v>3.05</v>
      </c>
      <c r="V517" s="96" t="s">
        <v>3678</v>
      </c>
      <c r="W517" s="98">
        <v>5.3999999999999999E-2</v>
      </c>
      <c r="X517" s="96"/>
      <c r="Y517" s="96"/>
      <c r="Z517" s="96"/>
      <c r="AA517" s="98">
        <v>0.04</v>
      </c>
      <c r="AB517" s="100">
        <v>47838</v>
      </c>
      <c r="AC517" s="96" t="s">
        <v>411</v>
      </c>
      <c r="AD517" s="96"/>
      <c r="AE517" s="96"/>
      <c r="AF517" s="96"/>
      <c r="AG517" s="100">
        <v>44966</v>
      </c>
      <c r="AH517" s="96"/>
      <c r="AI517" s="96"/>
      <c r="AJ517" s="96"/>
      <c r="AK517" s="96" t="s">
        <v>337</v>
      </c>
      <c r="AL517" s="96" t="s">
        <v>887</v>
      </c>
      <c r="AM517" s="96"/>
      <c r="AN517" s="96" t="s">
        <v>890</v>
      </c>
      <c r="AO517" s="100">
        <v>45473</v>
      </c>
      <c r="AP517" s="100">
        <v>45473</v>
      </c>
      <c r="AQ517" s="96"/>
      <c r="AR517" s="97">
        <v>36832.415601000001</v>
      </c>
      <c r="AS517" s="97">
        <v>119.08</v>
      </c>
      <c r="AT517" s="97">
        <v>1</v>
      </c>
      <c r="AU517" s="97">
        <v>43.860039999999998</v>
      </c>
      <c r="AV517" s="97">
        <v>43.860039999999998</v>
      </c>
      <c r="AW517" s="96"/>
      <c r="AX517" s="96"/>
      <c r="AY517" s="96"/>
      <c r="AZ517" s="96"/>
      <c r="BA517" s="98">
        <v>2.8600000000000001E-4</v>
      </c>
      <c r="BB517" s="98">
        <v>2.1999999999999999E-5</v>
      </c>
      <c r="BC517" s="106"/>
    </row>
    <row r="518" spans="1:55" ht="15" customHeight="1">
      <c r="A518" s="106"/>
      <c r="B518" s="96">
        <v>286</v>
      </c>
      <c r="C518" s="96">
        <v>286</v>
      </c>
      <c r="D518" s="96"/>
      <c r="E518" s="96"/>
      <c r="F518" s="96"/>
      <c r="G518" s="96">
        <v>25000183</v>
      </c>
      <c r="H518" s="96" t="s">
        <v>1013</v>
      </c>
      <c r="I518" s="96" t="s">
        <v>3687</v>
      </c>
      <c r="J518" s="96" t="s">
        <v>203</v>
      </c>
      <c r="K518" s="96"/>
      <c r="L518" s="96" t="s">
        <v>477</v>
      </c>
      <c r="M518" s="96" t="s">
        <v>338</v>
      </c>
      <c r="N518" s="96" t="s">
        <v>338</v>
      </c>
      <c r="O518" s="96"/>
      <c r="P518" s="100">
        <v>42369</v>
      </c>
      <c r="Q518" s="96" t="s">
        <v>409</v>
      </c>
      <c r="R518" s="96" t="s">
        <v>409</v>
      </c>
      <c r="S518" s="96" t="s">
        <v>409</v>
      </c>
      <c r="T518" s="96" t="s">
        <v>1200</v>
      </c>
      <c r="U518" s="97">
        <v>6.3</v>
      </c>
      <c r="V518" s="96" t="s">
        <v>3678</v>
      </c>
      <c r="W518" s="98">
        <v>3.0317E-2</v>
      </c>
      <c r="X518" s="96"/>
      <c r="Y518" s="96"/>
      <c r="Z518" s="96"/>
      <c r="AA518" s="98">
        <v>2.8000000000000001E-2</v>
      </c>
      <c r="AB518" s="100">
        <v>52778</v>
      </c>
      <c r="AC518" s="96" t="s">
        <v>411</v>
      </c>
      <c r="AD518" s="96"/>
      <c r="AE518" s="96"/>
      <c r="AF518" s="96"/>
      <c r="AG518" s="100">
        <v>44986</v>
      </c>
      <c r="AH518" s="96"/>
      <c r="AI518" s="96"/>
      <c r="AJ518" s="96"/>
      <c r="AK518" s="96" t="s">
        <v>337</v>
      </c>
      <c r="AL518" s="96" t="s">
        <v>887</v>
      </c>
      <c r="AM518" s="96"/>
      <c r="AN518" s="96" t="s">
        <v>890</v>
      </c>
      <c r="AO518" s="100">
        <v>45473</v>
      </c>
      <c r="AP518" s="100">
        <v>45473</v>
      </c>
      <c r="AQ518" s="96"/>
      <c r="AR518" s="97">
        <v>51844.239780999997</v>
      </c>
      <c r="AS518" s="97">
        <v>116.78</v>
      </c>
      <c r="AT518" s="97">
        <v>1</v>
      </c>
      <c r="AU518" s="97">
        <v>60.543703000000001</v>
      </c>
      <c r="AV518" s="97">
        <v>60.543703000000001</v>
      </c>
      <c r="AW518" s="96"/>
      <c r="AX518" s="96"/>
      <c r="AY518" s="96"/>
      <c r="AZ518" s="96"/>
      <c r="BA518" s="98">
        <v>3.9500000000000001E-4</v>
      </c>
      <c r="BB518" s="98">
        <v>3.1000000000000001E-5</v>
      </c>
      <c r="BC518" s="106"/>
    </row>
    <row r="519" spans="1:55" ht="15" customHeight="1">
      <c r="A519" s="106"/>
      <c r="B519" s="96">
        <v>286</v>
      </c>
      <c r="C519" s="96">
        <v>286</v>
      </c>
      <c r="D519" s="96"/>
      <c r="E519" s="96"/>
      <c r="F519" s="96"/>
      <c r="G519" s="96">
        <v>25000364</v>
      </c>
      <c r="H519" s="96" t="s">
        <v>1013</v>
      </c>
      <c r="I519" s="96" t="s">
        <v>812</v>
      </c>
      <c r="J519" s="96" t="s">
        <v>203</v>
      </c>
      <c r="K519" s="96"/>
      <c r="L519" s="96" t="s">
        <v>454</v>
      </c>
      <c r="M519" s="96" t="s">
        <v>338</v>
      </c>
      <c r="N519" s="96" t="s">
        <v>337</v>
      </c>
      <c r="O519" s="96"/>
      <c r="P519" s="100">
        <v>43377</v>
      </c>
      <c r="Q519" s="96" t="s">
        <v>1357</v>
      </c>
      <c r="R519" s="96" t="s">
        <v>414</v>
      </c>
      <c r="S519" s="96" t="s">
        <v>407</v>
      </c>
      <c r="T519" s="96" t="s">
        <v>1200</v>
      </c>
      <c r="U519" s="97">
        <v>7.28</v>
      </c>
      <c r="V519" s="96" t="s">
        <v>3678</v>
      </c>
      <c r="W519" s="98">
        <v>4.0099999999999997E-2</v>
      </c>
      <c r="X519" s="96"/>
      <c r="Y519" s="96"/>
      <c r="Z519" s="96"/>
      <c r="AA519" s="98">
        <v>0.04</v>
      </c>
      <c r="AB519" s="100">
        <v>51677</v>
      </c>
      <c r="AC519" s="96" t="s">
        <v>411</v>
      </c>
      <c r="AD519" s="96"/>
      <c r="AE519" s="96"/>
      <c r="AF519" s="96"/>
      <c r="AG519" s="100">
        <v>45291</v>
      </c>
      <c r="AH519" s="96"/>
      <c r="AI519" s="96"/>
      <c r="AJ519" s="96"/>
      <c r="AK519" s="96" t="s">
        <v>337</v>
      </c>
      <c r="AL519" s="96" t="s">
        <v>887</v>
      </c>
      <c r="AM519" s="96"/>
      <c r="AN519" s="96" t="s">
        <v>890</v>
      </c>
      <c r="AO519" s="100">
        <v>45473</v>
      </c>
      <c r="AP519" s="100">
        <v>45473</v>
      </c>
      <c r="AQ519" s="96"/>
      <c r="AR519" s="97">
        <v>111574.34</v>
      </c>
      <c r="AS519" s="97">
        <v>110.91</v>
      </c>
      <c r="AT519" s="97">
        <v>1</v>
      </c>
      <c r="AU519" s="97">
        <v>123.7471</v>
      </c>
      <c r="AV519" s="97">
        <v>123.7471</v>
      </c>
      <c r="AW519" s="96"/>
      <c r="AX519" s="96"/>
      <c r="AY519" s="96"/>
      <c r="AZ519" s="96"/>
      <c r="BA519" s="98">
        <v>8.0800000000000002E-4</v>
      </c>
      <c r="BB519" s="98">
        <v>6.3999999999999997E-5</v>
      </c>
      <c r="BC519" s="106"/>
    </row>
    <row r="520" spans="1:55" ht="15" customHeight="1">
      <c r="A520" s="106"/>
      <c r="B520" s="96">
        <v>286</v>
      </c>
      <c r="C520" s="96">
        <v>286</v>
      </c>
      <c r="D520" s="96"/>
      <c r="E520" s="96"/>
      <c r="F520" s="96"/>
      <c r="G520" s="96">
        <v>25000211</v>
      </c>
      <c r="H520" s="96" t="s">
        <v>1013</v>
      </c>
      <c r="I520" s="96"/>
      <c r="J520" s="96" t="s">
        <v>203</v>
      </c>
      <c r="K520" s="96"/>
      <c r="L520" s="96" t="s">
        <v>477</v>
      </c>
      <c r="M520" s="96" t="s">
        <v>338</v>
      </c>
      <c r="N520" s="96" t="s">
        <v>337</v>
      </c>
      <c r="O520" s="96"/>
      <c r="P520" s="100">
        <v>42491</v>
      </c>
      <c r="Q520" s="96" t="s">
        <v>3690</v>
      </c>
      <c r="R520" s="96" t="s">
        <v>311</v>
      </c>
      <c r="S520" s="96" t="s">
        <v>408</v>
      </c>
      <c r="T520" s="96" t="s">
        <v>1200</v>
      </c>
      <c r="U520" s="97">
        <v>3.78</v>
      </c>
      <c r="V520" s="96" t="s">
        <v>3678</v>
      </c>
      <c r="W520" s="98">
        <v>2.4920000000000001E-2</v>
      </c>
      <c r="X520" s="96"/>
      <c r="Y520" s="96"/>
      <c r="Z520" s="96"/>
      <c r="AA520" s="98">
        <v>3.3399999999999999E-2</v>
      </c>
      <c r="AB520" s="100">
        <v>47058</v>
      </c>
      <c r="AC520" s="96" t="s">
        <v>411</v>
      </c>
      <c r="AD520" s="96"/>
      <c r="AE520" s="96"/>
      <c r="AF520" s="96"/>
      <c r="AG520" s="100">
        <v>45179</v>
      </c>
      <c r="AH520" s="96"/>
      <c r="AI520" s="96"/>
      <c r="AJ520" s="96"/>
      <c r="AK520" s="96" t="s">
        <v>337</v>
      </c>
      <c r="AL520" s="96" t="s">
        <v>887</v>
      </c>
      <c r="AM520" s="96"/>
      <c r="AN520" s="96" t="s">
        <v>890</v>
      </c>
      <c r="AO520" s="100">
        <v>45473</v>
      </c>
      <c r="AP520" s="100">
        <v>45473</v>
      </c>
      <c r="AQ520" s="96"/>
      <c r="AR520" s="97">
        <v>2179.4</v>
      </c>
      <c r="AS520" s="97">
        <v>100</v>
      </c>
      <c r="AT520" s="97">
        <v>1</v>
      </c>
      <c r="AU520" s="97">
        <v>2.1793999999999998</v>
      </c>
      <c r="AV520" s="97">
        <v>2.1793999999999998</v>
      </c>
      <c r="AW520" s="96"/>
      <c r="AX520" s="96"/>
      <c r="AY520" s="96"/>
      <c r="AZ520" s="96"/>
      <c r="BA520" s="98">
        <v>1.4E-5</v>
      </c>
      <c r="BB520" s="98">
        <v>9.9999999999999995E-7</v>
      </c>
      <c r="BC520" s="106"/>
    </row>
    <row r="521" spans="1:55" ht="15" customHeight="1">
      <c r="A521" s="106"/>
      <c r="B521" s="96">
        <v>286</v>
      </c>
      <c r="C521" s="96">
        <v>286</v>
      </c>
      <c r="D521" s="96"/>
      <c r="E521" s="96"/>
      <c r="F521" s="96"/>
      <c r="G521" s="96">
        <v>25000238</v>
      </c>
      <c r="H521" s="96" t="s">
        <v>1013</v>
      </c>
      <c r="I521" s="96"/>
      <c r="J521" s="96" t="s">
        <v>203</v>
      </c>
      <c r="K521" s="96"/>
      <c r="L521" s="96" t="s">
        <v>458</v>
      </c>
      <c r="M521" s="96" t="s">
        <v>338</v>
      </c>
      <c r="N521" s="96" t="s">
        <v>338</v>
      </c>
      <c r="O521" s="96"/>
      <c r="P521" s="100">
        <v>42772</v>
      </c>
      <c r="Q521" s="96" t="s">
        <v>1208</v>
      </c>
      <c r="R521" s="96" t="s">
        <v>311</v>
      </c>
      <c r="S521" s="96" t="s">
        <v>407</v>
      </c>
      <c r="T521" s="96" t="s">
        <v>1200</v>
      </c>
      <c r="U521" s="97">
        <v>0.59</v>
      </c>
      <c r="V521" s="96" t="s">
        <v>3678</v>
      </c>
      <c r="W521" s="98">
        <v>5.3999999999999999E-2</v>
      </c>
      <c r="X521" s="96"/>
      <c r="Y521" s="96"/>
      <c r="Z521" s="96"/>
      <c r="AA521" s="98">
        <v>5.4600000000000003E-2</v>
      </c>
      <c r="AB521" s="100">
        <v>45694</v>
      </c>
      <c r="AC521" s="96" t="s">
        <v>411</v>
      </c>
      <c r="AD521" s="96"/>
      <c r="AE521" s="96"/>
      <c r="AF521" s="96"/>
      <c r="AG521" s="100"/>
      <c r="AH521" s="96"/>
      <c r="AI521" s="96"/>
      <c r="AJ521" s="96"/>
      <c r="AK521" s="96" t="s">
        <v>337</v>
      </c>
      <c r="AL521" s="96" t="s">
        <v>887</v>
      </c>
      <c r="AM521" s="96"/>
      <c r="AN521" s="96" t="s">
        <v>890</v>
      </c>
      <c r="AO521" s="100">
        <v>45473</v>
      </c>
      <c r="AP521" s="100">
        <v>45473</v>
      </c>
      <c r="AQ521" s="96"/>
      <c r="AR521" s="97">
        <v>45943.60456</v>
      </c>
      <c r="AS521" s="97">
        <v>102.13</v>
      </c>
      <c r="AT521" s="97">
        <v>1</v>
      </c>
      <c r="AU521" s="97">
        <v>46.922203000000003</v>
      </c>
      <c r="AV521" s="97">
        <v>46.922203000000003</v>
      </c>
      <c r="AW521" s="96"/>
      <c r="AX521" s="96"/>
      <c r="AY521" s="96"/>
      <c r="AZ521" s="96"/>
      <c r="BA521" s="98">
        <v>3.0600000000000001E-4</v>
      </c>
      <c r="BB521" s="98">
        <v>2.4000000000000001E-5</v>
      </c>
      <c r="BC521" s="106"/>
    </row>
    <row r="522" spans="1:55" ht="15" customHeight="1">
      <c r="A522" s="106"/>
      <c r="B522" s="96">
        <v>286</v>
      </c>
      <c r="C522" s="96">
        <v>286</v>
      </c>
      <c r="D522" s="96"/>
      <c r="E522" s="96"/>
      <c r="F522" s="96"/>
      <c r="G522" s="96">
        <v>25000355</v>
      </c>
      <c r="H522" s="96" t="s">
        <v>1013</v>
      </c>
      <c r="I522" s="96"/>
      <c r="J522" s="96" t="s">
        <v>203</v>
      </c>
      <c r="K522" s="96"/>
      <c r="L522" s="96" t="s">
        <v>461</v>
      </c>
      <c r="M522" s="96" t="s">
        <v>338</v>
      </c>
      <c r="N522" s="96" t="s">
        <v>338</v>
      </c>
      <c r="O522" s="96"/>
      <c r="P522" s="100">
        <v>43300</v>
      </c>
      <c r="Q522" s="96" t="s">
        <v>1208</v>
      </c>
      <c r="R522" s="96" t="s">
        <v>311</v>
      </c>
      <c r="S522" s="96" t="s">
        <v>407</v>
      </c>
      <c r="T522" s="96" t="s">
        <v>1200</v>
      </c>
      <c r="U522" s="97">
        <v>1.03</v>
      </c>
      <c r="V522" s="96" t="s">
        <v>3678</v>
      </c>
      <c r="W522" s="98">
        <v>2.9499999999999998E-2</v>
      </c>
      <c r="X522" s="96"/>
      <c r="Y522" s="96"/>
      <c r="Z522" s="96"/>
      <c r="AA522" s="98">
        <v>5.6000000000000001E-2</v>
      </c>
      <c r="AB522" s="100">
        <v>46221</v>
      </c>
      <c r="AC522" s="96" t="s">
        <v>411</v>
      </c>
      <c r="AD522" s="96"/>
      <c r="AE522" s="96"/>
      <c r="AF522" s="96"/>
      <c r="AG522" s="100"/>
      <c r="AH522" s="96"/>
      <c r="AI522" s="96"/>
      <c r="AJ522" s="96"/>
      <c r="AK522" s="96" t="s">
        <v>337</v>
      </c>
      <c r="AL522" s="96" t="s">
        <v>887</v>
      </c>
      <c r="AM522" s="96"/>
      <c r="AN522" s="96" t="s">
        <v>890</v>
      </c>
      <c r="AO522" s="100">
        <v>45473</v>
      </c>
      <c r="AP522" s="100">
        <v>45473</v>
      </c>
      <c r="AQ522" s="96"/>
      <c r="AR522" s="97">
        <v>263487.73968499998</v>
      </c>
      <c r="AS522" s="97">
        <v>98.7</v>
      </c>
      <c r="AT522" s="97">
        <v>1</v>
      </c>
      <c r="AU522" s="97">
        <v>260.06239900000003</v>
      </c>
      <c r="AV522" s="97">
        <v>260.06239900000003</v>
      </c>
      <c r="AW522" s="96"/>
      <c r="AX522" s="96"/>
      <c r="AY522" s="96"/>
      <c r="AZ522" s="96"/>
      <c r="BA522" s="98">
        <v>1.699E-3</v>
      </c>
      <c r="BB522" s="98">
        <v>1.35E-4</v>
      </c>
      <c r="BC522" s="106"/>
    </row>
    <row r="523" spans="1:55" ht="15" customHeight="1">
      <c r="A523" s="106"/>
      <c r="B523" s="96">
        <v>286</v>
      </c>
      <c r="C523" s="96">
        <v>286</v>
      </c>
      <c r="D523" s="96"/>
      <c r="E523" s="96"/>
      <c r="F523" s="96"/>
      <c r="G523" s="96">
        <v>25000349</v>
      </c>
      <c r="H523" s="96" t="s">
        <v>1013</v>
      </c>
      <c r="I523" s="96" t="s">
        <v>812</v>
      </c>
      <c r="J523" s="96" t="s">
        <v>203</v>
      </c>
      <c r="K523" s="96"/>
      <c r="L523" s="96" t="s">
        <v>454</v>
      </c>
      <c r="M523" s="96" t="s">
        <v>338</v>
      </c>
      <c r="N523" s="96" t="s">
        <v>337</v>
      </c>
      <c r="O523" s="96"/>
      <c r="P523" s="100">
        <v>43285</v>
      </c>
      <c r="Q523" s="96" t="s">
        <v>1357</v>
      </c>
      <c r="R523" s="96" t="s">
        <v>414</v>
      </c>
      <c r="S523" s="96" t="s">
        <v>407</v>
      </c>
      <c r="T523" s="96" t="s">
        <v>1200</v>
      </c>
      <c r="U523" s="97">
        <v>7.29</v>
      </c>
      <c r="V523" s="96" t="s">
        <v>3678</v>
      </c>
      <c r="W523" s="98">
        <v>4.0099999999999997E-2</v>
      </c>
      <c r="X523" s="96"/>
      <c r="Y523" s="96"/>
      <c r="Z523" s="96"/>
      <c r="AA523" s="98">
        <v>3.9E-2</v>
      </c>
      <c r="AB523" s="100">
        <v>51677</v>
      </c>
      <c r="AC523" s="96" t="s">
        <v>411</v>
      </c>
      <c r="AD523" s="96"/>
      <c r="AE523" s="96"/>
      <c r="AF523" s="96"/>
      <c r="AG523" s="100">
        <v>45291</v>
      </c>
      <c r="AH523" s="96"/>
      <c r="AI523" s="96"/>
      <c r="AJ523" s="96"/>
      <c r="AK523" s="96" t="s">
        <v>337</v>
      </c>
      <c r="AL523" s="96" t="s">
        <v>887</v>
      </c>
      <c r="AM523" s="96"/>
      <c r="AN523" s="96" t="s">
        <v>890</v>
      </c>
      <c r="AO523" s="100">
        <v>45473</v>
      </c>
      <c r="AP523" s="100">
        <v>45473</v>
      </c>
      <c r="AQ523" s="96"/>
      <c r="AR523" s="97">
        <v>55806.05</v>
      </c>
      <c r="AS523" s="97">
        <v>112.29</v>
      </c>
      <c r="AT523" s="97">
        <v>1</v>
      </c>
      <c r="AU523" s="97">
        <v>62.664619999999999</v>
      </c>
      <c r="AV523" s="97">
        <v>62.664619999999999</v>
      </c>
      <c r="AW523" s="96"/>
      <c r="AX523" s="96"/>
      <c r="AY523" s="96"/>
      <c r="AZ523" s="96"/>
      <c r="BA523" s="98">
        <v>4.0900000000000002E-4</v>
      </c>
      <c r="BB523" s="98">
        <v>3.1999999999999999E-5</v>
      </c>
      <c r="BC523" s="106"/>
    </row>
    <row r="524" spans="1:55" ht="15" customHeight="1">
      <c r="A524" s="106"/>
      <c r="B524" s="96">
        <v>286</v>
      </c>
      <c r="C524" s="96">
        <v>286</v>
      </c>
      <c r="D524" s="96"/>
      <c r="E524" s="96"/>
      <c r="F524" s="96"/>
      <c r="G524" s="96">
        <v>25000337</v>
      </c>
      <c r="H524" s="96" t="s">
        <v>1013</v>
      </c>
      <c r="I524" s="96" t="s">
        <v>812</v>
      </c>
      <c r="J524" s="96" t="s">
        <v>203</v>
      </c>
      <c r="K524" s="96"/>
      <c r="L524" s="96" t="s">
        <v>454</v>
      </c>
      <c r="M524" s="96" t="s">
        <v>338</v>
      </c>
      <c r="N524" s="96" t="s">
        <v>337</v>
      </c>
      <c r="O524" s="96"/>
      <c r="P524" s="100">
        <v>43194</v>
      </c>
      <c r="Q524" s="96" t="s">
        <v>1357</v>
      </c>
      <c r="R524" s="96" t="s">
        <v>414</v>
      </c>
      <c r="S524" s="96" t="s">
        <v>407</v>
      </c>
      <c r="T524" s="96" t="s">
        <v>1200</v>
      </c>
      <c r="U524" s="97">
        <v>7.33</v>
      </c>
      <c r="V524" s="96" t="s">
        <v>3678</v>
      </c>
      <c r="W524" s="98">
        <v>3.8199999999999998E-2</v>
      </c>
      <c r="X524" s="96"/>
      <c r="Y524" s="96"/>
      <c r="Z524" s="96"/>
      <c r="AA524" s="98">
        <v>3.8899999999999997E-2</v>
      </c>
      <c r="AB524" s="100">
        <v>51677</v>
      </c>
      <c r="AC524" s="96" t="s">
        <v>411</v>
      </c>
      <c r="AD524" s="96"/>
      <c r="AE524" s="96"/>
      <c r="AF524" s="96"/>
      <c r="AG524" s="100">
        <v>45291</v>
      </c>
      <c r="AH524" s="96"/>
      <c r="AI524" s="96"/>
      <c r="AJ524" s="96"/>
      <c r="AK524" s="96" t="s">
        <v>337</v>
      </c>
      <c r="AL524" s="96" t="s">
        <v>887</v>
      </c>
      <c r="AM524" s="96"/>
      <c r="AN524" s="96" t="s">
        <v>890</v>
      </c>
      <c r="AO524" s="100">
        <v>45473</v>
      </c>
      <c r="AP524" s="100">
        <v>45473</v>
      </c>
      <c r="AQ524" s="96"/>
      <c r="AR524" s="97">
        <v>41831.49</v>
      </c>
      <c r="AS524" s="97">
        <v>111.85</v>
      </c>
      <c r="AT524" s="97">
        <v>1</v>
      </c>
      <c r="AU524" s="97">
        <v>46.788519999999998</v>
      </c>
      <c r="AV524" s="97">
        <v>46.788519999999998</v>
      </c>
      <c r="AW524" s="96"/>
      <c r="AX524" s="96"/>
      <c r="AY524" s="96"/>
      <c r="AZ524" s="96"/>
      <c r="BA524" s="98">
        <v>3.0499999999999999E-4</v>
      </c>
      <c r="BB524" s="98">
        <v>2.4000000000000001E-5</v>
      </c>
      <c r="BC524" s="106"/>
    </row>
    <row r="525" spans="1:55" ht="15" customHeight="1">
      <c r="A525" s="106"/>
      <c r="B525" s="96">
        <v>286</v>
      </c>
      <c r="C525" s="96">
        <v>286</v>
      </c>
      <c r="D525" s="96"/>
      <c r="E525" s="96"/>
      <c r="F525" s="96"/>
      <c r="G525" s="96">
        <v>25000336</v>
      </c>
      <c r="H525" s="96" t="s">
        <v>1013</v>
      </c>
      <c r="I525" s="96" t="s">
        <v>785</v>
      </c>
      <c r="J525" s="96" t="s">
        <v>203</v>
      </c>
      <c r="K525" s="96"/>
      <c r="L525" s="96" t="s">
        <v>463</v>
      </c>
      <c r="M525" s="96" t="s">
        <v>338</v>
      </c>
      <c r="N525" s="96" t="s">
        <v>338</v>
      </c>
      <c r="O525" s="96"/>
      <c r="P525" s="100">
        <v>43181</v>
      </c>
      <c r="Q525" s="96" t="s">
        <v>1309</v>
      </c>
      <c r="R525" s="96" t="s">
        <v>414</v>
      </c>
      <c r="S525" s="96" t="s">
        <v>407</v>
      </c>
      <c r="T525" s="96" t="s">
        <v>1200</v>
      </c>
      <c r="U525" s="97">
        <v>2.17</v>
      </c>
      <c r="V525" s="96" t="s">
        <v>3678</v>
      </c>
      <c r="W525" s="98">
        <v>2.8500000000000001E-2</v>
      </c>
      <c r="X525" s="96"/>
      <c r="Y525" s="96"/>
      <c r="Z525" s="96"/>
      <c r="AA525" s="98">
        <v>3.7900000000000003E-2</v>
      </c>
      <c r="AB525" s="100">
        <v>47036</v>
      </c>
      <c r="AC525" s="96" t="s">
        <v>411</v>
      </c>
      <c r="AD525" s="96"/>
      <c r="AE525" s="96"/>
      <c r="AF525" s="96"/>
      <c r="AG525" s="100">
        <v>45004</v>
      </c>
      <c r="AH525" s="96"/>
      <c r="AI525" s="96"/>
      <c r="AJ525" s="96"/>
      <c r="AK525" s="96" t="s">
        <v>337</v>
      </c>
      <c r="AL525" s="96" t="s">
        <v>887</v>
      </c>
      <c r="AM525" s="96"/>
      <c r="AN525" s="96" t="s">
        <v>890</v>
      </c>
      <c r="AO525" s="100">
        <v>45473</v>
      </c>
      <c r="AP525" s="100">
        <v>45473</v>
      </c>
      <c r="AQ525" s="96"/>
      <c r="AR525" s="97">
        <v>104332.88209899999</v>
      </c>
      <c r="AS525" s="97">
        <v>113.38</v>
      </c>
      <c r="AT525" s="97">
        <v>1</v>
      </c>
      <c r="AU525" s="97">
        <v>118.292621</v>
      </c>
      <c r="AV525" s="97">
        <v>118.292621</v>
      </c>
      <c r="AW525" s="96"/>
      <c r="AX525" s="96"/>
      <c r="AY525" s="96"/>
      <c r="AZ525" s="96"/>
      <c r="BA525" s="98">
        <v>7.7200000000000001E-4</v>
      </c>
      <c r="BB525" s="98">
        <v>6.0999999999999999E-5</v>
      </c>
      <c r="BC525" s="106"/>
    </row>
    <row r="526" spans="1:55" ht="15" customHeight="1">
      <c r="A526" s="106"/>
      <c r="B526" s="96">
        <v>286</v>
      </c>
      <c r="C526" s="96">
        <v>286</v>
      </c>
      <c r="D526" s="96"/>
      <c r="E526" s="96"/>
      <c r="F526" s="96"/>
      <c r="G526" s="96">
        <v>25000328</v>
      </c>
      <c r="H526" s="96" t="s">
        <v>1013</v>
      </c>
      <c r="I526" s="96" t="s">
        <v>812</v>
      </c>
      <c r="J526" s="96" t="s">
        <v>203</v>
      </c>
      <c r="K526" s="96"/>
      <c r="L526" s="96" t="s">
        <v>454</v>
      </c>
      <c r="M526" s="96" t="s">
        <v>338</v>
      </c>
      <c r="N526" s="96" t="s">
        <v>337</v>
      </c>
      <c r="O526" s="96"/>
      <c r="P526" s="100">
        <v>43104</v>
      </c>
      <c r="Q526" s="96" t="s">
        <v>1357</v>
      </c>
      <c r="R526" s="96" t="s">
        <v>414</v>
      </c>
      <c r="S526" s="96" t="s">
        <v>407</v>
      </c>
      <c r="T526" s="96" t="s">
        <v>1200</v>
      </c>
      <c r="U526" s="97">
        <v>7.23</v>
      </c>
      <c r="V526" s="96" t="s">
        <v>3678</v>
      </c>
      <c r="W526" s="98">
        <v>3.8199999999999998E-2</v>
      </c>
      <c r="X526" s="96"/>
      <c r="Y526" s="96"/>
      <c r="Z526" s="96"/>
      <c r="AA526" s="98">
        <v>4.3299999999999998E-2</v>
      </c>
      <c r="AB526" s="100">
        <v>51677</v>
      </c>
      <c r="AC526" s="96" t="s">
        <v>411</v>
      </c>
      <c r="AD526" s="96"/>
      <c r="AE526" s="96"/>
      <c r="AF526" s="96"/>
      <c r="AG526" s="100">
        <v>45291</v>
      </c>
      <c r="AH526" s="96"/>
      <c r="AI526" s="96"/>
      <c r="AJ526" s="96"/>
      <c r="AK526" s="96" t="s">
        <v>337</v>
      </c>
      <c r="AL526" s="96" t="s">
        <v>887</v>
      </c>
      <c r="AM526" s="96"/>
      <c r="AN526" s="96" t="s">
        <v>890</v>
      </c>
      <c r="AO526" s="100">
        <v>45473</v>
      </c>
      <c r="AP526" s="100">
        <v>45473</v>
      </c>
      <c r="AQ526" s="96"/>
      <c r="AR526" s="97">
        <v>64835.19</v>
      </c>
      <c r="AS526" s="97">
        <v>108.33</v>
      </c>
      <c r="AT526" s="97">
        <v>1</v>
      </c>
      <c r="AU526" s="97">
        <v>70.235960000000006</v>
      </c>
      <c r="AV526" s="97">
        <v>70.235960000000006</v>
      </c>
      <c r="AW526" s="96"/>
      <c r="AX526" s="96"/>
      <c r="AY526" s="96"/>
      <c r="AZ526" s="96"/>
      <c r="BA526" s="98">
        <v>4.5800000000000002E-4</v>
      </c>
      <c r="BB526" s="98">
        <v>3.6000000000000001E-5</v>
      </c>
      <c r="BC526" s="106"/>
    </row>
    <row r="527" spans="1:55" ht="15" customHeight="1">
      <c r="A527" s="106"/>
      <c r="B527" s="96">
        <v>286</v>
      </c>
      <c r="C527" s="96">
        <v>286</v>
      </c>
      <c r="D527" s="96"/>
      <c r="E527" s="96"/>
      <c r="F527" s="96"/>
      <c r="G527" s="96">
        <v>25000325</v>
      </c>
      <c r="H527" s="96" t="s">
        <v>1013</v>
      </c>
      <c r="I527" s="96" t="s">
        <v>818</v>
      </c>
      <c r="J527" s="96" t="s">
        <v>203</v>
      </c>
      <c r="K527" s="96"/>
      <c r="L527" s="96" t="s">
        <v>473</v>
      </c>
      <c r="M527" s="96" t="s">
        <v>338</v>
      </c>
      <c r="N527" s="96" t="s">
        <v>337</v>
      </c>
      <c r="O527" s="96"/>
      <c r="P527" s="100">
        <v>43095</v>
      </c>
      <c r="Q527" s="96" t="s">
        <v>409</v>
      </c>
      <c r="R527" s="96" t="s">
        <v>409</v>
      </c>
      <c r="S527" s="96" t="s">
        <v>409</v>
      </c>
      <c r="T527" s="96" t="s">
        <v>1200</v>
      </c>
      <c r="U527" s="97">
        <v>3.84</v>
      </c>
      <c r="V527" s="96" t="s">
        <v>3678</v>
      </c>
      <c r="W527" s="98">
        <v>3.5299999999999998E-2</v>
      </c>
      <c r="X527" s="96"/>
      <c r="Y527" s="96"/>
      <c r="Z527" s="96"/>
      <c r="AA527" s="98">
        <v>5.9499999999999997E-2</v>
      </c>
      <c r="AB527" s="100">
        <v>48574</v>
      </c>
      <c r="AC527" s="96" t="s">
        <v>411</v>
      </c>
      <c r="AD527" s="96"/>
      <c r="AE527" s="96"/>
      <c r="AF527" s="96"/>
      <c r="AG527" s="100">
        <v>45199</v>
      </c>
      <c r="AH527" s="96"/>
      <c r="AI527" s="96"/>
      <c r="AJ527" s="96"/>
      <c r="AK527" s="96" t="s">
        <v>337</v>
      </c>
      <c r="AL527" s="96" t="s">
        <v>887</v>
      </c>
      <c r="AM527" s="96"/>
      <c r="AN527" s="96" t="s">
        <v>890</v>
      </c>
      <c r="AO527" s="100">
        <v>45473</v>
      </c>
      <c r="AP527" s="100">
        <v>45473</v>
      </c>
      <c r="AQ527" s="96"/>
      <c r="AR527" s="97">
        <v>155153.4</v>
      </c>
      <c r="AS527" s="97">
        <v>91.56</v>
      </c>
      <c r="AT527" s="97">
        <v>1</v>
      </c>
      <c r="AU527" s="97">
        <v>142.05844999999999</v>
      </c>
      <c r="AV527" s="97">
        <v>142.05844999999999</v>
      </c>
      <c r="AW527" s="96"/>
      <c r="AX527" s="96"/>
      <c r="AY527" s="96"/>
      <c r="AZ527" s="96"/>
      <c r="BA527" s="98">
        <v>9.2800000000000001E-4</v>
      </c>
      <c r="BB527" s="98">
        <v>7.2999999999999999E-5</v>
      </c>
      <c r="BC527" s="106"/>
    </row>
    <row r="528" spans="1:55" ht="15" customHeight="1">
      <c r="A528" s="106"/>
      <c r="B528" s="96">
        <v>286</v>
      </c>
      <c r="C528" s="96">
        <v>286</v>
      </c>
      <c r="D528" s="96"/>
      <c r="E528" s="96"/>
      <c r="F528" s="96"/>
      <c r="G528" s="96">
        <v>25000324</v>
      </c>
      <c r="H528" s="96" t="s">
        <v>1013</v>
      </c>
      <c r="I528" s="96" t="s">
        <v>818</v>
      </c>
      <c r="J528" s="96" t="s">
        <v>203</v>
      </c>
      <c r="K528" s="96"/>
      <c r="L528" s="96" t="s">
        <v>473</v>
      </c>
      <c r="M528" s="96" t="s">
        <v>338</v>
      </c>
      <c r="N528" s="96" t="s">
        <v>337</v>
      </c>
      <c r="O528" s="96"/>
      <c r="P528" s="100">
        <v>43095</v>
      </c>
      <c r="Q528" s="96" t="s">
        <v>409</v>
      </c>
      <c r="R528" s="96" t="s">
        <v>409</v>
      </c>
      <c r="S528" s="96" t="s">
        <v>409</v>
      </c>
      <c r="T528" s="96" t="s">
        <v>1200</v>
      </c>
      <c r="U528" s="97">
        <v>4.05</v>
      </c>
      <c r="V528" s="96" t="s">
        <v>3678</v>
      </c>
      <c r="W528" s="98">
        <v>2.3300000000000001E-2</v>
      </c>
      <c r="X528" s="96"/>
      <c r="Y528" s="96"/>
      <c r="Z528" s="96"/>
      <c r="AA528" s="98">
        <v>3.2500000000000001E-2</v>
      </c>
      <c r="AB528" s="100">
        <v>48574</v>
      </c>
      <c r="AC528" s="96" t="s">
        <v>411</v>
      </c>
      <c r="AD528" s="96"/>
      <c r="AE528" s="96"/>
      <c r="AF528" s="96"/>
      <c r="AG528" s="100">
        <v>45199</v>
      </c>
      <c r="AH528" s="96"/>
      <c r="AI528" s="96"/>
      <c r="AJ528" s="96"/>
      <c r="AK528" s="96" t="s">
        <v>337</v>
      </c>
      <c r="AL528" s="96" t="s">
        <v>887</v>
      </c>
      <c r="AM528" s="96"/>
      <c r="AN528" s="96" t="s">
        <v>890</v>
      </c>
      <c r="AO528" s="100">
        <v>45473</v>
      </c>
      <c r="AP528" s="100">
        <v>45473</v>
      </c>
      <c r="AQ528" s="96"/>
      <c r="AR528" s="97">
        <v>155153.4</v>
      </c>
      <c r="AS528" s="97">
        <v>110.56</v>
      </c>
      <c r="AT528" s="97">
        <v>1</v>
      </c>
      <c r="AU528" s="97">
        <v>171.5376</v>
      </c>
      <c r="AV528" s="97">
        <v>171.5376</v>
      </c>
      <c r="AW528" s="96"/>
      <c r="AX528" s="96"/>
      <c r="AY528" s="96"/>
      <c r="AZ528" s="96"/>
      <c r="BA528" s="98">
        <v>1.1199999999999999E-3</v>
      </c>
      <c r="BB528" s="98">
        <v>8.8999999999999995E-5</v>
      </c>
      <c r="BC528" s="106"/>
    </row>
    <row r="529" spans="1:55" ht="15" customHeight="1">
      <c r="A529" s="106"/>
      <c r="B529" s="96">
        <v>286</v>
      </c>
      <c r="C529" s="96">
        <v>286</v>
      </c>
      <c r="D529" s="96"/>
      <c r="E529" s="96"/>
      <c r="F529" s="96"/>
      <c r="G529" s="96">
        <v>25000222</v>
      </c>
      <c r="H529" s="96" t="s">
        <v>1013</v>
      </c>
      <c r="I529" s="96" t="s">
        <v>785</v>
      </c>
      <c r="J529" s="96" t="s">
        <v>203</v>
      </c>
      <c r="K529" s="96"/>
      <c r="L529" s="96" t="s">
        <v>463</v>
      </c>
      <c r="M529" s="96" t="s">
        <v>338</v>
      </c>
      <c r="N529" s="96" t="s">
        <v>338</v>
      </c>
      <c r="O529" s="96"/>
      <c r="P529" s="100">
        <v>42690</v>
      </c>
      <c r="Q529" s="96" t="s">
        <v>1309</v>
      </c>
      <c r="R529" s="96" t="s">
        <v>414</v>
      </c>
      <c r="S529" s="96" t="s">
        <v>407</v>
      </c>
      <c r="T529" s="96" t="s">
        <v>1200</v>
      </c>
      <c r="U529" s="97">
        <v>1.35</v>
      </c>
      <c r="V529" s="96" t="s">
        <v>3678</v>
      </c>
      <c r="W529" s="98">
        <v>2.9499999999999998E-2</v>
      </c>
      <c r="X529" s="96"/>
      <c r="Y529" s="96"/>
      <c r="Z529" s="96"/>
      <c r="AA529" s="98">
        <v>3.4200000000000001E-2</v>
      </c>
      <c r="AB529" s="100">
        <v>46342</v>
      </c>
      <c r="AC529" s="96" t="s">
        <v>411</v>
      </c>
      <c r="AD529" s="96"/>
      <c r="AE529" s="96"/>
      <c r="AF529" s="96"/>
      <c r="AG529" s="100">
        <v>45004</v>
      </c>
      <c r="AH529" s="96"/>
      <c r="AI529" s="96"/>
      <c r="AJ529" s="96"/>
      <c r="AK529" s="96" t="s">
        <v>337</v>
      </c>
      <c r="AL529" s="96" t="s">
        <v>887</v>
      </c>
      <c r="AM529" s="96"/>
      <c r="AN529" s="96" t="s">
        <v>890</v>
      </c>
      <c r="AO529" s="100">
        <v>45473</v>
      </c>
      <c r="AP529" s="100">
        <v>45473</v>
      </c>
      <c r="AQ529" s="96"/>
      <c r="AR529" s="97">
        <v>119639.909317</v>
      </c>
      <c r="AS529" s="97">
        <v>114.4</v>
      </c>
      <c r="AT529" s="97">
        <v>1</v>
      </c>
      <c r="AU529" s="97">
        <v>136.868056</v>
      </c>
      <c r="AV529" s="97">
        <v>136.868056</v>
      </c>
      <c r="AW529" s="96"/>
      <c r="AX529" s="96"/>
      <c r="AY529" s="96"/>
      <c r="AZ529" s="96"/>
      <c r="BA529" s="98">
        <v>8.9400000000000005E-4</v>
      </c>
      <c r="BB529" s="98">
        <v>7.1000000000000005E-5</v>
      </c>
      <c r="BC529" s="106"/>
    </row>
    <row r="530" spans="1:55" ht="15" customHeight="1">
      <c r="A530" s="106"/>
      <c r="B530" s="96">
        <v>286</v>
      </c>
      <c r="C530" s="96">
        <v>286</v>
      </c>
      <c r="D530" s="96"/>
      <c r="E530" s="96"/>
      <c r="F530" s="96"/>
      <c r="G530" s="96">
        <v>25000305</v>
      </c>
      <c r="H530" s="96" t="s">
        <v>1013</v>
      </c>
      <c r="I530" s="96" t="s">
        <v>3687</v>
      </c>
      <c r="J530" s="96" t="s">
        <v>203</v>
      </c>
      <c r="K530" s="96"/>
      <c r="L530" s="96" t="s">
        <v>477</v>
      </c>
      <c r="M530" s="96" t="s">
        <v>338</v>
      </c>
      <c r="N530" s="96" t="s">
        <v>338</v>
      </c>
      <c r="O530" s="96"/>
      <c r="P530" s="100">
        <v>42674</v>
      </c>
      <c r="Q530" s="96" t="s">
        <v>409</v>
      </c>
      <c r="R530" s="96" t="s">
        <v>409</v>
      </c>
      <c r="S530" s="96" t="s">
        <v>409</v>
      </c>
      <c r="T530" s="96" t="s">
        <v>1200</v>
      </c>
      <c r="U530" s="97">
        <v>5.56</v>
      </c>
      <c r="V530" s="96" t="s">
        <v>824</v>
      </c>
      <c r="W530" s="98">
        <v>5.5300000000000002E-2</v>
      </c>
      <c r="X530" s="96"/>
      <c r="Y530" s="96"/>
      <c r="Z530" s="96"/>
      <c r="AA530" s="98">
        <v>5.7799999999999997E-2</v>
      </c>
      <c r="AB530" s="100">
        <v>52627</v>
      </c>
      <c r="AC530" s="96" t="s">
        <v>411</v>
      </c>
      <c r="AD530" s="96"/>
      <c r="AE530" s="96"/>
      <c r="AF530" s="96"/>
      <c r="AG530" s="100">
        <v>44986</v>
      </c>
      <c r="AH530" s="96"/>
      <c r="AI530" s="96"/>
      <c r="AJ530" s="96"/>
      <c r="AK530" s="96" t="s">
        <v>337</v>
      </c>
      <c r="AL530" s="96" t="s">
        <v>887</v>
      </c>
      <c r="AM530" s="96"/>
      <c r="AN530" s="96" t="s">
        <v>890</v>
      </c>
      <c r="AO530" s="100">
        <v>45473</v>
      </c>
      <c r="AP530" s="100">
        <v>45473</v>
      </c>
      <c r="AQ530" s="96"/>
      <c r="AR530" s="97">
        <v>142294.79216099999</v>
      </c>
      <c r="AS530" s="97">
        <v>105.3</v>
      </c>
      <c r="AT530" s="97">
        <v>1</v>
      </c>
      <c r="AU530" s="97">
        <v>149.83641600000001</v>
      </c>
      <c r="AV530" s="97">
        <v>149.83641600000001</v>
      </c>
      <c r="AW530" s="96"/>
      <c r="AX530" s="96"/>
      <c r="AY530" s="96"/>
      <c r="AZ530" s="96"/>
      <c r="BA530" s="98">
        <v>9.7900000000000005E-4</v>
      </c>
      <c r="BB530" s="98">
        <v>7.7999999999999999E-5</v>
      </c>
      <c r="BC530" s="106"/>
    </row>
    <row r="531" spans="1:55" ht="15" customHeight="1">
      <c r="A531" s="106"/>
      <c r="B531" s="96">
        <v>286</v>
      </c>
      <c r="C531" s="96">
        <v>286</v>
      </c>
      <c r="D531" s="96"/>
      <c r="E531" s="96"/>
      <c r="F531" s="96"/>
      <c r="G531" s="96">
        <v>25000303</v>
      </c>
      <c r="H531" s="96" t="s">
        <v>1013</v>
      </c>
      <c r="I531" s="96" t="s">
        <v>3687</v>
      </c>
      <c r="J531" s="96" t="s">
        <v>203</v>
      </c>
      <c r="K531" s="96"/>
      <c r="L531" s="96" t="s">
        <v>477</v>
      </c>
      <c r="M531" s="96" t="s">
        <v>338</v>
      </c>
      <c r="N531" s="96" t="s">
        <v>338</v>
      </c>
      <c r="O531" s="96"/>
      <c r="P531" s="100">
        <v>42674</v>
      </c>
      <c r="Q531" s="96" t="s">
        <v>409</v>
      </c>
      <c r="R531" s="96" t="s">
        <v>409</v>
      </c>
      <c r="S531" s="96" t="s">
        <v>409</v>
      </c>
      <c r="T531" s="96" t="s">
        <v>1200</v>
      </c>
      <c r="U531" s="97">
        <v>5.84</v>
      </c>
      <c r="V531" s="96" t="s">
        <v>824</v>
      </c>
      <c r="W531" s="98">
        <v>0.06</v>
      </c>
      <c r="X531" s="96"/>
      <c r="Y531" s="96"/>
      <c r="Z531" s="96"/>
      <c r="AA531" s="98">
        <v>6.6000000000000003E-2</v>
      </c>
      <c r="AB531" s="100">
        <v>52993</v>
      </c>
      <c r="AC531" s="96" t="s">
        <v>411</v>
      </c>
      <c r="AD531" s="96"/>
      <c r="AE531" s="96"/>
      <c r="AF531" s="96"/>
      <c r="AG531" s="100">
        <v>44986</v>
      </c>
      <c r="AH531" s="96"/>
      <c r="AI531" s="96"/>
      <c r="AJ531" s="96"/>
      <c r="AK531" s="96" t="s">
        <v>337</v>
      </c>
      <c r="AL531" s="96" t="s">
        <v>887</v>
      </c>
      <c r="AM531" s="96"/>
      <c r="AN531" s="96" t="s">
        <v>890</v>
      </c>
      <c r="AO531" s="100">
        <v>45473</v>
      </c>
      <c r="AP531" s="100">
        <v>45473</v>
      </c>
      <c r="AQ531" s="96"/>
      <c r="AR531" s="97">
        <v>607355.17281699996</v>
      </c>
      <c r="AS531" s="97">
        <v>95.3</v>
      </c>
      <c r="AT531" s="97">
        <v>1</v>
      </c>
      <c r="AU531" s="97">
        <v>578.80947900000001</v>
      </c>
      <c r="AV531" s="97">
        <v>578.80947900000001</v>
      </c>
      <c r="AW531" s="96"/>
      <c r="AX531" s="96"/>
      <c r="AY531" s="96"/>
      <c r="AZ531" s="96"/>
      <c r="BA531" s="98">
        <v>3.7820000000000002E-3</v>
      </c>
      <c r="BB531" s="98">
        <v>3.01E-4</v>
      </c>
      <c r="BC531" s="106"/>
    </row>
    <row r="532" spans="1:55" ht="15" customHeight="1">
      <c r="A532" s="106"/>
      <c r="B532" s="96">
        <v>286</v>
      </c>
      <c r="C532" s="96">
        <v>286</v>
      </c>
      <c r="D532" s="96"/>
      <c r="E532" s="96"/>
      <c r="F532" s="96"/>
      <c r="G532" s="96">
        <v>25000302</v>
      </c>
      <c r="H532" s="96" t="s">
        <v>1013</v>
      </c>
      <c r="I532" s="96" t="s">
        <v>3687</v>
      </c>
      <c r="J532" s="96" t="s">
        <v>203</v>
      </c>
      <c r="K532" s="96"/>
      <c r="L532" s="96" t="s">
        <v>477</v>
      </c>
      <c r="M532" s="96" t="s">
        <v>338</v>
      </c>
      <c r="N532" s="96" t="s">
        <v>338</v>
      </c>
      <c r="O532" s="96"/>
      <c r="P532" s="100">
        <v>42674</v>
      </c>
      <c r="Q532" s="96" t="s">
        <v>409</v>
      </c>
      <c r="R532" s="96" t="s">
        <v>409</v>
      </c>
      <c r="S532" s="96" t="s">
        <v>409</v>
      </c>
      <c r="T532" s="96" t="s">
        <v>1200</v>
      </c>
      <c r="U532" s="97">
        <v>3.76</v>
      </c>
      <c r="V532" s="96" t="s">
        <v>3678</v>
      </c>
      <c r="W532" s="98">
        <v>4.8760999999999999E-2</v>
      </c>
      <c r="X532" s="96"/>
      <c r="Y532" s="96"/>
      <c r="Z532" s="96"/>
      <c r="AA532" s="98">
        <v>4.8399999999999999E-2</v>
      </c>
      <c r="AB532" s="100">
        <v>52262</v>
      </c>
      <c r="AC532" s="96" t="s">
        <v>411</v>
      </c>
      <c r="AD532" s="96"/>
      <c r="AE532" s="96"/>
      <c r="AF532" s="96"/>
      <c r="AG532" s="100">
        <v>44986</v>
      </c>
      <c r="AH532" s="96"/>
      <c r="AI532" s="96"/>
      <c r="AJ532" s="96"/>
      <c r="AK532" s="96" t="s">
        <v>337</v>
      </c>
      <c r="AL532" s="96" t="s">
        <v>887</v>
      </c>
      <c r="AM532" s="96"/>
      <c r="AN532" s="96" t="s">
        <v>890</v>
      </c>
      <c r="AO532" s="100">
        <v>45473</v>
      </c>
      <c r="AP532" s="100">
        <v>45473</v>
      </c>
      <c r="AQ532" s="96"/>
      <c r="AR532" s="97">
        <v>137726.77510900001</v>
      </c>
      <c r="AS532" s="97">
        <v>101.58</v>
      </c>
      <c r="AT532" s="97">
        <v>1</v>
      </c>
      <c r="AU532" s="97">
        <v>139.90285800000001</v>
      </c>
      <c r="AV532" s="97">
        <v>139.90285800000001</v>
      </c>
      <c r="AW532" s="96"/>
      <c r="AX532" s="96"/>
      <c r="AY532" s="96"/>
      <c r="AZ532" s="96"/>
      <c r="BA532" s="98">
        <v>9.1399999999999999E-4</v>
      </c>
      <c r="BB532" s="98">
        <v>7.2000000000000002E-5</v>
      </c>
      <c r="BC532" s="106"/>
    </row>
    <row r="533" spans="1:55" ht="15" customHeight="1">
      <c r="A533" s="106"/>
      <c r="B533" s="96">
        <v>286</v>
      </c>
      <c r="C533" s="96">
        <v>286</v>
      </c>
      <c r="D533" s="96"/>
      <c r="E533" s="96"/>
      <c r="F533" s="96"/>
      <c r="G533" s="96">
        <v>9860</v>
      </c>
      <c r="H533" s="96" t="s">
        <v>1013</v>
      </c>
      <c r="I533" s="96" t="s">
        <v>813</v>
      </c>
      <c r="J533" s="96" t="s">
        <v>203</v>
      </c>
      <c r="K533" s="96"/>
      <c r="L533" s="96" t="s">
        <v>484</v>
      </c>
      <c r="M533" s="96" t="s">
        <v>338</v>
      </c>
      <c r="N533" s="96" t="s">
        <v>337</v>
      </c>
      <c r="O533" s="96"/>
      <c r="P533" s="100">
        <v>37346</v>
      </c>
      <c r="Q533" s="96" t="s">
        <v>1301</v>
      </c>
      <c r="R533" s="96" t="s">
        <v>414</v>
      </c>
      <c r="S533" s="96" t="s">
        <v>407</v>
      </c>
      <c r="T533" s="96" t="s">
        <v>1200</v>
      </c>
      <c r="U533" s="97">
        <v>1.7</v>
      </c>
      <c r="V533" s="96" t="s">
        <v>3678</v>
      </c>
      <c r="W533" s="98">
        <v>6.5000000000000002E-2</v>
      </c>
      <c r="X533" s="96"/>
      <c r="Y533" s="96"/>
      <c r="Z533" s="96"/>
      <c r="AA533" s="98">
        <v>2.18E-2</v>
      </c>
      <c r="AB533" s="100">
        <v>46568</v>
      </c>
      <c r="AC533" s="96" t="s">
        <v>411</v>
      </c>
      <c r="AD533" s="96"/>
      <c r="AE533" s="96"/>
      <c r="AF533" s="96"/>
      <c r="AG533" s="100">
        <v>45291</v>
      </c>
      <c r="AH533" s="96"/>
      <c r="AI533" s="96"/>
      <c r="AJ533" s="96"/>
      <c r="AK533" s="96" t="s">
        <v>337</v>
      </c>
      <c r="AL533" s="96" t="s">
        <v>887</v>
      </c>
      <c r="AM533" s="96"/>
      <c r="AN533" s="96" t="s">
        <v>890</v>
      </c>
      <c r="AO533" s="100">
        <v>45473</v>
      </c>
      <c r="AP533" s="100">
        <v>45473</v>
      </c>
      <c r="AQ533" s="96"/>
      <c r="AR533" s="97">
        <v>153770.51</v>
      </c>
      <c r="AS533" s="97">
        <v>153.08000000000001</v>
      </c>
      <c r="AT533" s="97">
        <v>1</v>
      </c>
      <c r="AU533" s="97">
        <v>235.39189999999999</v>
      </c>
      <c r="AV533" s="97">
        <v>235.39189999999999</v>
      </c>
      <c r="AW533" s="96"/>
      <c r="AX533" s="96"/>
      <c r="AY533" s="96"/>
      <c r="AZ533" s="96"/>
      <c r="BA533" s="98">
        <v>1.5380000000000001E-3</v>
      </c>
      <c r="BB533" s="98">
        <v>1.22E-4</v>
      </c>
      <c r="BC533" s="106"/>
    </row>
    <row r="534" spans="1:55" ht="15" customHeight="1">
      <c r="A534" s="106"/>
      <c r="B534" s="96">
        <v>286</v>
      </c>
      <c r="C534" s="96">
        <v>286</v>
      </c>
      <c r="D534" s="96"/>
      <c r="E534" s="96"/>
      <c r="F534" s="96"/>
      <c r="G534" s="96">
        <v>25000300</v>
      </c>
      <c r="H534" s="96" t="s">
        <v>1013</v>
      </c>
      <c r="I534" s="96" t="s">
        <v>3687</v>
      </c>
      <c r="J534" s="96" t="s">
        <v>203</v>
      </c>
      <c r="K534" s="96"/>
      <c r="L534" s="96" t="s">
        <v>477</v>
      </c>
      <c r="M534" s="96" t="s">
        <v>338</v>
      </c>
      <c r="N534" s="96" t="s">
        <v>338</v>
      </c>
      <c r="O534" s="96"/>
      <c r="P534" s="100">
        <v>42674</v>
      </c>
      <c r="Q534" s="96" t="s">
        <v>409</v>
      </c>
      <c r="R534" s="96" t="s">
        <v>409</v>
      </c>
      <c r="S534" s="96" t="s">
        <v>409</v>
      </c>
      <c r="T534" s="96" t="s">
        <v>1200</v>
      </c>
      <c r="U534" s="97">
        <v>3.69</v>
      </c>
      <c r="V534" s="96" t="s">
        <v>3678</v>
      </c>
      <c r="W534" s="98">
        <v>2.8829400000000002E-2</v>
      </c>
      <c r="X534" s="96"/>
      <c r="Y534" s="96"/>
      <c r="Z534" s="96"/>
      <c r="AA534" s="98">
        <v>2.0500000000000001E-2</v>
      </c>
      <c r="AB534" s="100">
        <v>52200</v>
      </c>
      <c r="AC534" s="96" t="s">
        <v>411</v>
      </c>
      <c r="AD534" s="96"/>
      <c r="AE534" s="96"/>
      <c r="AF534" s="96"/>
      <c r="AG534" s="100">
        <v>44986</v>
      </c>
      <c r="AH534" s="96"/>
      <c r="AI534" s="96"/>
      <c r="AJ534" s="96"/>
      <c r="AK534" s="96" t="s">
        <v>337</v>
      </c>
      <c r="AL534" s="96" t="s">
        <v>887</v>
      </c>
      <c r="AM534" s="96"/>
      <c r="AN534" s="96" t="s">
        <v>890</v>
      </c>
      <c r="AO534" s="100">
        <v>45473</v>
      </c>
      <c r="AP534" s="100">
        <v>45473</v>
      </c>
      <c r="AQ534" s="96"/>
      <c r="AR534" s="97">
        <v>56537.626797999998</v>
      </c>
      <c r="AS534" s="97">
        <v>120.66</v>
      </c>
      <c r="AT534" s="97">
        <v>1</v>
      </c>
      <c r="AU534" s="97">
        <v>68.218299999999999</v>
      </c>
      <c r="AV534" s="97">
        <v>68.218299999999999</v>
      </c>
      <c r="AW534" s="96"/>
      <c r="AX534" s="96"/>
      <c r="AY534" s="96"/>
      <c r="AZ534" s="96"/>
      <c r="BA534" s="98">
        <v>4.4499999999999997E-4</v>
      </c>
      <c r="BB534" s="98">
        <v>3.4999999999999997E-5</v>
      </c>
      <c r="BC534" s="106"/>
    </row>
    <row r="535" spans="1:55" ht="15" customHeight="1">
      <c r="A535" s="106"/>
      <c r="B535" s="96">
        <v>286</v>
      </c>
      <c r="C535" s="96">
        <v>286</v>
      </c>
      <c r="D535" s="96"/>
      <c r="E535" s="96"/>
      <c r="F535" s="96"/>
      <c r="G535" s="96">
        <v>25000297</v>
      </c>
      <c r="H535" s="96" t="s">
        <v>1013</v>
      </c>
      <c r="I535" s="96" t="s">
        <v>812</v>
      </c>
      <c r="J535" s="96" t="s">
        <v>203</v>
      </c>
      <c r="K535" s="96"/>
      <c r="L535" s="96" t="s">
        <v>454</v>
      </c>
      <c r="M535" s="96" t="s">
        <v>338</v>
      </c>
      <c r="N535" s="96" t="s">
        <v>337</v>
      </c>
      <c r="O535" s="96"/>
      <c r="P535" s="100">
        <v>43011</v>
      </c>
      <c r="Q535" s="96" t="s">
        <v>1357</v>
      </c>
      <c r="R535" s="96" t="s">
        <v>414</v>
      </c>
      <c r="S535" s="96" t="s">
        <v>407</v>
      </c>
      <c r="T535" s="96" t="s">
        <v>1200</v>
      </c>
      <c r="U535" s="97">
        <v>7.32</v>
      </c>
      <c r="V535" s="96" t="s">
        <v>3678</v>
      </c>
      <c r="W535" s="98">
        <v>3.9E-2</v>
      </c>
      <c r="X535" s="96"/>
      <c r="Y535" s="96"/>
      <c r="Z535" s="96"/>
      <c r="AA535" s="98">
        <v>3.85E-2</v>
      </c>
      <c r="AB535" s="100">
        <v>51677</v>
      </c>
      <c r="AC535" s="96" t="s">
        <v>411</v>
      </c>
      <c r="AD535" s="96"/>
      <c r="AE535" s="96"/>
      <c r="AF535" s="96"/>
      <c r="AG535" s="100">
        <v>45291</v>
      </c>
      <c r="AH535" s="96"/>
      <c r="AI535" s="96"/>
      <c r="AJ535" s="96"/>
      <c r="AK535" s="96" t="s">
        <v>337</v>
      </c>
      <c r="AL535" s="96" t="s">
        <v>887</v>
      </c>
      <c r="AM535" s="96"/>
      <c r="AN535" s="96" t="s">
        <v>890</v>
      </c>
      <c r="AO535" s="100">
        <v>45473</v>
      </c>
      <c r="AP535" s="100">
        <v>45473</v>
      </c>
      <c r="AQ535" s="96"/>
      <c r="AR535" s="97">
        <v>36487.980000000003</v>
      </c>
      <c r="AS535" s="97">
        <v>112.83</v>
      </c>
      <c r="AT535" s="97">
        <v>1</v>
      </c>
      <c r="AU535" s="97">
        <v>41.169379999999997</v>
      </c>
      <c r="AV535" s="97">
        <v>41.169379999999997</v>
      </c>
      <c r="AW535" s="96"/>
      <c r="AX535" s="96"/>
      <c r="AY535" s="96"/>
      <c r="AZ535" s="96"/>
      <c r="BA535" s="98">
        <v>2.6899999999999998E-4</v>
      </c>
      <c r="BB535" s="98">
        <v>2.0999999999999999E-5</v>
      </c>
      <c r="BC535" s="106"/>
    </row>
    <row r="536" spans="1:55" ht="15" customHeight="1">
      <c r="A536" s="106"/>
      <c r="B536" s="96">
        <v>286</v>
      </c>
      <c r="C536" s="96">
        <v>286</v>
      </c>
      <c r="D536" s="96"/>
      <c r="E536" s="96"/>
      <c r="F536" s="96"/>
      <c r="G536" s="96">
        <v>25000264</v>
      </c>
      <c r="H536" s="96" t="s">
        <v>1013</v>
      </c>
      <c r="I536" s="96" t="s">
        <v>812</v>
      </c>
      <c r="J536" s="96" t="s">
        <v>203</v>
      </c>
      <c r="K536" s="96"/>
      <c r="L536" s="96" t="s">
        <v>454</v>
      </c>
      <c r="M536" s="96" t="s">
        <v>338</v>
      </c>
      <c r="N536" s="96" t="s">
        <v>337</v>
      </c>
      <c r="O536" s="96"/>
      <c r="P536" s="100">
        <v>42935</v>
      </c>
      <c r="Q536" s="96" t="s">
        <v>1357</v>
      </c>
      <c r="R536" s="96" t="s">
        <v>414</v>
      </c>
      <c r="S536" s="96" t="s">
        <v>407</v>
      </c>
      <c r="T536" s="96" t="s">
        <v>1200</v>
      </c>
      <c r="U536" s="97">
        <v>7.29</v>
      </c>
      <c r="V536" s="96" t="s">
        <v>3678</v>
      </c>
      <c r="W536" s="98">
        <v>4.0800000000000003E-2</v>
      </c>
      <c r="X536" s="96"/>
      <c r="Y536" s="96"/>
      <c r="Z536" s="96"/>
      <c r="AA536" s="98">
        <v>3.8399999999999997E-2</v>
      </c>
      <c r="AB536" s="100">
        <v>51677</v>
      </c>
      <c r="AC536" s="96" t="s">
        <v>411</v>
      </c>
      <c r="AD536" s="96"/>
      <c r="AE536" s="96"/>
      <c r="AF536" s="96"/>
      <c r="AG536" s="100">
        <v>45291</v>
      </c>
      <c r="AH536" s="96"/>
      <c r="AI536" s="96"/>
      <c r="AJ536" s="96"/>
      <c r="AK536" s="96" t="s">
        <v>337</v>
      </c>
      <c r="AL536" s="96" t="s">
        <v>887</v>
      </c>
      <c r="AM536" s="96"/>
      <c r="AN536" s="96" t="s">
        <v>890</v>
      </c>
      <c r="AO536" s="100">
        <v>45473</v>
      </c>
      <c r="AP536" s="100">
        <v>45473</v>
      </c>
      <c r="AQ536" s="96"/>
      <c r="AR536" s="97">
        <v>170910.81</v>
      </c>
      <c r="AS536" s="97">
        <v>114.64</v>
      </c>
      <c r="AT536" s="97">
        <v>1</v>
      </c>
      <c r="AU536" s="97">
        <v>195.93215000000001</v>
      </c>
      <c r="AV536" s="97">
        <v>195.93215000000001</v>
      </c>
      <c r="AW536" s="96"/>
      <c r="AX536" s="96"/>
      <c r="AY536" s="96"/>
      <c r="AZ536" s="96"/>
      <c r="BA536" s="98">
        <v>1.2800000000000001E-3</v>
      </c>
      <c r="BB536" s="98">
        <v>1.02E-4</v>
      </c>
      <c r="BC536" s="106"/>
    </row>
    <row r="537" spans="1:55" ht="15" customHeight="1">
      <c r="A537" s="106"/>
      <c r="B537" s="96">
        <v>286</v>
      </c>
      <c r="C537" s="96">
        <v>286</v>
      </c>
      <c r="D537" s="96"/>
      <c r="E537" s="96"/>
      <c r="F537" s="96"/>
      <c r="G537" s="96">
        <v>25000241</v>
      </c>
      <c r="H537" s="96" t="s">
        <v>1013</v>
      </c>
      <c r="I537" s="96" t="s">
        <v>813</v>
      </c>
      <c r="J537" s="96" t="s">
        <v>203</v>
      </c>
      <c r="K537" s="96"/>
      <c r="L537" s="96" t="s">
        <v>470</v>
      </c>
      <c r="M537" s="96" t="s">
        <v>338</v>
      </c>
      <c r="N537" s="96" t="s">
        <v>337</v>
      </c>
      <c r="O537" s="96"/>
      <c r="P537" s="100">
        <v>42794</v>
      </c>
      <c r="Q537" s="96" t="s">
        <v>1357</v>
      </c>
      <c r="R537" s="96" t="s">
        <v>414</v>
      </c>
      <c r="S537" s="96" t="s">
        <v>407</v>
      </c>
      <c r="T537" s="96" t="s">
        <v>1200</v>
      </c>
      <c r="U537" s="97">
        <v>4.8899999999999997</v>
      </c>
      <c r="V537" s="96" t="s">
        <v>3678</v>
      </c>
      <c r="W537" s="98">
        <v>2.9000000000000001E-2</v>
      </c>
      <c r="X537" s="96"/>
      <c r="Y537" s="96"/>
      <c r="Z537" s="96"/>
      <c r="AA537" s="98">
        <v>2.9499999999999998E-2</v>
      </c>
      <c r="AB537" s="100">
        <v>49399</v>
      </c>
      <c r="AC537" s="96" t="s">
        <v>411</v>
      </c>
      <c r="AD537" s="96"/>
      <c r="AE537" s="96"/>
      <c r="AF537" s="96"/>
      <c r="AG537" s="100">
        <v>44926</v>
      </c>
      <c r="AH537" s="96"/>
      <c r="AI537" s="96"/>
      <c r="AJ537" s="96"/>
      <c r="AK537" s="96" t="s">
        <v>337</v>
      </c>
      <c r="AL537" s="96" t="s">
        <v>887</v>
      </c>
      <c r="AM537" s="96"/>
      <c r="AN537" s="96" t="s">
        <v>890</v>
      </c>
      <c r="AO537" s="100">
        <v>45473</v>
      </c>
      <c r="AP537" s="100">
        <v>45473</v>
      </c>
      <c r="AQ537" s="96"/>
      <c r="AR537" s="97">
        <v>1561240.26</v>
      </c>
      <c r="AS537" s="97">
        <v>115.8</v>
      </c>
      <c r="AT537" s="97">
        <v>1</v>
      </c>
      <c r="AU537" s="97">
        <v>1807.9162200000001</v>
      </c>
      <c r="AV537" s="97">
        <v>1807.9162200000001</v>
      </c>
      <c r="AW537" s="96"/>
      <c r="AX537" s="96"/>
      <c r="AY537" s="96"/>
      <c r="AZ537" s="96"/>
      <c r="BA537" s="98">
        <v>1.1813000000000001E-2</v>
      </c>
      <c r="BB537" s="98">
        <v>9.41E-4</v>
      </c>
      <c r="BC537" s="106"/>
    </row>
    <row r="538" spans="1:55" ht="15" customHeight="1">
      <c r="A538" s="106"/>
      <c r="B538" s="96">
        <v>286</v>
      </c>
      <c r="C538" s="96">
        <v>286</v>
      </c>
      <c r="D538" s="96"/>
      <c r="E538" s="96"/>
      <c r="F538" s="96"/>
      <c r="G538" s="96">
        <v>25000304</v>
      </c>
      <c r="H538" s="96" t="s">
        <v>1013</v>
      </c>
      <c r="I538" s="96" t="s">
        <v>3687</v>
      </c>
      <c r="J538" s="96" t="s">
        <v>203</v>
      </c>
      <c r="K538" s="96"/>
      <c r="L538" s="96" t="s">
        <v>477</v>
      </c>
      <c r="M538" s="96" t="s">
        <v>338</v>
      </c>
      <c r="N538" s="96" t="s">
        <v>338</v>
      </c>
      <c r="O538" s="96"/>
      <c r="P538" s="100">
        <v>42674</v>
      </c>
      <c r="Q538" s="96" t="s">
        <v>409</v>
      </c>
      <c r="R538" s="96" t="s">
        <v>409</v>
      </c>
      <c r="S538" s="96" t="s">
        <v>409</v>
      </c>
      <c r="T538" s="96" t="s">
        <v>1200</v>
      </c>
      <c r="U538" s="97">
        <v>5.7</v>
      </c>
      <c r="V538" s="96" t="s">
        <v>824</v>
      </c>
      <c r="W538" s="98">
        <v>5.3699999999999998E-2</v>
      </c>
      <c r="X538" s="96"/>
      <c r="Y538" s="96"/>
      <c r="Z538" s="96"/>
      <c r="AA538" s="98">
        <v>6.3E-2</v>
      </c>
      <c r="AB538" s="100">
        <v>52535</v>
      </c>
      <c r="AC538" s="96" t="s">
        <v>411</v>
      </c>
      <c r="AD538" s="96"/>
      <c r="AE538" s="96"/>
      <c r="AF538" s="96"/>
      <c r="AG538" s="100">
        <v>44986</v>
      </c>
      <c r="AH538" s="96"/>
      <c r="AI538" s="96"/>
      <c r="AJ538" s="96"/>
      <c r="AK538" s="96" t="s">
        <v>337</v>
      </c>
      <c r="AL538" s="96" t="s">
        <v>887</v>
      </c>
      <c r="AM538" s="96"/>
      <c r="AN538" s="96" t="s">
        <v>890</v>
      </c>
      <c r="AO538" s="100">
        <v>45473</v>
      </c>
      <c r="AP538" s="100">
        <v>45473</v>
      </c>
      <c r="AQ538" s="96"/>
      <c r="AR538" s="97">
        <v>119961.066265</v>
      </c>
      <c r="AS538" s="97">
        <v>100.42</v>
      </c>
      <c r="AT538" s="97">
        <v>1</v>
      </c>
      <c r="AU538" s="97">
        <v>120.464902</v>
      </c>
      <c r="AV538" s="97">
        <v>120.464902</v>
      </c>
      <c r="AW538" s="96"/>
      <c r="AX538" s="96"/>
      <c r="AY538" s="96"/>
      <c r="AZ538" s="96"/>
      <c r="BA538" s="98">
        <v>7.8700000000000005E-4</v>
      </c>
      <c r="BB538" s="98">
        <v>6.2000000000000003E-5</v>
      </c>
      <c r="BC538" s="106"/>
    </row>
    <row r="539" spans="1:55" ht="15" customHeight="1">
      <c r="A539" s="106"/>
      <c r="B539" s="96">
        <v>286</v>
      </c>
      <c r="C539" s="96">
        <v>286</v>
      </c>
      <c r="D539" s="96"/>
      <c r="E539" s="96"/>
      <c r="F539" s="96"/>
      <c r="G539" s="96">
        <v>25000582</v>
      </c>
      <c r="H539" s="96" t="s">
        <v>1013</v>
      </c>
      <c r="I539" s="96" t="s">
        <v>813</v>
      </c>
      <c r="J539" s="96" t="s">
        <v>203</v>
      </c>
      <c r="K539" s="96"/>
      <c r="L539" s="96" t="s">
        <v>470</v>
      </c>
      <c r="M539" s="96" t="s">
        <v>338</v>
      </c>
      <c r="N539" s="96" t="s">
        <v>337</v>
      </c>
      <c r="O539" s="96"/>
      <c r="P539" s="100">
        <v>44230</v>
      </c>
      <c r="Q539" s="96" t="s">
        <v>1520</v>
      </c>
      <c r="R539" s="96" t="s">
        <v>414</v>
      </c>
      <c r="S539" s="96" t="s">
        <v>407</v>
      </c>
      <c r="T539" s="96" t="s">
        <v>1200</v>
      </c>
      <c r="U539" s="97">
        <v>4.5999999999999996</v>
      </c>
      <c r="V539" s="96" t="s">
        <v>3678</v>
      </c>
      <c r="W539" s="98">
        <v>8.2660000000000008E-3</v>
      </c>
      <c r="X539" s="96"/>
      <c r="Y539" s="96"/>
      <c r="Z539" s="96"/>
      <c r="AA539" s="98">
        <v>3.5799999999999998E-2</v>
      </c>
      <c r="AB539" s="100">
        <v>48944</v>
      </c>
      <c r="AC539" s="96" t="s">
        <v>411</v>
      </c>
      <c r="AD539" s="96"/>
      <c r="AE539" s="96"/>
      <c r="AF539" s="96"/>
      <c r="AG539" s="100">
        <v>45291</v>
      </c>
      <c r="AH539" s="96"/>
      <c r="AI539" s="96"/>
      <c r="AJ539" s="96"/>
      <c r="AK539" s="96" t="s">
        <v>337</v>
      </c>
      <c r="AL539" s="96" t="s">
        <v>887</v>
      </c>
      <c r="AM539" s="96"/>
      <c r="AN539" s="96" t="s">
        <v>890</v>
      </c>
      <c r="AO539" s="100">
        <v>45473</v>
      </c>
      <c r="AP539" s="100">
        <v>45473</v>
      </c>
      <c r="AQ539" s="96"/>
      <c r="AR539" s="97">
        <v>17068.130553999999</v>
      </c>
      <c r="AS539" s="97">
        <v>100.14</v>
      </c>
      <c r="AT539" s="97">
        <v>1</v>
      </c>
      <c r="AU539" s="97">
        <v>17.092025</v>
      </c>
      <c r="AV539" s="97">
        <v>17.092025</v>
      </c>
      <c r="AW539" s="96"/>
      <c r="AX539" s="96"/>
      <c r="AY539" s="96"/>
      <c r="AZ539" s="96"/>
      <c r="BA539" s="98">
        <v>1.11E-4</v>
      </c>
      <c r="BB539" s="98">
        <v>7.9999999999999996E-6</v>
      </c>
      <c r="BC539" s="106"/>
    </row>
    <row r="540" spans="1:55" ht="15" customHeight="1">
      <c r="A540" s="106"/>
      <c r="B540" s="96">
        <v>286</v>
      </c>
      <c r="C540" s="96">
        <v>286</v>
      </c>
      <c r="D540" s="96"/>
      <c r="E540" s="96"/>
      <c r="F540" s="96"/>
      <c r="G540" s="96">
        <v>25000572</v>
      </c>
      <c r="H540" s="96" t="s">
        <v>1013</v>
      </c>
      <c r="I540" s="96"/>
      <c r="J540" s="96" t="s">
        <v>203</v>
      </c>
      <c r="K540" s="96"/>
      <c r="L540" s="96" t="s">
        <v>450</v>
      </c>
      <c r="M540" s="96" t="s">
        <v>338</v>
      </c>
      <c r="N540" s="96" t="s">
        <v>338</v>
      </c>
      <c r="O540" s="96"/>
      <c r="P540" s="100">
        <v>44201</v>
      </c>
      <c r="Q540" s="96" t="s">
        <v>1332</v>
      </c>
      <c r="R540" s="96" t="s">
        <v>412</v>
      </c>
      <c r="S540" s="96" t="s">
        <v>407</v>
      </c>
      <c r="T540" s="96" t="s">
        <v>1200</v>
      </c>
      <c r="U540" s="97">
        <v>4.6900000000000004</v>
      </c>
      <c r="V540" s="96" t="s">
        <v>3678</v>
      </c>
      <c r="W540" s="98">
        <v>3.1300000000000001E-2</v>
      </c>
      <c r="X540" s="96"/>
      <c r="Y540" s="96"/>
      <c r="Z540" s="96"/>
      <c r="AA540" s="98">
        <v>6.3700000000000007E-2</v>
      </c>
      <c r="AB540" s="100">
        <v>47848</v>
      </c>
      <c r="AC540" s="96" t="s">
        <v>411</v>
      </c>
      <c r="AD540" s="96"/>
      <c r="AE540" s="96"/>
      <c r="AF540" s="96"/>
      <c r="AG540" s="100">
        <v>45180</v>
      </c>
      <c r="AH540" s="96"/>
      <c r="AI540" s="96"/>
      <c r="AJ540" s="96"/>
      <c r="AK540" s="96" t="s">
        <v>337</v>
      </c>
      <c r="AL540" s="96" t="s">
        <v>887</v>
      </c>
      <c r="AM540" s="96"/>
      <c r="AN540" s="96" t="s">
        <v>890</v>
      </c>
      <c r="AO540" s="100">
        <v>45473</v>
      </c>
      <c r="AP540" s="100">
        <v>45473</v>
      </c>
      <c r="AQ540" s="96"/>
      <c r="AR540" s="97">
        <v>567215.06852900004</v>
      </c>
      <c r="AS540" s="97">
        <v>86.44</v>
      </c>
      <c r="AT540" s="97">
        <v>1</v>
      </c>
      <c r="AU540" s="97">
        <v>490.30070499999999</v>
      </c>
      <c r="AV540" s="97">
        <v>490.30070499999999</v>
      </c>
      <c r="AW540" s="96"/>
      <c r="AX540" s="96"/>
      <c r="AY540" s="96"/>
      <c r="AZ540" s="96"/>
      <c r="BA540" s="98">
        <v>3.2030000000000001E-3</v>
      </c>
      <c r="BB540" s="98">
        <v>2.5500000000000002E-4</v>
      </c>
      <c r="BC540" s="106"/>
    </row>
    <row r="541" spans="1:55" ht="15" customHeight="1">
      <c r="A541" s="106"/>
      <c r="B541" s="96">
        <v>286</v>
      </c>
      <c r="C541" s="96">
        <v>286</v>
      </c>
      <c r="D541" s="96"/>
      <c r="E541" s="96"/>
      <c r="F541" s="96"/>
      <c r="G541" s="96">
        <v>25000584</v>
      </c>
      <c r="H541" s="96" t="s">
        <v>1013</v>
      </c>
      <c r="I541" s="96" t="s">
        <v>813</v>
      </c>
      <c r="J541" s="96" t="s">
        <v>203</v>
      </c>
      <c r="K541" s="96"/>
      <c r="L541" s="96" t="s">
        <v>470</v>
      </c>
      <c r="M541" s="96" t="s">
        <v>338</v>
      </c>
      <c r="N541" s="96" t="s">
        <v>337</v>
      </c>
      <c r="O541" s="96"/>
      <c r="P541" s="100">
        <v>44230</v>
      </c>
      <c r="Q541" s="96" t="s">
        <v>1520</v>
      </c>
      <c r="R541" s="96" t="s">
        <v>414</v>
      </c>
      <c r="S541" s="96" t="s">
        <v>407</v>
      </c>
      <c r="T541" s="96" t="s">
        <v>1200</v>
      </c>
      <c r="U541" s="97">
        <v>4.49</v>
      </c>
      <c r="V541" s="96" t="s">
        <v>3678</v>
      </c>
      <c r="W541" s="98">
        <v>8.1700000000000002E-3</v>
      </c>
      <c r="X541" s="96"/>
      <c r="Y541" s="96"/>
      <c r="Z541" s="96"/>
      <c r="AA541" s="98">
        <v>3.5700000000000003E-2</v>
      </c>
      <c r="AB541" s="100">
        <v>48852</v>
      </c>
      <c r="AC541" s="96" t="s">
        <v>411</v>
      </c>
      <c r="AD541" s="96"/>
      <c r="AE541" s="96"/>
      <c r="AF541" s="96"/>
      <c r="AG541" s="100">
        <v>45291</v>
      </c>
      <c r="AH541" s="96"/>
      <c r="AI541" s="96"/>
      <c r="AJ541" s="96"/>
      <c r="AK541" s="96" t="s">
        <v>337</v>
      </c>
      <c r="AL541" s="96" t="s">
        <v>887</v>
      </c>
      <c r="AM541" s="96"/>
      <c r="AN541" s="96" t="s">
        <v>890</v>
      </c>
      <c r="AO541" s="100">
        <v>45473</v>
      </c>
      <c r="AP541" s="100">
        <v>45473</v>
      </c>
      <c r="AQ541" s="96"/>
      <c r="AR541" s="97">
        <v>9746.012041</v>
      </c>
      <c r="AS541" s="97">
        <v>100.44</v>
      </c>
      <c r="AT541" s="97">
        <v>1</v>
      </c>
      <c r="AU541" s="97">
        <v>9.7888940000000009</v>
      </c>
      <c r="AV541" s="97">
        <v>9.7888940000000009</v>
      </c>
      <c r="AW541" s="96"/>
      <c r="AX541" s="96"/>
      <c r="AY541" s="96"/>
      <c r="AZ541" s="96"/>
      <c r="BA541" s="98">
        <v>6.3E-5</v>
      </c>
      <c r="BB541" s="98">
        <v>5.0000000000000004E-6</v>
      </c>
      <c r="BC541" s="106"/>
    </row>
    <row r="542" spans="1:55" ht="15" customHeight="1">
      <c r="A542" s="106"/>
      <c r="B542" s="96">
        <v>286</v>
      </c>
      <c r="C542" s="96">
        <v>286</v>
      </c>
      <c r="D542" s="96"/>
      <c r="E542" s="96"/>
      <c r="F542" s="96"/>
      <c r="G542" s="96">
        <v>25000744</v>
      </c>
      <c r="H542" s="96" t="s">
        <v>1013</v>
      </c>
      <c r="I542" s="96"/>
      <c r="J542" s="96" t="s">
        <v>203</v>
      </c>
      <c r="K542" s="96"/>
      <c r="L542" s="96" t="s">
        <v>477</v>
      </c>
      <c r="M542" s="96" t="s">
        <v>338</v>
      </c>
      <c r="N542" s="96" t="s">
        <v>338</v>
      </c>
      <c r="O542" s="96"/>
      <c r="P542" s="100">
        <v>44845</v>
      </c>
      <c r="Q542" s="96" t="s">
        <v>409</v>
      </c>
      <c r="R542" s="96" t="s">
        <v>409</v>
      </c>
      <c r="S542" s="96" t="s">
        <v>409</v>
      </c>
      <c r="T542" s="96" t="s">
        <v>1200</v>
      </c>
      <c r="U542" s="97">
        <v>1.74</v>
      </c>
      <c r="V542" s="96" t="s">
        <v>824</v>
      </c>
      <c r="W542" s="98">
        <v>7.4999999999999997E-2</v>
      </c>
      <c r="X542" s="96"/>
      <c r="Y542" s="96"/>
      <c r="Z542" s="96"/>
      <c r="AA542" s="98">
        <v>6.93E-2</v>
      </c>
      <c r="AB542" s="100">
        <v>46671</v>
      </c>
      <c r="AC542" s="96" t="s">
        <v>411</v>
      </c>
      <c r="AD542" s="96"/>
      <c r="AE542" s="96"/>
      <c r="AF542" s="96"/>
      <c r="AG542" s="100">
        <v>45097</v>
      </c>
      <c r="AH542" s="96"/>
      <c r="AI542" s="96"/>
      <c r="AJ542" s="96"/>
      <c r="AK542" s="96" t="s">
        <v>337</v>
      </c>
      <c r="AL542" s="96" t="s">
        <v>887</v>
      </c>
      <c r="AM542" s="96"/>
      <c r="AN542" s="96" t="s">
        <v>890</v>
      </c>
      <c r="AO542" s="100">
        <v>45473</v>
      </c>
      <c r="AP542" s="100">
        <v>45473</v>
      </c>
      <c r="AQ542" s="96"/>
      <c r="AR542" s="97">
        <v>26441.822568</v>
      </c>
      <c r="AS542" s="97">
        <v>102.86</v>
      </c>
      <c r="AT542" s="97">
        <v>1</v>
      </c>
      <c r="AU542" s="97">
        <v>27.198058</v>
      </c>
      <c r="AV542" s="97">
        <v>27.198058</v>
      </c>
      <c r="AW542" s="96"/>
      <c r="AX542" s="96"/>
      <c r="AY542" s="96"/>
      <c r="AZ542" s="96"/>
      <c r="BA542" s="98">
        <v>1.7699999999999999E-4</v>
      </c>
      <c r="BB542" s="98">
        <v>1.4E-5</v>
      </c>
      <c r="BC542" s="106"/>
    </row>
    <row r="543" spans="1:55" ht="15" customHeight="1">
      <c r="A543" s="106"/>
      <c r="B543" s="96">
        <v>286</v>
      </c>
      <c r="C543" s="96">
        <v>286</v>
      </c>
      <c r="D543" s="96"/>
      <c r="E543" s="96"/>
      <c r="F543" s="96"/>
      <c r="G543" s="96">
        <v>25000743</v>
      </c>
      <c r="H543" s="96" t="s">
        <v>1013</v>
      </c>
      <c r="I543" s="96"/>
      <c r="J543" s="96" t="s">
        <v>203</v>
      </c>
      <c r="K543" s="96"/>
      <c r="L543" s="96" t="s">
        <v>477</v>
      </c>
      <c r="M543" s="96" t="s">
        <v>338</v>
      </c>
      <c r="N543" s="96" t="s">
        <v>338</v>
      </c>
      <c r="O543" s="96"/>
      <c r="P543" s="100">
        <v>44845</v>
      </c>
      <c r="Q543" s="96" t="s">
        <v>409</v>
      </c>
      <c r="R543" s="96" t="s">
        <v>409</v>
      </c>
      <c r="S543" s="96" t="s">
        <v>409</v>
      </c>
      <c r="T543" s="96" t="s">
        <v>1200</v>
      </c>
      <c r="U543" s="97">
        <v>2.95</v>
      </c>
      <c r="V543" s="96" t="s">
        <v>824</v>
      </c>
      <c r="W543" s="98">
        <v>7.4999999999999997E-2</v>
      </c>
      <c r="X543" s="96"/>
      <c r="Y543" s="96"/>
      <c r="Z543" s="96"/>
      <c r="AA543" s="98">
        <v>7.0699999999999999E-2</v>
      </c>
      <c r="AB543" s="100">
        <v>46671</v>
      </c>
      <c r="AC543" s="96" t="s">
        <v>411</v>
      </c>
      <c r="AD543" s="96"/>
      <c r="AE543" s="96"/>
      <c r="AF543" s="96"/>
      <c r="AG543" s="100">
        <v>45097</v>
      </c>
      <c r="AH543" s="96"/>
      <c r="AI543" s="96"/>
      <c r="AJ543" s="96"/>
      <c r="AK543" s="96" t="s">
        <v>337</v>
      </c>
      <c r="AL543" s="96" t="s">
        <v>887</v>
      </c>
      <c r="AM543" s="96"/>
      <c r="AN543" s="96" t="s">
        <v>890</v>
      </c>
      <c r="AO543" s="100">
        <v>45473</v>
      </c>
      <c r="AP543" s="100">
        <v>45473</v>
      </c>
      <c r="AQ543" s="96"/>
      <c r="AR543" s="97">
        <v>24406.541939999999</v>
      </c>
      <c r="AS543" s="97">
        <v>103.54</v>
      </c>
      <c r="AT543" s="97">
        <v>1</v>
      </c>
      <c r="AU543" s="97">
        <v>25.270533</v>
      </c>
      <c r="AV543" s="97">
        <v>25.270533</v>
      </c>
      <c r="AW543" s="96"/>
      <c r="AX543" s="96"/>
      <c r="AY543" s="96"/>
      <c r="AZ543" s="96"/>
      <c r="BA543" s="98">
        <v>1.65E-4</v>
      </c>
      <c r="BB543" s="98">
        <v>1.2999999999999999E-5</v>
      </c>
      <c r="BC543" s="106"/>
    </row>
    <row r="544" spans="1:55" ht="15" customHeight="1">
      <c r="A544" s="106"/>
      <c r="B544" s="96">
        <v>286</v>
      </c>
      <c r="C544" s="96">
        <v>286</v>
      </c>
      <c r="D544" s="96"/>
      <c r="E544" s="96"/>
      <c r="F544" s="96"/>
      <c r="G544" s="96">
        <v>25000741</v>
      </c>
      <c r="H544" s="96" t="s">
        <v>1013</v>
      </c>
      <c r="I544" s="96" t="s">
        <v>3687</v>
      </c>
      <c r="J544" s="96" t="s">
        <v>203</v>
      </c>
      <c r="K544" s="96"/>
      <c r="L544" s="96" t="s">
        <v>446</v>
      </c>
      <c r="M544" s="96" t="s">
        <v>338</v>
      </c>
      <c r="N544" s="96" t="s">
        <v>338</v>
      </c>
      <c r="O544" s="96"/>
      <c r="P544" s="100">
        <v>44824</v>
      </c>
      <c r="Q544" s="96" t="s">
        <v>3679</v>
      </c>
      <c r="R544" s="96" t="s">
        <v>311</v>
      </c>
      <c r="S544" s="96" t="s">
        <v>407</v>
      </c>
      <c r="T544" s="96" t="s">
        <v>1200</v>
      </c>
      <c r="U544" s="97">
        <v>6.93</v>
      </c>
      <c r="V544" s="96" t="s">
        <v>3678</v>
      </c>
      <c r="W544" s="98">
        <v>2.402E-2</v>
      </c>
      <c r="X544" s="96"/>
      <c r="Y544" s="96"/>
      <c r="Z544" s="96"/>
      <c r="AA544" s="98">
        <v>3.6900000000000002E-2</v>
      </c>
      <c r="AB544" s="100">
        <v>48477</v>
      </c>
      <c r="AC544" s="96" t="s">
        <v>411</v>
      </c>
      <c r="AD544" s="96"/>
      <c r="AE544" s="96"/>
      <c r="AF544" s="96"/>
      <c r="AG544" s="100">
        <v>45110</v>
      </c>
      <c r="AH544" s="96"/>
      <c r="AI544" s="96"/>
      <c r="AJ544" s="96"/>
      <c r="AK544" s="96" t="s">
        <v>337</v>
      </c>
      <c r="AL544" s="96" t="s">
        <v>887</v>
      </c>
      <c r="AM544" s="96"/>
      <c r="AN544" s="96" t="s">
        <v>890</v>
      </c>
      <c r="AO544" s="100">
        <v>45473</v>
      </c>
      <c r="AP544" s="100">
        <v>45473</v>
      </c>
      <c r="AQ544" s="96"/>
      <c r="AR544" s="97">
        <v>336566.21335999999</v>
      </c>
      <c r="AS544" s="97">
        <v>97.51</v>
      </c>
      <c r="AT544" s="97">
        <v>1</v>
      </c>
      <c r="AU544" s="97">
        <v>328.18571400000002</v>
      </c>
      <c r="AV544" s="97">
        <v>328.18571400000002</v>
      </c>
      <c r="AW544" s="96"/>
      <c r="AX544" s="96"/>
      <c r="AY544" s="96"/>
      <c r="AZ544" s="96"/>
      <c r="BA544" s="98">
        <v>2.1440000000000001E-3</v>
      </c>
      <c r="BB544" s="98">
        <v>1.7000000000000001E-4</v>
      </c>
      <c r="BC544" s="106"/>
    </row>
    <row r="545" spans="1:55" ht="15" customHeight="1">
      <c r="A545" s="106"/>
      <c r="B545" s="96">
        <v>286</v>
      </c>
      <c r="C545" s="96">
        <v>286</v>
      </c>
      <c r="D545" s="96"/>
      <c r="E545" s="96"/>
      <c r="F545" s="96"/>
      <c r="G545" s="96">
        <v>25000740</v>
      </c>
      <c r="H545" s="96" t="s">
        <v>1013</v>
      </c>
      <c r="I545" s="96" t="s">
        <v>3684</v>
      </c>
      <c r="J545" s="96" t="s">
        <v>203</v>
      </c>
      <c r="K545" s="96"/>
      <c r="L545" s="96" t="s">
        <v>463</v>
      </c>
      <c r="M545" s="96" t="s">
        <v>338</v>
      </c>
      <c r="N545" s="96" t="s">
        <v>337</v>
      </c>
      <c r="O545" s="96"/>
      <c r="P545" s="100">
        <v>44812</v>
      </c>
      <c r="Q545" s="96" t="s">
        <v>3681</v>
      </c>
      <c r="R545" s="96" t="s">
        <v>311</v>
      </c>
      <c r="S545" s="96" t="s">
        <v>407</v>
      </c>
      <c r="T545" s="96" t="s">
        <v>1200</v>
      </c>
      <c r="U545" s="97">
        <v>0.56999999999999995</v>
      </c>
      <c r="V545" s="96" t="s">
        <v>824</v>
      </c>
      <c r="W545" s="98">
        <v>7.7299999999999994E-2</v>
      </c>
      <c r="X545" s="96"/>
      <c r="Y545" s="96"/>
      <c r="Z545" s="96"/>
      <c r="AA545" s="98">
        <v>7.9500000000000001E-2</v>
      </c>
      <c r="AB545" s="100">
        <v>45688</v>
      </c>
      <c r="AC545" s="96" t="s">
        <v>411</v>
      </c>
      <c r="AD545" s="96"/>
      <c r="AE545" s="96"/>
      <c r="AF545" s="96"/>
      <c r="AG545" s="100">
        <v>45075</v>
      </c>
      <c r="AH545" s="96"/>
      <c r="AI545" s="96"/>
      <c r="AJ545" s="96"/>
      <c r="AK545" s="96" t="s">
        <v>337</v>
      </c>
      <c r="AL545" s="96" t="s">
        <v>887</v>
      </c>
      <c r="AM545" s="96"/>
      <c r="AN545" s="96" t="s">
        <v>890</v>
      </c>
      <c r="AO545" s="100">
        <v>45473</v>
      </c>
      <c r="AP545" s="100">
        <v>45473</v>
      </c>
      <c r="AQ545" s="96"/>
      <c r="AR545" s="97">
        <v>65418.837017999998</v>
      </c>
      <c r="AS545" s="97">
        <v>101.32</v>
      </c>
      <c r="AT545" s="97">
        <v>1</v>
      </c>
      <c r="AU545" s="97">
        <v>66.282364999999999</v>
      </c>
      <c r="AV545" s="97">
        <v>66.282364999999999</v>
      </c>
      <c r="AW545" s="96"/>
      <c r="AX545" s="96"/>
      <c r="AY545" s="96"/>
      <c r="AZ545" s="96"/>
      <c r="BA545" s="98">
        <v>4.3300000000000001E-4</v>
      </c>
      <c r="BB545" s="98">
        <v>3.4E-5</v>
      </c>
      <c r="BC545" s="106"/>
    </row>
    <row r="546" spans="1:55" ht="15" customHeight="1">
      <c r="A546" s="106"/>
      <c r="B546" s="96">
        <v>286</v>
      </c>
      <c r="C546" s="96">
        <v>286</v>
      </c>
      <c r="D546" s="96"/>
      <c r="E546" s="96"/>
      <c r="F546" s="96"/>
      <c r="G546" s="96">
        <v>25000739</v>
      </c>
      <c r="H546" s="96" t="s">
        <v>1013</v>
      </c>
      <c r="I546" s="96"/>
      <c r="J546" s="96" t="s">
        <v>203</v>
      </c>
      <c r="K546" s="96"/>
      <c r="L546" s="96" t="s">
        <v>477</v>
      </c>
      <c r="M546" s="96" t="s">
        <v>338</v>
      </c>
      <c r="N546" s="96" t="s">
        <v>338</v>
      </c>
      <c r="O546" s="96"/>
      <c r="P546" s="100">
        <v>44801</v>
      </c>
      <c r="Q546" s="96" t="s">
        <v>409</v>
      </c>
      <c r="R546" s="96" t="s">
        <v>409</v>
      </c>
      <c r="S546" s="96" t="s">
        <v>409</v>
      </c>
      <c r="T546" s="96" t="s">
        <v>1200</v>
      </c>
      <c r="U546" s="97">
        <v>1.64</v>
      </c>
      <c r="V546" s="96" t="s">
        <v>824</v>
      </c>
      <c r="W546" s="98">
        <v>7.4999999999999997E-2</v>
      </c>
      <c r="X546" s="96"/>
      <c r="Y546" s="96"/>
      <c r="Z546" s="96"/>
      <c r="AA546" s="98">
        <v>7.8600000000000003E-2</v>
      </c>
      <c r="AB546" s="100">
        <v>46627</v>
      </c>
      <c r="AC546" s="96" t="s">
        <v>411</v>
      </c>
      <c r="AD546" s="96"/>
      <c r="AE546" s="96"/>
      <c r="AF546" s="96"/>
      <c r="AG546" s="100">
        <v>45097</v>
      </c>
      <c r="AH546" s="96"/>
      <c r="AI546" s="96"/>
      <c r="AJ546" s="96"/>
      <c r="AK546" s="96" t="s">
        <v>337</v>
      </c>
      <c r="AL546" s="96" t="s">
        <v>887</v>
      </c>
      <c r="AM546" s="96"/>
      <c r="AN546" s="96" t="s">
        <v>890</v>
      </c>
      <c r="AO546" s="100">
        <v>45473</v>
      </c>
      <c r="AP546" s="100">
        <v>45473</v>
      </c>
      <c r="AQ546" s="96"/>
      <c r="AR546" s="97">
        <v>16483.230826999999</v>
      </c>
      <c r="AS546" s="97">
        <v>101.44</v>
      </c>
      <c r="AT546" s="97">
        <v>1</v>
      </c>
      <c r="AU546" s="97">
        <v>16.720589</v>
      </c>
      <c r="AV546" s="97">
        <v>16.720589</v>
      </c>
      <c r="AW546" s="96"/>
      <c r="AX546" s="96"/>
      <c r="AY546" s="96"/>
      <c r="AZ546" s="96"/>
      <c r="BA546" s="98">
        <v>1.0900000000000001E-4</v>
      </c>
      <c r="BB546" s="98">
        <v>7.9999999999999996E-6</v>
      </c>
      <c r="BC546" s="106"/>
    </row>
    <row r="547" spans="1:55" ht="15" customHeight="1">
      <c r="A547" s="106"/>
      <c r="B547" s="96">
        <v>286</v>
      </c>
      <c r="C547" s="96">
        <v>286</v>
      </c>
      <c r="D547" s="96"/>
      <c r="E547" s="96"/>
      <c r="F547" s="96"/>
      <c r="G547" s="96">
        <v>25000738</v>
      </c>
      <c r="H547" s="96" t="s">
        <v>1013</v>
      </c>
      <c r="I547" s="96"/>
      <c r="J547" s="96" t="s">
        <v>203</v>
      </c>
      <c r="K547" s="96"/>
      <c r="L547" s="96" t="s">
        <v>477</v>
      </c>
      <c r="M547" s="96" t="s">
        <v>338</v>
      </c>
      <c r="N547" s="96" t="s">
        <v>338</v>
      </c>
      <c r="O547" s="96"/>
      <c r="P547" s="100">
        <v>44801</v>
      </c>
      <c r="Q547" s="96" t="s">
        <v>409</v>
      </c>
      <c r="R547" s="96" t="s">
        <v>409</v>
      </c>
      <c r="S547" s="96" t="s">
        <v>409</v>
      </c>
      <c r="T547" s="96" t="s">
        <v>1200</v>
      </c>
      <c r="U547" s="97">
        <v>2.85</v>
      </c>
      <c r="V547" s="96" t="s">
        <v>824</v>
      </c>
      <c r="W547" s="98">
        <v>7.4999999999999997E-2</v>
      </c>
      <c r="X547" s="96"/>
      <c r="Y547" s="96"/>
      <c r="Z547" s="96"/>
      <c r="AA547" s="98">
        <v>7.9899999999999999E-2</v>
      </c>
      <c r="AB547" s="100">
        <v>46627</v>
      </c>
      <c r="AC547" s="96" t="s">
        <v>411</v>
      </c>
      <c r="AD547" s="96"/>
      <c r="AE547" s="96"/>
      <c r="AF547" s="96"/>
      <c r="AG547" s="100">
        <v>45097</v>
      </c>
      <c r="AH547" s="96"/>
      <c r="AI547" s="96"/>
      <c r="AJ547" s="96"/>
      <c r="AK547" s="96" t="s">
        <v>337</v>
      </c>
      <c r="AL547" s="96" t="s">
        <v>887</v>
      </c>
      <c r="AM547" s="96"/>
      <c r="AN547" s="96" t="s">
        <v>890</v>
      </c>
      <c r="AO547" s="100">
        <v>45473</v>
      </c>
      <c r="AP547" s="100">
        <v>45473</v>
      </c>
      <c r="AQ547" s="96"/>
      <c r="AR547" s="97">
        <v>16271.027959999999</v>
      </c>
      <c r="AS547" s="97">
        <v>101.01</v>
      </c>
      <c r="AT547" s="97">
        <v>1</v>
      </c>
      <c r="AU547" s="97">
        <v>16.435365000000001</v>
      </c>
      <c r="AV547" s="97">
        <v>16.435365000000001</v>
      </c>
      <c r="AW547" s="96"/>
      <c r="AX547" s="96"/>
      <c r="AY547" s="96"/>
      <c r="AZ547" s="96"/>
      <c r="BA547" s="98">
        <v>1.07E-4</v>
      </c>
      <c r="BB547" s="98">
        <v>7.9999999999999996E-6</v>
      </c>
      <c r="BC547" s="106"/>
    </row>
    <row r="548" spans="1:55" ht="15" customHeight="1">
      <c r="A548" s="106"/>
      <c r="B548" s="96">
        <v>286</v>
      </c>
      <c r="C548" s="96">
        <v>286</v>
      </c>
      <c r="D548" s="96"/>
      <c r="E548" s="96"/>
      <c r="F548" s="96"/>
      <c r="G548" s="96">
        <v>25000723</v>
      </c>
      <c r="H548" s="96" t="s">
        <v>1013</v>
      </c>
      <c r="I548" s="96" t="s">
        <v>818</v>
      </c>
      <c r="J548" s="96" t="s">
        <v>203</v>
      </c>
      <c r="K548" s="96"/>
      <c r="L548" s="96" t="s">
        <v>464</v>
      </c>
      <c r="M548" s="96" t="s">
        <v>338</v>
      </c>
      <c r="N548" s="96" t="s">
        <v>338</v>
      </c>
      <c r="O548" s="96"/>
      <c r="P548" s="100">
        <v>44783</v>
      </c>
      <c r="Q548" s="96" t="s">
        <v>1320</v>
      </c>
      <c r="R548" s="96" t="s">
        <v>412</v>
      </c>
      <c r="S548" s="96" t="s">
        <v>407</v>
      </c>
      <c r="T548" s="96" t="s">
        <v>1200</v>
      </c>
      <c r="U548" s="97">
        <v>2.2000000000000002</v>
      </c>
      <c r="V548" s="96" t="s">
        <v>3678</v>
      </c>
      <c r="W548" s="98">
        <v>4.82E-2</v>
      </c>
      <c r="X548" s="96"/>
      <c r="Y548" s="96"/>
      <c r="Z548" s="96"/>
      <c r="AA548" s="98">
        <v>6.7299999999999999E-2</v>
      </c>
      <c r="AB548" s="100">
        <v>46573</v>
      </c>
      <c r="AC548" s="96" t="s">
        <v>410</v>
      </c>
      <c r="AD548" s="96"/>
      <c r="AE548" s="96"/>
      <c r="AF548" s="96"/>
      <c r="AG548" s="100"/>
      <c r="AH548" s="96"/>
      <c r="AI548" s="96"/>
      <c r="AJ548" s="96"/>
      <c r="AK548" s="96" t="s">
        <v>337</v>
      </c>
      <c r="AL548" s="96" t="s">
        <v>887</v>
      </c>
      <c r="AM548" s="96"/>
      <c r="AN548" s="96" t="s">
        <v>890</v>
      </c>
      <c r="AO548" s="100">
        <v>45473</v>
      </c>
      <c r="AP548" s="100">
        <v>45473</v>
      </c>
      <c r="AQ548" s="96"/>
      <c r="AR548" s="97">
        <v>1265634.000372</v>
      </c>
      <c r="AS548" s="97">
        <v>98.45</v>
      </c>
      <c r="AT548" s="97">
        <v>1</v>
      </c>
      <c r="AU548" s="97">
        <v>1246.0166730000001</v>
      </c>
      <c r="AV548" s="97">
        <v>1246.0166730000001</v>
      </c>
      <c r="AW548" s="96"/>
      <c r="AX548" s="96"/>
      <c r="AY548" s="96"/>
      <c r="AZ548" s="96"/>
      <c r="BA548" s="98">
        <v>8.1419999999999999E-3</v>
      </c>
      <c r="BB548" s="98">
        <v>6.4800000000000003E-4</v>
      </c>
      <c r="BC548" s="106"/>
    </row>
    <row r="549" spans="1:55" ht="15" customHeight="1">
      <c r="A549" s="106"/>
      <c r="B549" s="96">
        <v>286</v>
      </c>
      <c r="C549" s="96">
        <v>286</v>
      </c>
      <c r="D549" s="96"/>
      <c r="E549" s="96"/>
      <c r="F549" s="96"/>
      <c r="G549" s="96">
        <v>25000722</v>
      </c>
      <c r="H549" s="96" t="s">
        <v>1013</v>
      </c>
      <c r="I549" s="96" t="s">
        <v>785</v>
      </c>
      <c r="J549" s="96" t="s">
        <v>203</v>
      </c>
      <c r="K549" s="96"/>
      <c r="L549" s="96" t="s">
        <v>463</v>
      </c>
      <c r="M549" s="96" t="s">
        <v>338</v>
      </c>
      <c r="N549" s="96" t="s">
        <v>338</v>
      </c>
      <c r="O549" s="96"/>
      <c r="P549" s="100">
        <v>44777</v>
      </c>
      <c r="Q549" s="96" t="s">
        <v>1208</v>
      </c>
      <c r="R549" s="96" t="s">
        <v>311</v>
      </c>
      <c r="S549" s="96" t="s">
        <v>407</v>
      </c>
      <c r="T549" s="96" t="s">
        <v>1200</v>
      </c>
      <c r="U549" s="97">
        <v>3.39</v>
      </c>
      <c r="V549" s="96" t="s">
        <v>3678</v>
      </c>
      <c r="W549" s="98">
        <v>2.4729999999999999E-2</v>
      </c>
      <c r="X549" s="96"/>
      <c r="Y549" s="96"/>
      <c r="Z549" s="96"/>
      <c r="AA549" s="98">
        <v>4.3700000000000003E-2</v>
      </c>
      <c r="AB549" s="100">
        <v>46969</v>
      </c>
      <c r="AC549" s="96" t="s">
        <v>411</v>
      </c>
      <c r="AD549" s="96"/>
      <c r="AE549" s="96"/>
      <c r="AF549" s="96"/>
      <c r="AG549" s="100">
        <v>45062</v>
      </c>
      <c r="AH549" s="96"/>
      <c r="AI549" s="96"/>
      <c r="AJ549" s="96"/>
      <c r="AK549" s="96" t="s">
        <v>337</v>
      </c>
      <c r="AL549" s="96" t="s">
        <v>887</v>
      </c>
      <c r="AM549" s="96"/>
      <c r="AN549" s="96" t="s">
        <v>890</v>
      </c>
      <c r="AO549" s="100">
        <v>45473</v>
      </c>
      <c r="AP549" s="100">
        <v>45473</v>
      </c>
      <c r="AQ549" s="96"/>
      <c r="AR549" s="97">
        <v>134235.98067300001</v>
      </c>
      <c r="AS549" s="97">
        <v>100.65</v>
      </c>
      <c r="AT549" s="97">
        <v>1</v>
      </c>
      <c r="AU549" s="97">
        <v>135.10851400000001</v>
      </c>
      <c r="AV549" s="97">
        <v>135.10851400000001</v>
      </c>
      <c r="AW549" s="96"/>
      <c r="AX549" s="96"/>
      <c r="AY549" s="96"/>
      <c r="AZ549" s="96"/>
      <c r="BA549" s="98">
        <v>8.8199999999999997E-4</v>
      </c>
      <c r="BB549" s="98">
        <v>6.9999999999999994E-5</v>
      </c>
      <c r="BC549" s="106"/>
    </row>
    <row r="550" spans="1:55" ht="15" customHeight="1">
      <c r="A550" s="106"/>
      <c r="B550" s="96">
        <v>286</v>
      </c>
      <c r="C550" s="96">
        <v>286</v>
      </c>
      <c r="D550" s="96"/>
      <c r="E550" s="96"/>
      <c r="F550" s="96"/>
      <c r="G550" s="96">
        <v>25000745</v>
      </c>
      <c r="H550" s="96" t="s">
        <v>1013</v>
      </c>
      <c r="I550" s="96"/>
      <c r="J550" s="96" t="s">
        <v>203</v>
      </c>
      <c r="K550" s="96"/>
      <c r="L550" s="96" t="s">
        <v>476</v>
      </c>
      <c r="M550" s="96" t="s">
        <v>338</v>
      </c>
      <c r="N550" s="96" t="s">
        <v>338</v>
      </c>
      <c r="O550" s="96"/>
      <c r="P550" s="100">
        <v>44854</v>
      </c>
      <c r="Q550" s="96" t="s">
        <v>3681</v>
      </c>
      <c r="R550" s="96" t="s">
        <v>311</v>
      </c>
      <c r="S550" s="96" t="s">
        <v>407</v>
      </c>
      <c r="T550" s="96" t="s">
        <v>1200</v>
      </c>
      <c r="U550" s="97">
        <v>1.08</v>
      </c>
      <c r="V550" s="96" t="s">
        <v>3678</v>
      </c>
      <c r="W550" s="98">
        <v>5.4600000000000003E-2</v>
      </c>
      <c r="X550" s="96"/>
      <c r="Y550" s="96"/>
      <c r="Z550" s="96"/>
      <c r="AA550" s="98">
        <v>5.96E-2</v>
      </c>
      <c r="AB550" s="100">
        <v>46073</v>
      </c>
      <c r="AC550" s="96" t="s">
        <v>411</v>
      </c>
      <c r="AD550" s="96"/>
      <c r="AE550" s="96"/>
      <c r="AF550" s="96"/>
      <c r="AG550" s="100">
        <v>45173</v>
      </c>
      <c r="AH550" s="96"/>
      <c r="AI550" s="96"/>
      <c r="AJ550" s="96"/>
      <c r="AK550" s="96" t="s">
        <v>337</v>
      </c>
      <c r="AL550" s="96" t="s">
        <v>887</v>
      </c>
      <c r="AM550" s="96"/>
      <c r="AN550" s="96" t="s">
        <v>890</v>
      </c>
      <c r="AO550" s="100">
        <v>45473</v>
      </c>
      <c r="AP550" s="100">
        <v>45473</v>
      </c>
      <c r="AQ550" s="96"/>
      <c r="AR550" s="97">
        <v>66101.053989000007</v>
      </c>
      <c r="AS550" s="97">
        <v>100.65</v>
      </c>
      <c r="AT550" s="97">
        <v>1</v>
      </c>
      <c r="AU550" s="97">
        <v>66.530709999999999</v>
      </c>
      <c r="AV550" s="97">
        <v>66.530709999999999</v>
      </c>
      <c r="AW550" s="96"/>
      <c r="AX550" s="96"/>
      <c r="AY550" s="96"/>
      <c r="AZ550" s="96"/>
      <c r="BA550" s="98">
        <v>4.3399999999999998E-4</v>
      </c>
      <c r="BB550" s="98">
        <v>3.4E-5</v>
      </c>
      <c r="BC550" s="106"/>
    </row>
    <row r="551" spans="1:55" ht="15" customHeight="1">
      <c r="A551" s="106"/>
      <c r="B551" s="96">
        <v>286</v>
      </c>
      <c r="C551" s="96">
        <v>286</v>
      </c>
      <c r="D551" s="96"/>
      <c r="E551" s="96"/>
      <c r="F551" s="96"/>
      <c r="G551" s="96">
        <v>25000721</v>
      </c>
      <c r="H551" s="96" t="s">
        <v>1013</v>
      </c>
      <c r="I551" s="96"/>
      <c r="J551" s="96" t="s">
        <v>203</v>
      </c>
      <c r="K551" s="96"/>
      <c r="L551" s="96" t="s">
        <v>477</v>
      </c>
      <c r="M551" s="96" t="s">
        <v>338</v>
      </c>
      <c r="N551" s="96" t="s">
        <v>338</v>
      </c>
      <c r="O551" s="96"/>
      <c r="P551" s="100">
        <v>44770</v>
      </c>
      <c r="Q551" s="96" t="s">
        <v>409</v>
      </c>
      <c r="R551" s="96" t="s">
        <v>409</v>
      </c>
      <c r="S551" s="96" t="s">
        <v>409</v>
      </c>
      <c r="T551" s="96" t="s">
        <v>1200</v>
      </c>
      <c r="U551" s="97">
        <v>1.33</v>
      </c>
      <c r="V551" s="96" t="s">
        <v>3678</v>
      </c>
      <c r="W551" s="98">
        <v>8.9099999999999999E-2</v>
      </c>
      <c r="X551" s="96"/>
      <c r="Y551" s="96"/>
      <c r="Z551" s="96"/>
      <c r="AA551" s="98">
        <v>6.6100000000000006E-2</v>
      </c>
      <c r="AB551" s="100">
        <v>47907</v>
      </c>
      <c r="AC551" s="96" t="s">
        <v>411</v>
      </c>
      <c r="AD551" s="96"/>
      <c r="AE551" s="96"/>
      <c r="AF551" s="96"/>
      <c r="AG551" s="100">
        <v>44770</v>
      </c>
      <c r="AH551" s="96"/>
      <c r="AI551" s="96"/>
      <c r="AJ551" s="96"/>
      <c r="AK551" s="96" t="s">
        <v>337</v>
      </c>
      <c r="AL551" s="96" t="s">
        <v>887</v>
      </c>
      <c r="AM551" s="96"/>
      <c r="AN551" s="96" t="s">
        <v>890</v>
      </c>
      <c r="AO551" s="100">
        <v>45473</v>
      </c>
      <c r="AP551" s="100">
        <v>45473</v>
      </c>
      <c r="AQ551" s="96"/>
      <c r="AR551" s="97">
        <v>301327.72803400003</v>
      </c>
      <c r="AS551" s="97">
        <v>112.65</v>
      </c>
      <c r="AT551" s="97">
        <v>1</v>
      </c>
      <c r="AU551" s="97">
        <v>339.44568500000003</v>
      </c>
      <c r="AV551" s="97">
        <v>339.44568500000003</v>
      </c>
      <c r="AW551" s="96"/>
      <c r="AX551" s="96"/>
      <c r="AY551" s="96"/>
      <c r="AZ551" s="96"/>
      <c r="BA551" s="98">
        <v>2.2179999999999999E-3</v>
      </c>
      <c r="BB551" s="98">
        <v>1.76E-4</v>
      </c>
      <c r="BC551" s="106"/>
    </row>
    <row r="552" spans="1:55" ht="15" customHeight="1">
      <c r="A552" s="106"/>
      <c r="B552" s="96">
        <v>286</v>
      </c>
      <c r="C552" s="96">
        <v>286</v>
      </c>
      <c r="D552" s="96"/>
      <c r="E552" s="96"/>
      <c r="F552" s="96"/>
      <c r="G552" s="96">
        <v>25000719</v>
      </c>
      <c r="H552" s="96" t="s">
        <v>1013</v>
      </c>
      <c r="I552" s="96" t="s">
        <v>812</v>
      </c>
      <c r="J552" s="96" t="s">
        <v>203</v>
      </c>
      <c r="K552" s="96"/>
      <c r="L552" s="96" t="s">
        <v>454</v>
      </c>
      <c r="M552" s="96" t="s">
        <v>338</v>
      </c>
      <c r="N552" s="96" t="s">
        <v>337</v>
      </c>
      <c r="O552" s="96"/>
      <c r="P552" s="100">
        <v>44753</v>
      </c>
      <c r="Q552" s="96" t="s">
        <v>1357</v>
      </c>
      <c r="R552" s="96" t="s">
        <v>414</v>
      </c>
      <c r="S552" s="96" t="s">
        <v>407</v>
      </c>
      <c r="T552" s="96" t="s">
        <v>1200</v>
      </c>
      <c r="U552" s="97">
        <v>7.36</v>
      </c>
      <c r="V552" s="96" t="s">
        <v>3678</v>
      </c>
      <c r="W552" s="98">
        <v>3.2599999999999997E-2</v>
      </c>
      <c r="X552" s="96"/>
      <c r="Y552" s="96"/>
      <c r="Z552" s="96"/>
      <c r="AA552" s="98">
        <v>4.1300000000000003E-2</v>
      </c>
      <c r="AB552" s="100">
        <v>51677</v>
      </c>
      <c r="AC552" s="96" t="s">
        <v>411</v>
      </c>
      <c r="AD552" s="96"/>
      <c r="AE552" s="96"/>
      <c r="AF552" s="96"/>
      <c r="AG552" s="100">
        <v>45291</v>
      </c>
      <c r="AH552" s="96"/>
      <c r="AI552" s="96"/>
      <c r="AJ552" s="96"/>
      <c r="AK552" s="96" t="s">
        <v>337</v>
      </c>
      <c r="AL552" s="96" t="s">
        <v>887</v>
      </c>
      <c r="AM552" s="96"/>
      <c r="AN552" s="96" t="s">
        <v>890</v>
      </c>
      <c r="AO552" s="100">
        <v>45473</v>
      </c>
      <c r="AP552" s="100">
        <v>45473</v>
      </c>
      <c r="AQ552" s="96"/>
      <c r="AR552" s="97">
        <v>118571.72</v>
      </c>
      <c r="AS552" s="97">
        <v>98.87</v>
      </c>
      <c r="AT552" s="97">
        <v>1</v>
      </c>
      <c r="AU552" s="97">
        <v>117.23186</v>
      </c>
      <c r="AV552" s="97">
        <v>117.23186</v>
      </c>
      <c r="AW552" s="96"/>
      <c r="AX552" s="96"/>
      <c r="AY552" s="96"/>
      <c r="AZ552" s="96"/>
      <c r="BA552" s="98">
        <v>7.6599999999999997E-4</v>
      </c>
      <c r="BB552" s="98">
        <v>6.0999999999999999E-5</v>
      </c>
      <c r="BC552" s="106"/>
    </row>
    <row r="553" spans="1:55" ht="15" customHeight="1">
      <c r="A553" s="106"/>
      <c r="B553" s="96">
        <v>286</v>
      </c>
      <c r="C553" s="96">
        <v>286</v>
      </c>
      <c r="D553" s="96"/>
      <c r="E553" s="96"/>
      <c r="F553" s="96"/>
      <c r="G553" s="96">
        <v>25000718</v>
      </c>
      <c r="H553" s="96" t="s">
        <v>1013</v>
      </c>
      <c r="I553" s="96"/>
      <c r="J553" s="96" t="s">
        <v>203</v>
      </c>
      <c r="K553" s="96"/>
      <c r="L553" s="96" t="s">
        <v>477</v>
      </c>
      <c r="M553" s="96" t="s">
        <v>338</v>
      </c>
      <c r="N553" s="96" t="s">
        <v>338</v>
      </c>
      <c r="O553" s="96"/>
      <c r="P553" s="100">
        <v>44762</v>
      </c>
      <c r="Q553" s="96" t="s">
        <v>409</v>
      </c>
      <c r="R553" s="96" t="s">
        <v>409</v>
      </c>
      <c r="S553" s="96" t="s">
        <v>409</v>
      </c>
      <c r="T553" s="96" t="s">
        <v>1200</v>
      </c>
      <c r="U553" s="97">
        <v>1.63</v>
      </c>
      <c r="V553" s="96" t="s">
        <v>824</v>
      </c>
      <c r="W553" s="98">
        <v>7.4999999999999997E-2</v>
      </c>
      <c r="X553" s="96"/>
      <c r="Y553" s="96"/>
      <c r="Z553" s="96"/>
      <c r="AA553" s="98">
        <v>7.17E-2</v>
      </c>
      <c r="AB553" s="100">
        <v>46588</v>
      </c>
      <c r="AC553" s="96" t="s">
        <v>411</v>
      </c>
      <c r="AD553" s="96"/>
      <c r="AE553" s="96"/>
      <c r="AF553" s="96"/>
      <c r="AG553" s="100">
        <v>45097</v>
      </c>
      <c r="AH553" s="96"/>
      <c r="AI553" s="96"/>
      <c r="AJ553" s="96"/>
      <c r="AK553" s="96" t="s">
        <v>337</v>
      </c>
      <c r="AL553" s="96" t="s">
        <v>887</v>
      </c>
      <c r="AM553" s="96"/>
      <c r="AN553" s="96" t="s">
        <v>890</v>
      </c>
      <c r="AO553" s="100">
        <v>45473</v>
      </c>
      <c r="AP553" s="100">
        <v>45473</v>
      </c>
      <c r="AQ553" s="96"/>
      <c r="AR553" s="97">
        <v>41208.07705</v>
      </c>
      <c r="AS553" s="97">
        <v>102.42</v>
      </c>
      <c r="AT553" s="97">
        <v>1</v>
      </c>
      <c r="AU553" s="97">
        <v>42.205311999999999</v>
      </c>
      <c r="AV553" s="97">
        <v>42.205311999999999</v>
      </c>
      <c r="AW553" s="96"/>
      <c r="AX553" s="96"/>
      <c r="AY553" s="96"/>
      <c r="AZ553" s="96"/>
      <c r="BA553" s="98">
        <v>2.7500000000000002E-4</v>
      </c>
      <c r="BB553" s="98">
        <v>2.0999999999999999E-5</v>
      </c>
      <c r="BC553" s="106"/>
    </row>
    <row r="554" spans="1:55" ht="15" customHeight="1">
      <c r="A554" s="106"/>
      <c r="B554" s="96">
        <v>286</v>
      </c>
      <c r="C554" s="96">
        <v>286</v>
      </c>
      <c r="D554" s="96"/>
      <c r="E554" s="96"/>
      <c r="F554" s="96"/>
      <c r="G554" s="96">
        <v>25000717</v>
      </c>
      <c r="H554" s="96" t="s">
        <v>1013</v>
      </c>
      <c r="I554" s="96" t="s">
        <v>804</v>
      </c>
      <c r="J554" s="96" t="s">
        <v>203</v>
      </c>
      <c r="K554" s="96"/>
      <c r="L554" s="96" t="s">
        <v>477</v>
      </c>
      <c r="M554" s="96" t="s">
        <v>338</v>
      </c>
      <c r="N554" s="96" t="s">
        <v>338</v>
      </c>
      <c r="O554" s="96"/>
      <c r="P554" s="100">
        <v>44762</v>
      </c>
      <c r="Q554" s="96" t="s">
        <v>409</v>
      </c>
      <c r="R554" s="96" t="s">
        <v>409</v>
      </c>
      <c r="S554" s="96" t="s">
        <v>409</v>
      </c>
      <c r="T554" s="96" t="s">
        <v>1200</v>
      </c>
      <c r="U554" s="97">
        <v>2.77</v>
      </c>
      <c r="V554" s="96" t="s">
        <v>824</v>
      </c>
      <c r="W554" s="98">
        <v>7.4999999999999997E-2</v>
      </c>
      <c r="X554" s="96"/>
      <c r="Y554" s="96"/>
      <c r="Z554" s="96"/>
      <c r="AA554" s="98">
        <v>7.2999999999999995E-2</v>
      </c>
      <c r="AB554" s="100">
        <v>46588</v>
      </c>
      <c r="AC554" s="96" t="s">
        <v>411</v>
      </c>
      <c r="AD554" s="96"/>
      <c r="AE554" s="96"/>
      <c r="AF554" s="96"/>
      <c r="AG554" s="100">
        <v>45097</v>
      </c>
      <c r="AH554" s="96"/>
      <c r="AI554" s="96"/>
      <c r="AJ554" s="96"/>
      <c r="AK554" s="96" t="s">
        <v>337</v>
      </c>
      <c r="AL554" s="96" t="s">
        <v>887</v>
      </c>
      <c r="AM554" s="96"/>
      <c r="AN554" s="96" t="s">
        <v>890</v>
      </c>
      <c r="AO554" s="100">
        <v>45473</v>
      </c>
      <c r="AP554" s="100">
        <v>45473</v>
      </c>
      <c r="AQ554" s="96"/>
      <c r="AR554" s="97">
        <v>40677.569901000003</v>
      </c>
      <c r="AS554" s="97">
        <v>102.79</v>
      </c>
      <c r="AT554" s="97">
        <v>1</v>
      </c>
      <c r="AU554" s="97">
        <v>41.812474000000002</v>
      </c>
      <c r="AV554" s="97">
        <v>41.812474000000002</v>
      </c>
      <c r="AW554" s="96"/>
      <c r="AX554" s="96"/>
      <c r="AY554" s="96"/>
      <c r="AZ554" s="96"/>
      <c r="BA554" s="98">
        <v>2.7300000000000002E-4</v>
      </c>
      <c r="BB554" s="98">
        <v>2.0999999999999999E-5</v>
      </c>
      <c r="BC554" s="106"/>
    </row>
    <row r="555" spans="1:55" ht="15" customHeight="1">
      <c r="A555" s="106"/>
      <c r="B555" s="96">
        <v>286</v>
      </c>
      <c r="C555" s="96">
        <v>286</v>
      </c>
      <c r="D555" s="96"/>
      <c r="E555" s="96"/>
      <c r="F555" s="96"/>
      <c r="G555" s="96">
        <v>25000716</v>
      </c>
      <c r="H555" s="96" t="s">
        <v>1013</v>
      </c>
      <c r="I555" s="96" t="s">
        <v>806</v>
      </c>
      <c r="J555" s="96" t="s">
        <v>203</v>
      </c>
      <c r="K555" s="96"/>
      <c r="L555" s="96" t="s">
        <v>446</v>
      </c>
      <c r="M555" s="96" t="s">
        <v>338</v>
      </c>
      <c r="N555" s="96" t="s">
        <v>337</v>
      </c>
      <c r="O555" s="96"/>
      <c r="P555" s="100">
        <v>44748</v>
      </c>
      <c r="Q555" s="96" t="s">
        <v>3681</v>
      </c>
      <c r="R555" s="96" t="s">
        <v>311</v>
      </c>
      <c r="S555" s="96" t="s">
        <v>407</v>
      </c>
      <c r="T555" s="96" t="s">
        <v>1200</v>
      </c>
      <c r="U555" s="97">
        <v>0.99</v>
      </c>
      <c r="V555" s="96" t="s">
        <v>824</v>
      </c>
      <c r="W555" s="98">
        <v>7.3160000000000003E-2</v>
      </c>
      <c r="X555" s="96"/>
      <c r="Y555" s="96"/>
      <c r="Z555" s="96"/>
      <c r="AA555" s="98">
        <v>6.7299999999999999E-2</v>
      </c>
      <c r="AB555" s="100">
        <v>45844</v>
      </c>
      <c r="AC555" s="96" t="s">
        <v>411</v>
      </c>
      <c r="AD555" s="96"/>
      <c r="AE555" s="96"/>
      <c r="AF555" s="96"/>
      <c r="AG555" s="100">
        <v>45137</v>
      </c>
      <c r="AH555" s="96"/>
      <c r="AI555" s="96"/>
      <c r="AJ555" s="96"/>
      <c r="AK555" s="96" t="s">
        <v>337</v>
      </c>
      <c r="AL555" s="96" t="s">
        <v>887</v>
      </c>
      <c r="AM555" s="96"/>
      <c r="AN555" s="96" t="s">
        <v>890</v>
      </c>
      <c r="AO555" s="100">
        <v>45473</v>
      </c>
      <c r="AP555" s="100">
        <v>45473</v>
      </c>
      <c r="AQ555" s="96"/>
      <c r="AR555" s="97">
        <v>1486658.701144</v>
      </c>
      <c r="AS555" s="97">
        <v>100.46</v>
      </c>
      <c r="AT555" s="97">
        <v>1</v>
      </c>
      <c r="AU555" s="97">
        <v>1493.497331</v>
      </c>
      <c r="AV555" s="97">
        <v>1493.497331</v>
      </c>
      <c r="AW555" s="96"/>
      <c r="AX555" s="96"/>
      <c r="AY555" s="96"/>
      <c r="AZ555" s="96"/>
      <c r="BA555" s="98">
        <v>9.7590000000000003E-3</v>
      </c>
      <c r="BB555" s="98">
        <v>7.7700000000000002E-4</v>
      </c>
      <c r="BC555" s="106"/>
    </row>
    <row r="556" spans="1:55" ht="15" customHeight="1">
      <c r="A556" s="106"/>
      <c r="B556" s="96">
        <v>286</v>
      </c>
      <c r="C556" s="96">
        <v>286</v>
      </c>
      <c r="D556" s="96"/>
      <c r="E556" s="96"/>
      <c r="F556" s="96"/>
      <c r="G556" s="96">
        <v>25000715</v>
      </c>
      <c r="H556" s="96" t="s">
        <v>1013</v>
      </c>
      <c r="I556" s="96"/>
      <c r="J556" s="96" t="s">
        <v>203</v>
      </c>
      <c r="K556" s="96"/>
      <c r="L556" s="96" t="s">
        <v>446</v>
      </c>
      <c r="M556" s="96" t="s">
        <v>338</v>
      </c>
      <c r="N556" s="96" t="s">
        <v>338</v>
      </c>
      <c r="O556" s="96"/>
      <c r="P556" s="100">
        <v>44740</v>
      </c>
      <c r="Q556" s="96" t="s">
        <v>1309</v>
      </c>
      <c r="R556" s="96" t="s">
        <v>414</v>
      </c>
      <c r="S556" s="96" t="s">
        <v>407</v>
      </c>
      <c r="T556" s="96" t="s">
        <v>1200</v>
      </c>
      <c r="U556" s="97">
        <v>0.98</v>
      </c>
      <c r="V556" s="96" t="s">
        <v>3678</v>
      </c>
      <c r="W556" s="98">
        <v>6.6100000000000006E-2</v>
      </c>
      <c r="X556" s="96"/>
      <c r="Y556" s="96"/>
      <c r="Z556" s="96"/>
      <c r="AA556" s="98">
        <v>6.7000000000000004E-2</v>
      </c>
      <c r="AB556" s="100">
        <v>45838</v>
      </c>
      <c r="AC556" s="96" t="s">
        <v>411</v>
      </c>
      <c r="AD556" s="96"/>
      <c r="AE556" s="96"/>
      <c r="AF556" s="96"/>
      <c r="AG556" s="100"/>
      <c r="AH556" s="96"/>
      <c r="AI556" s="96"/>
      <c r="AJ556" s="96"/>
      <c r="AK556" s="96" t="s">
        <v>337</v>
      </c>
      <c r="AL556" s="96" t="s">
        <v>887</v>
      </c>
      <c r="AM556" s="96"/>
      <c r="AN556" s="96" t="s">
        <v>890</v>
      </c>
      <c r="AO556" s="100">
        <v>45473</v>
      </c>
      <c r="AP556" s="100">
        <v>45473</v>
      </c>
      <c r="AQ556" s="96"/>
      <c r="AR556" s="97">
        <v>39076.832196000003</v>
      </c>
      <c r="AS556" s="97">
        <v>100.01</v>
      </c>
      <c r="AT556" s="97">
        <v>1</v>
      </c>
      <c r="AU556" s="97">
        <v>39.080739000000001</v>
      </c>
      <c r="AV556" s="97">
        <v>39.080739000000001</v>
      </c>
      <c r="AW556" s="96"/>
      <c r="AX556" s="96"/>
      <c r="AY556" s="96"/>
      <c r="AZ556" s="96"/>
      <c r="BA556" s="98">
        <v>2.5500000000000002E-4</v>
      </c>
      <c r="BB556" s="98">
        <v>2.0000000000000002E-5</v>
      </c>
      <c r="BC556" s="106"/>
    </row>
    <row r="557" spans="1:55" ht="15" customHeight="1">
      <c r="A557" s="106"/>
      <c r="B557" s="96">
        <v>286</v>
      </c>
      <c r="C557" s="96">
        <v>286</v>
      </c>
      <c r="D557" s="96"/>
      <c r="E557" s="96"/>
      <c r="F557" s="96"/>
      <c r="G557" s="96">
        <v>25000714</v>
      </c>
      <c r="H557" s="96" t="s">
        <v>1013</v>
      </c>
      <c r="I557" s="96"/>
      <c r="J557" s="96" t="s">
        <v>203</v>
      </c>
      <c r="K557" s="96"/>
      <c r="L557" s="96" t="s">
        <v>476</v>
      </c>
      <c r="M557" s="96" t="s">
        <v>338</v>
      </c>
      <c r="N557" s="96" t="s">
        <v>338</v>
      </c>
      <c r="O557" s="96"/>
      <c r="P557" s="100">
        <v>44739</v>
      </c>
      <c r="Q557" s="96" t="s">
        <v>3681</v>
      </c>
      <c r="R557" s="96" t="s">
        <v>311</v>
      </c>
      <c r="S557" s="96" t="s">
        <v>407</v>
      </c>
      <c r="T557" s="96" t="s">
        <v>1200</v>
      </c>
      <c r="U557" s="97">
        <v>1.01</v>
      </c>
      <c r="V557" s="96" t="s">
        <v>3678</v>
      </c>
      <c r="W557" s="98">
        <v>1.7600000000000001E-2</v>
      </c>
      <c r="X557" s="96"/>
      <c r="Y557" s="96"/>
      <c r="Z557" s="96"/>
      <c r="AA557" s="98">
        <v>2.92E-2</v>
      </c>
      <c r="AB557" s="100">
        <v>45957</v>
      </c>
      <c r="AC557" s="96" t="s">
        <v>411</v>
      </c>
      <c r="AD557" s="96"/>
      <c r="AE557" s="96"/>
      <c r="AF557" s="96"/>
      <c r="AG557" s="100">
        <v>45173</v>
      </c>
      <c r="AH557" s="96"/>
      <c r="AI557" s="96"/>
      <c r="AJ557" s="96"/>
      <c r="AK557" s="96" t="s">
        <v>337</v>
      </c>
      <c r="AL557" s="96" t="s">
        <v>887</v>
      </c>
      <c r="AM557" s="96"/>
      <c r="AN557" s="96" t="s">
        <v>890</v>
      </c>
      <c r="AO557" s="100">
        <v>45473</v>
      </c>
      <c r="AP557" s="100">
        <v>45473</v>
      </c>
      <c r="AQ557" s="96"/>
      <c r="AR557" s="97">
        <v>72315.669353000005</v>
      </c>
      <c r="AS557" s="97">
        <v>106.33</v>
      </c>
      <c r="AT557" s="97">
        <v>1</v>
      </c>
      <c r="AU557" s="97">
        <v>76.893251000000006</v>
      </c>
      <c r="AV557" s="97">
        <v>76.893251000000006</v>
      </c>
      <c r="AW557" s="96"/>
      <c r="AX557" s="96"/>
      <c r="AY557" s="96"/>
      <c r="AZ557" s="96"/>
      <c r="BA557" s="98">
        <v>5.0199999999999995E-4</v>
      </c>
      <c r="BB557" s="98">
        <v>4.0000000000000003E-5</v>
      </c>
      <c r="BC557" s="106"/>
    </row>
    <row r="558" spans="1:55" ht="15" customHeight="1">
      <c r="A558" s="106"/>
      <c r="B558" s="96">
        <v>286</v>
      </c>
      <c r="C558" s="96">
        <v>286</v>
      </c>
      <c r="D558" s="96"/>
      <c r="E558" s="96"/>
      <c r="F558" s="96"/>
      <c r="G558" s="96">
        <v>25000709</v>
      </c>
      <c r="H558" s="96" t="s">
        <v>1013</v>
      </c>
      <c r="I558" s="96" t="s">
        <v>813</v>
      </c>
      <c r="J558" s="96" t="s">
        <v>203</v>
      </c>
      <c r="K558" s="96"/>
      <c r="L558" s="96" t="s">
        <v>454</v>
      </c>
      <c r="M558" s="96" t="s">
        <v>338</v>
      </c>
      <c r="N558" s="96" t="s">
        <v>337</v>
      </c>
      <c r="O558" s="96"/>
      <c r="P558" s="100">
        <v>44712</v>
      </c>
      <c r="Q558" s="96" t="s">
        <v>3686</v>
      </c>
      <c r="R558" s="96" t="s">
        <v>414</v>
      </c>
      <c r="S558" s="96" t="s">
        <v>407</v>
      </c>
      <c r="T558" s="96" t="s">
        <v>1200</v>
      </c>
      <c r="U558" s="97">
        <v>6.17</v>
      </c>
      <c r="V558" s="96" t="s">
        <v>824</v>
      </c>
      <c r="W558" s="98">
        <v>7.0999999999999994E-2</v>
      </c>
      <c r="X558" s="96"/>
      <c r="Y558" s="96"/>
      <c r="Z558" s="96"/>
      <c r="AA558" s="98">
        <v>8.4500000000000006E-2</v>
      </c>
      <c r="AB558" s="100">
        <v>49856</v>
      </c>
      <c r="AC558" s="96" t="s">
        <v>411</v>
      </c>
      <c r="AD558" s="96"/>
      <c r="AE558" s="96"/>
      <c r="AF558" s="96"/>
      <c r="AG558" s="100">
        <v>45291</v>
      </c>
      <c r="AH558" s="96"/>
      <c r="AI558" s="96"/>
      <c r="AJ558" s="96"/>
      <c r="AK558" s="96" t="s">
        <v>337</v>
      </c>
      <c r="AL558" s="96" t="s">
        <v>887</v>
      </c>
      <c r="AM558" s="96"/>
      <c r="AN558" s="96" t="s">
        <v>890</v>
      </c>
      <c r="AO558" s="100">
        <v>45473</v>
      </c>
      <c r="AP558" s="100">
        <v>45473</v>
      </c>
      <c r="AQ558" s="96"/>
      <c r="AR558" s="97">
        <v>121801.905472</v>
      </c>
      <c r="AS558" s="97">
        <v>97.9</v>
      </c>
      <c r="AT558" s="97">
        <v>1</v>
      </c>
      <c r="AU558" s="97">
        <v>119.24406500000001</v>
      </c>
      <c r="AV558" s="97">
        <v>119.24406500000001</v>
      </c>
      <c r="AW558" s="96"/>
      <c r="AX558" s="96"/>
      <c r="AY558" s="96"/>
      <c r="AZ558" s="96"/>
      <c r="BA558" s="98">
        <v>7.7899999999999996E-4</v>
      </c>
      <c r="BB558" s="98">
        <v>6.2000000000000003E-5</v>
      </c>
      <c r="BC558" s="106"/>
    </row>
    <row r="559" spans="1:55" ht="15" customHeight="1">
      <c r="A559" s="106"/>
      <c r="B559" s="96">
        <v>286</v>
      </c>
      <c r="C559" s="96">
        <v>286</v>
      </c>
      <c r="D559" s="96"/>
      <c r="E559" s="96"/>
      <c r="F559" s="96"/>
      <c r="G559" s="96">
        <v>25000583</v>
      </c>
      <c r="H559" s="96" t="s">
        <v>1013</v>
      </c>
      <c r="I559" s="96" t="s">
        <v>813</v>
      </c>
      <c r="J559" s="96" t="s">
        <v>203</v>
      </c>
      <c r="K559" s="96"/>
      <c r="L559" s="96" t="s">
        <v>470</v>
      </c>
      <c r="M559" s="96" t="s">
        <v>338</v>
      </c>
      <c r="N559" s="96" t="s">
        <v>337</v>
      </c>
      <c r="O559" s="96"/>
      <c r="P559" s="100">
        <v>44230</v>
      </c>
      <c r="Q559" s="96" t="s">
        <v>1357</v>
      </c>
      <c r="R559" s="96" t="s">
        <v>414</v>
      </c>
      <c r="S559" s="96" t="s">
        <v>407</v>
      </c>
      <c r="T559" s="96" t="s">
        <v>1200</v>
      </c>
      <c r="U559" s="97">
        <v>4.34</v>
      </c>
      <c r="V559" s="96" t="s">
        <v>3678</v>
      </c>
      <c r="W559" s="98">
        <v>7.9399999999999991E-3</v>
      </c>
      <c r="X559" s="96"/>
      <c r="Y559" s="96"/>
      <c r="Z559" s="96"/>
      <c r="AA559" s="98">
        <v>3.5299999999999998E-2</v>
      </c>
      <c r="AB559" s="100">
        <v>48760</v>
      </c>
      <c r="AC559" s="96" t="s">
        <v>411</v>
      </c>
      <c r="AD559" s="96"/>
      <c r="AE559" s="96"/>
      <c r="AF559" s="96"/>
      <c r="AG559" s="100">
        <v>45291</v>
      </c>
      <c r="AH559" s="96"/>
      <c r="AI559" s="96"/>
      <c r="AJ559" s="96"/>
      <c r="AK559" s="96" t="s">
        <v>337</v>
      </c>
      <c r="AL559" s="96" t="s">
        <v>887</v>
      </c>
      <c r="AM559" s="96"/>
      <c r="AN559" s="96" t="s">
        <v>890</v>
      </c>
      <c r="AO559" s="100">
        <v>45473</v>
      </c>
      <c r="AP559" s="100">
        <v>45473</v>
      </c>
      <c r="AQ559" s="96"/>
      <c r="AR559" s="97">
        <v>80332.901133000007</v>
      </c>
      <c r="AS559" s="97">
        <v>100.94</v>
      </c>
      <c r="AT559" s="97">
        <v>1</v>
      </c>
      <c r="AU559" s="97">
        <v>81.088030000000003</v>
      </c>
      <c r="AV559" s="97">
        <v>81.088030000000003</v>
      </c>
      <c r="AW559" s="96"/>
      <c r="AX559" s="96"/>
      <c r="AY559" s="96"/>
      <c r="AZ559" s="96"/>
      <c r="BA559" s="98">
        <v>5.2899999999999996E-4</v>
      </c>
      <c r="BB559" s="98">
        <v>4.1999999999999998E-5</v>
      </c>
      <c r="BC559" s="106"/>
    </row>
    <row r="560" spans="1:55" ht="15" customHeight="1">
      <c r="A560" s="106"/>
      <c r="B560" s="96">
        <v>286</v>
      </c>
      <c r="C560" s="96">
        <v>286</v>
      </c>
      <c r="D560" s="96"/>
      <c r="E560" s="96"/>
      <c r="F560" s="96"/>
      <c r="G560" s="96">
        <v>25000720</v>
      </c>
      <c r="H560" s="96" t="s">
        <v>1013</v>
      </c>
      <c r="I560" s="96" t="s">
        <v>3688</v>
      </c>
      <c r="J560" s="96" t="s">
        <v>203</v>
      </c>
      <c r="K560" s="96"/>
      <c r="L560" s="96" t="s">
        <v>450</v>
      </c>
      <c r="M560" s="96" t="s">
        <v>338</v>
      </c>
      <c r="N560" s="96" t="s">
        <v>338</v>
      </c>
      <c r="O560" s="96"/>
      <c r="P560" s="100">
        <v>44761</v>
      </c>
      <c r="Q560" s="96" t="s">
        <v>1332</v>
      </c>
      <c r="R560" s="96" t="s">
        <v>412</v>
      </c>
      <c r="S560" s="96" t="s">
        <v>407</v>
      </c>
      <c r="T560" s="96" t="s">
        <v>1200</v>
      </c>
      <c r="U560" s="97">
        <v>2.92</v>
      </c>
      <c r="V560" s="96" t="s">
        <v>3678</v>
      </c>
      <c r="W560" s="98">
        <v>2.4500000000000001E-2</v>
      </c>
      <c r="X560" s="96"/>
      <c r="Y560" s="96"/>
      <c r="Z560" s="96"/>
      <c r="AA560" s="98">
        <v>4.1500000000000002E-2</v>
      </c>
      <c r="AB560" s="100">
        <v>46660</v>
      </c>
      <c r="AC560" s="96" t="s">
        <v>411</v>
      </c>
      <c r="AD560" s="96"/>
      <c r="AE560" s="96"/>
      <c r="AF560" s="96"/>
      <c r="AG560" s="100">
        <v>45035</v>
      </c>
      <c r="AH560" s="96"/>
      <c r="AI560" s="96"/>
      <c r="AJ560" s="96"/>
      <c r="AK560" s="96" t="s">
        <v>337</v>
      </c>
      <c r="AL560" s="96" t="s">
        <v>887</v>
      </c>
      <c r="AM560" s="96"/>
      <c r="AN560" s="96" t="s">
        <v>890</v>
      </c>
      <c r="AO560" s="100">
        <v>45473</v>
      </c>
      <c r="AP560" s="100">
        <v>45473</v>
      </c>
      <c r="AQ560" s="96"/>
      <c r="AR560" s="97">
        <v>232960.44282299999</v>
      </c>
      <c r="AS560" s="97">
        <v>102.1</v>
      </c>
      <c r="AT560" s="97">
        <v>1</v>
      </c>
      <c r="AU560" s="97">
        <v>237.85261199999999</v>
      </c>
      <c r="AV560" s="97">
        <v>237.85261199999999</v>
      </c>
      <c r="AW560" s="96"/>
      <c r="AX560" s="96"/>
      <c r="AY560" s="96"/>
      <c r="AZ560" s="96"/>
      <c r="BA560" s="98">
        <v>1.554E-3</v>
      </c>
      <c r="BB560" s="98">
        <v>1.2300000000000001E-4</v>
      </c>
      <c r="BC560" s="106"/>
    </row>
    <row r="561" spans="1:55" ht="15" customHeight="1">
      <c r="A561" s="106"/>
      <c r="B561" s="96">
        <v>286</v>
      </c>
      <c r="C561" s="96">
        <v>286</v>
      </c>
      <c r="D561" s="96"/>
      <c r="E561" s="96"/>
      <c r="F561" s="96"/>
      <c r="G561" s="96">
        <v>25000746</v>
      </c>
      <c r="H561" s="96" t="s">
        <v>1013</v>
      </c>
      <c r="I561" s="96" t="s">
        <v>812</v>
      </c>
      <c r="J561" s="96" t="s">
        <v>203</v>
      </c>
      <c r="K561" s="96"/>
      <c r="L561" s="96" t="s">
        <v>463</v>
      </c>
      <c r="M561" s="96" t="s">
        <v>338</v>
      </c>
      <c r="N561" s="96" t="s">
        <v>337</v>
      </c>
      <c r="O561" s="96"/>
      <c r="P561" s="100">
        <v>44859</v>
      </c>
      <c r="Q561" s="96" t="s">
        <v>1320</v>
      </c>
      <c r="R561" s="96" t="s">
        <v>412</v>
      </c>
      <c r="S561" s="96" t="s">
        <v>407</v>
      </c>
      <c r="T561" s="96" t="s">
        <v>1200</v>
      </c>
      <c r="U561" s="97">
        <v>8.51</v>
      </c>
      <c r="V561" s="96" t="s">
        <v>824</v>
      </c>
      <c r="W561" s="98">
        <v>7.1499999999999994E-2</v>
      </c>
      <c r="X561" s="96"/>
      <c r="Y561" s="96"/>
      <c r="Z561" s="96"/>
      <c r="AA561" s="98">
        <v>7.7100000000000002E-2</v>
      </c>
      <c r="AB561" s="100">
        <v>52962</v>
      </c>
      <c r="AC561" s="96" t="s">
        <v>411</v>
      </c>
      <c r="AD561" s="96"/>
      <c r="AE561" s="96"/>
      <c r="AF561" s="96"/>
      <c r="AG561" s="100">
        <v>45291</v>
      </c>
      <c r="AH561" s="96"/>
      <c r="AI561" s="96"/>
      <c r="AJ561" s="96"/>
      <c r="AK561" s="96" t="s">
        <v>337</v>
      </c>
      <c r="AL561" s="96" t="s">
        <v>887</v>
      </c>
      <c r="AM561" s="96"/>
      <c r="AN561" s="96" t="s">
        <v>890</v>
      </c>
      <c r="AO561" s="100">
        <v>45473</v>
      </c>
      <c r="AP561" s="100">
        <v>45473</v>
      </c>
      <c r="AQ561" s="96"/>
      <c r="AR561" s="97">
        <v>385838.20418399997</v>
      </c>
      <c r="AS561" s="97">
        <v>100.75</v>
      </c>
      <c r="AT561" s="97">
        <v>1</v>
      </c>
      <c r="AU561" s="97">
        <v>388.73199</v>
      </c>
      <c r="AV561" s="97">
        <v>388.73199</v>
      </c>
      <c r="AW561" s="96"/>
      <c r="AX561" s="96"/>
      <c r="AY561" s="96"/>
      <c r="AZ561" s="96"/>
      <c r="BA561" s="98">
        <v>2.5400000000000002E-3</v>
      </c>
      <c r="BB561" s="98">
        <v>2.02E-4</v>
      </c>
      <c r="BC561" s="106"/>
    </row>
    <row r="562" spans="1:55" ht="15" customHeight="1">
      <c r="A562" s="106"/>
      <c r="B562" s="96">
        <v>286</v>
      </c>
      <c r="C562" s="96">
        <v>286</v>
      </c>
      <c r="D562" s="96"/>
      <c r="E562" s="96"/>
      <c r="F562" s="96"/>
      <c r="G562" s="96">
        <v>25000747</v>
      </c>
      <c r="H562" s="96" t="s">
        <v>1013</v>
      </c>
      <c r="I562" s="96" t="s">
        <v>818</v>
      </c>
      <c r="J562" s="96" t="s">
        <v>203</v>
      </c>
      <c r="K562" s="96"/>
      <c r="L562" s="96" t="s">
        <v>450</v>
      </c>
      <c r="M562" s="96" t="s">
        <v>338</v>
      </c>
      <c r="N562" s="96" t="s">
        <v>338</v>
      </c>
      <c r="O562" s="96"/>
      <c r="P562" s="100">
        <v>44861</v>
      </c>
      <c r="Q562" s="96" t="s">
        <v>1328</v>
      </c>
      <c r="R562" s="96" t="s">
        <v>412</v>
      </c>
      <c r="S562" s="96" t="s">
        <v>407</v>
      </c>
      <c r="T562" s="96" t="s">
        <v>1200</v>
      </c>
      <c r="U562" s="97">
        <v>2.99</v>
      </c>
      <c r="V562" s="96" t="s">
        <v>3678</v>
      </c>
      <c r="W562" s="98">
        <v>5.9900000000000002E-2</v>
      </c>
      <c r="X562" s="96"/>
      <c r="Y562" s="96"/>
      <c r="Z562" s="96"/>
      <c r="AA562" s="98">
        <v>6.7900000000000002E-2</v>
      </c>
      <c r="AB562" s="100">
        <v>46687</v>
      </c>
      <c r="AC562" s="96" t="s">
        <v>411</v>
      </c>
      <c r="AD562" s="96"/>
      <c r="AE562" s="96"/>
      <c r="AF562" s="96"/>
      <c r="AG562" s="100"/>
      <c r="AH562" s="96"/>
      <c r="AI562" s="96"/>
      <c r="AJ562" s="96"/>
      <c r="AK562" s="96" t="s">
        <v>337</v>
      </c>
      <c r="AL562" s="96" t="s">
        <v>887</v>
      </c>
      <c r="AM562" s="96"/>
      <c r="AN562" s="96" t="s">
        <v>890</v>
      </c>
      <c r="AO562" s="100">
        <v>45473</v>
      </c>
      <c r="AP562" s="100">
        <v>45473</v>
      </c>
      <c r="AQ562" s="96"/>
      <c r="AR562" s="97">
        <v>186438.86204599999</v>
      </c>
      <c r="AS562" s="97">
        <v>99.59</v>
      </c>
      <c r="AT562" s="97">
        <v>1</v>
      </c>
      <c r="AU562" s="97">
        <v>185.67446200000001</v>
      </c>
      <c r="AV562" s="97">
        <v>185.67446200000001</v>
      </c>
      <c r="AW562" s="96"/>
      <c r="AX562" s="96"/>
      <c r="AY562" s="96"/>
      <c r="AZ562" s="96"/>
      <c r="BA562" s="98">
        <v>1.2130000000000001E-3</v>
      </c>
      <c r="BB562" s="98">
        <v>9.6000000000000002E-5</v>
      </c>
      <c r="BC562" s="106"/>
    </row>
    <row r="563" spans="1:55" ht="15" customHeight="1">
      <c r="A563" s="106"/>
      <c r="B563" s="96">
        <v>286</v>
      </c>
      <c r="C563" s="96">
        <v>286</v>
      </c>
      <c r="D563" s="96"/>
      <c r="E563" s="96"/>
      <c r="F563" s="96"/>
      <c r="G563" s="96">
        <v>25000749</v>
      </c>
      <c r="H563" s="96" t="s">
        <v>1013</v>
      </c>
      <c r="I563" s="96" t="s">
        <v>3684</v>
      </c>
      <c r="J563" s="96" t="s">
        <v>203</v>
      </c>
      <c r="K563" s="96"/>
      <c r="L563" s="96" t="s">
        <v>463</v>
      </c>
      <c r="M563" s="96" t="s">
        <v>338</v>
      </c>
      <c r="N563" s="96" t="s">
        <v>337</v>
      </c>
      <c r="O563" s="96"/>
      <c r="P563" s="100">
        <v>44868</v>
      </c>
      <c r="Q563" s="96" t="s">
        <v>3681</v>
      </c>
      <c r="R563" s="96" t="s">
        <v>311</v>
      </c>
      <c r="S563" s="96" t="s">
        <v>407</v>
      </c>
      <c r="T563" s="96" t="s">
        <v>1200</v>
      </c>
      <c r="U563" s="97">
        <v>0.34</v>
      </c>
      <c r="V563" s="96" t="s">
        <v>824</v>
      </c>
      <c r="W563" s="98">
        <v>7.8E-2</v>
      </c>
      <c r="X563" s="96"/>
      <c r="Y563" s="96"/>
      <c r="Z563" s="96"/>
      <c r="AA563" s="98">
        <v>6.2100000000000002E-2</v>
      </c>
      <c r="AB563" s="100">
        <v>45599</v>
      </c>
      <c r="AC563" s="96" t="s">
        <v>411</v>
      </c>
      <c r="AD563" s="96"/>
      <c r="AE563" s="96"/>
      <c r="AF563" s="96"/>
      <c r="AG563" s="100">
        <v>45075</v>
      </c>
      <c r="AH563" s="96"/>
      <c r="AI563" s="96"/>
      <c r="AJ563" s="96"/>
      <c r="AK563" s="96" t="s">
        <v>337</v>
      </c>
      <c r="AL563" s="96" t="s">
        <v>887</v>
      </c>
      <c r="AM563" s="96"/>
      <c r="AN563" s="96" t="s">
        <v>890</v>
      </c>
      <c r="AO563" s="100">
        <v>45473</v>
      </c>
      <c r="AP563" s="100">
        <v>45473</v>
      </c>
      <c r="AQ563" s="96"/>
      <c r="AR563" s="97">
        <v>26542.161478000002</v>
      </c>
      <c r="AS563" s="97">
        <v>100.74</v>
      </c>
      <c r="AT563" s="97">
        <v>1</v>
      </c>
      <c r="AU563" s="97">
        <v>26.738572999999999</v>
      </c>
      <c r="AV563" s="97">
        <v>26.738572999999999</v>
      </c>
      <c r="AW563" s="96"/>
      <c r="AX563" s="96"/>
      <c r="AY563" s="96"/>
      <c r="AZ563" s="96"/>
      <c r="BA563" s="98">
        <v>1.74E-4</v>
      </c>
      <c r="BB563" s="98">
        <v>1.2999999999999999E-5</v>
      </c>
      <c r="BC563" s="106"/>
    </row>
    <row r="564" spans="1:55" ht="15" customHeight="1">
      <c r="A564" s="106"/>
      <c r="B564" s="96">
        <v>286</v>
      </c>
      <c r="C564" s="96">
        <v>286</v>
      </c>
      <c r="D564" s="96"/>
      <c r="E564" s="96"/>
      <c r="F564" s="96"/>
      <c r="G564" s="96">
        <v>25000777</v>
      </c>
      <c r="H564" s="96" t="s">
        <v>1013</v>
      </c>
      <c r="I564" s="96" t="s">
        <v>797</v>
      </c>
      <c r="J564" s="96" t="s">
        <v>203</v>
      </c>
      <c r="K564" s="96"/>
      <c r="L564" s="96" t="s">
        <v>463</v>
      </c>
      <c r="M564" s="96" t="s">
        <v>338</v>
      </c>
      <c r="N564" s="96" t="s">
        <v>338</v>
      </c>
      <c r="O564" s="96"/>
      <c r="P564" s="100">
        <v>45026</v>
      </c>
      <c r="Q564" s="96" t="s">
        <v>3679</v>
      </c>
      <c r="R564" s="96" t="s">
        <v>311</v>
      </c>
      <c r="S564" s="96" t="s">
        <v>407</v>
      </c>
      <c r="T564" s="96" t="s">
        <v>1200</v>
      </c>
      <c r="U564" s="97">
        <v>1.33</v>
      </c>
      <c r="V564" s="96" t="s">
        <v>824</v>
      </c>
      <c r="W564" s="98">
        <v>6.5000000000000002E-2</v>
      </c>
      <c r="X564" s="96"/>
      <c r="Y564" s="96"/>
      <c r="Z564" s="96"/>
      <c r="AA564" s="98">
        <v>5.6899999999999999E-2</v>
      </c>
      <c r="AB564" s="100">
        <v>45978</v>
      </c>
      <c r="AC564" s="96" t="s">
        <v>411</v>
      </c>
      <c r="AD564" s="96"/>
      <c r="AE564" s="96"/>
      <c r="AF564" s="96"/>
      <c r="AG564" s="100">
        <v>45351</v>
      </c>
      <c r="AH564" s="96"/>
      <c r="AI564" s="96"/>
      <c r="AJ564" s="96"/>
      <c r="AK564" s="96" t="s">
        <v>337</v>
      </c>
      <c r="AL564" s="96" t="s">
        <v>887</v>
      </c>
      <c r="AM564" s="96"/>
      <c r="AN564" s="96" t="s">
        <v>890</v>
      </c>
      <c r="AO564" s="100">
        <v>45473</v>
      </c>
      <c r="AP564" s="100">
        <v>45473</v>
      </c>
      <c r="AQ564" s="96"/>
      <c r="AR564" s="97">
        <v>57911.454057000003</v>
      </c>
      <c r="AS564" s="97">
        <v>102.27</v>
      </c>
      <c r="AT564" s="97">
        <v>1</v>
      </c>
      <c r="AU564" s="97">
        <v>59.226044000000002</v>
      </c>
      <c r="AV564" s="97">
        <v>59.226044000000002</v>
      </c>
      <c r="AW564" s="96"/>
      <c r="AX564" s="96"/>
      <c r="AY564" s="96"/>
      <c r="AZ564" s="96"/>
      <c r="BA564" s="98">
        <v>3.8699999999999997E-4</v>
      </c>
      <c r="BB564" s="98">
        <v>3.0000000000000001E-5</v>
      </c>
      <c r="BC564" s="106"/>
    </row>
    <row r="565" spans="1:55" ht="15" customHeight="1">
      <c r="A565" s="106"/>
      <c r="B565" s="96">
        <v>286</v>
      </c>
      <c r="C565" s="96">
        <v>286</v>
      </c>
      <c r="D565" s="96"/>
      <c r="E565" s="96"/>
      <c r="F565" s="96"/>
      <c r="G565" s="96">
        <v>25000775</v>
      </c>
      <c r="H565" s="96" t="s">
        <v>1013</v>
      </c>
      <c r="I565" s="96" t="s">
        <v>3684</v>
      </c>
      <c r="J565" s="96" t="s">
        <v>203</v>
      </c>
      <c r="K565" s="96"/>
      <c r="L565" s="96" t="s">
        <v>463</v>
      </c>
      <c r="M565" s="96" t="s">
        <v>338</v>
      </c>
      <c r="N565" s="96" t="s">
        <v>337</v>
      </c>
      <c r="O565" s="96"/>
      <c r="P565" s="100">
        <v>45019</v>
      </c>
      <c r="Q565" s="96" t="s">
        <v>3681</v>
      </c>
      <c r="R565" s="96" t="s">
        <v>311</v>
      </c>
      <c r="S565" s="96" t="s">
        <v>407</v>
      </c>
      <c r="T565" s="96" t="s">
        <v>1200</v>
      </c>
      <c r="U565" s="97">
        <v>0.67</v>
      </c>
      <c r="V565" s="96" t="s">
        <v>824</v>
      </c>
      <c r="W565" s="98">
        <v>7.8E-2</v>
      </c>
      <c r="X565" s="96"/>
      <c r="Y565" s="96"/>
      <c r="Z565" s="96"/>
      <c r="AA565" s="98">
        <v>7.6399999999999996E-2</v>
      </c>
      <c r="AB565" s="100">
        <v>45722</v>
      </c>
      <c r="AC565" s="96" t="s">
        <v>411</v>
      </c>
      <c r="AD565" s="96"/>
      <c r="AE565" s="96"/>
      <c r="AF565" s="96"/>
      <c r="AG565" s="100">
        <v>45075</v>
      </c>
      <c r="AH565" s="96"/>
      <c r="AI565" s="96"/>
      <c r="AJ565" s="96"/>
      <c r="AK565" s="96" t="s">
        <v>337</v>
      </c>
      <c r="AL565" s="96" t="s">
        <v>887</v>
      </c>
      <c r="AM565" s="96"/>
      <c r="AN565" s="96" t="s">
        <v>890</v>
      </c>
      <c r="AO565" s="100">
        <v>45473</v>
      </c>
      <c r="AP565" s="100">
        <v>45473</v>
      </c>
      <c r="AQ565" s="96"/>
      <c r="AR565" s="97">
        <v>13761.708182</v>
      </c>
      <c r="AS565" s="97">
        <v>100.3</v>
      </c>
      <c r="AT565" s="97">
        <v>1</v>
      </c>
      <c r="AU565" s="97">
        <v>13.802993000000001</v>
      </c>
      <c r="AV565" s="97">
        <v>13.802993000000001</v>
      </c>
      <c r="AW565" s="96"/>
      <c r="AX565" s="96"/>
      <c r="AY565" s="96"/>
      <c r="AZ565" s="96"/>
      <c r="BA565" s="98">
        <v>9.0000000000000006E-5</v>
      </c>
      <c r="BB565" s="98">
        <v>6.9999999999999999E-6</v>
      </c>
      <c r="BC565" s="106"/>
    </row>
    <row r="566" spans="1:55" ht="15" customHeight="1">
      <c r="A566" s="106"/>
      <c r="B566" s="96">
        <v>286</v>
      </c>
      <c r="C566" s="96">
        <v>286</v>
      </c>
      <c r="D566" s="96"/>
      <c r="E566" s="96"/>
      <c r="F566" s="96"/>
      <c r="G566" s="96">
        <v>25000774</v>
      </c>
      <c r="H566" s="96" t="s">
        <v>1013</v>
      </c>
      <c r="I566" s="96"/>
      <c r="J566" s="96" t="s">
        <v>203</v>
      </c>
      <c r="K566" s="96"/>
      <c r="L566" s="96" t="s">
        <v>477</v>
      </c>
      <c r="M566" s="96" t="s">
        <v>338</v>
      </c>
      <c r="N566" s="96" t="s">
        <v>338</v>
      </c>
      <c r="O566" s="96"/>
      <c r="P566" s="100">
        <v>45013</v>
      </c>
      <c r="Q566" s="96" t="s">
        <v>1309</v>
      </c>
      <c r="R566" s="96" t="s">
        <v>414</v>
      </c>
      <c r="S566" s="96" t="s">
        <v>407</v>
      </c>
      <c r="T566" s="96" t="s">
        <v>1200</v>
      </c>
      <c r="U566" s="97">
        <v>0.5</v>
      </c>
      <c r="V566" s="96" t="s">
        <v>824</v>
      </c>
      <c r="W566" s="98">
        <v>7.2499999999999995E-2</v>
      </c>
      <c r="X566" s="96"/>
      <c r="Y566" s="96"/>
      <c r="Z566" s="96"/>
      <c r="AA566" s="98">
        <v>0.06</v>
      </c>
      <c r="AB566" s="100">
        <v>45657</v>
      </c>
      <c r="AC566" s="96" t="s">
        <v>411</v>
      </c>
      <c r="AD566" s="96"/>
      <c r="AE566" s="96"/>
      <c r="AF566" s="96"/>
      <c r="AG566" s="100"/>
      <c r="AH566" s="96"/>
      <c r="AI566" s="96"/>
      <c r="AJ566" s="96"/>
      <c r="AK566" s="96" t="s">
        <v>337</v>
      </c>
      <c r="AL566" s="96" t="s">
        <v>887</v>
      </c>
      <c r="AM566" s="96"/>
      <c r="AN566" s="96" t="s">
        <v>890</v>
      </c>
      <c r="AO566" s="100">
        <v>45473</v>
      </c>
      <c r="AP566" s="100">
        <v>45473</v>
      </c>
      <c r="AQ566" s="96"/>
      <c r="AR566" s="97">
        <v>677959.49838700006</v>
      </c>
      <c r="AS566" s="97">
        <v>104.27</v>
      </c>
      <c r="AT566" s="97">
        <v>1</v>
      </c>
      <c r="AU566" s="97">
        <v>706.908368</v>
      </c>
      <c r="AV566" s="97">
        <v>706.908368</v>
      </c>
      <c r="AW566" s="96"/>
      <c r="AX566" s="96"/>
      <c r="AY566" s="96"/>
      <c r="AZ566" s="96"/>
      <c r="BA566" s="98">
        <v>4.6189999999999998E-3</v>
      </c>
      <c r="BB566" s="98">
        <v>3.68E-4</v>
      </c>
      <c r="BC566" s="106"/>
    </row>
    <row r="567" spans="1:55" ht="15" customHeight="1">
      <c r="A567" s="106"/>
      <c r="B567" s="96">
        <v>286</v>
      </c>
      <c r="C567" s="96">
        <v>286</v>
      </c>
      <c r="D567" s="96"/>
      <c r="E567" s="96"/>
      <c r="F567" s="96"/>
      <c r="G567" s="96">
        <v>25000773</v>
      </c>
      <c r="H567" s="96" t="s">
        <v>1013</v>
      </c>
      <c r="I567" s="96" t="s">
        <v>806</v>
      </c>
      <c r="J567" s="96" t="s">
        <v>203</v>
      </c>
      <c r="K567" s="96"/>
      <c r="L567" s="96" t="s">
        <v>446</v>
      </c>
      <c r="M567" s="96" t="s">
        <v>338</v>
      </c>
      <c r="N567" s="96" t="s">
        <v>338</v>
      </c>
      <c r="O567" s="96"/>
      <c r="P567" s="100">
        <v>45015</v>
      </c>
      <c r="Q567" s="96" t="s">
        <v>1328</v>
      </c>
      <c r="R567" s="96" t="s">
        <v>412</v>
      </c>
      <c r="S567" s="96" t="s">
        <v>407</v>
      </c>
      <c r="T567" s="96" t="s">
        <v>1200</v>
      </c>
      <c r="U567" s="97">
        <v>2.23</v>
      </c>
      <c r="V567" s="96" t="s">
        <v>3678</v>
      </c>
      <c r="W567" s="98">
        <v>3.7600000000000001E-2</v>
      </c>
      <c r="X567" s="96"/>
      <c r="Y567" s="96"/>
      <c r="Z567" s="96"/>
      <c r="AA567" s="98">
        <v>3.2099999999999997E-2</v>
      </c>
      <c r="AB567" s="100">
        <v>46316</v>
      </c>
      <c r="AC567" s="96" t="s">
        <v>411</v>
      </c>
      <c r="AD567" s="96"/>
      <c r="AE567" s="96"/>
      <c r="AF567" s="96"/>
      <c r="AG567" s="100">
        <v>44921</v>
      </c>
      <c r="AH567" s="96"/>
      <c r="AI567" s="96"/>
      <c r="AJ567" s="96"/>
      <c r="AK567" s="96" t="s">
        <v>337</v>
      </c>
      <c r="AL567" s="96" t="s">
        <v>887</v>
      </c>
      <c r="AM567" s="96"/>
      <c r="AN567" s="96" t="s">
        <v>890</v>
      </c>
      <c r="AO567" s="100">
        <v>45473</v>
      </c>
      <c r="AP567" s="100">
        <v>45473</v>
      </c>
      <c r="AQ567" s="96"/>
      <c r="AR567" s="97">
        <v>21259.574475000001</v>
      </c>
      <c r="AS567" s="97">
        <v>105.49</v>
      </c>
      <c r="AT567" s="97">
        <v>1</v>
      </c>
      <c r="AU567" s="97">
        <v>22.426725000000001</v>
      </c>
      <c r="AV567" s="97">
        <v>22.426725000000001</v>
      </c>
      <c r="AW567" s="96"/>
      <c r="AX567" s="96"/>
      <c r="AY567" s="96"/>
      <c r="AZ567" s="96"/>
      <c r="BA567" s="98">
        <v>1.46E-4</v>
      </c>
      <c r="BB567" s="98">
        <v>1.1E-5</v>
      </c>
      <c r="BC567" s="106"/>
    </row>
    <row r="568" spans="1:55" ht="15" customHeight="1">
      <c r="A568" s="106"/>
      <c r="B568" s="96">
        <v>286</v>
      </c>
      <c r="C568" s="96">
        <v>286</v>
      </c>
      <c r="D568" s="96"/>
      <c r="E568" s="96"/>
      <c r="F568" s="96"/>
      <c r="G568" s="96">
        <v>25000772</v>
      </c>
      <c r="H568" s="96" t="s">
        <v>1013</v>
      </c>
      <c r="I568" s="96"/>
      <c r="J568" s="96" t="s">
        <v>203</v>
      </c>
      <c r="K568" s="96"/>
      <c r="L568" s="96" t="s">
        <v>476</v>
      </c>
      <c r="M568" s="96" t="s">
        <v>338</v>
      </c>
      <c r="N568" s="96" t="s">
        <v>338</v>
      </c>
      <c r="O568" s="96"/>
      <c r="P568" s="100">
        <v>45014</v>
      </c>
      <c r="Q568" s="96" t="s">
        <v>3681</v>
      </c>
      <c r="R568" s="96" t="s">
        <v>311</v>
      </c>
      <c r="S568" s="96" t="s">
        <v>407</v>
      </c>
      <c r="T568" s="96" t="s">
        <v>1200</v>
      </c>
      <c r="U568" s="97">
        <v>1.42</v>
      </c>
      <c r="V568" s="96" t="s">
        <v>3678</v>
      </c>
      <c r="W568" s="98">
        <v>3.61E-2</v>
      </c>
      <c r="X568" s="96"/>
      <c r="Y568" s="96"/>
      <c r="Z568" s="96"/>
      <c r="AA568" s="98">
        <v>3.0300000000000001E-2</v>
      </c>
      <c r="AB568" s="100">
        <v>46232</v>
      </c>
      <c r="AC568" s="96" t="s">
        <v>411</v>
      </c>
      <c r="AD568" s="96"/>
      <c r="AE568" s="96"/>
      <c r="AF568" s="96"/>
      <c r="AG568" s="100">
        <v>45173</v>
      </c>
      <c r="AH568" s="96"/>
      <c r="AI568" s="96"/>
      <c r="AJ568" s="96"/>
      <c r="AK568" s="96" t="s">
        <v>337</v>
      </c>
      <c r="AL568" s="96" t="s">
        <v>887</v>
      </c>
      <c r="AM568" s="96"/>
      <c r="AN568" s="96" t="s">
        <v>890</v>
      </c>
      <c r="AO568" s="100">
        <v>45473</v>
      </c>
      <c r="AP568" s="100">
        <v>45473</v>
      </c>
      <c r="AQ568" s="96"/>
      <c r="AR568" s="97">
        <v>81069.873653000002</v>
      </c>
      <c r="AS568" s="97">
        <v>105.09</v>
      </c>
      <c r="AT568" s="97">
        <v>1</v>
      </c>
      <c r="AU568" s="97">
        <v>85.196330000000003</v>
      </c>
      <c r="AV568" s="97">
        <v>85.196330000000003</v>
      </c>
      <c r="AW568" s="96"/>
      <c r="AX568" s="96"/>
      <c r="AY568" s="96"/>
      <c r="AZ568" s="96"/>
      <c r="BA568" s="98">
        <v>5.5599999999999996E-4</v>
      </c>
      <c r="BB568" s="98">
        <v>4.3999999999999999E-5</v>
      </c>
      <c r="BC568" s="106"/>
    </row>
    <row r="569" spans="1:55" ht="15" customHeight="1">
      <c r="A569" s="106"/>
      <c r="B569" s="96">
        <v>286</v>
      </c>
      <c r="C569" s="96">
        <v>286</v>
      </c>
      <c r="D569" s="96"/>
      <c r="E569" s="96"/>
      <c r="F569" s="96"/>
      <c r="G569" s="96">
        <v>25000771</v>
      </c>
      <c r="H569" s="96" t="s">
        <v>1013</v>
      </c>
      <c r="I569" s="96"/>
      <c r="J569" s="96" t="s">
        <v>203</v>
      </c>
      <c r="K569" s="96"/>
      <c r="L569" s="96" t="s">
        <v>446</v>
      </c>
      <c r="M569" s="96" t="s">
        <v>338</v>
      </c>
      <c r="N569" s="96" t="s">
        <v>338</v>
      </c>
      <c r="O569" s="96"/>
      <c r="P569" s="100">
        <v>45008</v>
      </c>
      <c r="Q569" s="96" t="s">
        <v>1309</v>
      </c>
      <c r="R569" s="96" t="s">
        <v>414</v>
      </c>
      <c r="S569" s="96" t="s">
        <v>407</v>
      </c>
      <c r="T569" s="96" t="s">
        <v>1200</v>
      </c>
      <c r="U569" s="97">
        <v>2.78</v>
      </c>
      <c r="V569" s="96" t="s">
        <v>3678</v>
      </c>
      <c r="W569" s="98">
        <v>4.5699999999999998E-2</v>
      </c>
      <c r="X569" s="96"/>
      <c r="Y569" s="96"/>
      <c r="Z569" s="96"/>
      <c r="AA569" s="98">
        <v>3.5700000000000003E-2</v>
      </c>
      <c r="AB569" s="100">
        <v>47200</v>
      </c>
      <c r="AC569" s="96" t="s">
        <v>411</v>
      </c>
      <c r="AD569" s="96"/>
      <c r="AE569" s="96"/>
      <c r="AF569" s="96"/>
      <c r="AG569" s="100"/>
      <c r="AH569" s="96"/>
      <c r="AI569" s="96"/>
      <c r="AJ569" s="96"/>
      <c r="AK569" s="96" t="s">
        <v>337</v>
      </c>
      <c r="AL569" s="96" t="s">
        <v>887</v>
      </c>
      <c r="AM569" s="96"/>
      <c r="AN569" s="96" t="s">
        <v>890</v>
      </c>
      <c r="AO569" s="100">
        <v>45473</v>
      </c>
      <c r="AP569" s="100">
        <v>45473</v>
      </c>
      <c r="AQ569" s="96"/>
      <c r="AR569" s="97">
        <v>169489.874587</v>
      </c>
      <c r="AS569" s="97">
        <v>108.45</v>
      </c>
      <c r="AT569" s="97">
        <v>1</v>
      </c>
      <c r="AU569" s="97">
        <v>183.811768</v>
      </c>
      <c r="AV569" s="97">
        <v>183.811768</v>
      </c>
      <c r="AW569" s="96"/>
      <c r="AX569" s="96"/>
      <c r="AY569" s="96"/>
      <c r="AZ569" s="96"/>
      <c r="BA569" s="98">
        <v>1.201E-3</v>
      </c>
      <c r="BB569" s="98">
        <v>9.5000000000000005E-5</v>
      </c>
      <c r="BC569" s="106"/>
    </row>
    <row r="570" spans="1:55" ht="15" customHeight="1">
      <c r="A570" s="106"/>
      <c r="B570" s="96">
        <v>286</v>
      </c>
      <c r="C570" s="96">
        <v>286</v>
      </c>
      <c r="D570" s="96"/>
      <c r="E570" s="96"/>
      <c r="F570" s="96"/>
      <c r="G570" s="96">
        <v>25000768</v>
      </c>
      <c r="H570" s="96" t="s">
        <v>1013</v>
      </c>
      <c r="I570" s="96" t="s">
        <v>785</v>
      </c>
      <c r="J570" s="96" t="s">
        <v>203</v>
      </c>
      <c r="K570" s="96"/>
      <c r="L570" s="96" t="s">
        <v>463</v>
      </c>
      <c r="M570" s="96" t="s">
        <v>338</v>
      </c>
      <c r="N570" s="96" t="s">
        <v>338</v>
      </c>
      <c r="O570" s="96"/>
      <c r="P570" s="100">
        <v>44990</v>
      </c>
      <c r="Q570" s="96" t="s">
        <v>1208</v>
      </c>
      <c r="R570" s="96" t="s">
        <v>311</v>
      </c>
      <c r="S570" s="96" t="s">
        <v>407</v>
      </c>
      <c r="T570" s="96" t="s">
        <v>1200</v>
      </c>
      <c r="U570" s="97">
        <v>3.31</v>
      </c>
      <c r="V570" s="96" t="s">
        <v>3678</v>
      </c>
      <c r="W570" s="98">
        <v>3.9699999999999999E-2</v>
      </c>
      <c r="X570" s="96"/>
      <c r="Y570" s="96"/>
      <c r="Z570" s="96"/>
      <c r="AA570" s="98">
        <v>3.5000000000000003E-2</v>
      </c>
      <c r="AB570" s="100">
        <v>46969</v>
      </c>
      <c r="AC570" s="96" t="s">
        <v>411</v>
      </c>
      <c r="AD570" s="96"/>
      <c r="AE570" s="96"/>
      <c r="AF570" s="96"/>
      <c r="AG570" s="100">
        <v>45062</v>
      </c>
      <c r="AH570" s="96"/>
      <c r="AI570" s="96"/>
      <c r="AJ570" s="96"/>
      <c r="AK570" s="96" t="s">
        <v>337</v>
      </c>
      <c r="AL570" s="96" t="s">
        <v>887</v>
      </c>
      <c r="AM570" s="96"/>
      <c r="AN570" s="96" t="s">
        <v>890</v>
      </c>
      <c r="AO570" s="100">
        <v>45473</v>
      </c>
      <c r="AP570" s="100">
        <v>45473</v>
      </c>
      <c r="AQ570" s="96"/>
      <c r="AR570" s="97">
        <v>137635.476563</v>
      </c>
      <c r="AS570" s="97">
        <v>106.38</v>
      </c>
      <c r="AT570" s="97">
        <v>1</v>
      </c>
      <c r="AU570" s="97">
        <v>146.416619</v>
      </c>
      <c r="AV570" s="97">
        <v>146.416619</v>
      </c>
      <c r="AW570" s="96"/>
      <c r="AX570" s="96"/>
      <c r="AY570" s="96"/>
      <c r="AZ570" s="96"/>
      <c r="BA570" s="98">
        <v>9.5600000000000004E-4</v>
      </c>
      <c r="BB570" s="98">
        <v>7.6000000000000004E-5</v>
      </c>
      <c r="BC570" s="106"/>
    </row>
    <row r="571" spans="1:55" ht="15" customHeight="1">
      <c r="A571" s="106"/>
      <c r="B571" s="96">
        <v>286</v>
      </c>
      <c r="C571" s="96">
        <v>286</v>
      </c>
      <c r="D571" s="96"/>
      <c r="E571" s="96"/>
      <c r="F571" s="96"/>
      <c r="G571" s="96">
        <v>25000767</v>
      </c>
      <c r="H571" s="96" t="s">
        <v>1013</v>
      </c>
      <c r="I571" s="96" t="s">
        <v>813</v>
      </c>
      <c r="J571" s="96" t="s">
        <v>203</v>
      </c>
      <c r="K571" s="96"/>
      <c r="L571" s="96" t="s">
        <v>470</v>
      </c>
      <c r="M571" s="96" t="s">
        <v>338</v>
      </c>
      <c r="N571" s="96" t="s">
        <v>337</v>
      </c>
      <c r="O571" s="96"/>
      <c r="P571" s="100">
        <v>44985</v>
      </c>
      <c r="Q571" s="96" t="s">
        <v>1520</v>
      </c>
      <c r="R571" s="96" t="s">
        <v>414</v>
      </c>
      <c r="S571" s="96" t="s">
        <v>407</v>
      </c>
      <c r="T571" s="96" t="s">
        <v>1200</v>
      </c>
      <c r="U571" s="97">
        <v>7.32</v>
      </c>
      <c r="V571" s="96" t="s">
        <v>3678</v>
      </c>
      <c r="W571" s="98">
        <v>3.2051000000000003E-2</v>
      </c>
      <c r="X571" s="96"/>
      <c r="Y571" s="96"/>
      <c r="Z571" s="96"/>
      <c r="AA571" s="98">
        <v>3.7499999999999999E-2</v>
      </c>
      <c r="AB571" s="100">
        <v>49583</v>
      </c>
      <c r="AC571" s="96" t="s">
        <v>411</v>
      </c>
      <c r="AD571" s="96"/>
      <c r="AE571" s="96"/>
      <c r="AF571" s="96"/>
      <c r="AG571" s="100">
        <v>45291</v>
      </c>
      <c r="AH571" s="96"/>
      <c r="AI571" s="96"/>
      <c r="AJ571" s="96"/>
      <c r="AK571" s="96" t="s">
        <v>337</v>
      </c>
      <c r="AL571" s="96" t="s">
        <v>887</v>
      </c>
      <c r="AM571" s="96"/>
      <c r="AN571" s="96" t="s">
        <v>890</v>
      </c>
      <c r="AO571" s="100">
        <v>45473</v>
      </c>
      <c r="AP571" s="100">
        <v>45473</v>
      </c>
      <c r="AQ571" s="96"/>
      <c r="AR571" s="97">
        <v>72845.258394000004</v>
      </c>
      <c r="AS571" s="97">
        <v>103.29</v>
      </c>
      <c r="AT571" s="97">
        <v>1</v>
      </c>
      <c r="AU571" s="97">
        <v>75.241866999999999</v>
      </c>
      <c r="AV571" s="97">
        <v>75.241866999999999</v>
      </c>
      <c r="AW571" s="96"/>
      <c r="AX571" s="96"/>
      <c r="AY571" s="96"/>
      <c r="AZ571" s="96"/>
      <c r="BA571" s="98">
        <v>4.9100000000000001E-4</v>
      </c>
      <c r="BB571" s="98">
        <v>3.8999999999999999E-5</v>
      </c>
      <c r="BC571" s="106"/>
    </row>
    <row r="572" spans="1:55" ht="15" customHeight="1">
      <c r="A572" s="106"/>
      <c r="B572" s="96">
        <v>286</v>
      </c>
      <c r="C572" s="96">
        <v>286</v>
      </c>
      <c r="D572" s="96"/>
      <c r="E572" s="96"/>
      <c r="F572" s="96"/>
      <c r="G572" s="96">
        <v>25000765</v>
      </c>
      <c r="H572" s="96" t="s">
        <v>1013</v>
      </c>
      <c r="I572" s="96" t="s">
        <v>813</v>
      </c>
      <c r="J572" s="96" t="s">
        <v>203</v>
      </c>
      <c r="K572" s="96"/>
      <c r="L572" s="96" t="s">
        <v>470</v>
      </c>
      <c r="M572" s="96" t="s">
        <v>338</v>
      </c>
      <c r="N572" s="96" t="s">
        <v>337</v>
      </c>
      <c r="O572" s="96"/>
      <c r="P572" s="100">
        <v>44985</v>
      </c>
      <c r="Q572" s="96" t="s">
        <v>1520</v>
      </c>
      <c r="R572" s="96" t="s">
        <v>414</v>
      </c>
      <c r="S572" s="96" t="s">
        <v>407</v>
      </c>
      <c r="T572" s="96" t="s">
        <v>1200</v>
      </c>
      <c r="U572" s="97">
        <v>5.17</v>
      </c>
      <c r="V572" s="96" t="s">
        <v>3678</v>
      </c>
      <c r="W572" s="98">
        <v>3.1889000000000001E-2</v>
      </c>
      <c r="X572" s="96"/>
      <c r="Y572" s="96"/>
      <c r="Z572" s="96"/>
      <c r="AA572" s="98">
        <v>3.5299999999999998E-2</v>
      </c>
      <c r="AB572" s="100">
        <v>49582</v>
      </c>
      <c r="AC572" s="96" t="s">
        <v>411</v>
      </c>
      <c r="AD572" s="96"/>
      <c r="AE572" s="96"/>
      <c r="AF572" s="96"/>
      <c r="AG572" s="100">
        <v>45291</v>
      </c>
      <c r="AH572" s="96"/>
      <c r="AI572" s="96"/>
      <c r="AJ572" s="96"/>
      <c r="AK572" s="96" t="s">
        <v>337</v>
      </c>
      <c r="AL572" s="96" t="s">
        <v>887</v>
      </c>
      <c r="AM572" s="96"/>
      <c r="AN572" s="96" t="s">
        <v>890</v>
      </c>
      <c r="AO572" s="100">
        <v>45473</v>
      </c>
      <c r="AP572" s="100">
        <v>45473</v>
      </c>
      <c r="AQ572" s="96"/>
      <c r="AR572" s="97">
        <v>59155.489511</v>
      </c>
      <c r="AS572" s="97">
        <v>103.9</v>
      </c>
      <c r="AT572" s="97">
        <v>1</v>
      </c>
      <c r="AU572" s="97">
        <v>61.462553</v>
      </c>
      <c r="AV572" s="97">
        <v>61.462553</v>
      </c>
      <c r="AW572" s="96"/>
      <c r="AX572" s="96"/>
      <c r="AY572" s="96"/>
      <c r="AZ572" s="96"/>
      <c r="BA572" s="98">
        <v>4.0099999999999999E-4</v>
      </c>
      <c r="BB572" s="98">
        <v>3.1999999999999999E-5</v>
      </c>
      <c r="BC572" s="106"/>
    </row>
    <row r="573" spans="1:55" ht="15" customHeight="1">
      <c r="A573" s="106"/>
      <c r="B573" s="96">
        <v>286</v>
      </c>
      <c r="C573" s="96">
        <v>286</v>
      </c>
      <c r="D573" s="96"/>
      <c r="E573" s="96"/>
      <c r="F573" s="96"/>
      <c r="G573" s="96">
        <v>25000764</v>
      </c>
      <c r="H573" s="96" t="s">
        <v>1013</v>
      </c>
      <c r="I573" s="96" t="s">
        <v>3684</v>
      </c>
      <c r="J573" s="96" t="s">
        <v>203</v>
      </c>
      <c r="K573" s="96"/>
      <c r="L573" s="96" t="s">
        <v>463</v>
      </c>
      <c r="M573" s="96" t="s">
        <v>338</v>
      </c>
      <c r="N573" s="96" t="s">
        <v>337</v>
      </c>
      <c r="O573" s="96"/>
      <c r="P573" s="100">
        <v>44985</v>
      </c>
      <c r="Q573" s="96" t="s">
        <v>3681</v>
      </c>
      <c r="R573" s="96" t="s">
        <v>311</v>
      </c>
      <c r="S573" s="96" t="s">
        <v>407</v>
      </c>
      <c r="T573" s="96" t="s">
        <v>1200</v>
      </c>
      <c r="U573" s="97">
        <v>0.65</v>
      </c>
      <c r="V573" s="96" t="s">
        <v>824</v>
      </c>
      <c r="W573" s="98">
        <v>7.8E-2</v>
      </c>
      <c r="X573" s="96"/>
      <c r="Y573" s="96"/>
      <c r="Z573" s="96"/>
      <c r="AA573" s="98">
        <v>6.0299999999999999E-2</v>
      </c>
      <c r="AB573" s="100">
        <v>45716</v>
      </c>
      <c r="AC573" s="96" t="s">
        <v>411</v>
      </c>
      <c r="AD573" s="96"/>
      <c r="AE573" s="96"/>
      <c r="AF573" s="96"/>
      <c r="AG573" s="100">
        <v>45075</v>
      </c>
      <c r="AH573" s="96"/>
      <c r="AI573" s="96"/>
      <c r="AJ573" s="96"/>
      <c r="AK573" s="96" t="s">
        <v>337</v>
      </c>
      <c r="AL573" s="96" t="s">
        <v>887</v>
      </c>
      <c r="AM573" s="96"/>
      <c r="AN573" s="96" t="s">
        <v>890</v>
      </c>
      <c r="AO573" s="100">
        <v>45473</v>
      </c>
      <c r="AP573" s="100">
        <v>45473</v>
      </c>
      <c r="AQ573" s="96"/>
      <c r="AR573" s="97">
        <v>13858.488783999999</v>
      </c>
      <c r="AS573" s="97">
        <v>101.3</v>
      </c>
      <c r="AT573" s="97">
        <v>1</v>
      </c>
      <c r="AU573" s="97">
        <v>14.038648999999999</v>
      </c>
      <c r="AV573" s="97">
        <v>14.038648999999999</v>
      </c>
      <c r="AW573" s="96"/>
      <c r="AX573" s="96"/>
      <c r="AY573" s="96"/>
      <c r="AZ573" s="96"/>
      <c r="BA573" s="98">
        <v>9.1000000000000003E-5</v>
      </c>
      <c r="BB573" s="98">
        <v>6.9999999999999999E-6</v>
      </c>
      <c r="BC573" s="106"/>
    </row>
    <row r="574" spans="1:55" ht="15" customHeight="1">
      <c r="A574" s="106"/>
      <c r="B574" s="96">
        <v>286</v>
      </c>
      <c r="C574" s="96">
        <v>286</v>
      </c>
      <c r="D574" s="96"/>
      <c r="E574" s="96"/>
      <c r="F574" s="96"/>
      <c r="G574" s="96">
        <v>25000763</v>
      </c>
      <c r="H574" s="96" t="s">
        <v>1013</v>
      </c>
      <c r="I574" s="96" t="s">
        <v>812</v>
      </c>
      <c r="J574" s="96" t="s">
        <v>203</v>
      </c>
      <c r="K574" s="96"/>
      <c r="L574" s="96" t="s">
        <v>454</v>
      </c>
      <c r="M574" s="96" t="s">
        <v>338</v>
      </c>
      <c r="N574" s="96" t="s">
        <v>337</v>
      </c>
      <c r="O574" s="96"/>
      <c r="P574" s="100">
        <v>44959</v>
      </c>
      <c r="Q574" s="96" t="s">
        <v>1357</v>
      </c>
      <c r="R574" s="96" t="s">
        <v>414</v>
      </c>
      <c r="S574" s="96" t="s">
        <v>407</v>
      </c>
      <c r="T574" s="96" t="s">
        <v>1200</v>
      </c>
      <c r="U574" s="97">
        <v>7.25</v>
      </c>
      <c r="V574" s="96" t="s">
        <v>3678</v>
      </c>
      <c r="W574" s="98">
        <v>3.8100000000000002E-2</v>
      </c>
      <c r="X574" s="96"/>
      <c r="Y574" s="96"/>
      <c r="Z574" s="96"/>
      <c r="AA574" s="98">
        <v>4.2200000000000001E-2</v>
      </c>
      <c r="AB574" s="100">
        <v>51677</v>
      </c>
      <c r="AC574" s="96" t="s">
        <v>411</v>
      </c>
      <c r="AD574" s="96"/>
      <c r="AE574" s="96"/>
      <c r="AF574" s="96"/>
      <c r="AG574" s="100">
        <v>45291</v>
      </c>
      <c r="AH574" s="96"/>
      <c r="AI574" s="96"/>
      <c r="AJ574" s="96"/>
      <c r="AK574" s="96" t="s">
        <v>337</v>
      </c>
      <c r="AL574" s="96" t="s">
        <v>887</v>
      </c>
      <c r="AM574" s="96"/>
      <c r="AN574" s="96" t="s">
        <v>890</v>
      </c>
      <c r="AO574" s="100">
        <v>45473</v>
      </c>
      <c r="AP574" s="100">
        <v>45473</v>
      </c>
      <c r="AQ574" s="96"/>
      <c r="AR574" s="97">
        <v>57373.42</v>
      </c>
      <c r="AS574" s="97">
        <v>100.03</v>
      </c>
      <c r="AT574" s="97">
        <v>1</v>
      </c>
      <c r="AU574" s="97">
        <v>57.390630000000002</v>
      </c>
      <c r="AV574" s="97">
        <v>57.390630000000002</v>
      </c>
      <c r="AW574" s="96"/>
      <c r="AX574" s="96"/>
      <c r="AY574" s="96"/>
      <c r="AZ574" s="96"/>
      <c r="BA574" s="98">
        <v>3.7500000000000001E-4</v>
      </c>
      <c r="BB574" s="98">
        <v>2.9E-5</v>
      </c>
      <c r="BC574" s="106"/>
    </row>
    <row r="575" spans="1:55" ht="15" customHeight="1">
      <c r="A575" s="106"/>
      <c r="B575" s="96">
        <v>286</v>
      </c>
      <c r="C575" s="96">
        <v>286</v>
      </c>
      <c r="D575" s="96"/>
      <c r="E575" s="96"/>
      <c r="F575" s="96"/>
      <c r="G575" s="96">
        <v>25000762</v>
      </c>
      <c r="H575" s="96" t="s">
        <v>1013</v>
      </c>
      <c r="I575" s="96" t="s">
        <v>3684</v>
      </c>
      <c r="J575" s="96" t="s">
        <v>203</v>
      </c>
      <c r="K575" s="96"/>
      <c r="L575" s="96" t="s">
        <v>463</v>
      </c>
      <c r="M575" s="96" t="s">
        <v>338</v>
      </c>
      <c r="N575" s="96" t="s">
        <v>337</v>
      </c>
      <c r="O575" s="96"/>
      <c r="P575" s="100">
        <v>44959</v>
      </c>
      <c r="Q575" s="96" t="s">
        <v>3681</v>
      </c>
      <c r="R575" s="96" t="s">
        <v>311</v>
      </c>
      <c r="S575" s="96" t="s">
        <v>407</v>
      </c>
      <c r="T575" s="96" t="s">
        <v>1200</v>
      </c>
      <c r="U575" s="97">
        <v>0.59</v>
      </c>
      <c r="V575" s="96" t="s">
        <v>824</v>
      </c>
      <c r="W575" s="98">
        <v>7.8E-2</v>
      </c>
      <c r="X575" s="96"/>
      <c r="Y575" s="96"/>
      <c r="Z575" s="96"/>
      <c r="AA575" s="98">
        <v>6.6199999999999995E-2</v>
      </c>
      <c r="AB575" s="100">
        <v>45690</v>
      </c>
      <c r="AC575" s="96" t="s">
        <v>411</v>
      </c>
      <c r="AD575" s="96"/>
      <c r="AE575" s="96"/>
      <c r="AF575" s="96"/>
      <c r="AG575" s="100">
        <v>45075</v>
      </c>
      <c r="AH575" s="96"/>
      <c r="AI575" s="96"/>
      <c r="AJ575" s="96"/>
      <c r="AK575" s="96" t="s">
        <v>337</v>
      </c>
      <c r="AL575" s="96" t="s">
        <v>887</v>
      </c>
      <c r="AM575" s="96"/>
      <c r="AN575" s="96" t="s">
        <v>890</v>
      </c>
      <c r="AO575" s="100">
        <v>45473</v>
      </c>
      <c r="AP575" s="100">
        <v>45473</v>
      </c>
      <c r="AQ575" s="96"/>
      <c r="AR575" s="97">
        <v>8705.6426640000009</v>
      </c>
      <c r="AS575" s="97">
        <v>100.87</v>
      </c>
      <c r="AT575" s="97">
        <v>1</v>
      </c>
      <c r="AU575" s="97">
        <v>8.7813809999999997</v>
      </c>
      <c r="AV575" s="97">
        <v>8.7813809999999997</v>
      </c>
      <c r="AW575" s="96"/>
      <c r="AX575" s="96"/>
      <c r="AY575" s="96"/>
      <c r="AZ575" s="96"/>
      <c r="BA575" s="98">
        <v>5.7000000000000003E-5</v>
      </c>
      <c r="BB575" s="98">
        <v>3.9999999999999998E-6</v>
      </c>
      <c r="BC575" s="106"/>
    </row>
    <row r="576" spans="1:55" ht="15" customHeight="1">
      <c r="A576" s="106"/>
      <c r="B576" s="96">
        <v>286</v>
      </c>
      <c r="C576" s="96">
        <v>286</v>
      </c>
      <c r="D576" s="96"/>
      <c r="E576" s="96"/>
      <c r="F576" s="96"/>
      <c r="G576" s="96">
        <v>25000760</v>
      </c>
      <c r="H576" s="96" t="s">
        <v>1013</v>
      </c>
      <c r="I576" s="96" t="s">
        <v>806</v>
      </c>
      <c r="J576" s="96" t="s">
        <v>203</v>
      </c>
      <c r="K576" s="96"/>
      <c r="L576" s="96" t="s">
        <v>446</v>
      </c>
      <c r="M576" s="96" t="s">
        <v>338</v>
      </c>
      <c r="N576" s="96" t="s">
        <v>338</v>
      </c>
      <c r="O576" s="96"/>
      <c r="P576" s="100">
        <v>44928</v>
      </c>
      <c r="Q576" s="96" t="s">
        <v>1328</v>
      </c>
      <c r="R576" s="96" t="s">
        <v>412</v>
      </c>
      <c r="S576" s="96" t="s">
        <v>407</v>
      </c>
      <c r="T576" s="96" t="s">
        <v>1200</v>
      </c>
      <c r="U576" s="97">
        <v>2.2400000000000002</v>
      </c>
      <c r="V576" s="96" t="s">
        <v>3678</v>
      </c>
      <c r="W576" s="98">
        <v>3.2199999999999999E-2</v>
      </c>
      <c r="X576" s="96"/>
      <c r="Y576" s="96"/>
      <c r="Z576" s="96"/>
      <c r="AA576" s="98">
        <v>3.2899999999999999E-2</v>
      </c>
      <c r="AB576" s="100">
        <v>46316</v>
      </c>
      <c r="AC576" s="96" t="s">
        <v>411</v>
      </c>
      <c r="AD576" s="96"/>
      <c r="AE576" s="96"/>
      <c r="AF576" s="96"/>
      <c r="AG576" s="100">
        <v>44921</v>
      </c>
      <c r="AH576" s="96"/>
      <c r="AI576" s="96"/>
      <c r="AJ576" s="96"/>
      <c r="AK576" s="96" t="s">
        <v>337</v>
      </c>
      <c r="AL576" s="96" t="s">
        <v>887</v>
      </c>
      <c r="AM576" s="96"/>
      <c r="AN576" s="96" t="s">
        <v>890</v>
      </c>
      <c r="AO576" s="100">
        <v>45473</v>
      </c>
      <c r="AP576" s="100">
        <v>45473</v>
      </c>
      <c r="AQ576" s="96"/>
      <c r="AR576" s="97">
        <v>1309431.087911</v>
      </c>
      <c r="AS576" s="97">
        <v>105.2</v>
      </c>
      <c r="AT576" s="97">
        <v>1</v>
      </c>
      <c r="AU576" s="97">
        <v>1377.521504</v>
      </c>
      <c r="AV576" s="97">
        <v>1377.521504</v>
      </c>
      <c r="AW576" s="96"/>
      <c r="AX576" s="96"/>
      <c r="AY576" s="96"/>
      <c r="AZ576" s="96"/>
      <c r="BA576" s="98">
        <v>9.0010000000000003E-3</v>
      </c>
      <c r="BB576" s="98">
        <v>7.1699999999999997E-4</v>
      </c>
      <c r="BC576" s="106"/>
    </row>
    <row r="577" spans="1:55" ht="15" customHeight="1">
      <c r="A577" s="106"/>
      <c r="B577" s="96">
        <v>286</v>
      </c>
      <c r="C577" s="96">
        <v>286</v>
      </c>
      <c r="D577" s="96"/>
      <c r="E577" s="96"/>
      <c r="F577" s="96"/>
      <c r="G577" s="96">
        <v>25000758</v>
      </c>
      <c r="H577" s="96" t="s">
        <v>1013</v>
      </c>
      <c r="I577" s="96" t="s">
        <v>812</v>
      </c>
      <c r="J577" s="96" t="s">
        <v>203</v>
      </c>
      <c r="K577" s="96"/>
      <c r="L577" s="96" t="s">
        <v>454</v>
      </c>
      <c r="M577" s="96" t="s">
        <v>338</v>
      </c>
      <c r="N577" s="96" t="s">
        <v>337</v>
      </c>
      <c r="O577" s="96"/>
      <c r="P577" s="100">
        <v>44929</v>
      </c>
      <c r="Q577" s="96" t="s">
        <v>3683</v>
      </c>
      <c r="R577" s="96" t="s">
        <v>412</v>
      </c>
      <c r="S577" s="96" t="s">
        <v>407</v>
      </c>
      <c r="T577" s="96" t="s">
        <v>1200</v>
      </c>
      <c r="U577" s="97">
        <v>7.39</v>
      </c>
      <c r="V577" s="96" t="s">
        <v>3678</v>
      </c>
      <c r="W577" s="98">
        <v>3.4569999999999997E-2</v>
      </c>
      <c r="X577" s="96"/>
      <c r="Y577" s="96"/>
      <c r="Z577" s="96"/>
      <c r="AA577" s="98">
        <v>6.5000000000000002E-2</v>
      </c>
      <c r="AB577" s="100">
        <v>52768</v>
      </c>
      <c r="AC577" s="96" t="s">
        <v>411</v>
      </c>
      <c r="AD577" s="96"/>
      <c r="AE577" s="96"/>
      <c r="AF577" s="96"/>
      <c r="AG577" s="100">
        <v>45291</v>
      </c>
      <c r="AH577" s="96"/>
      <c r="AI577" s="96"/>
      <c r="AJ577" s="96"/>
      <c r="AK577" s="96" t="s">
        <v>337</v>
      </c>
      <c r="AL577" s="96" t="s">
        <v>887</v>
      </c>
      <c r="AM577" s="96"/>
      <c r="AN577" s="96" t="s">
        <v>890</v>
      </c>
      <c r="AO577" s="100">
        <v>45473</v>
      </c>
      <c r="AP577" s="100">
        <v>45473</v>
      </c>
      <c r="AQ577" s="96"/>
      <c r="AR577" s="97">
        <v>192821.03370599999</v>
      </c>
      <c r="AS577" s="97">
        <v>84.38</v>
      </c>
      <c r="AT577" s="97">
        <v>1</v>
      </c>
      <c r="AU577" s="97">
        <v>162.70238800000001</v>
      </c>
      <c r="AV577" s="97">
        <v>162.70238800000001</v>
      </c>
      <c r="AW577" s="96"/>
      <c r="AX577" s="96"/>
      <c r="AY577" s="96"/>
      <c r="AZ577" s="96"/>
      <c r="BA577" s="98">
        <v>1.0629999999999999E-3</v>
      </c>
      <c r="BB577" s="98">
        <v>8.3999999999999995E-5</v>
      </c>
      <c r="BC577" s="106"/>
    </row>
    <row r="578" spans="1:55" ht="15" customHeight="1">
      <c r="A578" s="106"/>
      <c r="B578" s="96">
        <v>286</v>
      </c>
      <c r="C578" s="96">
        <v>286</v>
      </c>
      <c r="D578" s="96"/>
      <c r="E578" s="96"/>
      <c r="F578" s="96"/>
      <c r="G578" s="96">
        <v>25000757</v>
      </c>
      <c r="H578" s="96" t="s">
        <v>1013</v>
      </c>
      <c r="I578" s="96"/>
      <c r="J578" s="96" t="s">
        <v>203</v>
      </c>
      <c r="K578" s="96"/>
      <c r="L578" s="96" t="s">
        <v>476</v>
      </c>
      <c r="M578" s="96" t="s">
        <v>338</v>
      </c>
      <c r="N578" s="96" t="s">
        <v>338</v>
      </c>
      <c r="O578" s="96"/>
      <c r="P578" s="100">
        <v>44917</v>
      </c>
      <c r="Q578" s="96" t="s">
        <v>3681</v>
      </c>
      <c r="R578" s="96" t="s">
        <v>311</v>
      </c>
      <c r="S578" s="96" t="s">
        <v>407</v>
      </c>
      <c r="T578" s="96" t="s">
        <v>1200</v>
      </c>
      <c r="U578" s="97">
        <v>1.23</v>
      </c>
      <c r="V578" s="96" t="s">
        <v>3678</v>
      </c>
      <c r="W578" s="98">
        <v>3.09E-2</v>
      </c>
      <c r="X578" s="96"/>
      <c r="Y578" s="96"/>
      <c r="Z578" s="96"/>
      <c r="AA578" s="98">
        <v>3.1199999999999999E-2</v>
      </c>
      <c r="AB578" s="100">
        <v>46134</v>
      </c>
      <c r="AC578" s="96" t="s">
        <v>411</v>
      </c>
      <c r="AD578" s="96"/>
      <c r="AE578" s="96"/>
      <c r="AF578" s="96"/>
      <c r="AG578" s="100">
        <v>45173</v>
      </c>
      <c r="AH578" s="96"/>
      <c r="AI578" s="96"/>
      <c r="AJ578" s="96"/>
      <c r="AK578" s="96" t="s">
        <v>337</v>
      </c>
      <c r="AL578" s="96" t="s">
        <v>887</v>
      </c>
      <c r="AM578" s="96"/>
      <c r="AN578" s="96" t="s">
        <v>890</v>
      </c>
      <c r="AO578" s="100">
        <v>45473</v>
      </c>
      <c r="AP578" s="100">
        <v>45473</v>
      </c>
      <c r="AQ578" s="96"/>
      <c r="AR578" s="97">
        <v>66101.053950999994</v>
      </c>
      <c r="AS578" s="97">
        <v>105.38</v>
      </c>
      <c r="AT578" s="97">
        <v>1</v>
      </c>
      <c r="AU578" s="97">
        <v>69.657290000000003</v>
      </c>
      <c r="AV578" s="97">
        <v>69.657290000000003</v>
      </c>
      <c r="AW578" s="96"/>
      <c r="AX578" s="96"/>
      <c r="AY578" s="96"/>
      <c r="AZ578" s="96"/>
      <c r="BA578" s="98">
        <v>4.55E-4</v>
      </c>
      <c r="BB578" s="98">
        <v>3.6000000000000001E-5</v>
      </c>
      <c r="BC578" s="106"/>
    </row>
    <row r="579" spans="1:55" ht="15" customHeight="1">
      <c r="A579" s="106"/>
      <c r="B579" s="96">
        <v>286</v>
      </c>
      <c r="C579" s="96">
        <v>286</v>
      </c>
      <c r="D579" s="96"/>
      <c r="E579" s="96"/>
      <c r="F579" s="96"/>
      <c r="G579" s="96">
        <v>25000756</v>
      </c>
      <c r="H579" s="96" t="s">
        <v>1013</v>
      </c>
      <c r="I579" s="96" t="s">
        <v>812</v>
      </c>
      <c r="J579" s="96" t="s">
        <v>203</v>
      </c>
      <c r="K579" s="96"/>
      <c r="L579" s="96" t="s">
        <v>454</v>
      </c>
      <c r="M579" s="96" t="s">
        <v>338</v>
      </c>
      <c r="N579" s="96" t="s">
        <v>337</v>
      </c>
      <c r="O579" s="96"/>
      <c r="P579" s="100">
        <v>44910</v>
      </c>
      <c r="Q579" s="96" t="s">
        <v>3683</v>
      </c>
      <c r="R579" s="96" t="s">
        <v>412</v>
      </c>
      <c r="S579" s="96" t="s">
        <v>407</v>
      </c>
      <c r="T579" s="96" t="s">
        <v>1200</v>
      </c>
      <c r="U579" s="97">
        <v>7.42</v>
      </c>
      <c r="V579" s="96" t="s">
        <v>3678</v>
      </c>
      <c r="W579" s="98">
        <v>3.2759999999999997E-2</v>
      </c>
      <c r="X579" s="96"/>
      <c r="Y579" s="96"/>
      <c r="Z579" s="96"/>
      <c r="AA579" s="98">
        <v>6.5000000000000002E-2</v>
      </c>
      <c r="AB579" s="100">
        <v>52768</v>
      </c>
      <c r="AC579" s="96" t="s">
        <v>411</v>
      </c>
      <c r="AD579" s="96"/>
      <c r="AE579" s="96"/>
      <c r="AF579" s="96"/>
      <c r="AG579" s="100">
        <v>45291</v>
      </c>
      <c r="AH579" s="96"/>
      <c r="AI579" s="96"/>
      <c r="AJ579" s="96"/>
      <c r="AK579" s="96" t="s">
        <v>337</v>
      </c>
      <c r="AL579" s="96" t="s">
        <v>887</v>
      </c>
      <c r="AM579" s="96"/>
      <c r="AN579" s="96" t="s">
        <v>890</v>
      </c>
      <c r="AO579" s="100">
        <v>45473</v>
      </c>
      <c r="AP579" s="100">
        <v>45473</v>
      </c>
      <c r="AQ579" s="96"/>
      <c r="AR579" s="97">
        <v>1481.837581</v>
      </c>
      <c r="AS579" s="97">
        <v>83.21</v>
      </c>
      <c r="AT579" s="97">
        <v>1</v>
      </c>
      <c r="AU579" s="97">
        <v>1.2330369999999999</v>
      </c>
      <c r="AV579" s="97">
        <v>1.2330369999999999</v>
      </c>
      <c r="AW579" s="96"/>
      <c r="AX579" s="96"/>
      <c r="AY579" s="96"/>
      <c r="AZ579" s="96"/>
      <c r="BA579" s="98">
        <v>7.9999999999999996E-6</v>
      </c>
      <c r="BB579" s="98">
        <v>0</v>
      </c>
      <c r="BC579" s="106"/>
    </row>
    <row r="580" spans="1:55" ht="15" customHeight="1">
      <c r="A580" s="106"/>
      <c r="B580" s="96">
        <v>286</v>
      </c>
      <c r="C580" s="96">
        <v>286</v>
      </c>
      <c r="D580" s="96"/>
      <c r="E580" s="96"/>
      <c r="F580" s="96"/>
      <c r="G580" s="96">
        <v>25000754</v>
      </c>
      <c r="H580" s="96" t="s">
        <v>1013</v>
      </c>
      <c r="I580" s="96" t="s">
        <v>797</v>
      </c>
      <c r="J580" s="96" t="s">
        <v>203</v>
      </c>
      <c r="K580" s="96"/>
      <c r="L580" s="96" t="s">
        <v>463</v>
      </c>
      <c r="M580" s="96" t="s">
        <v>338</v>
      </c>
      <c r="N580" s="96" t="s">
        <v>338</v>
      </c>
      <c r="O580" s="96"/>
      <c r="P580" s="100">
        <v>44896</v>
      </c>
      <c r="Q580" s="96" t="s">
        <v>3679</v>
      </c>
      <c r="R580" s="96" t="s">
        <v>311</v>
      </c>
      <c r="S580" s="96" t="s">
        <v>407</v>
      </c>
      <c r="T580" s="96" t="s">
        <v>1200</v>
      </c>
      <c r="U580" s="97">
        <v>1.33</v>
      </c>
      <c r="V580" s="96" t="s">
        <v>824</v>
      </c>
      <c r="W580" s="98">
        <v>6.5000000000000002E-2</v>
      </c>
      <c r="X580" s="96"/>
      <c r="Y580" s="96"/>
      <c r="Z580" s="96"/>
      <c r="AA580" s="98">
        <v>5.8700000000000002E-2</v>
      </c>
      <c r="AB580" s="100">
        <v>45978</v>
      </c>
      <c r="AC580" s="96" t="s">
        <v>411</v>
      </c>
      <c r="AD580" s="96"/>
      <c r="AE580" s="96"/>
      <c r="AF580" s="96"/>
      <c r="AG580" s="100">
        <v>45351</v>
      </c>
      <c r="AH580" s="96"/>
      <c r="AI580" s="96"/>
      <c r="AJ580" s="96"/>
      <c r="AK580" s="96" t="s">
        <v>337</v>
      </c>
      <c r="AL580" s="96" t="s">
        <v>887</v>
      </c>
      <c r="AM580" s="96"/>
      <c r="AN580" s="96" t="s">
        <v>890</v>
      </c>
      <c r="AO580" s="100">
        <v>45473</v>
      </c>
      <c r="AP580" s="100">
        <v>45473</v>
      </c>
      <c r="AQ580" s="96"/>
      <c r="AR580" s="97">
        <v>288514.482403</v>
      </c>
      <c r="AS580" s="97">
        <v>101.68</v>
      </c>
      <c r="AT580" s="97">
        <v>1</v>
      </c>
      <c r="AU580" s="97">
        <v>293.36152499999997</v>
      </c>
      <c r="AV580" s="97">
        <v>293.36152499999997</v>
      </c>
      <c r="AW580" s="96"/>
      <c r="AX580" s="96"/>
      <c r="AY580" s="96"/>
      <c r="AZ580" s="96"/>
      <c r="BA580" s="98">
        <v>1.916E-3</v>
      </c>
      <c r="BB580" s="98">
        <v>1.5200000000000001E-4</v>
      </c>
      <c r="BC580" s="106"/>
    </row>
    <row r="581" spans="1:55" ht="15" customHeight="1">
      <c r="A581" s="106"/>
      <c r="B581" s="96">
        <v>286</v>
      </c>
      <c r="C581" s="96">
        <v>286</v>
      </c>
      <c r="D581" s="96"/>
      <c r="E581" s="96"/>
      <c r="F581" s="96"/>
      <c r="G581" s="96">
        <v>25000753</v>
      </c>
      <c r="H581" s="96" t="s">
        <v>1013</v>
      </c>
      <c r="I581" s="96" t="s">
        <v>3684</v>
      </c>
      <c r="J581" s="96" t="s">
        <v>203</v>
      </c>
      <c r="K581" s="96"/>
      <c r="L581" s="96" t="s">
        <v>463</v>
      </c>
      <c r="M581" s="96" t="s">
        <v>338</v>
      </c>
      <c r="N581" s="96" t="s">
        <v>337</v>
      </c>
      <c r="O581" s="96"/>
      <c r="P581" s="100">
        <v>44900</v>
      </c>
      <c r="Q581" s="96" t="s">
        <v>3681</v>
      </c>
      <c r="R581" s="96" t="s">
        <v>311</v>
      </c>
      <c r="S581" s="96" t="s">
        <v>407</v>
      </c>
      <c r="T581" s="96" t="s">
        <v>1200</v>
      </c>
      <c r="U581" s="97">
        <v>0.43</v>
      </c>
      <c r="V581" s="96" t="s">
        <v>824</v>
      </c>
      <c r="W581" s="98">
        <v>7.8E-2</v>
      </c>
      <c r="X581" s="96"/>
      <c r="Y581" s="96"/>
      <c r="Z581" s="96"/>
      <c r="AA581" s="98">
        <v>6.4199999999999993E-2</v>
      </c>
      <c r="AB581" s="100">
        <v>45631</v>
      </c>
      <c r="AC581" s="96" t="s">
        <v>411</v>
      </c>
      <c r="AD581" s="96"/>
      <c r="AE581" s="96"/>
      <c r="AF581" s="96"/>
      <c r="AG581" s="100">
        <v>45075</v>
      </c>
      <c r="AH581" s="96"/>
      <c r="AI581" s="96"/>
      <c r="AJ581" s="96"/>
      <c r="AK581" s="96" t="s">
        <v>337</v>
      </c>
      <c r="AL581" s="96" t="s">
        <v>887</v>
      </c>
      <c r="AM581" s="96"/>
      <c r="AN581" s="96" t="s">
        <v>890</v>
      </c>
      <c r="AO581" s="100">
        <v>45473</v>
      </c>
      <c r="AP581" s="100">
        <v>45473</v>
      </c>
      <c r="AQ581" s="96"/>
      <c r="AR581" s="97">
        <v>12320.085877</v>
      </c>
      <c r="AS581" s="97">
        <v>100.78</v>
      </c>
      <c r="AT581" s="97">
        <v>1</v>
      </c>
      <c r="AU581" s="97">
        <v>12.416181999999999</v>
      </c>
      <c r="AV581" s="97">
        <v>12.416181999999999</v>
      </c>
      <c r="AW581" s="96"/>
      <c r="AX581" s="96"/>
      <c r="AY581" s="96"/>
      <c r="AZ581" s="96"/>
      <c r="BA581" s="98">
        <v>8.1000000000000004E-5</v>
      </c>
      <c r="BB581" s="98">
        <v>6.0000000000000002E-6</v>
      </c>
      <c r="BC581" s="106"/>
    </row>
    <row r="582" spans="1:55" ht="15" customHeight="1">
      <c r="A582" s="106"/>
      <c r="B582" s="96">
        <v>286</v>
      </c>
      <c r="C582" s="96">
        <v>286</v>
      </c>
      <c r="D582" s="96"/>
      <c r="E582" s="96"/>
      <c r="F582" s="96"/>
      <c r="G582" s="96">
        <v>25000751</v>
      </c>
      <c r="H582" s="96" t="s">
        <v>1013</v>
      </c>
      <c r="I582" s="96" t="s">
        <v>818</v>
      </c>
      <c r="J582" s="96" t="s">
        <v>203</v>
      </c>
      <c r="K582" s="96"/>
      <c r="L582" s="96" t="s">
        <v>463</v>
      </c>
      <c r="M582" s="96" t="s">
        <v>338</v>
      </c>
      <c r="N582" s="96" t="s">
        <v>338</v>
      </c>
      <c r="O582" s="96"/>
      <c r="P582" s="100">
        <v>44900</v>
      </c>
      <c r="Q582" s="96" t="s">
        <v>1208</v>
      </c>
      <c r="R582" s="96" t="s">
        <v>311</v>
      </c>
      <c r="S582" s="96" t="s">
        <v>407</v>
      </c>
      <c r="T582" s="96" t="s">
        <v>1200</v>
      </c>
      <c r="U582" s="97">
        <v>4.18</v>
      </c>
      <c r="V582" s="96" t="s">
        <v>3678</v>
      </c>
      <c r="W582" s="98">
        <v>2.5479999999999999E-2</v>
      </c>
      <c r="X582" s="96"/>
      <c r="Y582" s="96"/>
      <c r="Z582" s="96"/>
      <c r="AA582" s="98">
        <v>3.4200000000000001E-2</v>
      </c>
      <c r="AB582" s="100">
        <v>47274</v>
      </c>
      <c r="AC582" s="96" t="s">
        <v>410</v>
      </c>
      <c r="AD582" s="96"/>
      <c r="AE582" s="96"/>
      <c r="AF582" s="96"/>
      <c r="AG582" s="100"/>
      <c r="AH582" s="96"/>
      <c r="AI582" s="96"/>
      <c r="AJ582" s="96"/>
      <c r="AK582" s="96" t="s">
        <v>337</v>
      </c>
      <c r="AL582" s="96" t="s">
        <v>887</v>
      </c>
      <c r="AM582" s="96"/>
      <c r="AN582" s="96" t="s">
        <v>890</v>
      </c>
      <c r="AO582" s="100">
        <v>45473</v>
      </c>
      <c r="AP582" s="100">
        <v>45473</v>
      </c>
      <c r="AQ582" s="96"/>
      <c r="AR582" s="97">
        <v>393591.08166500001</v>
      </c>
      <c r="AS582" s="97">
        <v>101.83</v>
      </c>
      <c r="AT582" s="97">
        <v>1</v>
      </c>
      <c r="AU582" s="97">
        <v>400.79379799999998</v>
      </c>
      <c r="AV582" s="97">
        <v>400.79379799999998</v>
      </c>
      <c r="AW582" s="96"/>
      <c r="AX582" s="96"/>
      <c r="AY582" s="96"/>
      <c r="AZ582" s="96"/>
      <c r="BA582" s="98">
        <v>2.6189999999999998E-3</v>
      </c>
      <c r="BB582" s="98">
        <v>2.0799999999999999E-4</v>
      </c>
      <c r="BC582" s="106"/>
    </row>
    <row r="583" spans="1:55" ht="15" customHeight="1">
      <c r="A583" s="106"/>
      <c r="B583" s="96">
        <v>286</v>
      </c>
      <c r="C583" s="96">
        <v>286</v>
      </c>
      <c r="D583" s="96"/>
      <c r="E583" s="96"/>
      <c r="F583" s="96"/>
      <c r="G583" s="96">
        <v>25000707</v>
      </c>
      <c r="H583" s="96" t="s">
        <v>1013</v>
      </c>
      <c r="I583" s="96" t="s">
        <v>813</v>
      </c>
      <c r="J583" s="96" t="s">
        <v>203</v>
      </c>
      <c r="K583" s="96"/>
      <c r="L583" s="96" t="s">
        <v>454</v>
      </c>
      <c r="M583" s="96" t="s">
        <v>338</v>
      </c>
      <c r="N583" s="96" t="s">
        <v>337</v>
      </c>
      <c r="O583" s="96"/>
      <c r="P583" s="100">
        <v>44712</v>
      </c>
      <c r="Q583" s="96" t="s">
        <v>1357</v>
      </c>
      <c r="R583" s="96" t="s">
        <v>414</v>
      </c>
      <c r="S583" s="96" t="s">
        <v>407</v>
      </c>
      <c r="T583" s="96" t="s">
        <v>1202</v>
      </c>
      <c r="U583" s="97">
        <v>5.78</v>
      </c>
      <c r="V583" s="96" t="s">
        <v>3678</v>
      </c>
      <c r="W583" s="98">
        <v>3.8077E-2</v>
      </c>
      <c r="X583" s="96"/>
      <c r="Y583" s="96"/>
      <c r="Z583" s="96"/>
      <c r="AA583" s="98">
        <v>5.1499999999999997E-2</v>
      </c>
      <c r="AB583" s="100">
        <v>50130</v>
      </c>
      <c r="AC583" s="96" t="s">
        <v>411</v>
      </c>
      <c r="AD583" s="96"/>
      <c r="AE583" s="96"/>
      <c r="AF583" s="96"/>
      <c r="AG583" s="100">
        <v>45291</v>
      </c>
      <c r="AH583" s="96"/>
      <c r="AI583" s="96"/>
      <c r="AJ583" s="96"/>
      <c r="AK583" s="96" t="s">
        <v>337</v>
      </c>
      <c r="AL583" s="96" t="s">
        <v>887</v>
      </c>
      <c r="AM583" s="96"/>
      <c r="AN583" s="96" t="s">
        <v>890</v>
      </c>
      <c r="AO583" s="100">
        <v>45473</v>
      </c>
      <c r="AP583" s="100">
        <v>45473</v>
      </c>
      <c r="AQ583" s="96"/>
      <c r="AR583" s="97">
        <v>110857.030946</v>
      </c>
      <c r="AS583" s="97">
        <v>92.98</v>
      </c>
      <c r="AT583" s="97">
        <v>4.0202</v>
      </c>
      <c r="AU583" s="97">
        <v>414.38158099999998</v>
      </c>
      <c r="AV583" s="97">
        <v>103.074867</v>
      </c>
      <c r="AW583" s="96"/>
      <c r="AX583" s="96"/>
      <c r="AY583" s="96"/>
      <c r="AZ583" s="96"/>
      <c r="BA583" s="98">
        <v>2.7070000000000002E-3</v>
      </c>
      <c r="BB583" s="98">
        <v>2.1499999999999999E-4</v>
      </c>
      <c r="BC583" s="106"/>
    </row>
    <row r="584" spans="1:55" ht="15" customHeight="1">
      <c r="A584" s="106"/>
      <c r="B584" s="96">
        <v>286</v>
      </c>
      <c r="C584" s="96">
        <v>286</v>
      </c>
      <c r="D584" s="96"/>
      <c r="E584" s="96"/>
      <c r="F584" s="96"/>
      <c r="G584" s="96">
        <v>25000706</v>
      </c>
      <c r="H584" s="96" t="s">
        <v>1013</v>
      </c>
      <c r="I584" s="96" t="s">
        <v>813</v>
      </c>
      <c r="J584" s="96" t="s">
        <v>203</v>
      </c>
      <c r="K584" s="96"/>
      <c r="L584" s="96" t="s">
        <v>454</v>
      </c>
      <c r="M584" s="96" t="s">
        <v>338</v>
      </c>
      <c r="N584" s="96" t="s">
        <v>337</v>
      </c>
      <c r="O584" s="96"/>
      <c r="P584" s="100">
        <v>44712</v>
      </c>
      <c r="Q584" s="96" t="s">
        <v>1357</v>
      </c>
      <c r="R584" s="96" t="s">
        <v>414</v>
      </c>
      <c r="S584" s="96" t="s">
        <v>407</v>
      </c>
      <c r="T584" s="96" t="s">
        <v>1200</v>
      </c>
      <c r="U584" s="97">
        <v>6.22</v>
      </c>
      <c r="V584" s="96" t="s">
        <v>3678</v>
      </c>
      <c r="W584" s="98">
        <v>1.9046E-2</v>
      </c>
      <c r="X584" s="96"/>
      <c r="Y584" s="96"/>
      <c r="Z584" s="96"/>
      <c r="AA584" s="98">
        <v>3.39E-2</v>
      </c>
      <c r="AB584" s="100">
        <v>50130</v>
      </c>
      <c r="AC584" s="96" t="s">
        <v>411</v>
      </c>
      <c r="AD584" s="96"/>
      <c r="AE584" s="96"/>
      <c r="AF584" s="96"/>
      <c r="AG584" s="100">
        <v>45291</v>
      </c>
      <c r="AH584" s="96"/>
      <c r="AI584" s="96"/>
      <c r="AJ584" s="96"/>
      <c r="AK584" s="96" t="s">
        <v>337</v>
      </c>
      <c r="AL584" s="96" t="s">
        <v>887</v>
      </c>
      <c r="AM584" s="96"/>
      <c r="AN584" s="96" t="s">
        <v>890</v>
      </c>
      <c r="AO584" s="100">
        <v>45473</v>
      </c>
      <c r="AP584" s="100">
        <v>45473</v>
      </c>
      <c r="AQ584" s="96"/>
      <c r="AR584" s="97">
        <v>1225337.8530830001</v>
      </c>
      <c r="AS584" s="97">
        <v>98.72</v>
      </c>
      <c r="AT584" s="97">
        <v>1</v>
      </c>
      <c r="AU584" s="97">
        <v>1209.6535280000001</v>
      </c>
      <c r="AV584" s="97">
        <v>1209.6535280000001</v>
      </c>
      <c r="AW584" s="96"/>
      <c r="AX584" s="96"/>
      <c r="AY584" s="96"/>
      <c r="AZ584" s="96"/>
      <c r="BA584" s="98">
        <v>7.9039999999999996E-3</v>
      </c>
      <c r="BB584" s="98">
        <v>6.29E-4</v>
      </c>
      <c r="BC584" s="106"/>
    </row>
    <row r="585" spans="1:55" ht="15" customHeight="1">
      <c r="A585" s="106"/>
      <c r="B585" s="96">
        <v>286</v>
      </c>
      <c r="C585" s="96">
        <v>286</v>
      </c>
      <c r="D585" s="96"/>
      <c r="E585" s="96"/>
      <c r="F585" s="96"/>
      <c r="G585" s="96">
        <v>25000708</v>
      </c>
      <c r="H585" s="96" t="s">
        <v>1013</v>
      </c>
      <c r="I585" s="96" t="s">
        <v>813</v>
      </c>
      <c r="J585" s="96" t="s">
        <v>203</v>
      </c>
      <c r="K585" s="96"/>
      <c r="L585" s="96" t="s">
        <v>454</v>
      </c>
      <c r="M585" s="96" t="s">
        <v>338</v>
      </c>
      <c r="N585" s="96" t="s">
        <v>337</v>
      </c>
      <c r="O585" s="96"/>
      <c r="P585" s="100">
        <v>44712</v>
      </c>
      <c r="Q585" s="96" t="s">
        <v>3686</v>
      </c>
      <c r="R585" s="96" t="s">
        <v>414</v>
      </c>
      <c r="S585" s="96" t="s">
        <v>407</v>
      </c>
      <c r="T585" s="96" t="s">
        <v>1200</v>
      </c>
      <c r="U585" s="97">
        <v>7.32</v>
      </c>
      <c r="V585" s="96" t="s">
        <v>3678</v>
      </c>
      <c r="W585" s="98">
        <v>2.6634999999999999E-2</v>
      </c>
      <c r="X585" s="96"/>
      <c r="Y585" s="96"/>
      <c r="Z585" s="96"/>
      <c r="AA585" s="98">
        <v>5.0200000000000002E-2</v>
      </c>
      <c r="AB585" s="100">
        <v>49856</v>
      </c>
      <c r="AC585" s="96" t="s">
        <v>411</v>
      </c>
      <c r="AD585" s="96"/>
      <c r="AE585" s="96"/>
      <c r="AF585" s="96"/>
      <c r="AG585" s="100">
        <v>45291</v>
      </c>
      <c r="AH585" s="96"/>
      <c r="AI585" s="96"/>
      <c r="AJ585" s="96"/>
      <c r="AK585" s="96" t="s">
        <v>337</v>
      </c>
      <c r="AL585" s="96" t="s">
        <v>887</v>
      </c>
      <c r="AM585" s="96"/>
      <c r="AN585" s="96" t="s">
        <v>890</v>
      </c>
      <c r="AO585" s="100">
        <v>45473</v>
      </c>
      <c r="AP585" s="100">
        <v>45473</v>
      </c>
      <c r="AQ585" s="96"/>
      <c r="AR585" s="97">
        <v>291296.133049</v>
      </c>
      <c r="AS585" s="97">
        <v>94.86</v>
      </c>
      <c r="AT585" s="97">
        <v>1</v>
      </c>
      <c r="AU585" s="97">
        <v>276.323511</v>
      </c>
      <c r="AV585" s="97">
        <v>276.323511</v>
      </c>
      <c r="AW585" s="96"/>
      <c r="AX585" s="96"/>
      <c r="AY585" s="96"/>
      <c r="AZ585" s="96"/>
      <c r="BA585" s="98">
        <v>1.805E-3</v>
      </c>
      <c r="BB585" s="98">
        <v>1.4300000000000001E-4</v>
      </c>
      <c r="BC585" s="106"/>
    </row>
    <row r="586" spans="1:55" ht="15" customHeight="1">
      <c r="A586" s="106"/>
      <c r="B586" s="96">
        <v>286</v>
      </c>
      <c r="C586" s="96">
        <v>286</v>
      </c>
      <c r="D586" s="96"/>
      <c r="E586" s="96"/>
      <c r="F586" s="96"/>
      <c r="G586" s="96">
        <v>25000643</v>
      </c>
      <c r="H586" s="96" t="s">
        <v>1013</v>
      </c>
      <c r="I586" s="96" t="s">
        <v>795</v>
      </c>
      <c r="J586" s="96" t="s">
        <v>203</v>
      </c>
      <c r="K586" s="96"/>
      <c r="L586" s="96" t="s">
        <v>446</v>
      </c>
      <c r="M586" s="96" t="s">
        <v>338</v>
      </c>
      <c r="N586" s="96" t="s">
        <v>338</v>
      </c>
      <c r="O586" s="96"/>
      <c r="P586" s="100">
        <v>44556</v>
      </c>
      <c r="Q586" s="96" t="s">
        <v>2074</v>
      </c>
      <c r="R586" s="96" t="s">
        <v>311</v>
      </c>
      <c r="S586" s="96" t="s">
        <v>407</v>
      </c>
      <c r="T586" s="96" t="s">
        <v>1200</v>
      </c>
      <c r="U586" s="97">
        <v>1.6</v>
      </c>
      <c r="V586" s="96" t="s">
        <v>3678</v>
      </c>
      <c r="W586" s="98">
        <v>8.3000000000000004E-2</v>
      </c>
      <c r="X586" s="96"/>
      <c r="Y586" s="96"/>
      <c r="Z586" s="96"/>
      <c r="AA586" s="98">
        <v>0.13109999999999999</v>
      </c>
      <c r="AB586" s="100">
        <v>46574</v>
      </c>
      <c r="AC586" s="96" t="s">
        <v>410</v>
      </c>
      <c r="AD586" s="96"/>
      <c r="AE586" s="96"/>
      <c r="AF586" s="96"/>
      <c r="AG586" s="100">
        <v>45291</v>
      </c>
      <c r="AH586" s="96"/>
      <c r="AI586" s="96"/>
      <c r="AJ586" s="96"/>
      <c r="AK586" s="96" t="s">
        <v>337</v>
      </c>
      <c r="AL586" s="96" t="s">
        <v>887</v>
      </c>
      <c r="AM586" s="96"/>
      <c r="AN586" s="96" t="s">
        <v>890</v>
      </c>
      <c r="AO586" s="100">
        <v>45473</v>
      </c>
      <c r="AP586" s="100">
        <v>45473</v>
      </c>
      <c r="AQ586" s="96"/>
      <c r="AR586" s="97">
        <v>51660.513773999999</v>
      </c>
      <c r="AS586" s="97">
        <v>97.41</v>
      </c>
      <c r="AT586" s="97">
        <v>1</v>
      </c>
      <c r="AU586" s="97">
        <v>50.322505999999997</v>
      </c>
      <c r="AV586" s="97">
        <v>50.322505999999997</v>
      </c>
      <c r="AW586" s="96"/>
      <c r="AX586" s="96"/>
      <c r="AY586" s="96"/>
      <c r="AZ586" s="96"/>
      <c r="BA586" s="98">
        <v>3.28E-4</v>
      </c>
      <c r="BB586" s="98">
        <v>2.5999999999999998E-5</v>
      </c>
      <c r="BC586" s="106"/>
    </row>
    <row r="587" spans="1:55" ht="15" customHeight="1">
      <c r="A587" s="106"/>
      <c r="B587" s="96">
        <v>286</v>
      </c>
      <c r="C587" s="96">
        <v>286</v>
      </c>
      <c r="D587" s="96"/>
      <c r="E587" s="96"/>
      <c r="F587" s="96"/>
      <c r="G587" s="96">
        <v>25000619</v>
      </c>
      <c r="H587" s="96" t="s">
        <v>1013</v>
      </c>
      <c r="I587" s="96"/>
      <c r="J587" s="96" t="s">
        <v>203</v>
      </c>
      <c r="K587" s="96"/>
      <c r="L587" s="96" t="s">
        <v>446</v>
      </c>
      <c r="M587" s="96" t="s">
        <v>338</v>
      </c>
      <c r="N587" s="96" t="s">
        <v>338</v>
      </c>
      <c r="O587" s="96"/>
      <c r="P587" s="100">
        <v>44405</v>
      </c>
      <c r="Q587" s="96" t="s">
        <v>1328</v>
      </c>
      <c r="R587" s="96" t="s">
        <v>412</v>
      </c>
      <c r="S587" s="96" t="s">
        <v>407</v>
      </c>
      <c r="T587" s="96" t="s">
        <v>1200</v>
      </c>
      <c r="U587" s="97">
        <v>0.08</v>
      </c>
      <c r="V587" s="96" t="s">
        <v>3678</v>
      </c>
      <c r="W587" s="98">
        <v>1.9199999999999998E-2</v>
      </c>
      <c r="X587" s="96"/>
      <c r="Y587" s="96"/>
      <c r="Z587" s="96"/>
      <c r="AA587" s="98">
        <v>6.1400000000000003E-2</v>
      </c>
      <c r="AB587" s="100">
        <v>45501</v>
      </c>
      <c r="AC587" s="96" t="s">
        <v>411</v>
      </c>
      <c r="AD587" s="96"/>
      <c r="AE587" s="96"/>
      <c r="AF587" s="96"/>
      <c r="AG587" s="100"/>
      <c r="AH587" s="96"/>
      <c r="AI587" s="96"/>
      <c r="AJ587" s="96"/>
      <c r="AK587" s="96" t="s">
        <v>337</v>
      </c>
      <c r="AL587" s="96" t="s">
        <v>887</v>
      </c>
      <c r="AM587" s="96"/>
      <c r="AN587" s="96" t="s">
        <v>890</v>
      </c>
      <c r="AO587" s="100">
        <v>45473</v>
      </c>
      <c r="AP587" s="100">
        <v>45473</v>
      </c>
      <c r="AQ587" s="96"/>
      <c r="AR587" s="97">
        <v>677959.498349</v>
      </c>
      <c r="AS587" s="97">
        <v>100.02</v>
      </c>
      <c r="AT587" s="97">
        <v>1</v>
      </c>
      <c r="AU587" s="97">
        <v>678.09509000000003</v>
      </c>
      <c r="AV587" s="97">
        <v>678.09509000000003</v>
      </c>
      <c r="AW587" s="96"/>
      <c r="AX587" s="96"/>
      <c r="AY587" s="96"/>
      <c r="AZ587" s="96"/>
      <c r="BA587" s="98">
        <v>4.431E-3</v>
      </c>
      <c r="BB587" s="98">
        <v>3.5300000000000002E-4</v>
      </c>
      <c r="BC587" s="106"/>
    </row>
    <row r="588" spans="1:55" ht="15" customHeight="1">
      <c r="A588" s="106"/>
      <c r="B588" s="96">
        <v>286</v>
      </c>
      <c r="C588" s="96">
        <v>286</v>
      </c>
      <c r="D588" s="96"/>
      <c r="E588" s="96"/>
      <c r="F588" s="96"/>
      <c r="G588" s="96">
        <v>25000621</v>
      </c>
      <c r="H588" s="96" t="s">
        <v>1013</v>
      </c>
      <c r="I588" s="96" t="s">
        <v>812</v>
      </c>
      <c r="J588" s="96" t="s">
        <v>203</v>
      </c>
      <c r="K588" s="96"/>
      <c r="L588" s="96" t="s">
        <v>463</v>
      </c>
      <c r="M588" s="96" t="s">
        <v>338</v>
      </c>
      <c r="N588" s="96" t="s">
        <v>337</v>
      </c>
      <c r="O588" s="96"/>
      <c r="P588" s="100">
        <v>44431</v>
      </c>
      <c r="Q588" s="96" t="s">
        <v>1320</v>
      </c>
      <c r="R588" s="96" t="s">
        <v>412</v>
      </c>
      <c r="S588" s="96" t="s">
        <v>407</v>
      </c>
      <c r="T588" s="96" t="s">
        <v>1200</v>
      </c>
      <c r="U588" s="97">
        <v>8.5</v>
      </c>
      <c r="V588" s="96" t="s">
        <v>824</v>
      </c>
      <c r="W588" s="98">
        <v>7.1499999999999994E-2</v>
      </c>
      <c r="X588" s="96"/>
      <c r="Y588" s="96"/>
      <c r="Z588" s="96"/>
      <c r="AA588" s="98">
        <v>7.7399999999999997E-2</v>
      </c>
      <c r="AB588" s="100">
        <v>52962</v>
      </c>
      <c r="AC588" s="96" t="s">
        <v>411</v>
      </c>
      <c r="AD588" s="96"/>
      <c r="AE588" s="96"/>
      <c r="AF588" s="96"/>
      <c r="AG588" s="100">
        <v>45291</v>
      </c>
      <c r="AH588" s="96"/>
      <c r="AI588" s="96"/>
      <c r="AJ588" s="96"/>
      <c r="AK588" s="96" t="s">
        <v>337</v>
      </c>
      <c r="AL588" s="96" t="s">
        <v>887</v>
      </c>
      <c r="AM588" s="96"/>
      <c r="AN588" s="96" t="s">
        <v>890</v>
      </c>
      <c r="AO588" s="100">
        <v>45473</v>
      </c>
      <c r="AP588" s="100">
        <v>45473</v>
      </c>
      <c r="AQ588" s="96"/>
      <c r="AR588" s="97">
        <v>126770.128645</v>
      </c>
      <c r="AS588" s="97">
        <v>100.53</v>
      </c>
      <c r="AT588" s="97">
        <v>1</v>
      </c>
      <c r="AU588" s="97">
        <v>127.44201</v>
      </c>
      <c r="AV588" s="97">
        <v>127.44201</v>
      </c>
      <c r="AW588" s="96"/>
      <c r="AX588" s="96"/>
      <c r="AY588" s="96"/>
      <c r="AZ588" s="96"/>
      <c r="BA588" s="98">
        <v>8.3199999999999995E-4</v>
      </c>
      <c r="BB588" s="98">
        <v>6.6000000000000005E-5</v>
      </c>
      <c r="BC588" s="106"/>
    </row>
    <row r="589" spans="1:55" ht="15" customHeight="1">
      <c r="A589" s="106"/>
      <c r="B589" s="96">
        <v>286</v>
      </c>
      <c r="C589" s="96">
        <v>286</v>
      </c>
      <c r="D589" s="96"/>
      <c r="E589" s="96"/>
      <c r="F589" s="96"/>
      <c r="G589" s="96">
        <v>25000656</v>
      </c>
      <c r="H589" s="96" t="s">
        <v>1013</v>
      </c>
      <c r="I589" s="96" t="s">
        <v>785</v>
      </c>
      <c r="J589" s="96" t="s">
        <v>203</v>
      </c>
      <c r="K589" s="96"/>
      <c r="L589" s="96" t="s">
        <v>460</v>
      </c>
      <c r="M589" s="96" t="s">
        <v>338</v>
      </c>
      <c r="N589" s="96" t="s">
        <v>338</v>
      </c>
      <c r="O589" s="96"/>
      <c r="P589" s="100">
        <v>44619</v>
      </c>
      <c r="Q589" s="96" t="s">
        <v>2258</v>
      </c>
      <c r="R589" s="96" t="s">
        <v>311</v>
      </c>
      <c r="S589" s="96" t="s">
        <v>407</v>
      </c>
      <c r="T589" s="96" t="s">
        <v>1200</v>
      </c>
      <c r="U589" s="97">
        <v>2.27</v>
      </c>
      <c r="V589" s="96" t="s">
        <v>3678</v>
      </c>
      <c r="W589" s="98">
        <v>1.7160000000000002E-2</v>
      </c>
      <c r="X589" s="96"/>
      <c r="Y589" s="96"/>
      <c r="Z589" s="96"/>
      <c r="AA589" s="98">
        <v>5.5599999999999997E-2</v>
      </c>
      <c r="AB589" s="100">
        <v>46686</v>
      </c>
      <c r="AC589" s="96" t="s">
        <v>411</v>
      </c>
      <c r="AD589" s="96"/>
      <c r="AE589" s="96"/>
      <c r="AF589" s="96"/>
      <c r="AG589" s="100"/>
      <c r="AH589" s="96"/>
      <c r="AI589" s="96"/>
      <c r="AJ589" s="96"/>
      <c r="AK589" s="96" t="s">
        <v>337</v>
      </c>
      <c r="AL589" s="96" t="s">
        <v>887</v>
      </c>
      <c r="AM589" s="96"/>
      <c r="AN589" s="96" t="s">
        <v>890</v>
      </c>
      <c r="AO589" s="100">
        <v>45473</v>
      </c>
      <c r="AP589" s="100">
        <v>45473</v>
      </c>
      <c r="AQ589" s="96"/>
      <c r="AR589" s="97">
        <v>161015.38085799999</v>
      </c>
      <c r="AS589" s="97">
        <v>101.32</v>
      </c>
      <c r="AT589" s="97">
        <v>1</v>
      </c>
      <c r="AU589" s="97">
        <v>163.140783</v>
      </c>
      <c r="AV589" s="97">
        <v>163.140783</v>
      </c>
      <c r="AW589" s="96"/>
      <c r="AX589" s="96"/>
      <c r="AY589" s="96"/>
      <c r="AZ589" s="96"/>
      <c r="BA589" s="98">
        <v>1.0660000000000001E-3</v>
      </c>
      <c r="BB589" s="98">
        <v>8.3999999999999995E-5</v>
      </c>
      <c r="BC589" s="106"/>
    </row>
    <row r="590" spans="1:55" ht="15" customHeight="1">
      <c r="A590" s="106"/>
      <c r="B590" s="96">
        <v>286</v>
      </c>
      <c r="C590" s="96">
        <v>286</v>
      </c>
      <c r="D590" s="96"/>
      <c r="E590" s="96"/>
      <c r="F590" s="96"/>
      <c r="G590" s="96">
        <v>25000655</v>
      </c>
      <c r="H590" s="96" t="s">
        <v>1013</v>
      </c>
      <c r="I590" s="96" t="s">
        <v>812</v>
      </c>
      <c r="J590" s="96" t="s">
        <v>203</v>
      </c>
      <c r="K590" s="96"/>
      <c r="L590" s="96" t="s">
        <v>454</v>
      </c>
      <c r="M590" s="96" t="s">
        <v>338</v>
      </c>
      <c r="N590" s="96" t="s">
        <v>337</v>
      </c>
      <c r="O590" s="96"/>
      <c r="P590" s="100">
        <v>44615</v>
      </c>
      <c r="Q590" s="96" t="s">
        <v>1357</v>
      </c>
      <c r="R590" s="96" t="s">
        <v>414</v>
      </c>
      <c r="S590" s="96" t="s">
        <v>407</v>
      </c>
      <c r="T590" s="96" t="s">
        <v>1200</v>
      </c>
      <c r="U590" s="97">
        <v>7.05</v>
      </c>
      <c r="V590" s="96" t="s">
        <v>3678</v>
      </c>
      <c r="W590" s="98">
        <v>3.1E-2</v>
      </c>
      <c r="X590" s="96"/>
      <c r="Y590" s="96"/>
      <c r="Z590" s="96"/>
      <c r="AA590" s="98">
        <v>5.7200000000000001E-2</v>
      </c>
      <c r="AB590" s="100">
        <v>51677</v>
      </c>
      <c r="AC590" s="96" t="s">
        <v>411</v>
      </c>
      <c r="AD590" s="96"/>
      <c r="AE590" s="96"/>
      <c r="AF590" s="96"/>
      <c r="AG590" s="100">
        <v>45291</v>
      </c>
      <c r="AH590" s="96"/>
      <c r="AI590" s="96"/>
      <c r="AJ590" s="96"/>
      <c r="AK590" s="96" t="s">
        <v>337</v>
      </c>
      <c r="AL590" s="96" t="s">
        <v>887</v>
      </c>
      <c r="AM590" s="96"/>
      <c r="AN590" s="96" t="s">
        <v>890</v>
      </c>
      <c r="AO590" s="100">
        <v>45473</v>
      </c>
      <c r="AP590" s="100">
        <v>45473</v>
      </c>
      <c r="AQ590" s="96"/>
      <c r="AR590" s="97">
        <v>80322.77</v>
      </c>
      <c r="AS590" s="97">
        <v>89.83</v>
      </c>
      <c r="AT590" s="97">
        <v>1</v>
      </c>
      <c r="AU590" s="97">
        <v>72.153940000000006</v>
      </c>
      <c r="AV590" s="97">
        <v>72.153940000000006</v>
      </c>
      <c r="AW590" s="96"/>
      <c r="AX590" s="96"/>
      <c r="AY590" s="96"/>
      <c r="AZ590" s="96"/>
      <c r="BA590" s="98">
        <v>4.7100000000000001E-4</v>
      </c>
      <c r="BB590" s="98">
        <v>3.6999999999999998E-5</v>
      </c>
      <c r="BC590" s="106"/>
    </row>
    <row r="591" spans="1:55" ht="15" customHeight="1">
      <c r="A591" s="106"/>
      <c r="B591" s="96">
        <v>286</v>
      </c>
      <c r="C591" s="96">
        <v>286</v>
      </c>
      <c r="D591" s="96"/>
      <c r="E591" s="96"/>
      <c r="F591" s="96"/>
      <c r="G591" s="96">
        <v>25000653</v>
      </c>
      <c r="H591" s="96" t="s">
        <v>1013</v>
      </c>
      <c r="I591" s="96" t="s">
        <v>3680</v>
      </c>
      <c r="J591" s="96" t="s">
        <v>203</v>
      </c>
      <c r="K591" s="96"/>
      <c r="L591" s="96" t="s">
        <v>463</v>
      </c>
      <c r="M591" s="96" t="s">
        <v>338</v>
      </c>
      <c r="N591" s="96" t="s">
        <v>337</v>
      </c>
      <c r="O591" s="96"/>
      <c r="P591" s="100">
        <v>44588</v>
      </c>
      <c r="Q591" s="96" t="s">
        <v>1208</v>
      </c>
      <c r="R591" s="96" t="s">
        <v>311</v>
      </c>
      <c r="S591" s="96" t="s">
        <v>407</v>
      </c>
      <c r="T591" s="96" t="s">
        <v>1200</v>
      </c>
      <c r="U591" s="97">
        <v>2.82</v>
      </c>
      <c r="V591" s="96" t="s">
        <v>824</v>
      </c>
      <c r="W591" s="98">
        <v>6.1499999999999999E-2</v>
      </c>
      <c r="X591" s="96"/>
      <c r="Y591" s="96"/>
      <c r="Z591" s="96"/>
      <c r="AA591" s="98">
        <v>6.0600000000000001E-2</v>
      </c>
      <c r="AB591" s="100">
        <v>47654</v>
      </c>
      <c r="AC591" s="96" t="s">
        <v>411</v>
      </c>
      <c r="AD591" s="96"/>
      <c r="AE591" s="96"/>
      <c r="AF591" s="96"/>
      <c r="AG591" s="100">
        <v>45382</v>
      </c>
      <c r="AH591" s="96"/>
      <c r="AI591" s="96"/>
      <c r="AJ591" s="96"/>
      <c r="AK591" s="96" t="s">
        <v>337</v>
      </c>
      <c r="AL591" s="96" t="s">
        <v>887</v>
      </c>
      <c r="AM591" s="96"/>
      <c r="AN591" s="96" t="s">
        <v>890</v>
      </c>
      <c r="AO591" s="100">
        <v>45473</v>
      </c>
      <c r="AP591" s="100">
        <v>45473</v>
      </c>
      <c r="AQ591" s="96"/>
      <c r="AR591" s="97">
        <v>153391.23044700001</v>
      </c>
      <c r="AS591" s="97">
        <v>100.77</v>
      </c>
      <c r="AT591" s="97">
        <v>1</v>
      </c>
      <c r="AU591" s="97">
        <v>154.57234199999999</v>
      </c>
      <c r="AV591" s="97">
        <v>154.57234199999999</v>
      </c>
      <c r="AW591" s="96"/>
      <c r="AX591" s="96"/>
      <c r="AY591" s="96"/>
      <c r="AZ591" s="96"/>
      <c r="BA591" s="98">
        <v>1.01E-3</v>
      </c>
      <c r="BB591" s="98">
        <v>8.0000000000000007E-5</v>
      </c>
      <c r="BC591" s="106"/>
    </row>
    <row r="592" spans="1:55" ht="15" customHeight="1">
      <c r="A592" s="106"/>
      <c r="B592" s="96">
        <v>286</v>
      </c>
      <c r="C592" s="96">
        <v>286</v>
      </c>
      <c r="D592" s="96"/>
      <c r="E592" s="96"/>
      <c r="F592" s="96"/>
      <c r="G592" s="96">
        <v>25000652</v>
      </c>
      <c r="H592" s="96" t="s">
        <v>1013</v>
      </c>
      <c r="I592" s="96" t="s">
        <v>3680</v>
      </c>
      <c r="J592" s="96" t="s">
        <v>203</v>
      </c>
      <c r="K592" s="96"/>
      <c r="L592" s="96" t="s">
        <v>463</v>
      </c>
      <c r="M592" s="96" t="s">
        <v>338</v>
      </c>
      <c r="N592" s="96" t="s">
        <v>337</v>
      </c>
      <c r="O592" s="96"/>
      <c r="P592" s="100">
        <v>44581</v>
      </c>
      <c r="Q592" s="96" t="s">
        <v>1208</v>
      </c>
      <c r="R592" s="96" t="s">
        <v>311</v>
      </c>
      <c r="S592" s="96" t="s">
        <v>407</v>
      </c>
      <c r="T592" s="96" t="s">
        <v>1200</v>
      </c>
      <c r="U592" s="97">
        <v>2.82</v>
      </c>
      <c r="V592" s="96" t="s">
        <v>824</v>
      </c>
      <c r="W592" s="98">
        <v>6.1499999999999999E-2</v>
      </c>
      <c r="X592" s="96"/>
      <c r="Y592" s="96"/>
      <c r="Z592" s="96"/>
      <c r="AA592" s="98">
        <v>6.0999999999999999E-2</v>
      </c>
      <c r="AB592" s="100">
        <v>47654</v>
      </c>
      <c r="AC592" s="96" t="s">
        <v>411</v>
      </c>
      <c r="AD592" s="96"/>
      <c r="AE592" s="96"/>
      <c r="AF592" s="96"/>
      <c r="AG592" s="100">
        <v>45382</v>
      </c>
      <c r="AH592" s="96"/>
      <c r="AI592" s="96"/>
      <c r="AJ592" s="96"/>
      <c r="AK592" s="96" t="s">
        <v>337</v>
      </c>
      <c r="AL592" s="96" t="s">
        <v>887</v>
      </c>
      <c r="AM592" s="96"/>
      <c r="AN592" s="96" t="s">
        <v>890</v>
      </c>
      <c r="AO592" s="100">
        <v>45473</v>
      </c>
      <c r="AP592" s="100">
        <v>45473</v>
      </c>
      <c r="AQ592" s="96"/>
      <c r="AR592" s="97">
        <v>325956.36468599999</v>
      </c>
      <c r="AS592" s="97">
        <v>100.67</v>
      </c>
      <c r="AT592" s="97">
        <v>1</v>
      </c>
      <c r="AU592" s="97">
        <v>328.14027199999998</v>
      </c>
      <c r="AV592" s="97">
        <v>328.14027199999998</v>
      </c>
      <c r="AW592" s="96"/>
      <c r="AX592" s="96"/>
      <c r="AY592" s="96"/>
      <c r="AZ592" s="96"/>
      <c r="BA592" s="98">
        <v>2.1440000000000001E-3</v>
      </c>
      <c r="BB592" s="98">
        <v>1.7000000000000001E-4</v>
      </c>
      <c r="BC592" s="106"/>
    </row>
    <row r="593" spans="1:55" ht="15" customHeight="1">
      <c r="A593" s="106"/>
      <c r="B593" s="96">
        <v>286</v>
      </c>
      <c r="C593" s="96">
        <v>286</v>
      </c>
      <c r="D593" s="96"/>
      <c r="E593" s="96"/>
      <c r="F593" s="96"/>
      <c r="G593" s="96">
        <v>25000648</v>
      </c>
      <c r="H593" s="96" t="s">
        <v>1013</v>
      </c>
      <c r="I593" s="96" t="s">
        <v>818</v>
      </c>
      <c r="J593" s="96" t="s">
        <v>203</v>
      </c>
      <c r="K593" s="96"/>
      <c r="L593" s="96" t="s">
        <v>463</v>
      </c>
      <c r="M593" s="96" t="s">
        <v>338</v>
      </c>
      <c r="N593" s="96" t="s">
        <v>338</v>
      </c>
      <c r="O593" s="96"/>
      <c r="P593" s="100">
        <v>44570</v>
      </c>
      <c r="Q593" s="96" t="s">
        <v>3679</v>
      </c>
      <c r="R593" s="96" t="s">
        <v>311</v>
      </c>
      <c r="S593" s="96" t="s">
        <v>407</v>
      </c>
      <c r="T593" s="96" t="s">
        <v>1200</v>
      </c>
      <c r="U593" s="97">
        <v>3.65</v>
      </c>
      <c r="V593" s="96" t="s">
        <v>3678</v>
      </c>
      <c r="W593" s="98">
        <v>0</v>
      </c>
      <c r="X593" s="96"/>
      <c r="Y593" s="96"/>
      <c r="Z593" s="96"/>
      <c r="AA593" s="98">
        <v>3.5799999999999998E-2</v>
      </c>
      <c r="AB593" s="100">
        <v>47006</v>
      </c>
      <c r="AC593" s="96" t="s">
        <v>410</v>
      </c>
      <c r="AD593" s="96"/>
      <c r="AE593" s="96"/>
      <c r="AF593" s="96"/>
      <c r="AG593" s="100"/>
      <c r="AH593" s="96"/>
      <c r="AI593" s="96"/>
      <c r="AJ593" s="96"/>
      <c r="AK593" s="96" t="s">
        <v>337</v>
      </c>
      <c r="AL593" s="96" t="s">
        <v>887</v>
      </c>
      <c r="AM593" s="96"/>
      <c r="AN593" s="96" t="s">
        <v>890</v>
      </c>
      <c r="AO593" s="100">
        <v>45473</v>
      </c>
      <c r="AP593" s="100">
        <v>45473</v>
      </c>
      <c r="AQ593" s="96"/>
      <c r="AR593" s="97">
        <v>147456.18516600001</v>
      </c>
      <c r="AS593" s="97">
        <v>97.42</v>
      </c>
      <c r="AT593" s="97">
        <v>1</v>
      </c>
      <c r="AU593" s="97">
        <v>143.651815</v>
      </c>
      <c r="AV593" s="97">
        <v>143.651815</v>
      </c>
      <c r="AW593" s="96"/>
      <c r="AX593" s="96"/>
      <c r="AY593" s="96"/>
      <c r="AZ593" s="96"/>
      <c r="BA593" s="98">
        <v>9.3800000000000003E-4</v>
      </c>
      <c r="BB593" s="98">
        <v>7.3999999999999996E-5</v>
      </c>
      <c r="BC593" s="106"/>
    </row>
    <row r="594" spans="1:55" ht="15" customHeight="1">
      <c r="A594" s="106"/>
      <c r="B594" s="96">
        <v>286</v>
      </c>
      <c r="C594" s="96">
        <v>286</v>
      </c>
      <c r="D594" s="96"/>
      <c r="E594" s="96"/>
      <c r="F594" s="96"/>
      <c r="G594" s="96">
        <v>25000623</v>
      </c>
      <c r="H594" s="96" t="s">
        <v>1013</v>
      </c>
      <c r="I594" s="96"/>
      <c r="J594" s="96" t="s">
        <v>203</v>
      </c>
      <c r="K594" s="96"/>
      <c r="L594" s="96" t="s">
        <v>446</v>
      </c>
      <c r="M594" s="96" t="s">
        <v>338</v>
      </c>
      <c r="N594" s="96" t="s">
        <v>338</v>
      </c>
      <c r="O594" s="96"/>
      <c r="P594" s="100">
        <v>44458</v>
      </c>
      <c r="Q594" s="96" t="s">
        <v>1309</v>
      </c>
      <c r="R594" s="96" t="s">
        <v>414</v>
      </c>
      <c r="S594" s="96" t="s">
        <v>407</v>
      </c>
      <c r="T594" s="96" t="s">
        <v>1200</v>
      </c>
      <c r="U594" s="97">
        <v>1.18</v>
      </c>
      <c r="V594" s="96" t="s">
        <v>3678</v>
      </c>
      <c r="W594" s="98">
        <v>2.8899999999999999E-2</v>
      </c>
      <c r="X594" s="96"/>
      <c r="Y594" s="96"/>
      <c r="Z594" s="96"/>
      <c r="AA594" s="98">
        <v>6.3399999999999998E-2</v>
      </c>
      <c r="AB594" s="100">
        <v>46284</v>
      </c>
      <c r="AC594" s="96" t="s">
        <v>411</v>
      </c>
      <c r="AD594" s="96"/>
      <c r="AE594" s="96"/>
      <c r="AF594" s="96"/>
      <c r="AG594" s="100"/>
      <c r="AH594" s="96"/>
      <c r="AI594" s="96"/>
      <c r="AJ594" s="96"/>
      <c r="AK594" s="96" t="s">
        <v>337</v>
      </c>
      <c r="AL594" s="96" t="s">
        <v>887</v>
      </c>
      <c r="AM594" s="96"/>
      <c r="AN594" s="96" t="s">
        <v>890</v>
      </c>
      <c r="AO594" s="100">
        <v>45473</v>
      </c>
      <c r="AP594" s="100">
        <v>45473</v>
      </c>
      <c r="AQ594" s="96"/>
      <c r="AR594" s="97">
        <v>254234.811881</v>
      </c>
      <c r="AS594" s="97">
        <v>107.72</v>
      </c>
      <c r="AT594" s="97">
        <v>1</v>
      </c>
      <c r="AU594" s="97">
        <v>273.861739</v>
      </c>
      <c r="AV594" s="97">
        <v>273.861739</v>
      </c>
      <c r="AW594" s="96"/>
      <c r="AX594" s="96"/>
      <c r="AY594" s="96"/>
      <c r="AZ594" s="96"/>
      <c r="BA594" s="98">
        <v>1.789E-3</v>
      </c>
      <c r="BB594" s="98">
        <v>1.4200000000000001E-4</v>
      </c>
      <c r="BC594" s="106"/>
    </row>
    <row r="595" spans="1:55" ht="15" customHeight="1">
      <c r="A595" s="106"/>
      <c r="B595" s="96">
        <v>286</v>
      </c>
      <c r="C595" s="96">
        <v>286</v>
      </c>
      <c r="D595" s="96"/>
      <c r="E595" s="96"/>
      <c r="F595" s="96"/>
      <c r="G595" s="96">
        <v>25000639</v>
      </c>
      <c r="H595" s="96" t="s">
        <v>1013</v>
      </c>
      <c r="I595" s="96" t="s">
        <v>3684</v>
      </c>
      <c r="J595" s="96" t="s">
        <v>203</v>
      </c>
      <c r="K595" s="96"/>
      <c r="L595" s="96" t="s">
        <v>463</v>
      </c>
      <c r="M595" s="96" t="s">
        <v>338</v>
      </c>
      <c r="N595" s="96" t="s">
        <v>338</v>
      </c>
      <c r="O595" s="96"/>
      <c r="P595" s="100">
        <v>44530</v>
      </c>
      <c r="Q595" s="96" t="s">
        <v>2074</v>
      </c>
      <c r="R595" s="96" t="s">
        <v>311</v>
      </c>
      <c r="S595" s="96" t="s">
        <v>407</v>
      </c>
      <c r="T595" s="96" t="s">
        <v>1200</v>
      </c>
      <c r="U595" s="97">
        <v>4.09</v>
      </c>
      <c r="V595" s="96" t="s">
        <v>3678</v>
      </c>
      <c r="W595" s="98">
        <v>1.7000000000000001E-2</v>
      </c>
      <c r="X595" s="96"/>
      <c r="Y595" s="96"/>
      <c r="Z595" s="96"/>
      <c r="AA595" s="98">
        <v>5.7599999999999998E-2</v>
      </c>
      <c r="AB595" s="100">
        <v>47452</v>
      </c>
      <c r="AC595" s="96" t="s">
        <v>411</v>
      </c>
      <c r="AD595" s="96"/>
      <c r="AE595" s="96"/>
      <c r="AF595" s="96"/>
      <c r="AG595" s="100">
        <v>44977</v>
      </c>
      <c r="AH595" s="96"/>
      <c r="AI595" s="96"/>
      <c r="AJ595" s="96"/>
      <c r="AK595" s="96" t="s">
        <v>337</v>
      </c>
      <c r="AL595" s="96" t="s">
        <v>887</v>
      </c>
      <c r="AM595" s="96"/>
      <c r="AN595" s="96" t="s">
        <v>890</v>
      </c>
      <c r="AO595" s="100">
        <v>45473</v>
      </c>
      <c r="AP595" s="100">
        <v>45473</v>
      </c>
      <c r="AQ595" s="96"/>
      <c r="AR595" s="97">
        <v>415411.34879600001</v>
      </c>
      <c r="AS595" s="97">
        <v>94.19</v>
      </c>
      <c r="AT595" s="97">
        <v>1</v>
      </c>
      <c r="AU595" s="97">
        <v>391.27594900000003</v>
      </c>
      <c r="AV595" s="97">
        <v>391.27594900000003</v>
      </c>
      <c r="AW595" s="96"/>
      <c r="AX595" s="96"/>
      <c r="AY595" s="96"/>
      <c r="AZ595" s="96"/>
      <c r="BA595" s="98">
        <v>2.5560000000000001E-3</v>
      </c>
      <c r="BB595" s="98">
        <v>2.03E-4</v>
      </c>
      <c r="BC595" s="106"/>
    </row>
    <row r="596" spans="1:55" ht="15" customHeight="1">
      <c r="A596" s="106"/>
      <c r="B596" s="96">
        <v>286</v>
      </c>
      <c r="C596" s="96">
        <v>286</v>
      </c>
      <c r="D596" s="96"/>
      <c r="E596" s="96"/>
      <c r="F596" s="96"/>
      <c r="G596" s="96">
        <v>25000634</v>
      </c>
      <c r="H596" s="96" t="s">
        <v>1013</v>
      </c>
      <c r="I596" s="96" t="s">
        <v>818</v>
      </c>
      <c r="J596" s="96" t="s">
        <v>203</v>
      </c>
      <c r="K596" s="96"/>
      <c r="L596" s="96" t="s">
        <v>450</v>
      </c>
      <c r="M596" s="96" t="s">
        <v>338</v>
      </c>
      <c r="N596" s="96" t="s">
        <v>338</v>
      </c>
      <c r="O596" s="96"/>
      <c r="P596" s="100">
        <v>44503</v>
      </c>
      <c r="Q596" s="96" t="s">
        <v>1328</v>
      </c>
      <c r="R596" s="96" t="s">
        <v>412</v>
      </c>
      <c r="S596" s="96" t="s">
        <v>407</v>
      </c>
      <c r="T596" s="96" t="s">
        <v>1200</v>
      </c>
      <c r="U596" s="97">
        <v>2.2400000000000002</v>
      </c>
      <c r="V596" s="96" t="s">
        <v>3678</v>
      </c>
      <c r="W596" s="98">
        <v>3.4200000000000001E-2</v>
      </c>
      <c r="X596" s="96"/>
      <c r="Y596" s="96"/>
      <c r="Z596" s="96"/>
      <c r="AA596" s="98">
        <v>7.4099999999999999E-2</v>
      </c>
      <c r="AB596" s="100">
        <v>46329</v>
      </c>
      <c r="AC596" s="96" t="s">
        <v>411</v>
      </c>
      <c r="AD596" s="96"/>
      <c r="AE596" s="96"/>
      <c r="AF596" s="96"/>
      <c r="AG596" s="100"/>
      <c r="AH596" s="96"/>
      <c r="AI596" s="96"/>
      <c r="AJ596" s="96"/>
      <c r="AK596" s="96" t="s">
        <v>337</v>
      </c>
      <c r="AL596" s="96" t="s">
        <v>887</v>
      </c>
      <c r="AM596" s="96"/>
      <c r="AN596" s="96" t="s">
        <v>890</v>
      </c>
      <c r="AO596" s="100">
        <v>45473</v>
      </c>
      <c r="AP596" s="100">
        <v>45473</v>
      </c>
      <c r="AQ596" s="96"/>
      <c r="AR596" s="97">
        <v>84744.937292999995</v>
      </c>
      <c r="AS596" s="97">
        <v>92.71</v>
      </c>
      <c r="AT596" s="97">
        <v>1</v>
      </c>
      <c r="AU596" s="97">
        <v>78.567031</v>
      </c>
      <c r="AV596" s="97">
        <v>78.567031</v>
      </c>
      <c r="AW596" s="96"/>
      <c r="AX596" s="96"/>
      <c r="AY596" s="96"/>
      <c r="AZ596" s="96"/>
      <c r="BA596" s="98">
        <v>5.13E-4</v>
      </c>
      <c r="BB596" s="98">
        <v>4.0000000000000003E-5</v>
      </c>
      <c r="BC596" s="106"/>
    </row>
    <row r="597" spans="1:55" ht="15" customHeight="1">
      <c r="A597" s="106"/>
      <c r="B597" s="96">
        <v>286</v>
      </c>
      <c r="C597" s="96">
        <v>286</v>
      </c>
      <c r="D597" s="96"/>
      <c r="E597" s="96"/>
      <c r="F597" s="96"/>
      <c r="G597" s="96">
        <v>25000632</v>
      </c>
      <c r="H597" s="96" t="s">
        <v>1013</v>
      </c>
      <c r="I597" s="96" t="s">
        <v>785</v>
      </c>
      <c r="J597" s="96" t="s">
        <v>203</v>
      </c>
      <c r="K597" s="96"/>
      <c r="L597" s="96" t="s">
        <v>460</v>
      </c>
      <c r="M597" s="96" t="s">
        <v>338</v>
      </c>
      <c r="N597" s="96" t="s">
        <v>338</v>
      </c>
      <c r="O597" s="96"/>
      <c r="P597" s="100">
        <v>44495</v>
      </c>
      <c r="Q597" s="96" t="s">
        <v>2258</v>
      </c>
      <c r="R597" s="96" t="s">
        <v>311</v>
      </c>
      <c r="S597" s="96" t="s">
        <v>407</v>
      </c>
      <c r="T597" s="96" t="s">
        <v>1200</v>
      </c>
      <c r="U597" s="97">
        <v>2.2799999999999998</v>
      </c>
      <c r="V597" s="96" t="s">
        <v>3678</v>
      </c>
      <c r="W597" s="98">
        <v>1.3899999999999999E-2</v>
      </c>
      <c r="X597" s="96"/>
      <c r="Y597" s="96"/>
      <c r="Z597" s="96"/>
      <c r="AA597" s="98">
        <v>5.57E-2</v>
      </c>
      <c r="AB597" s="100">
        <v>46686</v>
      </c>
      <c r="AC597" s="96" t="s">
        <v>411</v>
      </c>
      <c r="AD597" s="96"/>
      <c r="AE597" s="96"/>
      <c r="AF597" s="96"/>
      <c r="AG597" s="100"/>
      <c r="AH597" s="96"/>
      <c r="AI597" s="96"/>
      <c r="AJ597" s="96"/>
      <c r="AK597" s="96" t="s">
        <v>337</v>
      </c>
      <c r="AL597" s="96" t="s">
        <v>887</v>
      </c>
      <c r="AM597" s="96"/>
      <c r="AN597" s="96" t="s">
        <v>890</v>
      </c>
      <c r="AO597" s="100">
        <v>45473</v>
      </c>
      <c r="AP597" s="100">
        <v>45473</v>
      </c>
      <c r="AQ597" s="96"/>
      <c r="AR597" s="97">
        <v>322030.76171599998</v>
      </c>
      <c r="AS597" s="97">
        <v>101</v>
      </c>
      <c r="AT597" s="97">
        <v>1</v>
      </c>
      <c r="AU597" s="97">
        <v>325.25106899999997</v>
      </c>
      <c r="AV597" s="97">
        <v>325.25106899999997</v>
      </c>
      <c r="AW597" s="96"/>
      <c r="AX597" s="96"/>
      <c r="AY597" s="96"/>
      <c r="AZ597" s="96"/>
      <c r="BA597" s="98">
        <v>2.1250000000000002E-3</v>
      </c>
      <c r="BB597" s="98">
        <v>1.6899999999999999E-4</v>
      </c>
      <c r="BC597" s="106"/>
    </row>
    <row r="598" spans="1:55" ht="15" customHeight="1">
      <c r="A598" s="106"/>
      <c r="B598" s="96">
        <v>286</v>
      </c>
      <c r="C598" s="96">
        <v>286</v>
      </c>
      <c r="D598" s="96"/>
      <c r="E598" s="96"/>
      <c r="F598" s="96"/>
      <c r="G598" s="96">
        <v>25000631</v>
      </c>
      <c r="H598" s="96" t="s">
        <v>1013</v>
      </c>
      <c r="I598" s="96" t="s">
        <v>812</v>
      </c>
      <c r="J598" s="96" t="s">
        <v>203</v>
      </c>
      <c r="K598" s="96"/>
      <c r="L598" s="96" t="s">
        <v>454</v>
      </c>
      <c r="M598" s="96" t="s">
        <v>338</v>
      </c>
      <c r="N598" s="96" t="s">
        <v>337</v>
      </c>
      <c r="O598" s="96"/>
      <c r="P598" s="100">
        <v>44496</v>
      </c>
      <c r="Q598" s="96" t="s">
        <v>1357</v>
      </c>
      <c r="R598" s="96" t="s">
        <v>414</v>
      </c>
      <c r="S598" s="96" t="s">
        <v>407</v>
      </c>
      <c r="T598" s="96" t="s">
        <v>1200</v>
      </c>
      <c r="U598" s="97">
        <v>6.9</v>
      </c>
      <c r="V598" s="96" t="s">
        <v>3678</v>
      </c>
      <c r="W598" s="98">
        <v>3.1E-2</v>
      </c>
      <c r="X598" s="96"/>
      <c r="Y598" s="96"/>
      <c r="Z598" s="96"/>
      <c r="AA598" s="98">
        <v>6.4199999999999993E-2</v>
      </c>
      <c r="AB598" s="100">
        <v>51677</v>
      </c>
      <c r="AC598" s="96" t="s">
        <v>411</v>
      </c>
      <c r="AD598" s="96"/>
      <c r="AE598" s="96"/>
      <c r="AF598" s="96"/>
      <c r="AG598" s="100">
        <v>45291</v>
      </c>
      <c r="AH598" s="96"/>
      <c r="AI598" s="96"/>
      <c r="AJ598" s="96"/>
      <c r="AK598" s="96" t="s">
        <v>337</v>
      </c>
      <c r="AL598" s="96" t="s">
        <v>887</v>
      </c>
      <c r="AM598" s="96"/>
      <c r="AN598" s="96" t="s">
        <v>890</v>
      </c>
      <c r="AO598" s="100">
        <v>45473</v>
      </c>
      <c r="AP598" s="100">
        <v>45473</v>
      </c>
      <c r="AQ598" s="96"/>
      <c r="AR598" s="97">
        <v>66174.34</v>
      </c>
      <c r="AS598" s="97">
        <v>86.16</v>
      </c>
      <c r="AT598" s="97">
        <v>1</v>
      </c>
      <c r="AU598" s="97">
        <v>57.015810000000002</v>
      </c>
      <c r="AV598" s="97">
        <v>57.015810000000002</v>
      </c>
      <c r="AW598" s="96"/>
      <c r="AX598" s="96"/>
      <c r="AY598" s="96"/>
      <c r="AZ598" s="96"/>
      <c r="BA598" s="98">
        <v>3.7199999999999999E-4</v>
      </c>
      <c r="BB598" s="98">
        <v>2.9E-5</v>
      </c>
      <c r="BC598" s="106"/>
    </row>
    <row r="599" spans="1:55" ht="15" customHeight="1">
      <c r="A599" s="106"/>
      <c r="B599" s="96">
        <v>286</v>
      </c>
      <c r="C599" s="96">
        <v>286</v>
      </c>
      <c r="D599" s="96"/>
      <c r="E599" s="96"/>
      <c r="F599" s="96"/>
      <c r="G599" s="96">
        <v>25000629</v>
      </c>
      <c r="H599" s="96" t="s">
        <v>1013</v>
      </c>
      <c r="I599" s="96"/>
      <c r="J599" s="96" t="s">
        <v>203</v>
      </c>
      <c r="K599" s="96"/>
      <c r="L599" s="96" t="s">
        <v>476</v>
      </c>
      <c r="M599" s="96" t="s">
        <v>338</v>
      </c>
      <c r="N599" s="96" t="s">
        <v>338</v>
      </c>
      <c r="O599" s="96"/>
      <c r="P599" s="100">
        <v>44480</v>
      </c>
      <c r="Q599" s="96" t="s">
        <v>1320</v>
      </c>
      <c r="R599" s="96" t="s">
        <v>412</v>
      </c>
      <c r="S599" s="96" t="s">
        <v>407</v>
      </c>
      <c r="T599" s="96" t="s">
        <v>1200</v>
      </c>
      <c r="U599" s="97">
        <v>1.22</v>
      </c>
      <c r="V599" s="96" t="s">
        <v>3678</v>
      </c>
      <c r="W599" s="98">
        <v>6.7000000000000002E-3</v>
      </c>
      <c r="X599" s="96"/>
      <c r="Y599" s="96"/>
      <c r="Z599" s="96"/>
      <c r="AA599" s="98">
        <v>7.3599999999999999E-2</v>
      </c>
      <c r="AB599" s="100">
        <v>46295</v>
      </c>
      <c r="AC599" s="96" t="s">
        <v>411</v>
      </c>
      <c r="AD599" s="96"/>
      <c r="AE599" s="96"/>
      <c r="AF599" s="96"/>
      <c r="AG599" s="100">
        <v>45158</v>
      </c>
      <c r="AH599" s="96"/>
      <c r="AI599" s="96"/>
      <c r="AJ599" s="96"/>
      <c r="AK599" s="96" t="s">
        <v>337</v>
      </c>
      <c r="AL599" s="96" t="s">
        <v>887</v>
      </c>
      <c r="AM599" s="96"/>
      <c r="AN599" s="96" t="s">
        <v>890</v>
      </c>
      <c r="AO599" s="100">
        <v>45473</v>
      </c>
      <c r="AP599" s="100">
        <v>45473</v>
      </c>
      <c r="AQ599" s="96"/>
      <c r="AR599" s="97">
        <v>115459.3045</v>
      </c>
      <c r="AS599" s="97">
        <v>102.59</v>
      </c>
      <c r="AT599" s="97">
        <v>1</v>
      </c>
      <c r="AU599" s="97">
        <v>118.44970000000001</v>
      </c>
      <c r="AV599" s="97">
        <v>118.44970000000001</v>
      </c>
      <c r="AW599" s="96"/>
      <c r="AX599" s="96"/>
      <c r="AY599" s="96"/>
      <c r="AZ599" s="96"/>
      <c r="BA599" s="98">
        <v>7.7399999999999995E-4</v>
      </c>
      <c r="BB599" s="98">
        <v>6.0999999999999999E-5</v>
      </c>
      <c r="BC599" s="106"/>
    </row>
    <row r="600" spans="1:55" ht="15" customHeight="1">
      <c r="A600" s="106"/>
      <c r="B600" s="96">
        <v>286</v>
      </c>
      <c r="C600" s="96">
        <v>286</v>
      </c>
      <c r="D600" s="96"/>
      <c r="E600" s="96"/>
      <c r="F600" s="96"/>
      <c r="G600" s="96">
        <v>25000617</v>
      </c>
      <c r="H600" s="96" t="s">
        <v>1013</v>
      </c>
      <c r="I600" s="96" t="s">
        <v>785</v>
      </c>
      <c r="J600" s="96" t="s">
        <v>203</v>
      </c>
      <c r="K600" s="96"/>
      <c r="L600" s="96" t="s">
        <v>463</v>
      </c>
      <c r="M600" s="96" t="s">
        <v>338</v>
      </c>
      <c r="N600" s="96" t="s">
        <v>338</v>
      </c>
      <c r="O600" s="96"/>
      <c r="P600" s="100">
        <v>44390</v>
      </c>
      <c r="Q600" s="96" t="s">
        <v>3679</v>
      </c>
      <c r="R600" s="96" t="s">
        <v>311</v>
      </c>
      <c r="S600" s="96" t="s">
        <v>407</v>
      </c>
      <c r="T600" s="96" t="s">
        <v>1200</v>
      </c>
      <c r="U600" s="97">
        <v>7.05</v>
      </c>
      <c r="V600" s="96" t="s">
        <v>3678</v>
      </c>
      <c r="W600" s="98">
        <v>3.9932000000000002E-2</v>
      </c>
      <c r="X600" s="96"/>
      <c r="Y600" s="96"/>
      <c r="Z600" s="96"/>
      <c r="AA600" s="98">
        <v>6.7799999999999999E-2</v>
      </c>
      <c r="AB600" s="100">
        <v>51732</v>
      </c>
      <c r="AC600" s="96" t="s">
        <v>411</v>
      </c>
      <c r="AD600" s="96"/>
      <c r="AE600" s="96"/>
      <c r="AF600" s="96"/>
      <c r="AG600" s="100">
        <v>44926</v>
      </c>
      <c r="AH600" s="96"/>
      <c r="AI600" s="96"/>
      <c r="AJ600" s="96"/>
      <c r="AK600" s="96" t="s">
        <v>337</v>
      </c>
      <c r="AL600" s="96" t="s">
        <v>887</v>
      </c>
      <c r="AM600" s="96"/>
      <c r="AN600" s="96" t="s">
        <v>890</v>
      </c>
      <c r="AO600" s="100">
        <v>45473</v>
      </c>
      <c r="AP600" s="100">
        <v>45473</v>
      </c>
      <c r="AQ600" s="96"/>
      <c r="AR600" s="97">
        <v>10817.954857999999</v>
      </c>
      <c r="AS600" s="97">
        <v>92.92</v>
      </c>
      <c r="AT600" s="97">
        <v>1</v>
      </c>
      <c r="AU600" s="97">
        <v>10.052042999999999</v>
      </c>
      <c r="AV600" s="97">
        <v>10.052042999999999</v>
      </c>
      <c r="AW600" s="96"/>
      <c r="AX600" s="96"/>
      <c r="AY600" s="96"/>
      <c r="AZ600" s="96"/>
      <c r="BA600" s="98">
        <v>6.4999999999999994E-5</v>
      </c>
      <c r="BB600" s="98">
        <v>5.0000000000000004E-6</v>
      </c>
      <c r="BC600" s="106"/>
    </row>
    <row r="601" spans="1:55" ht="15" customHeight="1">
      <c r="A601" s="106"/>
      <c r="B601" s="96">
        <v>286</v>
      </c>
      <c r="C601" s="96">
        <v>286</v>
      </c>
      <c r="D601" s="96"/>
      <c r="E601" s="96"/>
      <c r="F601" s="96"/>
      <c r="G601" s="96">
        <v>25000625</v>
      </c>
      <c r="H601" s="96" t="s">
        <v>1013</v>
      </c>
      <c r="I601" s="96"/>
      <c r="J601" s="96" t="s">
        <v>203</v>
      </c>
      <c r="K601" s="96"/>
      <c r="L601" s="96" t="s">
        <v>476</v>
      </c>
      <c r="M601" s="96" t="s">
        <v>338</v>
      </c>
      <c r="N601" s="96" t="s">
        <v>338</v>
      </c>
      <c r="O601" s="96"/>
      <c r="P601" s="100">
        <v>44452</v>
      </c>
      <c r="Q601" s="96" t="s">
        <v>3681</v>
      </c>
      <c r="R601" s="96" t="s">
        <v>311</v>
      </c>
      <c r="S601" s="96" t="s">
        <v>407</v>
      </c>
      <c r="T601" s="96" t="s">
        <v>1200</v>
      </c>
      <c r="U601" s="97">
        <v>0.48</v>
      </c>
      <c r="V601" s="96" t="s">
        <v>3678</v>
      </c>
      <c r="W601" s="98">
        <v>1.1999999999999999E-3</v>
      </c>
      <c r="X601" s="96"/>
      <c r="Y601" s="96"/>
      <c r="Z601" s="96"/>
      <c r="AA601" s="98">
        <v>2.7300000000000001E-2</v>
      </c>
      <c r="AB601" s="100">
        <v>45670</v>
      </c>
      <c r="AC601" s="96" t="s">
        <v>411</v>
      </c>
      <c r="AD601" s="96"/>
      <c r="AE601" s="96"/>
      <c r="AF601" s="96"/>
      <c r="AG601" s="100">
        <v>45173</v>
      </c>
      <c r="AH601" s="96"/>
      <c r="AI601" s="96"/>
      <c r="AJ601" s="96"/>
      <c r="AK601" s="96" t="s">
        <v>337</v>
      </c>
      <c r="AL601" s="96" t="s">
        <v>887</v>
      </c>
      <c r="AM601" s="96"/>
      <c r="AN601" s="96" t="s">
        <v>890</v>
      </c>
      <c r="AO601" s="100">
        <v>45473</v>
      </c>
      <c r="AP601" s="100">
        <v>45473</v>
      </c>
      <c r="AQ601" s="96"/>
      <c r="AR601" s="97">
        <v>60733.858204999997</v>
      </c>
      <c r="AS601" s="97">
        <v>110.17</v>
      </c>
      <c r="AT601" s="97">
        <v>1</v>
      </c>
      <c r="AU601" s="97">
        <v>66.910490999999993</v>
      </c>
      <c r="AV601" s="97">
        <v>66.910490999999993</v>
      </c>
      <c r="AW601" s="96"/>
      <c r="AX601" s="96"/>
      <c r="AY601" s="96"/>
      <c r="AZ601" s="96"/>
      <c r="BA601" s="98">
        <v>4.37E-4</v>
      </c>
      <c r="BB601" s="98">
        <v>3.4E-5</v>
      </c>
      <c r="BC601" s="106"/>
    </row>
    <row r="602" spans="1:55" ht="15" customHeight="1">
      <c r="A602" s="106"/>
      <c r="B602" s="96">
        <v>286</v>
      </c>
      <c r="C602" s="96">
        <v>286</v>
      </c>
      <c r="D602" s="96"/>
      <c r="E602" s="96"/>
      <c r="F602" s="96"/>
      <c r="G602" s="96">
        <v>25000661</v>
      </c>
      <c r="H602" s="96" t="s">
        <v>1013</v>
      </c>
      <c r="I602" s="96" t="s">
        <v>3684</v>
      </c>
      <c r="J602" s="96" t="s">
        <v>203</v>
      </c>
      <c r="K602" s="96"/>
      <c r="L602" s="96" t="s">
        <v>446</v>
      </c>
      <c r="M602" s="96" t="s">
        <v>338</v>
      </c>
      <c r="N602" s="96" t="s">
        <v>338</v>
      </c>
      <c r="O602" s="96"/>
      <c r="P602" s="100">
        <v>44689</v>
      </c>
      <c r="Q602" s="96" t="s">
        <v>1208</v>
      </c>
      <c r="R602" s="96" t="s">
        <v>311</v>
      </c>
      <c r="S602" s="96" t="s">
        <v>407</v>
      </c>
      <c r="T602" s="96" t="s">
        <v>1200</v>
      </c>
      <c r="U602" s="97">
        <v>2.78</v>
      </c>
      <c r="V602" s="96" t="s">
        <v>824</v>
      </c>
      <c r="W602" s="98">
        <v>6.3E-2</v>
      </c>
      <c r="X602" s="96"/>
      <c r="Y602" s="96"/>
      <c r="Z602" s="96"/>
      <c r="AA602" s="98">
        <v>6.1499999999999999E-2</v>
      </c>
      <c r="AB602" s="100">
        <v>47611</v>
      </c>
      <c r="AC602" s="96" t="s">
        <v>411</v>
      </c>
      <c r="AD602" s="96"/>
      <c r="AE602" s="96"/>
      <c r="AF602" s="96"/>
      <c r="AG602" s="100">
        <v>45057</v>
      </c>
      <c r="AH602" s="96"/>
      <c r="AI602" s="96"/>
      <c r="AJ602" s="96"/>
      <c r="AK602" s="96" t="s">
        <v>337</v>
      </c>
      <c r="AL602" s="96" t="s">
        <v>887</v>
      </c>
      <c r="AM602" s="96"/>
      <c r="AN602" s="96" t="s">
        <v>890</v>
      </c>
      <c r="AO602" s="100">
        <v>45473</v>
      </c>
      <c r="AP602" s="100">
        <v>45473</v>
      </c>
      <c r="AQ602" s="96"/>
      <c r="AR602" s="97">
        <v>912047.24431700003</v>
      </c>
      <c r="AS602" s="97">
        <v>101.24</v>
      </c>
      <c r="AT602" s="97">
        <v>1</v>
      </c>
      <c r="AU602" s="97">
        <v>923.35663</v>
      </c>
      <c r="AV602" s="97">
        <v>923.35663</v>
      </c>
      <c r="AW602" s="96"/>
      <c r="AX602" s="96"/>
      <c r="AY602" s="96"/>
      <c r="AZ602" s="96"/>
      <c r="BA602" s="98">
        <v>6.0330000000000002E-3</v>
      </c>
      <c r="BB602" s="98">
        <v>4.8000000000000001E-4</v>
      </c>
      <c r="BC602" s="106"/>
    </row>
    <row r="603" spans="1:55" ht="15" customHeight="1">
      <c r="A603" s="106"/>
      <c r="B603" s="96">
        <v>286</v>
      </c>
      <c r="C603" s="96">
        <v>286</v>
      </c>
      <c r="D603" s="96"/>
      <c r="E603" s="96"/>
      <c r="F603" s="96"/>
      <c r="G603" s="96">
        <v>25000664</v>
      </c>
      <c r="H603" s="96" t="s">
        <v>1013</v>
      </c>
      <c r="I603" s="96"/>
      <c r="J603" s="96" t="s">
        <v>203</v>
      </c>
      <c r="K603" s="96"/>
      <c r="L603" s="96" t="s">
        <v>477</v>
      </c>
      <c r="M603" s="96" t="s">
        <v>338</v>
      </c>
      <c r="N603" s="96" t="s">
        <v>338</v>
      </c>
      <c r="O603" s="96"/>
      <c r="P603" s="100">
        <v>44679</v>
      </c>
      <c r="Q603" s="96" t="s">
        <v>409</v>
      </c>
      <c r="R603" s="96" t="s">
        <v>409</v>
      </c>
      <c r="S603" s="96" t="s">
        <v>409</v>
      </c>
      <c r="T603" s="96" t="s">
        <v>1200</v>
      </c>
      <c r="U603" s="97">
        <v>1.25</v>
      </c>
      <c r="V603" s="96" t="s">
        <v>3678</v>
      </c>
      <c r="W603" s="98">
        <v>8.7999999999999995E-2</v>
      </c>
      <c r="X603" s="96"/>
      <c r="Y603" s="96"/>
      <c r="Z603" s="96"/>
      <c r="AA603" s="98">
        <v>8.6900000000000005E-2</v>
      </c>
      <c r="AB603" s="100">
        <v>47756</v>
      </c>
      <c r="AC603" s="96" t="s">
        <v>411</v>
      </c>
      <c r="AD603" s="96"/>
      <c r="AE603" s="96"/>
      <c r="AF603" s="96"/>
      <c r="AG603" s="100">
        <v>44679</v>
      </c>
      <c r="AH603" s="96"/>
      <c r="AI603" s="96"/>
      <c r="AJ603" s="96"/>
      <c r="AK603" s="96" t="s">
        <v>337</v>
      </c>
      <c r="AL603" s="96" t="s">
        <v>887</v>
      </c>
      <c r="AM603" s="96"/>
      <c r="AN603" s="96" t="s">
        <v>890</v>
      </c>
      <c r="AO603" s="100">
        <v>45473</v>
      </c>
      <c r="AP603" s="100">
        <v>45473</v>
      </c>
      <c r="AQ603" s="96"/>
      <c r="AR603" s="97">
        <v>276817.95274899999</v>
      </c>
      <c r="AS603" s="97">
        <v>111.35</v>
      </c>
      <c r="AT603" s="97">
        <v>1</v>
      </c>
      <c r="AU603" s="97">
        <v>308.23678999999998</v>
      </c>
      <c r="AV603" s="97">
        <v>308.23678999999998</v>
      </c>
      <c r="AW603" s="96"/>
      <c r="AX603" s="96"/>
      <c r="AY603" s="96"/>
      <c r="AZ603" s="96"/>
      <c r="BA603" s="98">
        <v>2.0140000000000002E-3</v>
      </c>
      <c r="BB603" s="98">
        <v>1.6000000000000001E-4</v>
      </c>
      <c r="BC603" s="106"/>
    </row>
    <row r="604" spans="1:55" ht="15" customHeight="1">
      <c r="A604" s="106"/>
      <c r="B604" s="96">
        <v>286</v>
      </c>
      <c r="C604" s="96">
        <v>286</v>
      </c>
      <c r="D604" s="96"/>
      <c r="E604" s="96"/>
      <c r="F604" s="96"/>
      <c r="G604" s="96">
        <v>25000705</v>
      </c>
      <c r="H604" s="96" t="s">
        <v>1013</v>
      </c>
      <c r="I604" s="96" t="s">
        <v>806</v>
      </c>
      <c r="J604" s="96" t="s">
        <v>203</v>
      </c>
      <c r="K604" s="96"/>
      <c r="L604" s="96" t="s">
        <v>446</v>
      </c>
      <c r="M604" s="96" t="s">
        <v>338</v>
      </c>
      <c r="N604" s="96" t="s">
        <v>338</v>
      </c>
      <c r="O604" s="96"/>
      <c r="P604" s="100">
        <v>44712</v>
      </c>
      <c r="Q604" s="96" t="s">
        <v>3679</v>
      </c>
      <c r="R604" s="96" t="s">
        <v>311</v>
      </c>
      <c r="S604" s="96" t="s">
        <v>407</v>
      </c>
      <c r="T604" s="96" t="s">
        <v>1200</v>
      </c>
      <c r="U604" s="97">
        <v>0.01</v>
      </c>
      <c r="V604" s="96" t="s">
        <v>824</v>
      </c>
      <c r="W604" s="98">
        <v>6.8000000000000005E-2</v>
      </c>
      <c r="X604" s="96"/>
      <c r="Y604" s="96"/>
      <c r="Z604" s="96"/>
      <c r="AA604" s="98">
        <v>6.2799999999999995E-2</v>
      </c>
      <c r="AB604" s="100">
        <v>45476</v>
      </c>
      <c r="AC604" s="96" t="s">
        <v>411</v>
      </c>
      <c r="AD604" s="96"/>
      <c r="AE604" s="96"/>
      <c r="AF604" s="96"/>
      <c r="AG604" s="100">
        <v>45084</v>
      </c>
      <c r="AH604" s="96"/>
      <c r="AI604" s="96"/>
      <c r="AJ604" s="96"/>
      <c r="AK604" s="96" t="s">
        <v>337</v>
      </c>
      <c r="AL604" s="96" t="s">
        <v>887</v>
      </c>
      <c r="AM604" s="96"/>
      <c r="AN604" s="96" t="s">
        <v>890</v>
      </c>
      <c r="AO604" s="100">
        <v>45473</v>
      </c>
      <c r="AP604" s="100">
        <v>45473</v>
      </c>
      <c r="AQ604" s="96"/>
      <c r="AR604" s="97">
        <v>386072.06164299999</v>
      </c>
      <c r="AS604" s="97">
        <v>100.58</v>
      </c>
      <c r="AT604" s="97">
        <v>1</v>
      </c>
      <c r="AU604" s="97">
        <v>388.31127900000001</v>
      </c>
      <c r="AV604" s="97">
        <v>388.31127900000001</v>
      </c>
      <c r="AW604" s="96"/>
      <c r="AX604" s="96"/>
      <c r="AY604" s="96"/>
      <c r="AZ604" s="96"/>
      <c r="BA604" s="98">
        <v>2.5370000000000002E-3</v>
      </c>
      <c r="BB604" s="98">
        <v>2.02E-4</v>
      </c>
      <c r="BC604" s="106"/>
    </row>
    <row r="605" spans="1:55" ht="15" customHeight="1">
      <c r="A605" s="106"/>
      <c r="B605" s="96">
        <v>286</v>
      </c>
      <c r="C605" s="96">
        <v>286</v>
      </c>
      <c r="D605" s="96"/>
      <c r="E605" s="96"/>
      <c r="F605" s="96"/>
      <c r="G605" s="96">
        <v>25000704</v>
      </c>
      <c r="H605" s="96" t="s">
        <v>1013</v>
      </c>
      <c r="I605" s="96" t="s">
        <v>806</v>
      </c>
      <c r="J605" s="96" t="s">
        <v>203</v>
      </c>
      <c r="K605" s="96"/>
      <c r="L605" s="96" t="s">
        <v>446</v>
      </c>
      <c r="M605" s="96" t="s">
        <v>338</v>
      </c>
      <c r="N605" s="96" t="s">
        <v>338</v>
      </c>
      <c r="O605" s="96"/>
      <c r="P605" s="100">
        <v>44712</v>
      </c>
      <c r="Q605" s="96" t="s">
        <v>3679</v>
      </c>
      <c r="R605" s="96" t="s">
        <v>311</v>
      </c>
      <c r="S605" s="96" t="s">
        <v>407</v>
      </c>
      <c r="T605" s="96" t="s">
        <v>1200</v>
      </c>
      <c r="U605" s="97">
        <v>0.01</v>
      </c>
      <c r="V605" s="96" t="s">
        <v>824</v>
      </c>
      <c r="W605" s="98">
        <v>6.8000000000000005E-2</v>
      </c>
      <c r="X605" s="96"/>
      <c r="Y605" s="96"/>
      <c r="Z605" s="96"/>
      <c r="AA605" s="98">
        <v>6.2799999999999995E-2</v>
      </c>
      <c r="AB605" s="100">
        <v>45476</v>
      </c>
      <c r="AC605" s="96" t="s">
        <v>411</v>
      </c>
      <c r="AD605" s="96"/>
      <c r="AE605" s="96"/>
      <c r="AF605" s="96"/>
      <c r="AG605" s="100">
        <v>45084</v>
      </c>
      <c r="AH605" s="96"/>
      <c r="AI605" s="96"/>
      <c r="AJ605" s="96"/>
      <c r="AK605" s="96" t="s">
        <v>337</v>
      </c>
      <c r="AL605" s="96" t="s">
        <v>887</v>
      </c>
      <c r="AM605" s="96"/>
      <c r="AN605" s="96" t="s">
        <v>890</v>
      </c>
      <c r="AO605" s="100">
        <v>45473</v>
      </c>
      <c r="AP605" s="100">
        <v>45473</v>
      </c>
      <c r="AQ605" s="96"/>
      <c r="AR605" s="97">
        <v>630867.186521</v>
      </c>
      <c r="AS605" s="97">
        <v>100.58</v>
      </c>
      <c r="AT605" s="97">
        <v>1</v>
      </c>
      <c r="AU605" s="97">
        <v>634.52621599999998</v>
      </c>
      <c r="AV605" s="97">
        <v>634.52621599999998</v>
      </c>
      <c r="AW605" s="96"/>
      <c r="AX605" s="96"/>
      <c r="AY605" s="96"/>
      <c r="AZ605" s="96"/>
      <c r="BA605" s="98">
        <v>4.1460000000000004E-3</v>
      </c>
      <c r="BB605" s="98">
        <v>3.3E-4</v>
      </c>
      <c r="BC605" s="106"/>
    </row>
    <row r="606" spans="1:55" ht="15" customHeight="1">
      <c r="A606" s="106"/>
      <c r="B606" s="96">
        <v>286</v>
      </c>
      <c r="C606" s="96">
        <v>286</v>
      </c>
      <c r="D606" s="96"/>
      <c r="E606" s="96"/>
      <c r="F606" s="96"/>
      <c r="G606" s="96">
        <v>25000585</v>
      </c>
      <c r="H606" s="96" t="s">
        <v>1013</v>
      </c>
      <c r="I606" s="96" t="s">
        <v>813</v>
      </c>
      <c r="J606" s="96" t="s">
        <v>203</v>
      </c>
      <c r="K606" s="96"/>
      <c r="L606" s="96" t="s">
        <v>470</v>
      </c>
      <c r="M606" s="96" t="s">
        <v>338</v>
      </c>
      <c r="N606" s="96" t="s">
        <v>337</v>
      </c>
      <c r="O606" s="96"/>
      <c r="P606" s="100">
        <v>44230</v>
      </c>
      <c r="Q606" s="96" t="s">
        <v>1520</v>
      </c>
      <c r="R606" s="96" t="s">
        <v>414</v>
      </c>
      <c r="S606" s="96" t="s">
        <v>407</v>
      </c>
      <c r="T606" s="96" t="s">
        <v>1200</v>
      </c>
      <c r="U606" s="97">
        <v>4.22</v>
      </c>
      <c r="V606" s="96" t="s">
        <v>3678</v>
      </c>
      <c r="W606" s="98">
        <v>7.9209999999999992E-3</v>
      </c>
      <c r="X606" s="96"/>
      <c r="Y606" s="96"/>
      <c r="Z606" s="96"/>
      <c r="AA606" s="98">
        <v>3.3599999999999998E-2</v>
      </c>
      <c r="AB606" s="100">
        <v>48852</v>
      </c>
      <c r="AC606" s="96" t="s">
        <v>411</v>
      </c>
      <c r="AD606" s="96"/>
      <c r="AE606" s="96"/>
      <c r="AF606" s="96"/>
      <c r="AG606" s="100">
        <v>45291</v>
      </c>
      <c r="AH606" s="96"/>
      <c r="AI606" s="96"/>
      <c r="AJ606" s="96"/>
      <c r="AK606" s="96" t="s">
        <v>337</v>
      </c>
      <c r="AL606" s="96" t="s">
        <v>887</v>
      </c>
      <c r="AM606" s="96"/>
      <c r="AN606" s="96" t="s">
        <v>890</v>
      </c>
      <c r="AO606" s="100">
        <v>45473</v>
      </c>
      <c r="AP606" s="100">
        <v>45473</v>
      </c>
      <c r="AQ606" s="96"/>
      <c r="AR606" s="97">
        <v>26717.414121000002</v>
      </c>
      <c r="AS606" s="97">
        <v>101.98</v>
      </c>
      <c r="AT606" s="97">
        <v>1</v>
      </c>
      <c r="AU606" s="97">
        <v>27.246417999999998</v>
      </c>
      <c r="AV606" s="97">
        <v>27.246417999999998</v>
      </c>
      <c r="AW606" s="96"/>
      <c r="AX606" s="96"/>
      <c r="AY606" s="96"/>
      <c r="AZ606" s="96"/>
      <c r="BA606" s="98">
        <v>1.7799999999999999E-4</v>
      </c>
      <c r="BB606" s="98">
        <v>1.4E-5</v>
      </c>
      <c r="BC606" s="106"/>
    </row>
    <row r="607" spans="1:55" ht="15" customHeight="1">
      <c r="A607" s="106"/>
      <c r="B607" s="96">
        <v>286</v>
      </c>
      <c r="C607" s="96">
        <v>286</v>
      </c>
      <c r="D607" s="96"/>
      <c r="E607" s="96"/>
      <c r="F607" s="96"/>
      <c r="G607" s="96">
        <v>25000591</v>
      </c>
      <c r="H607" s="96" t="s">
        <v>1013</v>
      </c>
      <c r="I607" s="96" t="s">
        <v>812</v>
      </c>
      <c r="J607" s="96" t="s">
        <v>203</v>
      </c>
      <c r="K607" s="96"/>
      <c r="L607" s="96" t="s">
        <v>454</v>
      </c>
      <c r="M607" s="96" t="s">
        <v>338</v>
      </c>
      <c r="N607" s="96" t="s">
        <v>337</v>
      </c>
      <c r="O607" s="96"/>
      <c r="P607" s="100">
        <v>44290</v>
      </c>
      <c r="Q607" s="96" t="s">
        <v>1357</v>
      </c>
      <c r="R607" s="96" t="s">
        <v>414</v>
      </c>
      <c r="S607" s="96" t="s">
        <v>407</v>
      </c>
      <c r="T607" s="96" t="s">
        <v>1200</v>
      </c>
      <c r="U607" s="97">
        <v>7.2</v>
      </c>
      <c r="V607" s="96" t="s">
        <v>3678</v>
      </c>
      <c r="W607" s="98">
        <v>3.1E-2</v>
      </c>
      <c r="X607" s="96"/>
      <c r="Y607" s="96"/>
      <c r="Z607" s="96"/>
      <c r="AA607" s="98">
        <v>4.9799999999999997E-2</v>
      </c>
      <c r="AB607" s="100">
        <v>51677</v>
      </c>
      <c r="AC607" s="96" t="s">
        <v>411</v>
      </c>
      <c r="AD607" s="96"/>
      <c r="AE607" s="96"/>
      <c r="AF607" s="96"/>
      <c r="AG607" s="100">
        <v>45291</v>
      </c>
      <c r="AH607" s="96"/>
      <c r="AI607" s="96"/>
      <c r="AJ607" s="96"/>
      <c r="AK607" s="96" t="s">
        <v>337</v>
      </c>
      <c r="AL607" s="96" t="s">
        <v>887</v>
      </c>
      <c r="AM607" s="96"/>
      <c r="AN607" s="96" t="s">
        <v>890</v>
      </c>
      <c r="AO607" s="100">
        <v>45473</v>
      </c>
      <c r="AP607" s="100">
        <v>45473</v>
      </c>
      <c r="AQ607" s="96"/>
      <c r="AR607" s="97">
        <v>59067.93</v>
      </c>
      <c r="AS607" s="97">
        <v>97.06</v>
      </c>
      <c r="AT607" s="97">
        <v>1</v>
      </c>
      <c r="AU607" s="97">
        <v>57.331330000000001</v>
      </c>
      <c r="AV607" s="97">
        <v>57.331330000000001</v>
      </c>
      <c r="AW607" s="96"/>
      <c r="AX607" s="96"/>
      <c r="AY607" s="96"/>
      <c r="AZ607" s="96"/>
      <c r="BA607" s="98">
        <v>3.7399999999999998E-4</v>
      </c>
      <c r="BB607" s="98">
        <v>2.9E-5</v>
      </c>
      <c r="BC607" s="106"/>
    </row>
    <row r="608" spans="1:55" ht="15" customHeight="1">
      <c r="A608" s="106"/>
      <c r="B608" s="96">
        <v>286</v>
      </c>
      <c r="C608" s="96">
        <v>286</v>
      </c>
      <c r="D608" s="96"/>
      <c r="E608" s="96"/>
      <c r="F608" s="96"/>
      <c r="G608" s="96">
        <v>25000594</v>
      </c>
      <c r="H608" s="96" t="s">
        <v>1013</v>
      </c>
      <c r="I608" s="96"/>
      <c r="J608" s="96" t="s">
        <v>203</v>
      </c>
      <c r="K608" s="96"/>
      <c r="L608" s="96" t="s">
        <v>477</v>
      </c>
      <c r="M608" s="96" t="s">
        <v>338</v>
      </c>
      <c r="N608" s="96" t="s">
        <v>338</v>
      </c>
      <c r="O608" s="96"/>
      <c r="P608" s="100">
        <v>44314</v>
      </c>
      <c r="Q608" s="96" t="s">
        <v>409</v>
      </c>
      <c r="R608" s="96" t="s">
        <v>409</v>
      </c>
      <c r="S608" s="96" t="s">
        <v>409</v>
      </c>
      <c r="T608" s="96" t="s">
        <v>1200</v>
      </c>
      <c r="U608" s="97">
        <v>1.27</v>
      </c>
      <c r="V608" s="96" t="s">
        <v>3678</v>
      </c>
      <c r="W608" s="98">
        <v>4.6699999999999998E-2</v>
      </c>
      <c r="X608" s="96"/>
      <c r="Y608" s="96"/>
      <c r="Z608" s="96"/>
      <c r="AA608" s="98">
        <v>6.7900000000000002E-2</v>
      </c>
      <c r="AB608" s="100">
        <v>47391</v>
      </c>
      <c r="AC608" s="96" t="s">
        <v>411</v>
      </c>
      <c r="AD608" s="96"/>
      <c r="AE608" s="96"/>
      <c r="AF608" s="96"/>
      <c r="AG608" s="100">
        <v>44314</v>
      </c>
      <c r="AH608" s="96"/>
      <c r="AI608" s="96"/>
      <c r="AJ608" s="96"/>
      <c r="AK608" s="96" t="s">
        <v>337</v>
      </c>
      <c r="AL608" s="96" t="s">
        <v>887</v>
      </c>
      <c r="AM608" s="96"/>
      <c r="AN608" s="96" t="s">
        <v>890</v>
      </c>
      <c r="AO608" s="100">
        <v>45473</v>
      </c>
      <c r="AP608" s="100">
        <v>45473</v>
      </c>
      <c r="AQ608" s="96"/>
      <c r="AR608" s="97">
        <v>153780.341082</v>
      </c>
      <c r="AS608" s="97">
        <v>116.93</v>
      </c>
      <c r="AT608" s="97">
        <v>1</v>
      </c>
      <c r="AU608" s="97">
        <v>179.81535199999999</v>
      </c>
      <c r="AV608" s="97">
        <v>179.81535199999999</v>
      </c>
      <c r="AW608" s="96"/>
      <c r="AX608" s="96"/>
      <c r="AY608" s="96"/>
      <c r="AZ608" s="96"/>
      <c r="BA608" s="98">
        <v>1.175E-3</v>
      </c>
      <c r="BB608" s="98">
        <v>9.2999999999999997E-5</v>
      </c>
      <c r="BC608" s="106"/>
    </row>
    <row r="609" spans="1:55" ht="15" customHeight="1">
      <c r="A609" s="106"/>
      <c r="B609" s="96">
        <v>286</v>
      </c>
      <c r="C609" s="96">
        <v>286</v>
      </c>
      <c r="D609" s="96"/>
      <c r="E609" s="96"/>
      <c r="F609" s="96"/>
      <c r="G609" s="96">
        <v>25000595</v>
      </c>
      <c r="H609" s="96" t="s">
        <v>1013</v>
      </c>
      <c r="I609" s="96"/>
      <c r="J609" s="96" t="s">
        <v>203</v>
      </c>
      <c r="K609" s="96"/>
      <c r="L609" s="96" t="s">
        <v>461</v>
      </c>
      <c r="M609" s="96" t="s">
        <v>338</v>
      </c>
      <c r="N609" s="96" t="s">
        <v>338</v>
      </c>
      <c r="O609" s="96"/>
      <c r="P609" s="100">
        <v>44315</v>
      </c>
      <c r="Q609" s="96" t="s">
        <v>3685</v>
      </c>
      <c r="R609" s="96" t="s">
        <v>311</v>
      </c>
      <c r="S609" s="96" t="s">
        <v>407</v>
      </c>
      <c r="T609" s="96" t="s">
        <v>1200</v>
      </c>
      <c r="U609" s="97">
        <v>0.45</v>
      </c>
      <c r="V609" s="96" t="s">
        <v>3678</v>
      </c>
      <c r="W609" s="98">
        <v>3.5999999999999999E-3</v>
      </c>
      <c r="X609" s="96"/>
      <c r="Y609" s="96"/>
      <c r="Z609" s="96"/>
      <c r="AA609" s="98">
        <v>2.7E-2</v>
      </c>
      <c r="AB609" s="100">
        <v>45776</v>
      </c>
      <c r="AC609" s="96" t="s">
        <v>411</v>
      </c>
      <c r="AD609" s="96"/>
      <c r="AE609" s="96"/>
      <c r="AF609" s="96"/>
      <c r="AG609" s="100"/>
      <c r="AH609" s="96"/>
      <c r="AI609" s="96"/>
      <c r="AJ609" s="96"/>
      <c r="AK609" s="96" t="s">
        <v>337</v>
      </c>
      <c r="AL609" s="96" t="s">
        <v>887</v>
      </c>
      <c r="AM609" s="96"/>
      <c r="AN609" s="96" t="s">
        <v>890</v>
      </c>
      <c r="AO609" s="100">
        <v>45473</v>
      </c>
      <c r="AP609" s="100">
        <v>45473</v>
      </c>
      <c r="AQ609" s="96"/>
      <c r="AR609" s="97">
        <v>85202.907334000003</v>
      </c>
      <c r="AS609" s="97">
        <v>111.63</v>
      </c>
      <c r="AT609" s="97">
        <v>1</v>
      </c>
      <c r="AU609" s="97">
        <v>95.112004999999996</v>
      </c>
      <c r="AV609" s="97">
        <v>95.112004999999996</v>
      </c>
      <c r="AW609" s="96"/>
      <c r="AX609" s="96"/>
      <c r="AY609" s="96"/>
      <c r="AZ609" s="96"/>
      <c r="BA609" s="98">
        <v>6.2100000000000002E-4</v>
      </c>
      <c r="BB609" s="98">
        <v>4.8999999999999998E-5</v>
      </c>
      <c r="BC609" s="106"/>
    </row>
    <row r="610" spans="1:55" ht="15" customHeight="1">
      <c r="A610" s="106"/>
      <c r="B610" s="96">
        <v>286</v>
      </c>
      <c r="C610" s="96">
        <v>286</v>
      </c>
      <c r="D610" s="96"/>
      <c r="E610" s="96"/>
      <c r="F610" s="96"/>
      <c r="G610" s="96">
        <v>25000596</v>
      </c>
      <c r="H610" s="96" t="s">
        <v>1013</v>
      </c>
      <c r="I610" s="96" t="s">
        <v>785</v>
      </c>
      <c r="J610" s="96" t="s">
        <v>203</v>
      </c>
      <c r="K610" s="96"/>
      <c r="L610" s="96" t="s">
        <v>463</v>
      </c>
      <c r="M610" s="96" t="s">
        <v>338</v>
      </c>
      <c r="N610" s="96" t="s">
        <v>338</v>
      </c>
      <c r="O610" s="96"/>
      <c r="P610" s="100">
        <v>44334</v>
      </c>
      <c r="Q610" s="96" t="s">
        <v>3679</v>
      </c>
      <c r="R610" s="96" t="s">
        <v>311</v>
      </c>
      <c r="S610" s="96" t="s">
        <v>407</v>
      </c>
      <c r="T610" s="96" t="s">
        <v>1200</v>
      </c>
      <c r="U610" s="97">
        <v>7.04</v>
      </c>
      <c r="V610" s="96" t="s">
        <v>3678</v>
      </c>
      <c r="W610" s="98">
        <v>3.9932000000000002E-2</v>
      </c>
      <c r="X610" s="96"/>
      <c r="Y610" s="96"/>
      <c r="Z610" s="96"/>
      <c r="AA610" s="98">
        <v>6.83E-2</v>
      </c>
      <c r="AB610" s="100">
        <v>51732</v>
      </c>
      <c r="AC610" s="96" t="s">
        <v>411</v>
      </c>
      <c r="AD610" s="96"/>
      <c r="AE610" s="96"/>
      <c r="AF610" s="96"/>
      <c r="AG610" s="100">
        <v>44926</v>
      </c>
      <c r="AH610" s="96"/>
      <c r="AI610" s="96"/>
      <c r="AJ610" s="96"/>
      <c r="AK610" s="96" t="s">
        <v>337</v>
      </c>
      <c r="AL610" s="96" t="s">
        <v>887</v>
      </c>
      <c r="AM610" s="96"/>
      <c r="AN610" s="96" t="s">
        <v>890</v>
      </c>
      <c r="AO610" s="100">
        <v>45473</v>
      </c>
      <c r="AP610" s="100">
        <v>45473</v>
      </c>
      <c r="AQ610" s="96"/>
      <c r="AR610" s="97">
        <v>216319.27880599999</v>
      </c>
      <c r="AS610" s="97">
        <v>92.97</v>
      </c>
      <c r="AT610" s="97">
        <v>1</v>
      </c>
      <c r="AU610" s="97">
        <v>201.112033</v>
      </c>
      <c r="AV610" s="97">
        <v>201.112033</v>
      </c>
      <c r="AW610" s="96"/>
      <c r="AX610" s="96"/>
      <c r="AY610" s="96"/>
      <c r="AZ610" s="96"/>
      <c r="BA610" s="98">
        <v>1.3140000000000001E-3</v>
      </c>
      <c r="BB610" s="98">
        <v>1.0399999999999999E-4</v>
      </c>
      <c r="BC610" s="106"/>
    </row>
    <row r="611" spans="1:55" ht="15" customHeight="1">
      <c r="A611" s="106"/>
      <c r="B611" s="96">
        <v>286</v>
      </c>
      <c r="C611" s="96">
        <v>286</v>
      </c>
      <c r="D611" s="96"/>
      <c r="E611" s="96"/>
      <c r="F611" s="96"/>
      <c r="G611" s="96">
        <v>25000607</v>
      </c>
      <c r="H611" s="96" t="s">
        <v>1013</v>
      </c>
      <c r="I611" s="96" t="s">
        <v>812</v>
      </c>
      <c r="J611" s="96" t="s">
        <v>203</v>
      </c>
      <c r="K611" s="96"/>
      <c r="L611" s="96" t="s">
        <v>463</v>
      </c>
      <c r="M611" s="96" t="s">
        <v>338</v>
      </c>
      <c r="N611" s="96" t="s">
        <v>337</v>
      </c>
      <c r="O611" s="96"/>
      <c r="P611" s="100">
        <v>44376</v>
      </c>
      <c r="Q611" s="96" t="s">
        <v>1320</v>
      </c>
      <c r="R611" s="96" t="s">
        <v>412</v>
      </c>
      <c r="S611" s="96" t="s">
        <v>407</v>
      </c>
      <c r="T611" s="96" t="s">
        <v>1200</v>
      </c>
      <c r="U611" s="97">
        <v>8.5</v>
      </c>
      <c r="V611" s="96" t="s">
        <v>824</v>
      </c>
      <c r="W611" s="98">
        <v>7.1499999999999994E-2</v>
      </c>
      <c r="X611" s="96"/>
      <c r="Y611" s="96"/>
      <c r="Z611" s="96"/>
      <c r="AA611" s="98">
        <v>7.7399999999999997E-2</v>
      </c>
      <c r="AB611" s="100">
        <v>52962</v>
      </c>
      <c r="AC611" s="96" t="s">
        <v>411</v>
      </c>
      <c r="AD611" s="96"/>
      <c r="AE611" s="96"/>
      <c r="AF611" s="96"/>
      <c r="AG611" s="100">
        <v>45291</v>
      </c>
      <c r="AH611" s="96"/>
      <c r="AI611" s="96"/>
      <c r="AJ611" s="96"/>
      <c r="AK611" s="96" t="s">
        <v>337</v>
      </c>
      <c r="AL611" s="96" t="s">
        <v>887</v>
      </c>
      <c r="AM611" s="96"/>
      <c r="AN611" s="96" t="s">
        <v>890</v>
      </c>
      <c r="AO611" s="100">
        <v>45473</v>
      </c>
      <c r="AP611" s="100">
        <v>45473</v>
      </c>
      <c r="AQ611" s="96"/>
      <c r="AR611" s="97">
        <v>734438.43924099999</v>
      </c>
      <c r="AS611" s="97">
        <v>100.52</v>
      </c>
      <c r="AT611" s="97">
        <v>1</v>
      </c>
      <c r="AU611" s="97">
        <v>738.257519</v>
      </c>
      <c r="AV611" s="97">
        <v>738.257519</v>
      </c>
      <c r="AW611" s="96"/>
      <c r="AX611" s="96"/>
      <c r="AY611" s="96"/>
      <c r="AZ611" s="96"/>
      <c r="BA611" s="98">
        <v>4.8240000000000002E-3</v>
      </c>
      <c r="BB611" s="98">
        <v>3.8400000000000001E-4</v>
      </c>
      <c r="BC611" s="106"/>
    </row>
    <row r="612" spans="1:55" ht="15" customHeight="1">
      <c r="A612" s="106"/>
      <c r="B612" s="96">
        <v>286</v>
      </c>
      <c r="C612" s="96">
        <v>286</v>
      </c>
      <c r="D612" s="96"/>
      <c r="E612" s="96"/>
      <c r="F612" s="96"/>
      <c r="G612" s="96">
        <v>25000608</v>
      </c>
      <c r="H612" s="96" t="s">
        <v>1013</v>
      </c>
      <c r="I612" s="96" t="s">
        <v>785</v>
      </c>
      <c r="J612" s="96" t="s">
        <v>203</v>
      </c>
      <c r="K612" s="96"/>
      <c r="L612" s="96" t="s">
        <v>463</v>
      </c>
      <c r="M612" s="96" t="s">
        <v>338</v>
      </c>
      <c r="N612" s="96" t="s">
        <v>338</v>
      </c>
      <c r="O612" s="96"/>
      <c r="P612" s="100">
        <v>44388</v>
      </c>
      <c r="Q612" s="96" t="s">
        <v>3681</v>
      </c>
      <c r="R612" s="96" t="s">
        <v>311</v>
      </c>
      <c r="S612" s="96" t="s">
        <v>407</v>
      </c>
      <c r="T612" s="96" t="s">
        <v>1200</v>
      </c>
      <c r="U612" s="97">
        <v>3.45</v>
      </c>
      <c r="V612" s="96" t="s">
        <v>3678</v>
      </c>
      <c r="W612" s="98">
        <v>1.7500000000000002E-2</v>
      </c>
      <c r="X612" s="96"/>
      <c r="Y612" s="96"/>
      <c r="Z612" s="96"/>
      <c r="AA612" s="98">
        <v>4.6100000000000002E-2</v>
      </c>
      <c r="AB612" s="100">
        <v>46945</v>
      </c>
      <c r="AC612" s="96" t="s">
        <v>411</v>
      </c>
      <c r="AD612" s="96"/>
      <c r="AE612" s="96"/>
      <c r="AF612" s="96"/>
      <c r="AG612" s="100">
        <v>44928</v>
      </c>
      <c r="AH612" s="96"/>
      <c r="AI612" s="96"/>
      <c r="AJ612" s="96"/>
      <c r="AK612" s="96" t="s">
        <v>337</v>
      </c>
      <c r="AL612" s="96" t="s">
        <v>887</v>
      </c>
      <c r="AM612" s="96"/>
      <c r="AN612" s="96" t="s">
        <v>890</v>
      </c>
      <c r="AO612" s="100">
        <v>45473</v>
      </c>
      <c r="AP612" s="100">
        <v>45473</v>
      </c>
      <c r="AQ612" s="96"/>
      <c r="AR612" s="97">
        <v>824364.84964499995</v>
      </c>
      <c r="AS612" s="97">
        <v>102.14</v>
      </c>
      <c r="AT612" s="97">
        <v>1</v>
      </c>
      <c r="AU612" s="97">
        <v>842.00625700000001</v>
      </c>
      <c r="AV612" s="97">
        <v>842.00625700000001</v>
      </c>
      <c r="AW612" s="96"/>
      <c r="AX612" s="96"/>
      <c r="AY612" s="96"/>
      <c r="AZ612" s="96"/>
      <c r="BA612" s="98">
        <v>5.5019999999999999E-3</v>
      </c>
      <c r="BB612" s="98">
        <v>4.3800000000000002E-4</v>
      </c>
      <c r="BC612" s="106"/>
    </row>
    <row r="613" spans="1:55" ht="15" customHeight="1">
      <c r="A613" s="106"/>
      <c r="B613" s="96">
        <v>286</v>
      </c>
      <c r="C613" s="96">
        <v>286</v>
      </c>
      <c r="D613" s="96"/>
      <c r="E613" s="96"/>
      <c r="F613" s="96"/>
      <c r="G613" s="96">
        <v>25000609</v>
      </c>
      <c r="H613" s="96" t="s">
        <v>1013</v>
      </c>
      <c r="I613" s="96" t="s">
        <v>785</v>
      </c>
      <c r="J613" s="96" t="s">
        <v>203</v>
      </c>
      <c r="K613" s="96"/>
      <c r="L613" s="96" t="s">
        <v>463</v>
      </c>
      <c r="M613" s="96" t="s">
        <v>338</v>
      </c>
      <c r="N613" s="96" t="s">
        <v>338</v>
      </c>
      <c r="O613" s="96"/>
      <c r="P613" s="100">
        <v>44388</v>
      </c>
      <c r="Q613" s="96" t="s">
        <v>3681</v>
      </c>
      <c r="R613" s="96" t="s">
        <v>311</v>
      </c>
      <c r="S613" s="96" t="s">
        <v>407</v>
      </c>
      <c r="T613" s="96" t="s">
        <v>1200</v>
      </c>
      <c r="U613" s="97">
        <v>3.45</v>
      </c>
      <c r="V613" s="96" t="s">
        <v>3678</v>
      </c>
      <c r="W613" s="98">
        <v>1.7500000000000002E-2</v>
      </c>
      <c r="X613" s="96"/>
      <c r="Y613" s="96"/>
      <c r="Z613" s="96"/>
      <c r="AA613" s="98">
        <v>4.5999999999999999E-2</v>
      </c>
      <c r="AB613" s="100">
        <v>46945</v>
      </c>
      <c r="AC613" s="96" t="s">
        <v>411</v>
      </c>
      <c r="AD613" s="96"/>
      <c r="AE613" s="96"/>
      <c r="AF613" s="96"/>
      <c r="AG613" s="100">
        <v>44928</v>
      </c>
      <c r="AH613" s="96"/>
      <c r="AI613" s="96"/>
      <c r="AJ613" s="96"/>
      <c r="AK613" s="96" t="s">
        <v>337</v>
      </c>
      <c r="AL613" s="96" t="s">
        <v>887</v>
      </c>
      <c r="AM613" s="96"/>
      <c r="AN613" s="96" t="s">
        <v>890</v>
      </c>
      <c r="AO613" s="100">
        <v>45473</v>
      </c>
      <c r="AP613" s="100">
        <v>45473</v>
      </c>
      <c r="AQ613" s="96"/>
      <c r="AR613" s="97">
        <v>247309.45492700001</v>
      </c>
      <c r="AS613" s="97">
        <v>102.14</v>
      </c>
      <c r="AT613" s="97">
        <v>1</v>
      </c>
      <c r="AU613" s="97">
        <v>252.601877</v>
      </c>
      <c r="AV613" s="97">
        <v>252.601877</v>
      </c>
      <c r="AW613" s="96"/>
      <c r="AX613" s="96"/>
      <c r="AY613" s="96"/>
      <c r="AZ613" s="96"/>
      <c r="BA613" s="98">
        <v>1.65E-3</v>
      </c>
      <c r="BB613" s="98">
        <v>1.3100000000000001E-4</v>
      </c>
      <c r="BC613" s="106"/>
    </row>
    <row r="614" spans="1:55" ht="15" customHeight="1">
      <c r="A614" s="106"/>
      <c r="B614" s="96">
        <v>286</v>
      </c>
      <c r="C614" s="96">
        <v>286</v>
      </c>
      <c r="D614" s="96"/>
      <c r="E614" s="96"/>
      <c r="F614" s="96"/>
      <c r="G614" s="96">
        <v>25000611</v>
      </c>
      <c r="H614" s="96" t="s">
        <v>1013</v>
      </c>
      <c r="I614" s="96"/>
      <c r="J614" s="96" t="s">
        <v>203</v>
      </c>
      <c r="K614" s="96"/>
      <c r="L614" s="96" t="s">
        <v>446</v>
      </c>
      <c r="M614" s="96" t="s">
        <v>338</v>
      </c>
      <c r="N614" s="96" t="s">
        <v>338</v>
      </c>
      <c r="O614" s="96"/>
      <c r="P614" s="100">
        <v>44370</v>
      </c>
      <c r="Q614" s="96" t="s">
        <v>1309</v>
      </c>
      <c r="R614" s="96" t="s">
        <v>414</v>
      </c>
      <c r="S614" s="96" t="s">
        <v>407</v>
      </c>
      <c r="T614" s="96" t="s">
        <v>1200</v>
      </c>
      <c r="U614" s="97">
        <v>0.99</v>
      </c>
      <c r="V614" s="96" t="s">
        <v>3678</v>
      </c>
      <c r="W614" s="98">
        <v>4.7899999999999998E-2</v>
      </c>
      <c r="X614" s="96"/>
      <c r="Y614" s="96"/>
      <c r="Z614" s="96"/>
      <c r="AA614" s="98">
        <v>9.1800000000000007E-2</v>
      </c>
      <c r="AB614" s="100">
        <v>45838</v>
      </c>
      <c r="AC614" s="96" t="s">
        <v>411</v>
      </c>
      <c r="AD614" s="96"/>
      <c r="AE614" s="96"/>
      <c r="AF614" s="96"/>
      <c r="AG614" s="100"/>
      <c r="AH614" s="96"/>
      <c r="AI614" s="96"/>
      <c r="AJ614" s="96"/>
      <c r="AK614" s="96" t="s">
        <v>337</v>
      </c>
      <c r="AL614" s="96" t="s">
        <v>887</v>
      </c>
      <c r="AM614" s="96"/>
      <c r="AN614" s="96" t="s">
        <v>890</v>
      </c>
      <c r="AO614" s="100">
        <v>45473</v>
      </c>
      <c r="AP614" s="100">
        <v>45473</v>
      </c>
      <c r="AQ614" s="96"/>
      <c r="AR614" s="97">
        <v>31261.465757000002</v>
      </c>
      <c r="AS614" s="97">
        <v>96.07</v>
      </c>
      <c r="AT614" s="97">
        <v>1</v>
      </c>
      <c r="AU614" s="97">
        <v>30.032889999999998</v>
      </c>
      <c r="AV614" s="97">
        <v>30.032889999999998</v>
      </c>
      <c r="AW614" s="96"/>
      <c r="AX614" s="96"/>
      <c r="AY614" s="96"/>
      <c r="AZ614" s="96"/>
      <c r="BA614" s="98">
        <v>1.9599999999999999E-4</v>
      </c>
      <c r="BB614" s="98">
        <v>1.5E-5</v>
      </c>
      <c r="BC614" s="106"/>
    </row>
    <row r="615" spans="1:55" ht="15" customHeight="1">
      <c r="A615" s="106"/>
      <c r="B615" s="96">
        <v>286</v>
      </c>
      <c r="C615" s="96">
        <v>286</v>
      </c>
      <c r="D615" s="96"/>
      <c r="E615" s="96"/>
      <c r="F615" s="96"/>
      <c r="G615" s="96">
        <v>25000613</v>
      </c>
      <c r="H615" s="96" t="s">
        <v>1013</v>
      </c>
      <c r="I615" s="96"/>
      <c r="J615" s="96" t="s">
        <v>203</v>
      </c>
      <c r="K615" s="96"/>
      <c r="L615" s="96" t="s">
        <v>477</v>
      </c>
      <c r="M615" s="96" t="s">
        <v>338</v>
      </c>
      <c r="N615" s="96" t="s">
        <v>338</v>
      </c>
      <c r="O615" s="96"/>
      <c r="P615" s="100">
        <v>44376</v>
      </c>
      <c r="Q615" s="96" t="s">
        <v>409</v>
      </c>
      <c r="R615" s="96" t="s">
        <v>409</v>
      </c>
      <c r="S615" s="96" t="s">
        <v>409</v>
      </c>
      <c r="T615" s="96" t="s">
        <v>1200</v>
      </c>
      <c r="U615" s="97">
        <v>1.18</v>
      </c>
      <c r="V615" s="96" t="s">
        <v>3678</v>
      </c>
      <c r="W615" s="98">
        <v>4.3900000000000002E-2</v>
      </c>
      <c r="X615" s="96"/>
      <c r="Y615" s="96"/>
      <c r="Z615" s="96"/>
      <c r="AA615" s="98">
        <v>6.8199999999999997E-2</v>
      </c>
      <c r="AB615" s="100">
        <v>47603</v>
      </c>
      <c r="AC615" s="96" t="s">
        <v>411</v>
      </c>
      <c r="AD615" s="96"/>
      <c r="AE615" s="96"/>
      <c r="AF615" s="96"/>
      <c r="AG615" s="100">
        <v>44376</v>
      </c>
      <c r="AH615" s="96"/>
      <c r="AI615" s="96"/>
      <c r="AJ615" s="96"/>
      <c r="AK615" s="96" t="s">
        <v>337</v>
      </c>
      <c r="AL615" s="96" t="s">
        <v>887</v>
      </c>
      <c r="AM615" s="96"/>
      <c r="AN615" s="96" t="s">
        <v>890</v>
      </c>
      <c r="AO615" s="100">
        <v>45473</v>
      </c>
      <c r="AP615" s="100">
        <v>45473</v>
      </c>
      <c r="AQ615" s="96"/>
      <c r="AR615" s="97">
        <v>149445.32507600001</v>
      </c>
      <c r="AS615" s="97">
        <v>116.18</v>
      </c>
      <c r="AT615" s="97">
        <v>1</v>
      </c>
      <c r="AU615" s="97">
        <v>173.62557799999999</v>
      </c>
      <c r="AV615" s="97">
        <v>173.62557799999999</v>
      </c>
      <c r="AW615" s="96"/>
      <c r="AX615" s="96"/>
      <c r="AY615" s="96"/>
      <c r="AZ615" s="96"/>
      <c r="BA615" s="98">
        <v>1.134E-3</v>
      </c>
      <c r="BB615" s="98">
        <v>9.0000000000000006E-5</v>
      </c>
      <c r="BC615" s="106"/>
    </row>
    <row r="616" spans="1:55" ht="15" customHeight="1">
      <c r="A616" s="106"/>
      <c r="B616" s="96">
        <v>286</v>
      </c>
      <c r="C616" s="96">
        <v>286</v>
      </c>
      <c r="D616" s="96"/>
      <c r="E616" s="96"/>
      <c r="F616" s="96"/>
      <c r="G616" s="96">
        <v>25000616</v>
      </c>
      <c r="H616" s="96" t="s">
        <v>1013</v>
      </c>
      <c r="I616" s="96"/>
      <c r="J616" s="96" t="s">
        <v>203</v>
      </c>
      <c r="K616" s="96"/>
      <c r="L616" s="96" t="s">
        <v>461</v>
      </c>
      <c r="M616" s="96" t="s">
        <v>338</v>
      </c>
      <c r="N616" s="96" t="s">
        <v>338</v>
      </c>
      <c r="O616" s="96"/>
      <c r="P616" s="100">
        <v>44390</v>
      </c>
      <c r="Q616" s="96" t="s">
        <v>3685</v>
      </c>
      <c r="R616" s="96" t="s">
        <v>311</v>
      </c>
      <c r="S616" s="96" t="s">
        <v>407</v>
      </c>
      <c r="T616" s="96" t="s">
        <v>1200</v>
      </c>
      <c r="U616" s="97">
        <v>0.53</v>
      </c>
      <c r="V616" s="96" t="s">
        <v>3678</v>
      </c>
      <c r="W616" s="98">
        <v>0.02</v>
      </c>
      <c r="X616" s="96"/>
      <c r="Y616" s="96"/>
      <c r="Z616" s="96"/>
      <c r="AA616" s="98">
        <v>5.8299999999999998E-2</v>
      </c>
      <c r="AB616" s="100">
        <v>45851</v>
      </c>
      <c r="AC616" s="96" t="s">
        <v>411</v>
      </c>
      <c r="AD616" s="96"/>
      <c r="AE616" s="96"/>
      <c r="AF616" s="96"/>
      <c r="AG616" s="100"/>
      <c r="AH616" s="96"/>
      <c r="AI616" s="96"/>
      <c r="AJ616" s="96"/>
      <c r="AK616" s="96" t="s">
        <v>337</v>
      </c>
      <c r="AL616" s="96" t="s">
        <v>887</v>
      </c>
      <c r="AM616" s="96"/>
      <c r="AN616" s="96" t="s">
        <v>890</v>
      </c>
      <c r="AO616" s="100">
        <v>45473</v>
      </c>
      <c r="AP616" s="100">
        <v>45473</v>
      </c>
      <c r="AQ616" s="96"/>
      <c r="AR616" s="97">
        <v>108851.174701</v>
      </c>
      <c r="AS616" s="97">
        <v>98.48</v>
      </c>
      <c r="AT616" s="97">
        <v>1</v>
      </c>
      <c r="AU616" s="97">
        <v>107.196636</v>
      </c>
      <c r="AV616" s="97">
        <v>107.196636</v>
      </c>
      <c r="AW616" s="96"/>
      <c r="AX616" s="96"/>
      <c r="AY616" s="96"/>
      <c r="AZ616" s="96"/>
      <c r="BA616" s="98">
        <v>6.9999999999999999E-4</v>
      </c>
      <c r="BB616" s="98">
        <v>5.5000000000000002E-5</v>
      </c>
      <c r="BC616" s="106"/>
    </row>
    <row r="617" spans="1:55" ht="15" customHeight="1">
      <c r="A617" s="106"/>
      <c r="B617" s="96">
        <v>286</v>
      </c>
      <c r="C617" s="96">
        <v>286</v>
      </c>
      <c r="D617" s="96"/>
      <c r="E617" s="96"/>
      <c r="F617" s="96"/>
      <c r="G617" s="96">
        <v>25000662</v>
      </c>
      <c r="H617" s="96" t="s">
        <v>1013</v>
      </c>
      <c r="I617" s="96" t="s">
        <v>3680</v>
      </c>
      <c r="J617" s="96" t="s">
        <v>203</v>
      </c>
      <c r="K617" s="96"/>
      <c r="L617" s="96" t="s">
        <v>463</v>
      </c>
      <c r="M617" s="96" t="s">
        <v>338</v>
      </c>
      <c r="N617" s="96" t="s">
        <v>337</v>
      </c>
      <c r="O617" s="96"/>
      <c r="P617" s="100">
        <v>44710</v>
      </c>
      <c r="Q617" s="96" t="s">
        <v>1208</v>
      </c>
      <c r="R617" s="96" t="s">
        <v>311</v>
      </c>
      <c r="S617" s="96" t="s">
        <v>407</v>
      </c>
      <c r="T617" s="96" t="s">
        <v>1200</v>
      </c>
      <c r="U617" s="97">
        <v>5.05</v>
      </c>
      <c r="V617" s="96" t="s">
        <v>824</v>
      </c>
      <c r="W617" s="98">
        <v>6.1499999999999999E-2</v>
      </c>
      <c r="X617" s="96"/>
      <c r="Y617" s="96"/>
      <c r="Z617" s="96"/>
      <c r="AA617" s="98">
        <v>6.25E-2</v>
      </c>
      <c r="AB617" s="100">
        <v>47654</v>
      </c>
      <c r="AC617" s="96" t="s">
        <v>411</v>
      </c>
      <c r="AD617" s="96"/>
      <c r="AE617" s="96"/>
      <c r="AF617" s="96"/>
      <c r="AG617" s="100">
        <v>45382</v>
      </c>
      <c r="AH617" s="96"/>
      <c r="AI617" s="96"/>
      <c r="AJ617" s="96"/>
      <c r="AK617" s="96" t="s">
        <v>337</v>
      </c>
      <c r="AL617" s="96" t="s">
        <v>887</v>
      </c>
      <c r="AM617" s="96"/>
      <c r="AN617" s="96" t="s">
        <v>890</v>
      </c>
      <c r="AO617" s="100">
        <v>45473</v>
      </c>
      <c r="AP617" s="100">
        <v>45473</v>
      </c>
      <c r="AQ617" s="96"/>
      <c r="AR617" s="97">
        <v>23389.602693000001</v>
      </c>
      <c r="AS617" s="97">
        <v>101.06</v>
      </c>
      <c r="AT617" s="97">
        <v>1</v>
      </c>
      <c r="AU617" s="97">
        <v>23.637532</v>
      </c>
      <c r="AV617" s="97">
        <v>23.637532</v>
      </c>
      <c r="AW617" s="96"/>
      <c r="AX617" s="96"/>
      <c r="AY617" s="96"/>
      <c r="AZ617" s="96"/>
      <c r="BA617" s="98">
        <v>1.54E-4</v>
      </c>
      <c r="BB617" s="98">
        <v>1.2E-5</v>
      </c>
      <c r="BC617" s="106"/>
    </row>
    <row r="618" spans="1:55" ht="15" customHeight="1">
      <c r="A618" s="106"/>
      <c r="B618" s="96">
        <v>286</v>
      </c>
      <c r="C618" s="96">
        <v>286</v>
      </c>
      <c r="D618" s="96"/>
      <c r="E618" s="96"/>
      <c r="F618" s="96"/>
      <c r="G618" s="96">
        <v>25000624</v>
      </c>
      <c r="H618" s="96" t="s">
        <v>1013</v>
      </c>
      <c r="I618" s="96"/>
      <c r="J618" s="96" t="s">
        <v>203</v>
      </c>
      <c r="K618" s="96"/>
      <c r="L618" s="96" t="s">
        <v>446</v>
      </c>
      <c r="M618" s="96" t="s">
        <v>338</v>
      </c>
      <c r="N618" s="96" t="s">
        <v>338</v>
      </c>
      <c r="O618" s="96"/>
      <c r="P618" s="100">
        <v>44458</v>
      </c>
      <c r="Q618" s="96" t="s">
        <v>1309</v>
      </c>
      <c r="R618" s="96" t="s">
        <v>414</v>
      </c>
      <c r="S618" s="96" t="s">
        <v>407</v>
      </c>
      <c r="T618" s="96" t="s">
        <v>1200</v>
      </c>
      <c r="U618" s="97">
        <v>1.66</v>
      </c>
      <c r="V618" s="96" t="s">
        <v>3678</v>
      </c>
      <c r="W618" s="98">
        <v>1.6E-2</v>
      </c>
      <c r="X618" s="96"/>
      <c r="Y618" s="96"/>
      <c r="Z618" s="96"/>
      <c r="AA618" s="98">
        <v>0.05</v>
      </c>
      <c r="AB618" s="100">
        <v>46649</v>
      </c>
      <c r="AC618" s="96" t="s">
        <v>411</v>
      </c>
      <c r="AD618" s="96"/>
      <c r="AE618" s="96"/>
      <c r="AF618" s="96"/>
      <c r="AG618" s="100"/>
      <c r="AH618" s="96"/>
      <c r="AI618" s="96"/>
      <c r="AJ618" s="96"/>
      <c r="AK618" s="96" t="s">
        <v>337</v>
      </c>
      <c r="AL618" s="96" t="s">
        <v>887</v>
      </c>
      <c r="AM618" s="96"/>
      <c r="AN618" s="96" t="s">
        <v>890</v>
      </c>
      <c r="AO618" s="100">
        <v>45473</v>
      </c>
      <c r="AP618" s="100">
        <v>45473</v>
      </c>
      <c r="AQ618" s="96"/>
      <c r="AR618" s="97">
        <v>148303.64026399999</v>
      </c>
      <c r="AS618" s="97">
        <v>105.61</v>
      </c>
      <c r="AT618" s="97">
        <v>1</v>
      </c>
      <c r="AU618" s="97">
        <v>156.62347399999999</v>
      </c>
      <c r="AV618" s="97">
        <v>156.62347399999999</v>
      </c>
      <c r="AW618" s="96"/>
      <c r="AX618" s="96"/>
      <c r="AY618" s="96"/>
      <c r="AZ618" s="96"/>
      <c r="BA618" s="98">
        <v>1.023E-3</v>
      </c>
      <c r="BB618" s="98">
        <v>8.1000000000000004E-5</v>
      </c>
      <c r="BC618" s="106"/>
    </row>
    <row r="619" spans="1:55" ht="15" customHeight="1">
      <c r="A619" s="106"/>
      <c r="B619" s="96">
        <v>286</v>
      </c>
      <c r="C619" s="96">
        <v>286</v>
      </c>
      <c r="D619" s="96"/>
      <c r="E619" s="96"/>
      <c r="F619" s="96"/>
      <c r="G619" s="96">
        <v>25100350</v>
      </c>
      <c r="H619" s="96" t="s">
        <v>1013</v>
      </c>
      <c r="I619" s="96" t="s">
        <v>813</v>
      </c>
      <c r="J619" s="96" t="s">
        <v>204</v>
      </c>
      <c r="K619" s="96"/>
      <c r="L619" s="96" t="s">
        <v>485</v>
      </c>
      <c r="M619" s="96" t="s">
        <v>338</v>
      </c>
      <c r="N619" s="96" t="s">
        <v>337</v>
      </c>
      <c r="O619" s="96"/>
      <c r="P619" s="100">
        <v>45257</v>
      </c>
      <c r="Q619" s="96" t="s">
        <v>1324</v>
      </c>
      <c r="R619" s="96" t="s">
        <v>412</v>
      </c>
      <c r="S619" s="96" t="s">
        <v>407</v>
      </c>
      <c r="T619" s="96" t="s">
        <v>1201</v>
      </c>
      <c r="U619" s="97">
        <v>2.69</v>
      </c>
      <c r="V619" s="96" t="s">
        <v>824</v>
      </c>
      <c r="W619" s="98">
        <v>0.10416400000000001</v>
      </c>
      <c r="X619" s="96"/>
      <c r="Y619" s="96"/>
      <c r="Z619" s="96"/>
      <c r="AA619" s="98">
        <v>0.1008</v>
      </c>
      <c r="AB619" s="100">
        <v>46990</v>
      </c>
      <c r="AC619" s="96" t="s">
        <v>411</v>
      </c>
      <c r="AD619" s="96"/>
      <c r="AE619" s="96"/>
      <c r="AF619" s="96"/>
      <c r="AG619" s="100">
        <v>45291</v>
      </c>
      <c r="AH619" s="96"/>
      <c r="AI619" s="96"/>
      <c r="AJ619" s="96"/>
      <c r="AK619" s="96" t="s">
        <v>337</v>
      </c>
      <c r="AL619" s="96" t="s">
        <v>887</v>
      </c>
      <c r="AM619" s="96"/>
      <c r="AN619" s="96" t="s">
        <v>890</v>
      </c>
      <c r="AO619" s="100">
        <v>45473</v>
      </c>
      <c r="AP619" s="100">
        <v>45473</v>
      </c>
      <c r="AQ619" s="96"/>
      <c r="AR619" s="97">
        <v>68409.411995000002</v>
      </c>
      <c r="AS619" s="97">
        <v>100.84</v>
      </c>
      <c r="AT619" s="97">
        <v>3.7589999999999999</v>
      </c>
      <c r="AU619" s="97">
        <v>259.31104699999997</v>
      </c>
      <c r="AV619" s="97">
        <v>68.984050999999994</v>
      </c>
      <c r="AW619" s="96"/>
      <c r="AX619" s="96"/>
      <c r="AY619" s="96"/>
      <c r="AZ619" s="96"/>
      <c r="BA619" s="98">
        <v>1.694E-3</v>
      </c>
      <c r="BB619" s="98">
        <v>1.35E-4</v>
      </c>
      <c r="BC619" s="106"/>
    </row>
    <row r="620" spans="1:55" ht="15" customHeight="1">
      <c r="A620" s="106"/>
      <c r="B620" s="96">
        <v>286</v>
      </c>
      <c r="C620" s="96">
        <v>286</v>
      </c>
      <c r="D620" s="96"/>
      <c r="E620" s="96"/>
      <c r="F620" s="96"/>
      <c r="G620" s="96">
        <v>25100077</v>
      </c>
      <c r="H620" s="96" t="s">
        <v>1013</v>
      </c>
      <c r="I620" s="96" t="s">
        <v>813</v>
      </c>
      <c r="J620" s="96" t="s">
        <v>204</v>
      </c>
      <c r="K620" s="96"/>
      <c r="L620" s="96" t="s">
        <v>485</v>
      </c>
      <c r="M620" s="96" t="s">
        <v>338</v>
      </c>
      <c r="N620" s="96" t="s">
        <v>337</v>
      </c>
      <c r="O620" s="96"/>
      <c r="P620" s="100">
        <v>43482</v>
      </c>
      <c r="Q620" s="96" t="s">
        <v>1698</v>
      </c>
      <c r="R620" s="96" t="s">
        <v>422</v>
      </c>
      <c r="S620" s="96" t="s">
        <v>407</v>
      </c>
      <c r="T620" s="96" t="s">
        <v>1201</v>
      </c>
      <c r="U620" s="97">
        <v>6.2</v>
      </c>
      <c r="V620" s="96" t="s">
        <v>3678</v>
      </c>
      <c r="W620" s="98">
        <v>5.3900000000000003E-2</v>
      </c>
      <c r="X620" s="96"/>
      <c r="Y620" s="96"/>
      <c r="Z620" s="96"/>
      <c r="AA620" s="98">
        <v>6.5699999999999995E-2</v>
      </c>
      <c r="AB620" s="100">
        <v>50860</v>
      </c>
      <c r="AC620" s="96" t="s">
        <v>411</v>
      </c>
      <c r="AD620" s="96"/>
      <c r="AE620" s="96"/>
      <c r="AF620" s="96"/>
      <c r="AG620" s="100">
        <v>45291</v>
      </c>
      <c r="AH620" s="96"/>
      <c r="AI620" s="96"/>
      <c r="AJ620" s="96"/>
      <c r="AK620" s="96" t="s">
        <v>337</v>
      </c>
      <c r="AL620" s="96" t="s">
        <v>887</v>
      </c>
      <c r="AM620" s="96"/>
      <c r="AN620" s="96" t="s">
        <v>890</v>
      </c>
      <c r="AO620" s="100">
        <v>45473</v>
      </c>
      <c r="AP620" s="100">
        <v>45473</v>
      </c>
      <c r="AQ620" s="96"/>
      <c r="AR620" s="97">
        <v>188959.93018299999</v>
      </c>
      <c r="AS620" s="97">
        <v>95.02</v>
      </c>
      <c r="AT620" s="97">
        <v>3.7589999999999999</v>
      </c>
      <c r="AU620" s="97">
        <v>674.92741799999999</v>
      </c>
      <c r="AV620" s="97">
        <v>179.549725</v>
      </c>
      <c r="AW620" s="96"/>
      <c r="AX620" s="96"/>
      <c r="AY620" s="96"/>
      <c r="AZ620" s="96"/>
      <c r="BA620" s="98">
        <v>4.4099999999999999E-3</v>
      </c>
      <c r="BB620" s="98">
        <v>3.5100000000000002E-4</v>
      </c>
      <c r="BC620" s="106"/>
    </row>
    <row r="621" spans="1:55" ht="15" customHeight="1">
      <c r="A621" s="106"/>
      <c r="B621" s="96">
        <v>286</v>
      </c>
      <c r="C621" s="96">
        <v>286</v>
      </c>
      <c r="D621" s="96"/>
      <c r="E621" s="96"/>
      <c r="F621" s="96"/>
      <c r="G621" s="96">
        <v>25100338</v>
      </c>
      <c r="H621" s="96" t="s">
        <v>1013</v>
      </c>
      <c r="I621" s="96" t="s">
        <v>813</v>
      </c>
      <c r="J621" s="96" t="s">
        <v>204</v>
      </c>
      <c r="K621" s="96"/>
      <c r="L621" s="96" t="s">
        <v>485</v>
      </c>
      <c r="M621" s="96" t="s">
        <v>338</v>
      </c>
      <c r="N621" s="96" t="s">
        <v>337</v>
      </c>
      <c r="O621" s="96"/>
      <c r="P621" s="100">
        <v>45020</v>
      </c>
      <c r="Q621" s="96" t="s">
        <v>3683</v>
      </c>
      <c r="R621" s="96" t="s">
        <v>412</v>
      </c>
      <c r="S621" s="96" t="s">
        <v>407</v>
      </c>
      <c r="T621" s="96" t="s">
        <v>1201</v>
      </c>
      <c r="U621" s="97">
        <v>2.21</v>
      </c>
      <c r="V621" s="96" t="s">
        <v>824</v>
      </c>
      <c r="W621" s="98">
        <v>5.1116000000000002E-2</v>
      </c>
      <c r="X621" s="96"/>
      <c r="Y621" s="96"/>
      <c r="Z621" s="96"/>
      <c r="AA621" s="98">
        <v>9.6100000000000005E-2</v>
      </c>
      <c r="AB621" s="100">
        <v>47115</v>
      </c>
      <c r="AC621" s="96" t="s">
        <v>411</v>
      </c>
      <c r="AD621" s="96"/>
      <c r="AE621" s="96"/>
      <c r="AF621" s="96"/>
      <c r="AG621" s="100">
        <v>45291</v>
      </c>
      <c r="AH621" s="96"/>
      <c r="AI621" s="96"/>
      <c r="AJ621" s="96"/>
      <c r="AK621" s="96" t="s">
        <v>337</v>
      </c>
      <c r="AL621" s="96" t="s">
        <v>887</v>
      </c>
      <c r="AM621" s="96"/>
      <c r="AN621" s="96" t="s">
        <v>890</v>
      </c>
      <c r="AO621" s="100">
        <v>45473</v>
      </c>
      <c r="AP621" s="100">
        <v>45473</v>
      </c>
      <c r="AQ621" s="96"/>
      <c r="AR621" s="97">
        <v>66822.157623999999</v>
      </c>
      <c r="AS621" s="97">
        <v>101.17</v>
      </c>
      <c r="AT621" s="97">
        <v>3.7589999999999999</v>
      </c>
      <c r="AU621" s="97">
        <v>254.12334899999999</v>
      </c>
      <c r="AV621" s="97">
        <v>67.603976000000003</v>
      </c>
      <c r="AW621" s="96"/>
      <c r="AX621" s="96"/>
      <c r="AY621" s="96"/>
      <c r="AZ621" s="96"/>
      <c r="BA621" s="98">
        <v>1.66E-3</v>
      </c>
      <c r="BB621" s="98">
        <v>1.3200000000000001E-4</v>
      </c>
      <c r="BC621" s="106"/>
    </row>
    <row r="622" spans="1:55" ht="15" customHeight="1">
      <c r="A622" s="106"/>
      <c r="B622" s="96">
        <v>286</v>
      </c>
      <c r="C622" s="96">
        <v>286</v>
      </c>
      <c r="D622" s="96"/>
      <c r="E622" s="96"/>
      <c r="F622" s="96"/>
      <c r="G622" s="96">
        <v>25100335</v>
      </c>
      <c r="H622" s="96" t="s">
        <v>1013</v>
      </c>
      <c r="I622" s="96" t="s">
        <v>812</v>
      </c>
      <c r="J622" s="96" t="s">
        <v>204</v>
      </c>
      <c r="K622" s="96"/>
      <c r="L622" s="96" t="s">
        <v>485</v>
      </c>
      <c r="M622" s="96" t="s">
        <v>338</v>
      </c>
      <c r="N622" s="96" t="s">
        <v>337</v>
      </c>
      <c r="O622" s="96"/>
      <c r="P622" s="100">
        <v>45071</v>
      </c>
      <c r="Q622" s="96" t="s">
        <v>1324</v>
      </c>
      <c r="R622" s="96" t="s">
        <v>412</v>
      </c>
      <c r="S622" s="96" t="s">
        <v>407</v>
      </c>
      <c r="T622" s="96" t="s">
        <v>1201</v>
      </c>
      <c r="U622" s="97">
        <v>2.68</v>
      </c>
      <c r="V622" s="96" t="s">
        <v>824</v>
      </c>
      <c r="W622" s="98">
        <v>5.7012E-2</v>
      </c>
      <c r="X622" s="96"/>
      <c r="Y622" s="96"/>
      <c r="Z622" s="96"/>
      <c r="AA622" s="98">
        <v>9.9500000000000005E-2</v>
      </c>
      <c r="AB622" s="100">
        <v>46990</v>
      </c>
      <c r="AC622" s="96" t="s">
        <v>411</v>
      </c>
      <c r="AD622" s="96"/>
      <c r="AE622" s="96"/>
      <c r="AF622" s="96"/>
      <c r="AG622" s="100">
        <v>45291</v>
      </c>
      <c r="AH622" s="96"/>
      <c r="AI622" s="96"/>
      <c r="AJ622" s="96"/>
      <c r="AK622" s="96" t="s">
        <v>337</v>
      </c>
      <c r="AL622" s="96" t="s">
        <v>887</v>
      </c>
      <c r="AM622" s="96"/>
      <c r="AN622" s="96" t="s">
        <v>890</v>
      </c>
      <c r="AO622" s="100">
        <v>45473</v>
      </c>
      <c r="AP622" s="100">
        <v>45473</v>
      </c>
      <c r="AQ622" s="96"/>
      <c r="AR622" s="97">
        <v>25793.834567000002</v>
      </c>
      <c r="AS622" s="97">
        <v>99.84</v>
      </c>
      <c r="AT622" s="97">
        <v>3.7589999999999999</v>
      </c>
      <c r="AU622" s="97">
        <v>96.803888999999998</v>
      </c>
      <c r="AV622" s="97">
        <v>25.752564</v>
      </c>
      <c r="AW622" s="96"/>
      <c r="AX622" s="96"/>
      <c r="AY622" s="96"/>
      <c r="AZ622" s="96"/>
      <c r="BA622" s="98">
        <v>6.3199999999999997E-4</v>
      </c>
      <c r="BB622" s="98">
        <v>5.0000000000000002E-5</v>
      </c>
      <c r="BC622" s="106"/>
    </row>
    <row r="623" spans="1:55" ht="15" customHeight="1">
      <c r="A623" s="106"/>
      <c r="B623" s="96">
        <v>286</v>
      </c>
      <c r="C623" s="96">
        <v>286</v>
      </c>
      <c r="D623" s="96"/>
      <c r="E623" s="96"/>
      <c r="F623" s="96"/>
      <c r="G623" s="96">
        <v>25100334</v>
      </c>
      <c r="H623" s="96" t="s">
        <v>1013</v>
      </c>
      <c r="I623" s="96" t="s">
        <v>812</v>
      </c>
      <c r="J623" s="96" t="s">
        <v>204</v>
      </c>
      <c r="K623" s="96"/>
      <c r="L623" s="96" t="s">
        <v>485</v>
      </c>
      <c r="M623" s="96" t="s">
        <v>338</v>
      </c>
      <c r="N623" s="96" t="s">
        <v>337</v>
      </c>
      <c r="O623" s="96"/>
      <c r="P623" s="100">
        <v>45071</v>
      </c>
      <c r="Q623" s="96" t="s">
        <v>1324</v>
      </c>
      <c r="R623" s="96" t="s">
        <v>412</v>
      </c>
      <c r="S623" s="96" t="s">
        <v>407</v>
      </c>
      <c r="T623" s="96" t="s">
        <v>1201</v>
      </c>
      <c r="U623" s="97">
        <v>2.68</v>
      </c>
      <c r="V623" s="96" t="s">
        <v>824</v>
      </c>
      <c r="W623" s="98">
        <v>5.178E-2</v>
      </c>
      <c r="X623" s="96"/>
      <c r="Y623" s="96"/>
      <c r="Z623" s="96"/>
      <c r="AA623" s="98">
        <v>9.9400000000000002E-2</v>
      </c>
      <c r="AB623" s="100">
        <v>46990</v>
      </c>
      <c r="AC623" s="96" t="s">
        <v>411</v>
      </c>
      <c r="AD623" s="96"/>
      <c r="AE623" s="96"/>
      <c r="AF623" s="96"/>
      <c r="AG623" s="100">
        <v>45291</v>
      </c>
      <c r="AH623" s="96"/>
      <c r="AI623" s="96"/>
      <c r="AJ623" s="96"/>
      <c r="AK623" s="96" t="s">
        <v>337</v>
      </c>
      <c r="AL623" s="96" t="s">
        <v>887</v>
      </c>
      <c r="AM623" s="96"/>
      <c r="AN623" s="96" t="s">
        <v>890</v>
      </c>
      <c r="AO623" s="100">
        <v>45473</v>
      </c>
      <c r="AP623" s="100">
        <v>45473</v>
      </c>
      <c r="AQ623" s="96"/>
      <c r="AR623" s="97">
        <v>25523.420365000002</v>
      </c>
      <c r="AS623" s="97">
        <v>99.87</v>
      </c>
      <c r="AT623" s="97">
        <v>3.7589999999999999</v>
      </c>
      <c r="AU623" s="97">
        <v>95.817811000000006</v>
      </c>
      <c r="AV623" s="97">
        <v>25.490238999999999</v>
      </c>
      <c r="AW623" s="96"/>
      <c r="AX623" s="96"/>
      <c r="AY623" s="96"/>
      <c r="AZ623" s="96"/>
      <c r="BA623" s="98">
        <v>6.2600000000000004E-4</v>
      </c>
      <c r="BB623" s="98">
        <v>4.8999999999999998E-5</v>
      </c>
      <c r="BC623" s="106"/>
    </row>
    <row r="624" spans="1:55" ht="15" customHeight="1">
      <c r="A624" s="106"/>
      <c r="B624" s="96">
        <v>286</v>
      </c>
      <c r="C624" s="96">
        <v>286</v>
      </c>
      <c r="D624" s="96"/>
      <c r="E624" s="96"/>
      <c r="F624" s="96"/>
      <c r="G624" s="96">
        <v>25100500</v>
      </c>
      <c r="H624" s="96" t="s">
        <v>1013</v>
      </c>
      <c r="I624" s="96"/>
      <c r="J624" s="96" t="s">
        <v>204</v>
      </c>
      <c r="K624" s="96"/>
      <c r="L624" s="96" t="s">
        <v>536</v>
      </c>
      <c r="M624" s="96" t="s">
        <v>338</v>
      </c>
      <c r="N624" s="96" t="s">
        <v>338</v>
      </c>
      <c r="O624" s="96"/>
      <c r="P624" s="100">
        <v>45047</v>
      </c>
      <c r="Q624" s="96" t="s">
        <v>3681</v>
      </c>
      <c r="R624" s="96" t="s">
        <v>311</v>
      </c>
      <c r="S624" s="96" t="s">
        <v>407</v>
      </c>
      <c r="T624" s="96" t="s">
        <v>1201</v>
      </c>
      <c r="U624" s="97">
        <v>1.55</v>
      </c>
      <c r="V624" s="96" t="s">
        <v>3678</v>
      </c>
      <c r="W624" s="98">
        <v>7.0000000000000007E-2</v>
      </c>
      <c r="X624" s="96"/>
      <c r="Y624" s="96"/>
      <c r="Z624" s="96"/>
      <c r="AA624" s="98">
        <v>6.7400000000000002E-2</v>
      </c>
      <c r="AB624" s="100">
        <v>46843</v>
      </c>
      <c r="AC624" s="96" t="s">
        <v>411</v>
      </c>
      <c r="AD624" s="96"/>
      <c r="AE624" s="96"/>
      <c r="AF624" s="96"/>
      <c r="AG624" s="100">
        <v>44644</v>
      </c>
      <c r="AH624" s="96"/>
      <c r="AI624" s="96"/>
      <c r="AJ624" s="96"/>
      <c r="AK624" s="96" t="s">
        <v>337</v>
      </c>
      <c r="AL624" s="96" t="s">
        <v>887</v>
      </c>
      <c r="AM624" s="96"/>
      <c r="AN624" s="96" t="s">
        <v>890</v>
      </c>
      <c r="AO624" s="100">
        <v>45473</v>
      </c>
      <c r="AP624" s="100">
        <v>45473</v>
      </c>
      <c r="AQ624" s="96"/>
      <c r="AR624" s="97">
        <v>110705.615471</v>
      </c>
      <c r="AS624" s="97">
        <v>100.48</v>
      </c>
      <c r="AT624" s="97">
        <v>3.7589999999999999</v>
      </c>
      <c r="AU624" s="97">
        <v>418.13989199999997</v>
      </c>
      <c r="AV624" s="97">
        <v>111.237002</v>
      </c>
      <c r="AW624" s="96"/>
      <c r="AX624" s="96"/>
      <c r="AY624" s="96"/>
      <c r="AZ624" s="96"/>
      <c r="BA624" s="98">
        <v>2.7320000000000001E-3</v>
      </c>
      <c r="BB624" s="98">
        <v>2.1699999999999999E-4</v>
      </c>
      <c r="BC624" s="106"/>
    </row>
    <row r="625" spans="1:55" ht="15" customHeight="1">
      <c r="A625" s="106"/>
      <c r="B625" s="96">
        <v>286</v>
      </c>
      <c r="C625" s="96">
        <v>286</v>
      </c>
      <c r="D625" s="96"/>
      <c r="E625" s="96"/>
      <c r="F625" s="96"/>
      <c r="G625" s="96">
        <v>25100510</v>
      </c>
      <c r="H625" s="96" t="s">
        <v>1013</v>
      </c>
      <c r="I625" s="96"/>
      <c r="J625" s="96" t="s">
        <v>204</v>
      </c>
      <c r="K625" s="96"/>
      <c r="L625" s="96" t="s">
        <v>536</v>
      </c>
      <c r="M625" s="96" t="s">
        <v>338</v>
      </c>
      <c r="N625" s="96" t="s">
        <v>338</v>
      </c>
      <c r="O625" s="96"/>
      <c r="P625" s="100">
        <v>45047</v>
      </c>
      <c r="Q625" s="96" t="s">
        <v>2102</v>
      </c>
      <c r="R625" s="96" t="s">
        <v>311</v>
      </c>
      <c r="S625" s="96" t="s">
        <v>407</v>
      </c>
      <c r="T625" s="96" t="s">
        <v>1201</v>
      </c>
      <c r="U625" s="97">
        <v>2.5499999999999998</v>
      </c>
      <c r="V625" s="96" t="s">
        <v>3678</v>
      </c>
      <c r="W625" s="98">
        <v>7.0000000000000007E-2</v>
      </c>
      <c r="X625" s="96"/>
      <c r="Y625" s="96"/>
      <c r="Z625" s="96"/>
      <c r="AA625" s="98">
        <v>7.5200000000000003E-2</v>
      </c>
      <c r="AB625" s="100">
        <v>47087</v>
      </c>
      <c r="AC625" s="96" t="s">
        <v>411</v>
      </c>
      <c r="AD625" s="96"/>
      <c r="AE625" s="96"/>
      <c r="AF625" s="96"/>
      <c r="AG625" s="100">
        <v>44644</v>
      </c>
      <c r="AH625" s="96"/>
      <c r="AI625" s="96"/>
      <c r="AJ625" s="96"/>
      <c r="AK625" s="96" t="s">
        <v>337</v>
      </c>
      <c r="AL625" s="96" t="s">
        <v>887</v>
      </c>
      <c r="AM625" s="96"/>
      <c r="AN625" s="96" t="s">
        <v>890</v>
      </c>
      <c r="AO625" s="100">
        <v>45473</v>
      </c>
      <c r="AP625" s="100">
        <v>45473</v>
      </c>
      <c r="AQ625" s="96"/>
      <c r="AR625" s="97">
        <v>25708.22365</v>
      </c>
      <c r="AS625" s="97">
        <v>102.32</v>
      </c>
      <c r="AT625" s="97">
        <v>3.7589999999999999</v>
      </c>
      <c r="AU625" s="97">
        <v>98.879195999999993</v>
      </c>
      <c r="AV625" s="97">
        <v>26.304653999999999</v>
      </c>
      <c r="AW625" s="96"/>
      <c r="AX625" s="96"/>
      <c r="AY625" s="96"/>
      <c r="AZ625" s="96"/>
      <c r="BA625" s="98">
        <v>6.4599999999999998E-4</v>
      </c>
      <c r="BB625" s="98">
        <v>5.1E-5</v>
      </c>
      <c r="BC625" s="106"/>
    </row>
    <row r="626" spans="1:55" ht="15" customHeight="1">
      <c r="A626" s="106"/>
      <c r="B626" s="96">
        <v>286</v>
      </c>
      <c r="C626" s="96">
        <v>286</v>
      </c>
      <c r="D626" s="96"/>
      <c r="E626" s="96"/>
      <c r="F626" s="96"/>
      <c r="G626" s="96">
        <v>25100347</v>
      </c>
      <c r="H626" s="96" t="s">
        <v>1013</v>
      </c>
      <c r="I626" s="96" t="s">
        <v>813</v>
      </c>
      <c r="J626" s="96" t="s">
        <v>204</v>
      </c>
      <c r="K626" s="96"/>
      <c r="L626" s="96" t="s">
        <v>485</v>
      </c>
      <c r="M626" s="96" t="s">
        <v>338</v>
      </c>
      <c r="N626" s="96" t="s">
        <v>338</v>
      </c>
      <c r="O626" s="96"/>
      <c r="P626" s="100">
        <v>45211</v>
      </c>
      <c r="Q626" s="96" t="s">
        <v>2311</v>
      </c>
      <c r="R626" s="96" t="s">
        <v>430</v>
      </c>
      <c r="S626" s="96" t="s">
        <v>407</v>
      </c>
      <c r="T626" s="96" t="s">
        <v>1201</v>
      </c>
      <c r="U626" s="97">
        <v>3.66</v>
      </c>
      <c r="V626" s="96" t="s">
        <v>824</v>
      </c>
      <c r="W626" s="98">
        <v>8.9221999999999996E-2</v>
      </c>
      <c r="X626" s="96"/>
      <c r="Y626" s="96"/>
      <c r="Z626" s="96"/>
      <c r="AA626" s="98">
        <v>8.0699999999999994E-2</v>
      </c>
      <c r="AB626" s="100">
        <v>47031</v>
      </c>
      <c r="AC626" s="96" t="s">
        <v>411</v>
      </c>
      <c r="AD626" s="96"/>
      <c r="AE626" s="96"/>
      <c r="AF626" s="96"/>
      <c r="AG626" s="100">
        <v>45291</v>
      </c>
      <c r="AH626" s="96"/>
      <c r="AI626" s="96"/>
      <c r="AJ626" s="96"/>
      <c r="AK626" s="96" t="s">
        <v>337</v>
      </c>
      <c r="AL626" s="96" t="s">
        <v>887</v>
      </c>
      <c r="AM626" s="96"/>
      <c r="AN626" s="96" t="s">
        <v>890</v>
      </c>
      <c r="AO626" s="100">
        <v>45473</v>
      </c>
      <c r="AP626" s="100">
        <v>45473</v>
      </c>
      <c r="AQ626" s="96"/>
      <c r="AR626" s="97">
        <v>123238.12</v>
      </c>
      <c r="AS626" s="97">
        <v>103.83</v>
      </c>
      <c r="AT626" s="97">
        <v>3.7589999999999999</v>
      </c>
      <c r="AU626" s="97">
        <v>480.99464999999998</v>
      </c>
      <c r="AV626" s="97">
        <v>127.95814</v>
      </c>
      <c r="AW626" s="96"/>
      <c r="AX626" s="96"/>
      <c r="AY626" s="96"/>
      <c r="AZ626" s="96"/>
      <c r="BA626" s="98">
        <v>3.143E-3</v>
      </c>
      <c r="BB626" s="98">
        <v>2.5000000000000001E-4</v>
      </c>
      <c r="BC626" s="106"/>
    </row>
    <row r="627" spans="1:55" ht="15" customHeight="1">
      <c r="A627" s="106"/>
      <c r="B627" s="96">
        <v>286</v>
      </c>
      <c r="C627" s="96">
        <v>286</v>
      </c>
      <c r="D627" s="96"/>
      <c r="E627" s="96"/>
      <c r="F627" s="96"/>
      <c r="G627" s="96">
        <v>25100520</v>
      </c>
      <c r="H627" s="96" t="s">
        <v>1013</v>
      </c>
      <c r="I627" s="96"/>
      <c r="J627" s="96" t="s">
        <v>204</v>
      </c>
      <c r="K627" s="96"/>
      <c r="L627" s="96" t="s">
        <v>536</v>
      </c>
      <c r="M627" s="96" t="s">
        <v>338</v>
      </c>
      <c r="N627" s="96" t="s">
        <v>338</v>
      </c>
      <c r="O627" s="96"/>
      <c r="P627" s="100">
        <v>45047</v>
      </c>
      <c r="Q627" s="96" t="s">
        <v>409</v>
      </c>
      <c r="R627" s="96" t="s">
        <v>409</v>
      </c>
      <c r="S627" s="96" t="s">
        <v>409</v>
      </c>
      <c r="T627" s="96" t="s">
        <v>1201</v>
      </c>
      <c r="U627" s="97">
        <v>1</v>
      </c>
      <c r="V627" s="96" t="s">
        <v>3678</v>
      </c>
      <c r="W627" s="98">
        <v>0.6</v>
      </c>
      <c r="X627" s="96"/>
      <c r="Y627" s="96"/>
      <c r="Z627" s="96"/>
      <c r="AA627" s="98">
        <v>0.8649</v>
      </c>
      <c r="AB627" s="100">
        <v>47149</v>
      </c>
      <c r="AC627" s="96" t="s">
        <v>411</v>
      </c>
      <c r="AD627" s="96"/>
      <c r="AE627" s="96"/>
      <c r="AF627" s="96"/>
      <c r="AG627" s="100">
        <v>44644</v>
      </c>
      <c r="AH627" s="96"/>
      <c r="AI627" s="96"/>
      <c r="AJ627" s="96"/>
      <c r="AK627" s="96" t="s">
        <v>337</v>
      </c>
      <c r="AL627" s="96" t="s">
        <v>887</v>
      </c>
      <c r="AM627" s="96"/>
      <c r="AN627" s="96" t="s">
        <v>890</v>
      </c>
      <c r="AO627" s="100">
        <v>45473</v>
      </c>
      <c r="AP627" s="100">
        <v>45473</v>
      </c>
      <c r="AQ627" s="96"/>
      <c r="AR627" s="97">
        <v>13007.925730999999</v>
      </c>
      <c r="AS627" s="97">
        <v>101.12</v>
      </c>
      <c r="AT627" s="97">
        <v>3.7589999999999999</v>
      </c>
      <c r="AU627" s="97">
        <v>49.444436000000003</v>
      </c>
      <c r="AV627" s="97">
        <v>13.153613999999999</v>
      </c>
      <c r="AW627" s="96"/>
      <c r="AX627" s="96"/>
      <c r="AY627" s="96"/>
      <c r="AZ627" s="96"/>
      <c r="BA627" s="98">
        <v>3.2299999999999999E-4</v>
      </c>
      <c r="BB627" s="98">
        <v>2.5000000000000001E-5</v>
      </c>
      <c r="BC627" s="106"/>
    </row>
    <row r="628" spans="1:55" ht="15" customHeight="1">
      <c r="A628" s="106"/>
      <c r="B628" s="96">
        <v>286</v>
      </c>
      <c r="C628" s="96">
        <v>286</v>
      </c>
      <c r="D628" s="96"/>
      <c r="E628" s="96"/>
      <c r="F628" s="96"/>
      <c r="G628" s="96">
        <v>25100610</v>
      </c>
      <c r="H628" s="96" t="s">
        <v>1013</v>
      </c>
      <c r="I628" s="96"/>
      <c r="J628" s="96" t="s">
        <v>204</v>
      </c>
      <c r="K628" s="96"/>
      <c r="L628" s="96" t="s">
        <v>536</v>
      </c>
      <c r="M628" s="96" t="s">
        <v>338</v>
      </c>
      <c r="N628" s="96" t="s">
        <v>338</v>
      </c>
      <c r="O628" s="96"/>
      <c r="P628" s="100">
        <v>45054</v>
      </c>
      <c r="Q628" s="96" t="s">
        <v>409</v>
      </c>
      <c r="R628" s="96" t="s">
        <v>409</v>
      </c>
      <c r="S628" s="96" t="s">
        <v>409</v>
      </c>
      <c r="T628" s="96" t="s">
        <v>1201</v>
      </c>
      <c r="U628" s="97">
        <v>1.21</v>
      </c>
      <c r="V628" s="96" t="s">
        <v>824</v>
      </c>
      <c r="W628" s="98">
        <v>0.67500000000000004</v>
      </c>
      <c r="X628" s="96"/>
      <c r="Y628" s="96"/>
      <c r="Z628" s="96"/>
      <c r="AA628" s="98">
        <v>0.58340000000000003</v>
      </c>
      <c r="AB628" s="100">
        <v>47149</v>
      </c>
      <c r="AC628" s="96" t="s">
        <v>411</v>
      </c>
      <c r="AD628" s="96"/>
      <c r="AE628" s="96"/>
      <c r="AF628" s="96"/>
      <c r="AG628" s="100">
        <v>45054</v>
      </c>
      <c r="AH628" s="96"/>
      <c r="AI628" s="96"/>
      <c r="AJ628" s="96"/>
      <c r="AK628" s="96" t="s">
        <v>337</v>
      </c>
      <c r="AL628" s="96" t="s">
        <v>887</v>
      </c>
      <c r="AM628" s="96"/>
      <c r="AN628" s="96" t="s">
        <v>890</v>
      </c>
      <c r="AO628" s="100">
        <v>45473</v>
      </c>
      <c r="AP628" s="100">
        <v>45473</v>
      </c>
      <c r="AQ628" s="96"/>
      <c r="AR628" s="97">
        <v>22763.178360999998</v>
      </c>
      <c r="AS628" s="97">
        <v>108.3</v>
      </c>
      <c r="AT628" s="97">
        <v>3.7589999999999999</v>
      </c>
      <c r="AU628" s="97">
        <v>92.66883</v>
      </c>
      <c r="AV628" s="97">
        <v>24.652522000000001</v>
      </c>
      <c r="AW628" s="96"/>
      <c r="AX628" s="96"/>
      <c r="AY628" s="96"/>
      <c r="AZ628" s="96"/>
      <c r="BA628" s="98">
        <v>6.0499999999999996E-4</v>
      </c>
      <c r="BB628" s="98">
        <v>4.8000000000000001E-5</v>
      </c>
      <c r="BC628" s="106"/>
    </row>
    <row r="629" spans="1:55" ht="15" customHeight="1">
      <c r="A629" s="106"/>
      <c r="B629" s="96">
        <v>286</v>
      </c>
      <c r="C629" s="96">
        <v>286</v>
      </c>
      <c r="D629" s="96"/>
      <c r="E629" s="96"/>
      <c r="F629" s="96"/>
      <c r="G629" s="96">
        <v>25100333</v>
      </c>
      <c r="H629" s="96" t="s">
        <v>1013</v>
      </c>
      <c r="I629" s="96" t="s">
        <v>812</v>
      </c>
      <c r="J629" s="96" t="s">
        <v>204</v>
      </c>
      <c r="K629" s="96"/>
      <c r="L629" s="96" t="s">
        <v>485</v>
      </c>
      <c r="M629" s="96" t="s">
        <v>338</v>
      </c>
      <c r="N629" s="96" t="s">
        <v>337</v>
      </c>
      <c r="O629" s="96"/>
      <c r="P629" s="100">
        <v>45071</v>
      </c>
      <c r="Q629" s="96" t="s">
        <v>1324</v>
      </c>
      <c r="R629" s="96" t="s">
        <v>412</v>
      </c>
      <c r="S629" s="96" t="s">
        <v>407</v>
      </c>
      <c r="T629" s="96" t="s">
        <v>1201</v>
      </c>
      <c r="U629" s="97">
        <v>2.67</v>
      </c>
      <c r="V629" s="96" t="s">
        <v>824</v>
      </c>
      <c r="W629" s="98">
        <v>5.1142E-2</v>
      </c>
      <c r="X629" s="96"/>
      <c r="Y629" s="96"/>
      <c r="Z629" s="96"/>
      <c r="AA629" s="98">
        <v>9.9900000000000003E-2</v>
      </c>
      <c r="AB629" s="100">
        <v>46990</v>
      </c>
      <c r="AC629" s="96" t="s">
        <v>411</v>
      </c>
      <c r="AD629" s="96"/>
      <c r="AE629" s="96"/>
      <c r="AF629" s="96"/>
      <c r="AG629" s="100">
        <v>45291</v>
      </c>
      <c r="AH629" s="96"/>
      <c r="AI629" s="96"/>
      <c r="AJ629" s="96"/>
      <c r="AK629" s="96" t="s">
        <v>337</v>
      </c>
      <c r="AL629" s="96" t="s">
        <v>887</v>
      </c>
      <c r="AM629" s="96"/>
      <c r="AN629" s="96" t="s">
        <v>890</v>
      </c>
      <c r="AO629" s="100">
        <v>45473</v>
      </c>
      <c r="AP629" s="100">
        <v>45473</v>
      </c>
      <c r="AQ629" s="96"/>
      <c r="AR629" s="97">
        <v>14170.824423</v>
      </c>
      <c r="AS629" s="97">
        <v>99.74</v>
      </c>
      <c r="AT629" s="97">
        <v>3.7589999999999999</v>
      </c>
      <c r="AU629" s="97">
        <v>53.129631000000003</v>
      </c>
      <c r="AV629" s="97">
        <v>14.133979999999999</v>
      </c>
      <c r="AW629" s="96"/>
      <c r="AX629" s="96"/>
      <c r="AY629" s="96"/>
      <c r="AZ629" s="96"/>
      <c r="BA629" s="98">
        <v>3.4699999999999998E-4</v>
      </c>
      <c r="BB629" s="98">
        <v>2.6999999999999999E-5</v>
      </c>
      <c r="BC629" s="106"/>
    </row>
    <row r="630" spans="1:55" ht="15" customHeight="1">
      <c r="A630" s="106"/>
      <c r="B630" s="96">
        <v>286</v>
      </c>
      <c r="C630" s="96">
        <v>286</v>
      </c>
      <c r="D630" s="96"/>
      <c r="E630" s="96"/>
      <c r="F630" s="96"/>
      <c r="G630" s="96">
        <v>25100239</v>
      </c>
      <c r="H630" s="96" t="s">
        <v>1013</v>
      </c>
      <c r="I630" s="96" t="s">
        <v>795</v>
      </c>
      <c r="J630" s="96" t="s">
        <v>204</v>
      </c>
      <c r="K630" s="96"/>
      <c r="L630" s="96" t="s">
        <v>567</v>
      </c>
      <c r="M630" s="96" t="s">
        <v>338</v>
      </c>
      <c r="N630" s="96" t="s">
        <v>337</v>
      </c>
      <c r="O630" s="96"/>
      <c r="P630" s="100">
        <v>44672</v>
      </c>
      <c r="Q630" s="96" t="s">
        <v>409</v>
      </c>
      <c r="R630" s="96" t="s">
        <v>409</v>
      </c>
      <c r="S630" s="96" t="s">
        <v>409</v>
      </c>
      <c r="T630" s="96" t="s">
        <v>1201</v>
      </c>
      <c r="U630" s="97">
        <v>0.01</v>
      </c>
      <c r="V630" s="96" t="s">
        <v>824</v>
      </c>
      <c r="W630" s="98">
        <v>0.13170000000000001</v>
      </c>
      <c r="X630" s="96"/>
      <c r="Y630" s="96"/>
      <c r="Z630" s="96"/>
      <c r="AA630" s="98">
        <v>7.1599999999999997E-2</v>
      </c>
      <c r="AB630" s="100">
        <v>45504</v>
      </c>
      <c r="AC630" s="96" t="s">
        <v>411</v>
      </c>
      <c r="AD630" s="96"/>
      <c r="AE630" s="96"/>
      <c r="AF630" s="96"/>
      <c r="AG630" s="100">
        <v>44903</v>
      </c>
      <c r="AH630" s="96"/>
      <c r="AI630" s="96"/>
      <c r="AJ630" s="96"/>
      <c r="AK630" s="96" t="s">
        <v>337</v>
      </c>
      <c r="AL630" s="96" t="s">
        <v>887</v>
      </c>
      <c r="AM630" s="96"/>
      <c r="AN630" s="96" t="s">
        <v>890</v>
      </c>
      <c r="AO630" s="100">
        <v>45473</v>
      </c>
      <c r="AP630" s="100">
        <v>45473</v>
      </c>
      <c r="AQ630" s="96"/>
      <c r="AR630" s="97">
        <v>106441.517305</v>
      </c>
      <c r="AS630" s="97">
        <v>103.3</v>
      </c>
      <c r="AT630" s="97">
        <v>3.7589999999999999</v>
      </c>
      <c r="AU630" s="97">
        <v>413.31741399999999</v>
      </c>
      <c r="AV630" s="97">
        <v>109.954087</v>
      </c>
      <c r="AW630" s="96"/>
      <c r="AX630" s="96"/>
      <c r="AY630" s="96"/>
      <c r="AZ630" s="96"/>
      <c r="BA630" s="98">
        <v>2.7000000000000001E-3</v>
      </c>
      <c r="BB630" s="98">
        <v>2.1499999999999999E-4</v>
      </c>
      <c r="BC630" s="106"/>
    </row>
    <row r="631" spans="1:55" ht="15" customHeight="1">
      <c r="A631" s="106"/>
      <c r="B631" s="96">
        <v>286</v>
      </c>
      <c r="C631" s="96">
        <v>286</v>
      </c>
      <c r="D631" s="96"/>
      <c r="E631" s="96"/>
      <c r="F631" s="96"/>
      <c r="G631" s="96">
        <v>25100238</v>
      </c>
      <c r="H631" s="96" t="s">
        <v>1013</v>
      </c>
      <c r="I631" s="96" t="s">
        <v>785</v>
      </c>
      <c r="J631" s="96" t="s">
        <v>204</v>
      </c>
      <c r="K631" s="96"/>
      <c r="L631" s="96" t="s">
        <v>567</v>
      </c>
      <c r="M631" s="96" t="s">
        <v>338</v>
      </c>
      <c r="N631" s="96" t="s">
        <v>338</v>
      </c>
      <c r="O631" s="96"/>
      <c r="P631" s="100">
        <v>44665</v>
      </c>
      <c r="Q631" s="96" t="s">
        <v>3681</v>
      </c>
      <c r="R631" s="96" t="s">
        <v>311</v>
      </c>
      <c r="S631" s="96" t="s">
        <v>407</v>
      </c>
      <c r="T631" s="96" t="s">
        <v>1205</v>
      </c>
      <c r="U631" s="97">
        <v>1.26</v>
      </c>
      <c r="V631" s="96" t="s">
        <v>3678</v>
      </c>
      <c r="W631" s="98">
        <v>4.41E-2</v>
      </c>
      <c r="X631" s="96"/>
      <c r="Y631" s="96"/>
      <c r="Z631" s="96"/>
      <c r="AA631" s="98">
        <v>7.5899999999999995E-2</v>
      </c>
      <c r="AB631" s="100">
        <v>45944</v>
      </c>
      <c r="AC631" s="96" t="s">
        <v>411</v>
      </c>
      <c r="AD631" s="96"/>
      <c r="AE631" s="96"/>
      <c r="AF631" s="96"/>
      <c r="AG631" s="100">
        <v>44926</v>
      </c>
      <c r="AH631" s="96"/>
      <c r="AI631" s="96"/>
      <c r="AJ631" s="96"/>
      <c r="AK631" s="96" t="s">
        <v>337</v>
      </c>
      <c r="AL631" s="96" t="s">
        <v>887</v>
      </c>
      <c r="AM631" s="96"/>
      <c r="AN631" s="96" t="s">
        <v>890</v>
      </c>
      <c r="AO631" s="100">
        <v>45473</v>
      </c>
      <c r="AP631" s="100">
        <v>45473</v>
      </c>
      <c r="AQ631" s="96"/>
      <c r="AR631" s="97">
        <v>80338.200591999994</v>
      </c>
      <c r="AS631" s="97">
        <v>97.25</v>
      </c>
      <c r="AT631" s="97">
        <v>4.7504999999999997</v>
      </c>
      <c r="AU631" s="97">
        <v>371.15133900000001</v>
      </c>
      <c r="AV631" s="97">
        <v>78.128900000000002</v>
      </c>
      <c r="AW631" s="96"/>
      <c r="AX631" s="96"/>
      <c r="AY631" s="96"/>
      <c r="AZ631" s="96"/>
      <c r="BA631" s="98">
        <v>2.4250000000000001E-3</v>
      </c>
      <c r="BB631" s="98">
        <v>1.93E-4</v>
      </c>
      <c r="BC631" s="106"/>
    </row>
    <row r="632" spans="1:55" ht="15" customHeight="1">
      <c r="A632" s="106"/>
      <c r="B632" s="96">
        <v>286</v>
      </c>
      <c r="C632" s="96">
        <v>286</v>
      </c>
      <c r="D632" s="96"/>
      <c r="E632" s="96"/>
      <c r="F632" s="96"/>
      <c r="G632" s="96">
        <v>25100093</v>
      </c>
      <c r="H632" s="96" t="s">
        <v>1013</v>
      </c>
      <c r="I632" s="96" t="s">
        <v>813</v>
      </c>
      <c r="J632" s="96" t="s">
        <v>204</v>
      </c>
      <c r="K632" s="96"/>
      <c r="L632" s="96" t="s">
        <v>485</v>
      </c>
      <c r="M632" s="96" t="s">
        <v>338</v>
      </c>
      <c r="N632" s="96" t="s">
        <v>337</v>
      </c>
      <c r="O632" s="96"/>
      <c r="P632" s="100">
        <v>43570</v>
      </c>
      <c r="Q632" s="96" t="s">
        <v>3689</v>
      </c>
      <c r="R632" s="96" t="s">
        <v>430</v>
      </c>
      <c r="S632" s="96" t="s">
        <v>407</v>
      </c>
      <c r="T632" s="96" t="s">
        <v>1201</v>
      </c>
      <c r="U632" s="97">
        <v>1.42</v>
      </c>
      <c r="V632" s="96" t="s">
        <v>824</v>
      </c>
      <c r="W632" s="98">
        <v>3.7499999999999999E-2</v>
      </c>
      <c r="X632" s="96"/>
      <c r="Y632" s="96"/>
      <c r="Z632" s="96"/>
      <c r="AA632" s="98">
        <v>8.2799999999999999E-2</v>
      </c>
      <c r="AB632" s="100">
        <v>46053</v>
      </c>
      <c r="AC632" s="96" t="s">
        <v>411</v>
      </c>
      <c r="AD632" s="96"/>
      <c r="AE632" s="96"/>
      <c r="AF632" s="96"/>
      <c r="AG632" s="100">
        <v>44926</v>
      </c>
      <c r="AH632" s="96"/>
      <c r="AI632" s="96"/>
      <c r="AJ632" s="96"/>
      <c r="AK632" s="96" t="s">
        <v>337</v>
      </c>
      <c r="AL632" s="96" t="s">
        <v>887</v>
      </c>
      <c r="AM632" s="96"/>
      <c r="AN632" s="96" t="s">
        <v>890</v>
      </c>
      <c r="AO632" s="100">
        <v>45473</v>
      </c>
      <c r="AP632" s="100">
        <v>45473</v>
      </c>
      <c r="AQ632" s="96"/>
      <c r="AR632" s="97">
        <v>97724.604393000001</v>
      </c>
      <c r="AS632" s="97">
        <v>108.14</v>
      </c>
      <c r="AT632" s="97">
        <v>3.7589999999999999</v>
      </c>
      <c r="AU632" s="97">
        <v>397.24881599999998</v>
      </c>
      <c r="AV632" s="97">
        <v>105.67938700000001</v>
      </c>
      <c r="AW632" s="96"/>
      <c r="AX632" s="96"/>
      <c r="AY632" s="96"/>
      <c r="AZ632" s="96"/>
      <c r="BA632" s="98">
        <v>2.5950000000000001E-3</v>
      </c>
      <c r="BB632" s="98">
        <v>2.0599999999999999E-4</v>
      </c>
      <c r="BC632" s="106"/>
    </row>
    <row r="633" spans="1:55" ht="15" customHeight="1">
      <c r="A633" s="106"/>
      <c r="B633" s="96">
        <v>286</v>
      </c>
      <c r="C633" s="96">
        <v>286</v>
      </c>
      <c r="D633" s="96"/>
      <c r="E633" s="96"/>
      <c r="F633" s="96"/>
      <c r="G633" s="96">
        <v>25100088</v>
      </c>
      <c r="H633" s="96" t="s">
        <v>1013</v>
      </c>
      <c r="I633" s="96" t="s">
        <v>813</v>
      </c>
      <c r="J633" s="96" t="s">
        <v>204</v>
      </c>
      <c r="K633" s="96"/>
      <c r="L633" s="96" t="s">
        <v>485</v>
      </c>
      <c r="M633" s="96" t="s">
        <v>338</v>
      </c>
      <c r="N633" s="96" t="s">
        <v>337</v>
      </c>
      <c r="O633" s="96"/>
      <c r="P633" s="100">
        <v>43546</v>
      </c>
      <c r="Q633" s="96" t="s">
        <v>2290</v>
      </c>
      <c r="R633" s="96" t="s">
        <v>430</v>
      </c>
      <c r="S633" s="96" t="s">
        <v>407</v>
      </c>
      <c r="T633" s="96" t="s">
        <v>1201</v>
      </c>
      <c r="U633" s="97">
        <v>0.71</v>
      </c>
      <c r="V633" s="96" t="s">
        <v>824</v>
      </c>
      <c r="W633" s="98">
        <v>9.3361990000000006E-2</v>
      </c>
      <c r="X633" s="96"/>
      <c r="Y633" s="96"/>
      <c r="Z633" s="96"/>
      <c r="AA633" s="98">
        <v>9.0200000000000002E-2</v>
      </c>
      <c r="AB633" s="100">
        <v>45738</v>
      </c>
      <c r="AC633" s="96" t="s">
        <v>411</v>
      </c>
      <c r="AD633" s="96"/>
      <c r="AE633" s="96"/>
      <c r="AF633" s="96"/>
      <c r="AG633" s="100">
        <v>45291</v>
      </c>
      <c r="AH633" s="96"/>
      <c r="AI633" s="96"/>
      <c r="AJ633" s="96"/>
      <c r="AK633" s="96" t="s">
        <v>337</v>
      </c>
      <c r="AL633" s="96" t="s">
        <v>887</v>
      </c>
      <c r="AM633" s="96"/>
      <c r="AN633" s="96" t="s">
        <v>890</v>
      </c>
      <c r="AO633" s="100">
        <v>45473</v>
      </c>
      <c r="AP633" s="100">
        <v>45473</v>
      </c>
      <c r="AQ633" s="96"/>
      <c r="AR633" s="97">
        <v>145946.08405500001</v>
      </c>
      <c r="AS633" s="97">
        <v>103.16</v>
      </c>
      <c r="AT633" s="97">
        <v>3.7589999999999999</v>
      </c>
      <c r="AU633" s="97">
        <v>565.94744700000001</v>
      </c>
      <c r="AV633" s="97">
        <v>150.55797999999999</v>
      </c>
      <c r="AW633" s="96"/>
      <c r="AX633" s="96"/>
      <c r="AY633" s="96"/>
      <c r="AZ633" s="96"/>
      <c r="BA633" s="98">
        <v>3.6979999999999999E-3</v>
      </c>
      <c r="BB633" s="98">
        <v>2.9399999999999999E-4</v>
      </c>
      <c r="BC633" s="106"/>
    </row>
    <row r="634" spans="1:55" ht="15" customHeight="1">
      <c r="A634" s="106"/>
      <c r="B634" s="96">
        <v>286</v>
      </c>
      <c r="C634" s="96">
        <v>286</v>
      </c>
      <c r="D634" s="96"/>
      <c r="E634" s="96"/>
      <c r="F634" s="96"/>
      <c r="G634" s="96">
        <v>25100600</v>
      </c>
      <c r="H634" s="96" t="s">
        <v>1013</v>
      </c>
      <c r="I634" s="96"/>
      <c r="J634" s="96" t="s">
        <v>204</v>
      </c>
      <c r="K634" s="96"/>
      <c r="L634" s="96" t="s">
        <v>536</v>
      </c>
      <c r="M634" s="96" t="s">
        <v>338</v>
      </c>
      <c r="N634" s="96" t="s">
        <v>338</v>
      </c>
      <c r="O634" s="96"/>
      <c r="P634" s="100">
        <v>45054</v>
      </c>
      <c r="Q634" s="96" t="s">
        <v>1698</v>
      </c>
      <c r="R634" s="96" t="s">
        <v>311</v>
      </c>
      <c r="S634" s="96" t="s">
        <v>407</v>
      </c>
      <c r="T634" s="96" t="s">
        <v>1201</v>
      </c>
      <c r="U634" s="97">
        <v>1.62</v>
      </c>
      <c r="V634" s="96" t="s">
        <v>824</v>
      </c>
      <c r="W634" s="98">
        <v>9.5000000000000001E-2</v>
      </c>
      <c r="X634" s="96"/>
      <c r="Y634" s="96"/>
      <c r="Z634" s="96"/>
      <c r="AA634" s="98">
        <v>6.2300000000000001E-2</v>
      </c>
      <c r="AB634" s="100">
        <v>47087</v>
      </c>
      <c r="AC634" s="96" t="s">
        <v>411</v>
      </c>
      <c r="AD634" s="96"/>
      <c r="AE634" s="96"/>
      <c r="AF634" s="96"/>
      <c r="AG634" s="100">
        <v>45054</v>
      </c>
      <c r="AH634" s="96"/>
      <c r="AI634" s="96"/>
      <c r="AJ634" s="96"/>
      <c r="AK634" s="96" t="s">
        <v>337</v>
      </c>
      <c r="AL634" s="96" t="s">
        <v>887</v>
      </c>
      <c r="AM634" s="96"/>
      <c r="AN634" s="96" t="s">
        <v>890</v>
      </c>
      <c r="AO634" s="100">
        <v>45473</v>
      </c>
      <c r="AP634" s="100">
        <v>45473</v>
      </c>
      <c r="AQ634" s="96"/>
      <c r="AR634" s="97">
        <v>156718.01314699999</v>
      </c>
      <c r="AS634" s="97">
        <v>102.76</v>
      </c>
      <c r="AT634" s="97">
        <v>3.7589999999999999</v>
      </c>
      <c r="AU634" s="97">
        <v>605.36225400000001</v>
      </c>
      <c r="AV634" s="97">
        <v>161.04343</v>
      </c>
      <c r="AW634" s="96"/>
      <c r="AX634" s="96"/>
      <c r="AY634" s="96"/>
      <c r="AZ634" s="96"/>
      <c r="BA634" s="98">
        <v>3.9550000000000002E-3</v>
      </c>
      <c r="BB634" s="98">
        <v>3.1500000000000001E-4</v>
      </c>
      <c r="BC634" s="106"/>
    </row>
    <row r="635" spans="1:55" ht="15" customHeight="1">
      <c r="A635" s="106"/>
      <c r="B635" s="96">
        <v>286</v>
      </c>
      <c r="C635" s="96">
        <v>14418</v>
      </c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  <c r="AC635" s="96"/>
      <c r="AD635" s="96"/>
      <c r="AE635" s="96"/>
      <c r="AF635" s="96"/>
      <c r="AG635" s="96"/>
      <c r="AH635" s="96"/>
      <c r="AI635" s="96"/>
      <c r="AJ635" s="96"/>
      <c r="AK635" s="96"/>
      <c r="AL635" s="96"/>
      <c r="AM635" s="96"/>
      <c r="AN635" s="96"/>
      <c r="AO635" s="96"/>
      <c r="AP635" s="96"/>
      <c r="AQ635" s="96"/>
      <c r="AR635" s="96"/>
      <c r="AS635" s="96"/>
      <c r="AT635" s="96"/>
      <c r="AU635" s="96"/>
      <c r="AV635" s="96"/>
      <c r="AW635" s="96"/>
      <c r="AX635" s="96"/>
      <c r="AY635" s="96"/>
      <c r="AZ635" s="96"/>
      <c r="BA635" s="96"/>
      <c r="BB635" s="96"/>
      <c r="BC635" s="106"/>
    </row>
    <row r="636" spans="1:55" ht="15" customHeight="1">
      <c r="A636" s="106"/>
      <c r="B636" s="96">
        <v>286</v>
      </c>
      <c r="C636" s="96">
        <v>1446</v>
      </c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  <c r="AC636" s="96"/>
      <c r="AD636" s="96"/>
      <c r="AE636" s="96"/>
      <c r="AF636" s="96"/>
      <c r="AG636" s="96"/>
      <c r="AH636" s="96"/>
      <c r="AI636" s="96"/>
      <c r="AJ636" s="96"/>
      <c r="AK636" s="96"/>
      <c r="AL636" s="96"/>
      <c r="AM636" s="96"/>
      <c r="AN636" s="96"/>
      <c r="AO636" s="96"/>
      <c r="AP636" s="96"/>
      <c r="AQ636" s="96"/>
      <c r="AR636" s="96"/>
      <c r="AS636" s="96"/>
      <c r="AT636" s="96"/>
      <c r="AU636" s="96"/>
      <c r="AV636" s="96"/>
      <c r="AW636" s="96"/>
      <c r="AX636" s="96"/>
      <c r="AY636" s="96"/>
      <c r="AZ636" s="96"/>
      <c r="BA636" s="96"/>
      <c r="BB636" s="96"/>
      <c r="BC636" s="106"/>
    </row>
    <row r="637" spans="1:55" ht="15" customHeight="1">
      <c r="A637" s="106"/>
      <c r="B637" s="96">
        <v>286</v>
      </c>
      <c r="C637" s="96">
        <v>9803</v>
      </c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  <c r="AC637" s="96"/>
      <c r="AD637" s="96"/>
      <c r="AE637" s="96"/>
      <c r="AF637" s="96"/>
      <c r="AG637" s="96"/>
      <c r="AH637" s="96"/>
      <c r="AI637" s="96"/>
      <c r="AJ637" s="96"/>
      <c r="AK637" s="96"/>
      <c r="AL637" s="96"/>
      <c r="AM637" s="96"/>
      <c r="AN637" s="96"/>
      <c r="AO637" s="96"/>
      <c r="AP637" s="96"/>
      <c r="AQ637" s="96"/>
      <c r="AR637" s="96"/>
      <c r="AS637" s="96"/>
      <c r="AT637" s="96"/>
      <c r="AU637" s="96"/>
      <c r="AV637" s="96"/>
      <c r="AW637" s="96"/>
      <c r="AX637" s="96"/>
      <c r="AY637" s="96"/>
      <c r="AZ637" s="96"/>
      <c r="BA637" s="96"/>
      <c r="BB637" s="96"/>
      <c r="BC637" s="106"/>
    </row>
    <row r="638" spans="1:55" ht="15" customHeight="1">
      <c r="A638" s="106"/>
      <c r="B638" s="105" t="s">
        <v>3767</v>
      </c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  <c r="AG638" s="105"/>
      <c r="AH638" s="105"/>
      <c r="AI638" s="105"/>
      <c r="AJ638" s="105"/>
      <c r="AK638" s="105"/>
      <c r="AL638" s="105"/>
      <c r="AM638" s="105"/>
      <c r="AN638" s="105"/>
      <c r="AO638" s="105"/>
      <c r="AP638" s="105"/>
      <c r="AQ638" s="105"/>
      <c r="AR638" s="105"/>
      <c r="AS638" s="105"/>
      <c r="AT638" s="105"/>
      <c r="AU638" s="105"/>
      <c r="AV638" s="105"/>
      <c r="AW638" s="105"/>
      <c r="AX638" s="105"/>
      <c r="AY638" s="105"/>
      <c r="AZ638" s="105"/>
      <c r="BA638" s="105"/>
      <c r="BB638" s="105"/>
      <c r="BC638" s="106"/>
    </row>
  </sheetData>
  <mergeCells count="4">
    <mergeCell ref="B638:BB638"/>
    <mergeCell ref="A1:A638"/>
    <mergeCell ref="B1:BB1"/>
    <mergeCell ref="BC1:BC638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F44"/>
  <sheetViews>
    <sheetView rightToLeft="1" workbookViewId="0">
      <selection sqref="A1:A44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29.875" bestFit="1" customWidth="1"/>
    <col min="5" max="5" width="25.125" bestFit="1" customWidth="1"/>
    <col min="6" max="6" width="9.125" bestFit="1" customWidth="1"/>
    <col min="7" max="7" width="27.125" bestFit="1" customWidth="1"/>
    <col min="8" max="8" width="15" bestFit="1" customWidth="1"/>
    <col min="9" max="9" width="11" bestFit="1" customWidth="1"/>
    <col min="10" max="10" width="30.375" bestFit="1" customWidth="1"/>
    <col min="11" max="11" width="8.75" bestFit="1" customWidth="1"/>
    <col min="12" max="12" width="10.75" bestFit="1" customWidth="1"/>
    <col min="13" max="13" width="9.625" bestFit="1" customWidth="1"/>
    <col min="14" max="14" width="9.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25" bestFit="1" customWidth="1"/>
    <col min="22" max="22" width="10.375" bestFit="1" customWidth="1"/>
    <col min="23" max="23" width="9.625" bestFit="1" customWidth="1"/>
    <col min="24" max="24" width="10.875" bestFit="1" customWidth="1"/>
    <col min="25" max="25" width="10.625" bestFit="1" customWidth="1"/>
    <col min="26" max="26" width="11.875" bestFit="1" customWidth="1"/>
    <col min="27" max="27" width="8.625" bestFit="1" customWidth="1"/>
    <col min="28" max="28" width="11" bestFit="1" customWidth="1"/>
    <col min="29" max="29" width="9.875" bestFit="1" customWidth="1"/>
    <col min="30" max="30" width="11" bestFit="1" customWidth="1"/>
    <col min="31" max="31" width="10.375" bestFit="1" customWidth="1"/>
    <col min="32" max="32" width="3.125" customWidth="1"/>
  </cols>
  <sheetData>
    <row r="1" spans="1:32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6" t="s">
        <v>3766</v>
      </c>
    </row>
    <row r="2" spans="1:32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56</v>
      </c>
      <c r="N2" s="21" t="s">
        <v>96</v>
      </c>
      <c r="O2" s="21" t="s">
        <v>97</v>
      </c>
      <c r="P2" s="21" t="s">
        <v>71</v>
      </c>
      <c r="Q2" s="21" t="s">
        <v>58</v>
      </c>
      <c r="R2" s="21" t="s">
        <v>84</v>
      </c>
      <c r="S2" s="21" t="s">
        <v>59</v>
      </c>
      <c r="T2" s="21" t="s">
        <v>72</v>
      </c>
      <c r="U2" s="21" t="s">
        <v>62</v>
      </c>
      <c r="V2" s="21" t="s">
        <v>74</v>
      </c>
      <c r="W2" s="21" t="s">
        <v>103</v>
      </c>
      <c r="X2" s="21" t="s">
        <v>104</v>
      </c>
      <c r="Y2" s="21" t="s">
        <v>106</v>
      </c>
      <c r="Z2" s="21" t="s">
        <v>76</v>
      </c>
      <c r="AA2" s="21" t="s">
        <v>61</v>
      </c>
      <c r="AB2" s="21" t="s">
        <v>77</v>
      </c>
      <c r="AC2" s="21" t="s">
        <v>63</v>
      </c>
      <c r="AD2" s="21" t="s">
        <v>64</v>
      </c>
      <c r="AE2" s="21" t="s">
        <v>65</v>
      </c>
      <c r="AF2" s="106"/>
    </row>
    <row r="3" spans="1:32" ht="15" customHeight="1">
      <c r="A3" s="106"/>
      <c r="B3" s="96">
        <v>286</v>
      </c>
      <c r="C3" s="96">
        <v>1445</v>
      </c>
      <c r="D3" s="96" t="s">
        <v>3691</v>
      </c>
      <c r="E3" s="96" t="s">
        <v>3692</v>
      </c>
      <c r="F3" s="96" t="s">
        <v>312</v>
      </c>
      <c r="G3" s="96" t="s">
        <v>3693</v>
      </c>
      <c r="H3" s="96" t="s">
        <v>3694</v>
      </c>
      <c r="I3" s="96" t="s">
        <v>320</v>
      </c>
      <c r="J3" s="96" t="s">
        <v>1025</v>
      </c>
      <c r="K3" s="96" t="s">
        <v>204</v>
      </c>
      <c r="L3" s="96" t="s">
        <v>223</v>
      </c>
      <c r="M3" s="96" t="s">
        <v>338</v>
      </c>
      <c r="N3" s="96" t="s">
        <v>750</v>
      </c>
      <c r="O3" s="100">
        <v>45198</v>
      </c>
      <c r="P3" s="96" t="s">
        <v>3685</v>
      </c>
      <c r="Q3" s="96" t="s">
        <v>422</v>
      </c>
      <c r="R3" s="96" t="s">
        <v>406</v>
      </c>
      <c r="S3" s="96" t="s">
        <v>1201</v>
      </c>
      <c r="T3" s="97">
        <v>0.25</v>
      </c>
      <c r="U3" s="98">
        <v>7.7399990000000002E-2</v>
      </c>
      <c r="V3" s="98">
        <v>7.5399999999999995E-2</v>
      </c>
      <c r="W3" s="96" t="s">
        <v>887</v>
      </c>
      <c r="X3" s="96" t="s">
        <v>890</v>
      </c>
      <c r="Y3" s="100">
        <v>45471</v>
      </c>
      <c r="Z3" s="97">
        <v>1748.4966099999999</v>
      </c>
      <c r="AA3" s="97">
        <v>3.7589999999999999</v>
      </c>
      <c r="AB3" s="97">
        <v>102.8974</v>
      </c>
      <c r="AC3" s="97">
        <v>6.7630350000000004</v>
      </c>
      <c r="AD3" s="98">
        <v>1.8334E-2</v>
      </c>
      <c r="AE3" s="98">
        <v>1.2799999999999999E-4</v>
      </c>
      <c r="AF3" s="106"/>
    </row>
    <row r="4" spans="1:32" ht="15" customHeight="1">
      <c r="A4" s="106"/>
      <c r="B4" s="96">
        <v>286</v>
      </c>
      <c r="C4" s="96">
        <v>1445</v>
      </c>
      <c r="D4" s="96" t="s">
        <v>3695</v>
      </c>
      <c r="E4" s="96" t="s">
        <v>3696</v>
      </c>
      <c r="F4" s="96" t="s">
        <v>312</v>
      </c>
      <c r="G4" s="96" t="s">
        <v>3697</v>
      </c>
      <c r="H4" s="96" t="s">
        <v>3698</v>
      </c>
      <c r="I4" s="96" t="s">
        <v>320</v>
      </c>
      <c r="J4" s="96" t="s">
        <v>1025</v>
      </c>
      <c r="K4" s="96" t="s">
        <v>204</v>
      </c>
      <c r="L4" s="96" t="s">
        <v>219</v>
      </c>
      <c r="M4" s="96" t="s">
        <v>338</v>
      </c>
      <c r="N4" s="96" t="s">
        <v>750</v>
      </c>
      <c r="O4" s="100">
        <v>45470</v>
      </c>
      <c r="P4" s="96" t="s">
        <v>3685</v>
      </c>
      <c r="Q4" s="96" t="s">
        <v>422</v>
      </c>
      <c r="R4" s="96" t="s">
        <v>406</v>
      </c>
      <c r="S4" s="96" t="s">
        <v>1202</v>
      </c>
      <c r="T4" s="97">
        <v>0.25</v>
      </c>
      <c r="U4" s="98">
        <v>5.5E-2</v>
      </c>
      <c r="V4" s="98">
        <v>5.5E-2</v>
      </c>
      <c r="W4" s="96" t="s">
        <v>887</v>
      </c>
      <c r="X4" s="96" t="s">
        <v>890</v>
      </c>
      <c r="Y4" s="100">
        <v>45471</v>
      </c>
      <c r="Z4" s="97">
        <v>1942.7740120000001</v>
      </c>
      <c r="AA4" s="97">
        <v>4.0202</v>
      </c>
      <c r="AB4" s="97">
        <v>100.0458</v>
      </c>
      <c r="AC4" s="97">
        <v>7.8139190000000003</v>
      </c>
      <c r="AD4" s="98">
        <v>2.1183E-2</v>
      </c>
      <c r="AE4" s="98">
        <v>1.4799999999999999E-4</v>
      </c>
      <c r="AF4" s="106"/>
    </row>
    <row r="5" spans="1:32" ht="15" customHeight="1">
      <c r="A5" s="106"/>
      <c r="B5" s="96">
        <v>286</v>
      </c>
      <c r="C5" s="96">
        <v>1445</v>
      </c>
      <c r="D5" s="96" t="s">
        <v>3695</v>
      </c>
      <c r="E5" s="96" t="s">
        <v>3696</v>
      </c>
      <c r="F5" s="96" t="s">
        <v>312</v>
      </c>
      <c r="G5" s="96" t="s">
        <v>3699</v>
      </c>
      <c r="H5" s="96" t="s">
        <v>3700</v>
      </c>
      <c r="I5" s="96" t="s">
        <v>320</v>
      </c>
      <c r="J5" s="96" t="s">
        <v>1025</v>
      </c>
      <c r="K5" s="96" t="s">
        <v>204</v>
      </c>
      <c r="L5" s="96" t="s">
        <v>232</v>
      </c>
      <c r="M5" s="96" t="s">
        <v>338</v>
      </c>
      <c r="N5" s="96" t="s">
        <v>750</v>
      </c>
      <c r="O5" s="100">
        <v>45364</v>
      </c>
      <c r="P5" s="96" t="s">
        <v>3685</v>
      </c>
      <c r="Q5" s="96" t="s">
        <v>422</v>
      </c>
      <c r="R5" s="96" t="s">
        <v>406</v>
      </c>
      <c r="S5" s="96" t="s">
        <v>1202</v>
      </c>
      <c r="T5" s="97">
        <v>0.25</v>
      </c>
      <c r="U5" s="98">
        <v>2.1000000000000001E-2</v>
      </c>
      <c r="V5" s="98">
        <v>4.7600000000000003E-2</v>
      </c>
      <c r="W5" s="96" t="s">
        <v>887</v>
      </c>
      <c r="X5" s="96" t="s">
        <v>890</v>
      </c>
      <c r="Y5" s="100">
        <v>45471</v>
      </c>
      <c r="Z5" s="97">
        <v>6216.8768380000001</v>
      </c>
      <c r="AA5" s="97">
        <v>4.0202</v>
      </c>
      <c r="AB5" s="97">
        <v>101.5094</v>
      </c>
      <c r="AC5" s="97">
        <v>25.370339999999999</v>
      </c>
      <c r="AD5" s="98">
        <v>6.8778000000000006E-2</v>
      </c>
      <c r="AE5" s="98">
        <v>4.8299999999999998E-4</v>
      </c>
      <c r="AF5" s="106"/>
    </row>
    <row r="6" spans="1:32" ht="15" customHeight="1">
      <c r="A6" s="106"/>
      <c r="B6" s="96">
        <v>286</v>
      </c>
      <c r="C6" s="96">
        <v>1445</v>
      </c>
      <c r="D6" s="96" t="s">
        <v>3701</v>
      </c>
      <c r="E6" s="96">
        <v>516576212</v>
      </c>
      <c r="F6" s="96" t="s">
        <v>308</v>
      </c>
      <c r="G6" s="96" t="s">
        <v>3702</v>
      </c>
      <c r="H6" s="96" t="s">
        <v>3703</v>
      </c>
      <c r="I6" s="96" t="s">
        <v>320</v>
      </c>
      <c r="J6" s="96" t="s">
        <v>1027</v>
      </c>
      <c r="K6" s="96" t="s">
        <v>204</v>
      </c>
      <c r="L6" s="96" t="s">
        <v>216</v>
      </c>
      <c r="M6" s="96" t="s">
        <v>338</v>
      </c>
      <c r="N6" s="96" t="s">
        <v>750</v>
      </c>
      <c r="O6" s="100">
        <v>45463</v>
      </c>
      <c r="P6" s="96" t="s">
        <v>409</v>
      </c>
      <c r="Q6" s="96" t="s">
        <v>409</v>
      </c>
      <c r="R6" s="96" t="s">
        <v>409</v>
      </c>
      <c r="S6" s="96" t="s">
        <v>1201</v>
      </c>
      <c r="T6" s="97">
        <v>0.25</v>
      </c>
      <c r="U6" s="98">
        <v>1.7999999999999999E-2</v>
      </c>
      <c r="V6" s="98">
        <v>7.1499999999999994E-2</v>
      </c>
      <c r="W6" s="96" t="s">
        <v>887</v>
      </c>
      <c r="X6" s="96" t="s">
        <v>890</v>
      </c>
      <c r="Y6" s="100">
        <v>45471</v>
      </c>
      <c r="Z6" s="97">
        <v>5634.0446350000002</v>
      </c>
      <c r="AA6" s="97">
        <v>3.7589999999999999</v>
      </c>
      <c r="AB6" s="97">
        <v>100.04989999999999</v>
      </c>
      <c r="AC6" s="97">
        <v>21.188962</v>
      </c>
      <c r="AD6" s="98">
        <v>5.7442E-2</v>
      </c>
      <c r="AE6" s="98">
        <v>4.0299999999999998E-4</v>
      </c>
      <c r="AF6" s="106"/>
    </row>
    <row r="7" spans="1:32" ht="15" customHeight="1">
      <c r="A7" s="106"/>
      <c r="B7" s="96">
        <v>286</v>
      </c>
      <c r="C7" s="96">
        <v>1445</v>
      </c>
      <c r="D7" s="96" t="s">
        <v>3704</v>
      </c>
      <c r="E7" s="96" t="s">
        <v>3705</v>
      </c>
      <c r="F7" s="96" t="s">
        <v>312</v>
      </c>
      <c r="G7" s="96" t="s">
        <v>3706</v>
      </c>
      <c r="H7" s="96" t="s">
        <v>3707</v>
      </c>
      <c r="I7" s="96" t="s">
        <v>320</v>
      </c>
      <c r="J7" s="96" t="s">
        <v>1025</v>
      </c>
      <c r="K7" s="96" t="s">
        <v>204</v>
      </c>
      <c r="L7" s="96" t="s">
        <v>280</v>
      </c>
      <c r="M7" s="96" t="s">
        <v>338</v>
      </c>
      <c r="N7" s="96" t="s">
        <v>750</v>
      </c>
      <c r="O7" s="100">
        <v>44706</v>
      </c>
      <c r="P7" s="96" t="s">
        <v>3685</v>
      </c>
      <c r="Q7" s="96" t="s">
        <v>422</v>
      </c>
      <c r="R7" s="96" t="s">
        <v>406</v>
      </c>
      <c r="S7" s="96" t="s">
        <v>1202</v>
      </c>
      <c r="T7" s="97">
        <v>0.25</v>
      </c>
      <c r="U7" s="98">
        <v>2.1499999999999998E-2</v>
      </c>
      <c r="V7" s="98">
        <v>4.8399999999999999E-2</v>
      </c>
      <c r="W7" s="96" t="s">
        <v>887</v>
      </c>
      <c r="X7" s="96" t="s">
        <v>890</v>
      </c>
      <c r="Y7" s="100">
        <v>45471</v>
      </c>
      <c r="Z7" s="97">
        <v>7161.0650079999996</v>
      </c>
      <c r="AA7" s="97">
        <v>4.0202</v>
      </c>
      <c r="AB7" s="97">
        <v>102.01479999999999</v>
      </c>
      <c r="AC7" s="97">
        <v>29.368963000000001</v>
      </c>
      <c r="AD7" s="98">
        <v>7.9617999999999994E-2</v>
      </c>
      <c r="AE7" s="98">
        <v>5.5900000000000004E-4</v>
      </c>
      <c r="AF7" s="106"/>
    </row>
    <row r="8" spans="1:32" ht="15" customHeight="1">
      <c r="A8" s="106"/>
      <c r="B8" s="96">
        <v>286</v>
      </c>
      <c r="C8" s="96">
        <v>1445</v>
      </c>
      <c r="D8" s="96" t="s">
        <v>3695</v>
      </c>
      <c r="E8" s="96" t="s">
        <v>3696</v>
      </c>
      <c r="F8" s="96" t="s">
        <v>312</v>
      </c>
      <c r="G8" s="96" t="s">
        <v>3708</v>
      </c>
      <c r="H8" s="96" t="s">
        <v>3709</v>
      </c>
      <c r="I8" s="96" t="s">
        <v>320</v>
      </c>
      <c r="J8" s="96" t="s">
        <v>1025</v>
      </c>
      <c r="K8" s="96" t="s">
        <v>204</v>
      </c>
      <c r="L8" s="96" t="s">
        <v>219</v>
      </c>
      <c r="M8" s="96" t="s">
        <v>338</v>
      </c>
      <c r="N8" s="96" t="s">
        <v>750</v>
      </c>
      <c r="O8" s="100">
        <v>45470</v>
      </c>
      <c r="P8" s="96" t="s">
        <v>3685</v>
      </c>
      <c r="Q8" s="96" t="s">
        <v>422</v>
      </c>
      <c r="R8" s="96" t="s">
        <v>406</v>
      </c>
      <c r="S8" s="96" t="s">
        <v>1202</v>
      </c>
      <c r="T8" s="97">
        <v>0.25</v>
      </c>
      <c r="U8" s="98">
        <v>2.0500000000000001E-2</v>
      </c>
      <c r="V8" s="98">
        <v>5.7000000000000002E-2</v>
      </c>
      <c r="W8" s="96" t="s">
        <v>887</v>
      </c>
      <c r="X8" s="96" t="s">
        <v>890</v>
      </c>
      <c r="Y8" s="100">
        <v>45471</v>
      </c>
      <c r="Z8" s="97">
        <v>3496.9932210000002</v>
      </c>
      <c r="AA8" s="97">
        <v>4.0202</v>
      </c>
      <c r="AB8" s="97">
        <v>100</v>
      </c>
      <c r="AC8" s="97">
        <v>14.058612</v>
      </c>
      <c r="AD8" s="98">
        <v>3.8112E-2</v>
      </c>
      <c r="AE8" s="98">
        <v>2.6699999999999998E-4</v>
      </c>
      <c r="AF8" s="106"/>
    </row>
    <row r="9" spans="1:32" ht="15" customHeight="1">
      <c r="A9" s="106"/>
      <c r="B9" s="96">
        <v>286</v>
      </c>
      <c r="C9" s="96">
        <v>1445</v>
      </c>
      <c r="D9" s="96" t="s">
        <v>3710</v>
      </c>
      <c r="E9" s="96" t="s">
        <v>3711</v>
      </c>
      <c r="F9" s="96" t="s">
        <v>312</v>
      </c>
      <c r="G9" s="96" t="s">
        <v>3712</v>
      </c>
      <c r="H9" s="96" t="s">
        <v>3713</v>
      </c>
      <c r="I9" s="96" t="s">
        <v>320</v>
      </c>
      <c r="J9" s="96" t="s">
        <v>1025</v>
      </c>
      <c r="K9" s="96" t="s">
        <v>204</v>
      </c>
      <c r="L9" s="96" t="s">
        <v>223</v>
      </c>
      <c r="M9" s="96" t="s">
        <v>338</v>
      </c>
      <c r="N9" s="96" t="s">
        <v>750</v>
      </c>
      <c r="O9" s="100">
        <v>44532</v>
      </c>
      <c r="P9" s="96" t="s">
        <v>3685</v>
      </c>
      <c r="Q9" s="96" t="s">
        <v>432</v>
      </c>
      <c r="R9" s="96" t="s">
        <v>406</v>
      </c>
      <c r="S9" s="96" t="s">
        <v>1201</v>
      </c>
      <c r="T9" s="97">
        <v>0.25</v>
      </c>
      <c r="U9" s="98">
        <v>1.7000000000000001E-2</v>
      </c>
      <c r="V9" s="98">
        <v>7.1800000000000003E-2</v>
      </c>
      <c r="W9" s="96" t="s">
        <v>887</v>
      </c>
      <c r="X9" s="96" t="s">
        <v>890</v>
      </c>
      <c r="Y9" s="100">
        <v>45471</v>
      </c>
      <c r="Z9" s="97">
        <v>5828.3220359999996</v>
      </c>
      <c r="AA9" s="97">
        <v>3.7589999999999999</v>
      </c>
      <c r="AB9" s="97">
        <v>102.1923</v>
      </c>
      <c r="AC9" s="97">
        <v>22.388968999999999</v>
      </c>
      <c r="AD9" s="98">
        <v>6.0694999999999999E-2</v>
      </c>
      <c r="AE9" s="98">
        <v>4.26E-4</v>
      </c>
      <c r="AF9" s="106"/>
    </row>
    <row r="10" spans="1:32" ht="15" customHeight="1">
      <c r="A10" s="106"/>
      <c r="B10" s="96">
        <v>286</v>
      </c>
      <c r="C10" s="96">
        <v>1445</v>
      </c>
      <c r="D10" s="96" t="s">
        <v>3704</v>
      </c>
      <c r="E10" s="96" t="s">
        <v>3705</v>
      </c>
      <c r="F10" s="96" t="s">
        <v>312</v>
      </c>
      <c r="G10" s="96" t="s">
        <v>3714</v>
      </c>
      <c r="H10" s="96" t="s">
        <v>3715</v>
      </c>
      <c r="I10" s="96" t="s">
        <v>320</v>
      </c>
      <c r="J10" s="96" t="s">
        <v>1025</v>
      </c>
      <c r="K10" s="96" t="s">
        <v>204</v>
      </c>
      <c r="L10" s="96" t="s">
        <v>223</v>
      </c>
      <c r="M10" s="96" t="s">
        <v>338</v>
      </c>
      <c r="N10" s="96" t="s">
        <v>750</v>
      </c>
      <c r="O10" s="100">
        <v>44498</v>
      </c>
      <c r="P10" s="96" t="s">
        <v>3685</v>
      </c>
      <c r="Q10" s="96" t="s">
        <v>432</v>
      </c>
      <c r="R10" s="96" t="s">
        <v>406</v>
      </c>
      <c r="S10" s="96" t="s">
        <v>1201</v>
      </c>
      <c r="T10" s="97">
        <v>0.25</v>
      </c>
      <c r="U10" s="98">
        <v>1.6500000000000001E-2</v>
      </c>
      <c r="V10" s="98">
        <v>7.2599999999999998E-2</v>
      </c>
      <c r="W10" s="96" t="s">
        <v>887</v>
      </c>
      <c r="X10" s="96" t="s">
        <v>890</v>
      </c>
      <c r="Y10" s="100">
        <v>45471</v>
      </c>
      <c r="Z10" s="97">
        <v>6799.7090420000004</v>
      </c>
      <c r="AA10" s="97">
        <v>3.7589999999999999</v>
      </c>
      <c r="AB10" s="97">
        <v>101.6071</v>
      </c>
      <c r="AC10" s="97">
        <v>25.970883000000001</v>
      </c>
      <c r="AD10" s="98">
        <v>7.0405999999999996E-2</v>
      </c>
      <c r="AE10" s="98">
        <v>4.9399999999999997E-4</v>
      </c>
      <c r="AF10" s="106"/>
    </row>
    <row r="11" spans="1:32" ht="15" customHeight="1">
      <c r="A11" s="106"/>
      <c r="B11" s="96">
        <v>286</v>
      </c>
      <c r="C11" s="96">
        <v>1445</v>
      </c>
      <c r="D11" s="96" t="s">
        <v>3704</v>
      </c>
      <c r="E11" s="96" t="s">
        <v>3705</v>
      </c>
      <c r="F11" s="96" t="s">
        <v>312</v>
      </c>
      <c r="G11" s="96" t="s">
        <v>3716</v>
      </c>
      <c r="H11" s="96" t="s">
        <v>3717</v>
      </c>
      <c r="I11" s="96" t="s">
        <v>320</v>
      </c>
      <c r="J11" s="96" t="s">
        <v>1025</v>
      </c>
      <c r="K11" s="96" t="s">
        <v>204</v>
      </c>
      <c r="L11" s="96" t="s">
        <v>232</v>
      </c>
      <c r="M11" s="96" t="s">
        <v>338</v>
      </c>
      <c r="N11" s="96" t="s">
        <v>750</v>
      </c>
      <c r="O11" s="100">
        <v>45106</v>
      </c>
      <c r="P11" s="96" t="s">
        <v>3685</v>
      </c>
      <c r="Q11" s="96" t="s">
        <v>422</v>
      </c>
      <c r="R11" s="96" t="s">
        <v>406</v>
      </c>
      <c r="S11" s="96" t="s">
        <v>1202</v>
      </c>
      <c r="T11" s="97">
        <v>0.25</v>
      </c>
      <c r="U11" s="98">
        <v>3.15E-2</v>
      </c>
      <c r="V11" s="98">
        <v>5.5599999999999997E-2</v>
      </c>
      <c r="W11" s="96" t="s">
        <v>887</v>
      </c>
      <c r="X11" s="96" t="s">
        <v>890</v>
      </c>
      <c r="Y11" s="100">
        <v>45471</v>
      </c>
      <c r="Z11" s="97">
        <v>5022.0708210000003</v>
      </c>
      <c r="AA11" s="97">
        <v>4.0202</v>
      </c>
      <c r="AB11" s="97">
        <v>103.8747</v>
      </c>
      <c r="AC11" s="97">
        <v>20.972021999999999</v>
      </c>
      <c r="AD11" s="98">
        <v>5.6854000000000002E-2</v>
      </c>
      <c r="AE11" s="98">
        <v>3.9899999999999999E-4</v>
      </c>
      <c r="AF11" s="106"/>
    </row>
    <row r="12" spans="1:32" ht="15" customHeight="1">
      <c r="A12" s="106"/>
      <c r="B12" s="96">
        <v>286</v>
      </c>
      <c r="C12" s="96">
        <v>1445</v>
      </c>
      <c r="D12" s="96" t="s">
        <v>3718</v>
      </c>
      <c r="E12" s="96" t="s">
        <v>3719</v>
      </c>
      <c r="F12" s="96" t="s">
        <v>312</v>
      </c>
      <c r="G12" s="96" t="s">
        <v>3720</v>
      </c>
      <c r="H12" s="96" t="s">
        <v>3721</v>
      </c>
      <c r="I12" s="96" t="s">
        <v>320</v>
      </c>
      <c r="J12" s="96" t="s">
        <v>1025</v>
      </c>
      <c r="K12" s="96" t="s">
        <v>204</v>
      </c>
      <c r="L12" s="96" t="s">
        <v>223</v>
      </c>
      <c r="M12" s="96" t="s">
        <v>338</v>
      </c>
      <c r="N12" s="96" t="s">
        <v>750</v>
      </c>
      <c r="O12" s="100">
        <v>44435</v>
      </c>
      <c r="P12" s="96" t="s">
        <v>3722</v>
      </c>
      <c r="Q12" s="96" t="s">
        <v>430</v>
      </c>
      <c r="R12" s="96" t="s">
        <v>406</v>
      </c>
      <c r="S12" s="96" t="s">
        <v>1201</v>
      </c>
      <c r="T12" s="97">
        <v>0.25</v>
      </c>
      <c r="U12" s="98">
        <v>1.6500000000000001E-2</v>
      </c>
      <c r="V12" s="98">
        <v>7.2300000000000003E-2</v>
      </c>
      <c r="W12" s="96" t="s">
        <v>887</v>
      </c>
      <c r="X12" s="96" t="s">
        <v>890</v>
      </c>
      <c r="Y12" s="100">
        <v>45471</v>
      </c>
      <c r="Z12" s="97">
        <v>1223.947627</v>
      </c>
      <c r="AA12" s="97">
        <v>3.7589999999999999</v>
      </c>
      <c r="AB12" s="97">
        <v>101.75530000000001</v>
      </c>
      <c r="AC12" s="97">
        <v>4.681578</v>
      </c>
      <c r="AD12" s="98">
        <v>1.2690999999999999E-2</v>
      </c>
      <c r="AE12" s="98">
        <v>8.8999999999999995E-5</v>
      </c>
      <c r="AF12" s="106"/>
    </row>
    <row r="13" spans="1:32" ht="15" customHeight="1">
      <c r="A13" s="106"/>
      <c r="B13" s="96">
        <v>286</v>
      </c>
      <c r="C13" s="96">
        <v>1445</v>
      </c>
      <c r="D13" s="96" t="s">
        <v>3695</v>
      </c>
      <c r="E13" s="96" t="s">
        <v>3696</v>
      </c>
      <c r="F13" s="96" t="s">
        <v>312</v>
      </c>
      <c r="G13" s="96" t="s">
        <v>3723</v>
      </c>
      <c r="H13" s="96" t="s">
        <v>3724</v>
      </c>
      <c r="I13" s="96" t="s">
        <v>320</v>
      </c>
      <c r="J13" s="96" t="s">
        <v>1025</v>
      </c>
      <c r="K13" s="96" t="s">
        <v>204</v>
      </c>
      <c r="L13" s="96" t="s">
        <v>280</v>
      </c>
      <c r="M13" s="96" t="s">
        <v>338</v>
      </c>
      <c r="N13" s="96" t="s">
        <v>750</v>
      </c>
      <c r="O13" s="100">
        <v>44277</v>
      </c>
      <c r="P13" s="96" t="s">
        <v>3685</v>
      </c>
      <c r="Q13" s="96" t="s">
        <v>422</v>
      </c>
      <c r="R13" s="96" t="s">
        <v>406</v>
      </c>
      <c r="S13" s="96" t="s">
        <v>1202</v>
      </c>
      <c r="T13" s="97">
        <v>0.25</v>
      </c>
      <c r="U13" s="98">
        <v>1.2800000000000001E-2</v>
      </c>
      <c r="V13" s="98">
        <v>4.6600000000000003E-2</v>
      </c>
      <c r="W13" s="96" t="s">
        <v>887</v>
      </c>
      <c r="X13" s="96" t="s">
        <v>890</v>
      </c>
      <c r="Y13" s="100">
        <v>45471</v>
      </c>
      <c r="Z13" s="97">
        <v>3521.083619</v>
      </c>
      <c r="AA13" s="97">
        <v>4.0202</v>
      </c>
      <c r="AB13" s="97">
        <v>99.609200000000001</v>
      </c>
      <c r="AC13" s="97">
        <v>14.100151</v>
      </c>
      <c r="AD13" s="98">
        <v>3.8225000000000002E-2</v>
      </c>
      <c r="AE13" s="98">
        <v>2.6800000000000001E-4</v>
      </c>
      <c r="AF13" s="106"/>
    </row>
    <row r="14" spans="1:32" ht="15" customHeight="1">
      <c r="A14" s="106"/>
      <c r="B14" s="96">
        <v>286</v>
      </c>
      <c r="C14" s="96">
        <v>1445</v>
      </c>
      <c r="D14" s="96" t="s">
        <v>3725</v>
      </c>
      <c r="E14" s="96" t="s">
        <v>3726</v>
      </c>
      <c r="F14" s="96" t="s">
        <v>312</v>
      </c>
      <c r="G14" s="96" t="s">
        <v>3727</v>
      </c>
      <c r="H14" s="96" t="s">
        <v>3728</v>
      </c>
      <c r="I14" s="96" t="s">
        <v>320</v>
      </c>
      <c r="J14" s="96" t="s">
        <v>1025</v>
      </c>
      <c r="K14" s="96" t="s">
        <v>204</v>
      </c>
      <c r="L14" s="96" t="s">
        <v>223</v>
      </c>
      <c r="M14" s="96" t="s">
        <v>338</v>
      </c>
      <c r="N14" s="96" t="s">
        <v>750</v>
      </c>
      <c r="O14" s="100">
        <v>44460</v>
      </c>
      <c r="P14" s="96" t="s">
        <v>3685</v>
      </c>
      <c r="Q14" s="96" t="s">
        <v>432</v>
      </c>
      <c r="R14" s="96" t="s">
        <v>406</v>
      </c>
      <c r="S14" s="96" t="s">
        <v>1201</v>
      </c>
      <c r="T14" s="97">
        <v>0.25</v>
      </c>
      <c r="U14" s="98">
        <v>1.6E-2</v>
      </c>
      <c r="V14" s="98">
        <v>7.2099999999999997E-2</v>
      </c>
      <c r="W14" s="96" t="s">
        <v>887</v>
      </c>
      <c r="X14" s="96" t="s">
        <v>890</v>
      </c>
      <c r="Y14" s="100">
        <v>45471</v>
      </c>
      <c r="Z14" s="97">
        <v>8742.4830540000003</v>
      </c>
      <c r="AA14" s="97">
        <v>3.7589999999999999</v>
      </c>
      <c r="AB14" s="97">
        <v>101.4477</v>
      </c>
      <c r="AC14" s="97">
        <v>33.338755999999997</v>
      </c>
      <c r="AD14" s="98">
        <v>9.0380000000000002E-2</v>
      </c>
      <c r="AE14" s="98">
        <v>6.3400000000000001E-4</v>
      </c>
      <c r="AF14" s="106"/>
    </row>
    <row r="15" spans="1:32" ht="15" customHeight="1">
      <c r="A15" s="106"/>
      <c r="B15" s="96">
        <v>286</v>
      </c>
      <c r="C15" s="96">
        <v>1445</v>
      </c>
      <c r="D15" s="96" t="s">
        <v>3691</v>
      </c>
      <c r="E15" s="96" t="s">
        <v>3692</v>
      </c>
      <c r="F15" s="96" t="s">
        <v>312</v>
      </c>
      <c r="G15" s="96" t="s">
        <v>3729</v>
      </c>
      <c r="H15" s="96" t="s">
        <v>3730</v>
      </c>
      <c r="I15" s="96" t="s">
        <v>320</v>
      </c>
      <c r="J15" s="96" t="s">
        <v>1025</v>
      </c>
      <c r="K15" s="96" t="s">
        <v>204</v>
      </c>
      <c r="L15" s="96" t="s">
        <v>223</v>
      </c>
      <c r="M15" s="96" t="s">
        <v>338</v>
      </c>
      <c r="N15" s="96" t="s">
        <v>750</v>
      </c>
      <c r="O15" s="100">
        <v>44726</v>
      </c>
      <c r="P15" s="96" t="s">
        <v>1281</v>
      </c>
      <c r="Q15" s="96" t="s">
        <v>422</v>
      </c>
      <c r="R15" s="96" t="s">
        <v>408</v>
      </c>
      <c r="S15" s="96" t="s">
        <v>1201</v>
      </c>
      <c r="T15" s="97">
        <v>0.25</v>
      </c>
      <c r="U15" s="98">
        <v>2.1000000000000001E-2</v>
      </c>
      <c r="V15" s="98">
        <v>7.4300000000000005E-2</v>
      </c>
      <c r="W15" s="96" t="s">
        <v>887</v>
      </c>
      <c r="X15" s="96" t="s">
        <v>890</v>
      </c>
      <c r="Y15" s="100">
        <v>45471</v>
      </c>
      <c r="Z15" s="97">
        <v>9713.8700599999993</v>
      </c>
      <c r="AA15" s="97">
        <v>3.7589999999999999</v>
      </c>
      <c r="AB15" s="97">
        <v>101.6581</v>
      </c>
      <c r="AC15" s="97">
        <v>37.119895999999997</v>
      </c>
      <c r="AD15" s="98">
        <v>0.10063</v>
      </c>
      <c r="AE15" s="98">
        <v>7.0600000000000003E-4</v>
      </c>
      <c r="AF15" s="106"/>
    </row>
    <row r="16" spans="1:32" ht="15" customHeight="1">
      <c r="A16" s="106"/>
      <c r="B16" s="96">
        <v>286</v>
      </c>
      <c r="C16" s="96">
        <v>1445</v>
      </c>
      <c r="D16" s="96" t="s">
        <v>3731</v>
      </c>
      <c r="E16" s="96" t="s">
        <v>3732</v>
      </c>
      <c r="F16" s="96" t="s">
        <v>312</v>
      </c>
      <c r="G16" s="96" t="s">
        <v>3733</v>
      </c>
      <c r="H16" s="96" t="s">
        <v>3734</v>
      </c>
      <c r="I16" s="96" t="s">
        <v>320</v>
      </c>
      <c r="J16" s="96" t="s">
        <v>1025</v>
      </c>
      <c r="K16" s="96" t="s">
        <v>204</v>
      </c>
      <c r="L16" s="96" t="s">
        <v>223</v>
      </c>
      <c r="M16" s="96" t="s">
        <v>338</v>
      </c>
      <c r="N16" s="96" t="s">
        <v>750</v>
      </c>
      <c r="O16" s="100">
        <v>45068</v>
      </c>
      <c r="P16" s="96" t="s">
        <v>3685</v>
      </c>
      <c r="Q16" s="96" t="s">
        <v>422</v>
      </c>
      <c r="R16" s="96" t="s">
        <v>408</v>
      </c>
      <c r="S16" s="96" t="s">
        <v>1201</v>
      </c>
      <c r="T16" s="97">
        <v>0.25</v>
      </c>
      <c r="U16" s="98">
        <v>2.4500000000000001E-2</v>
      </c>
      <c r="V16" s="98">
        <v>7.5700000000000003E-2</v>
      </c>
      <c r="W16" s="96" t="s">
        <v>887</v>
      </c>
      <c r="X16" s="96" t="s">
        <v>890</v>
      </c>
      <c r="Y16" s="100">
        <v>45471</v>
      </c>
      <c r="Z16" s="97">
        <v>5828.3220359999996</v>
      </c>
      <c r="AA16" s="97">
        <v>3.7589999999999999</v>
      </c>
      <c r="AB16" s="97">
        <v>102.9541</v>
      </c>
      <c r="AC16" s="97">
        <v>22.555883000000001</v>
      </c>
      <c r="AD16" s="98">
        <v>6.1148000000000001E-2</v>
      </c>
      <c r="AE16" s="98">
        <v>4.2900000000000002E-4</v>
      </c>
      <c r="AF16" s="106"/>
    </row>
    <row r="17" spans="1:32" ht="15" customHeight="1">
      <c r="A17" s="106"/>
      <c r="B17" s="96">
        <v>286</v>
      </c>
      <c r="C17" s="96">
        <v>1445</v>
      </c>
      <c r="D17" s="96" t="s">
        <v>3735</v>
      </c>
      <c r="E17" s="96" t="s">
        <v>3736</v>
      </c>
      <c r="F17" s="96" t="s">
        <v>312</v>
      </c>
      <c r="G17" s="96" t="s">
        <v>3737</v>
      </c>
      <c r="H17" s="96" t="s">
        <v>3738</v>
      </c>
      <c r="I17" s="96" t="s">
        <v>320</v>
      </c>
      <c r="J17" s="96" t="s">
        <v>1025</v>
      </c>
      <c r="K17" s="96" t="s">
        <v>204</v>
      </c>
      <c r="L17" s="96" t="s">
        <v>223</v>
      </c>
      <c r="M17" s="96" t="s">
        <v>338</v>
      </c>
      <c r="N17" s="96" t="s">
        <v>750</v>
      </c>
      <c r="O17" s="100">
        <v>43174</v>
      </c>
      <c r="P17" s="96" t="s">
        <v>3739</v>
      </c>
      <c r="Q17" s="96" t="s">
        <v>430</v>
      </c>
      <c r="R17" s="96" t="s">
        <v>406</v>
      </c>
      <c r="S17" s="96" t="s">
        <v>1201</v>
      </c>
      <c r="T17" s="97">
        <v>0.25</v>
      </c>
      <c r="U17" s="98">
        <v>1.4E-2</v>
      </c>
      <c r="V17" s="98">
        <v>6.9699999999999998E-2</v>
      </c>
      <c r="W17" s="96" t="s">
        <v>887</v>
      </c>
      <c r="X17" s="96" t="s">
        <v>890</v>
      </c>
      <c r="Y17" s="100">
        <v>45471</v>
      </c>
      <c r="Z17" s="97">
        <v>2914.1610179999998</v>
      </c>
      <c r="AA17" s="97">
        <v>3.7589999999999999</v>
      </c>
      <c r="AB17" s="97">
        <v>101.49420000000001</v>
      </c>
      <c r="AC17" s="97">
        <v>11.118012</v>
      </c>
      <c r="AD17" s="98">
        <v>3.014E-2</v>
      </c>
      <c r="AE17" s="98">
        <v>2.1100000000000001E-4</v>
      </c>
      <c r="AF17" s="106"/>
    </row>
    <row r="18" spans="1:32" ht="15" customHeight="1">
      <c r="A18" s="106"/>
      <c r="B18" s="96">
        <v>286</v>
      </c>
      <c r="C18" s="96">
        <v>1445</v>
      </c>
      <c r="D18" s="96" t="s">
        <v>3740</v>
      </c>
      <c r="E18" s="96" t="s">
        <v>3741</v>
      </c>
      <c r="F18" s="96" t="s">
        <v>312</v>
      </c>
      <c r="G18" s="96" t="s">
        <v>3742</v>
      </c>
      <c r="H18" s="96" t="s">
        <v>3743</v>
      </c>
      <c r="I18" s="96" t="s">
        <v>320</v>
      </c>
      <c r="J18" s="96" t="s">
        <v>1025</v>
      </c>
      <c r="K18" s="96" t="s">
        <v>204</v>
      </c>
      <c r="L18" s="96" t="s">
        <v>223</v>
      </c>
      <c r="M18" s="96" t="s">
        <v>338</v>
      </c>
      <c r="N18" s="96" t="s">
        <v>750</v>
      </c>
      <c r="O18" s="100">
        <v>45176</v>
      </c>
      <c r="P18" s="96" t="s">
        <v>3685</v>
      </c>
      <c r="Q18" s="96" t="s">
        <v>422</v>
      </c>
      <c r="R18" s="96" t="s">
        <v>408</v>
      </c>
      <c r="S18" s="96" t="s">
        <v>1201</v>
      </c>
      <c r="T18" s="97">
        <v>0.25</v>
      </c>
      <c r="U18" s="98">
        <v>7.8329999999999997E-2</v>
      </c>
      <c r="V18" s="98">
        <v>7.6200000000000004E-2</v>
      </c>
      <c r="W18" s="96" t="s">
        <v>887</v>
      </c>
      <c r="X18" s="96" t="s">
        <v>890</v>
      </c>
      <c r="Y18" s="100">
        <v>45471</v>
      </c>
      <c r="Z18" s="97">
        <v>1359.941808</v>
      </c>
      <c r="AA18" s="97">
        <v>3.7589999999999999</v>
      </c>
      <c r="AB18" s="97">
        <v>102.6703</v>
      </c>
      <c r="AC18" s="97">
        <v>5.2485309999999998</v>
      </c>
      <c r="AD18" s="98">
        <v>1.4227999999999999E-2</v>
      </c>
      <c r="AE18" s="98">
        <v>9.8999999999999994E-5</v>
      </c>
      <c r="AF18" s="106"/>
    </row>
    <row r="19" spans="1:32" ht="15" customHeight="1">
      <c r="A19" s="106"/>
      <c r="B19" s="96">
        <v>286</v>
      </c>
      <c r="C19" s="96">
        <v>1445</v>
      </c>
      <c r="D19" s="96" t="s">
        <v>3744</v>
      </c>
      <c r="E19" s="96" t="s">
        <v>3745</v>
      </c>
      <c r="F19" s="96" t="s">
        <v>312</v>
      </c>
      <c r="G19" s="96" t="s">
        <v>3746</v>
      </c>
      <c r="H19" s="96" t="s">
        <v>3747</v>
      </c>
      <c r="I19" s="96" t="s">
        <v>320</v>
      </c>
      <c r="J19" s="96" t="s">
        <v>1025</v>
      </c>
      <c r="K19" s="96" t="s">
        <v>204</v>
      </c>
      <c r="L19" s="96" t="s">
        <v>223</v>
      </c>
      <c r="M19" s="96" t="s">
        <v>338</v>
      </c>
      <c r="N19" s="96" t="s">
        <v>750</v>
      </c>
      <c r="O19" s="100">
        <v>43461</v>
      </c>
      <c r="P19" s="96" t="s">
        <v>3685</v>
      </c>
      <c r="Q19" s="96" t="s">
        <v>432</v>
      </c>
      <c r="R19" s="96" t="s">
        <v>406</v>
      </c>
      <c r="S19" s="96" t="s">
        <v>1201</v>
      </c>
      <c r="T19" s="97">
        <v>0.25</v>
      </c>
      <c r="U19" s="98">
        <v>1.7000000000000001E-2</v>
      </c>
      <c r="V19" s="98">
        <v>7.3099999999999998E-2</v>
      </c>
      <c r="W19" s="96" t="s">
        <v>887</v>
      </c>
      <c r="X19" s="96" t="s">
        <v>890</v>
      </c>
      <c r="Y19" s="100">
        <v>45471</v>
      </c>
      <c r="Z19" s="97">
        <v>3885.5480240000002</v>
      </c>
      <c r="AA19" s="97">
        <v>3.7589999999999999</v>
      </c>
      <c r="AB19" s="97">
        <v>101.60680000000001</v>
      </c>
      <c r="AC19" s="97">
        <v>14.840472</v>
      </c>
      <c r="AD19" s="98">
        <v>4.0231999999999997E-2</v>
      </c>
      <c r="AE19" s="98">
        <v>2.8200000000000002E-4</v>
      </c>
      <c r="AF19" s="106"/>
    </row>
    <row r="20" spans="1:32" ht="15" customHeight="1">
      <c r="A20" s="106"/>
      <c r="B20" s="96">
        <v>286</v>
      </c>
      <c r="C20" s="96">
        <v>1445</v>
      </c>
      <c r="D20" s="96" t="s">
        <v>3748</v>
      </c>
      <c r="E20" s="96" t="s">
        <v>3749</v>
      </c>
      <c r="F20" s="96" t="s">
        <v>312</v>
      </c>
      <c r="G20" s="96" t="s">
        <v>3750</v>
      </c>
      <c r="H20" s="96" t="s">
        <v>3751</v>
      </c>
      <c r="I20" s="96" t="s">
        <v>320</v>
      </c>
      <c r="J20" s="96" t="s">
        <v>1025</v>
      </c>
      <c r="K20" s="96" t="s">
        <v>204</v>
      </c>
      <c r="L20" s="96" t="s">
        <v>232</v>
      </c>
      <c r="M20" s="96" t="s">
        <v>338</v>
      </c>
      <c r="N20" s="96" t="s">
        <v>750</v>
      </c>
      <c r="O20" s="100">
        <v>45252</v>
      </c>
      <c r="P20" s="96" t="s">
        <v>3685</v>
      </c>
      <c r="Q20" s="96" t="s">
        <v>422</v>
      </c>
      <c r="R20" s="96" t="s">
        <v>406</v>
      </c>
      <c r="S20" s="96" t="s">
        <v>1202</v>
      </c>
      <c r="T20" s="97">
        <v>0.25</v>
      </c>
      <c r="U20" s="98">
        <v>3.0499999999999999E-2</v>
      </c>
      <c r="V20" s="98">
        <v>4.9599999999999998E-2</v>
      </c>
      <c r="W20" s="96" t="s">
        <v>887</v>
      </c>
      <c r="X20" s="96" t="s">
        <v>890</v>
      </c>
      <c r="Y20" s="100">
        <v>45471</v>
      </c>
      <c r="Z20" s="97">
        <v>8985.3298059999997</v>
      </c>
      <c r="AA20" s="97">
        <v>4.0202</v>
      </c>
      <c r="AB20" s="97">
        <v>101.81489999999999</v>
      </c>
      <c r="AC20" s="97">
        <v>36.778438000000001</v>
      </c>
      <c r="AD20" s="98">
        <v>9.9705000000000002E-2</v>
      </c>
      <c r="AE20" s="98">
        <v>6.9999999999999999E-4</v>
      </c>
      <c r="AF20" s="106"/>
    </row>
    <row r="21" spans="1:32" ht="15" customHeight="1">
      <c r="A21" s="106"/>
      <c r="B21" s="96">
        <v>286</v>
      </c>
      <c r="C21" s="96">
        <v>1445</v>
      </c>
      <c r="D21" s="96" t="s">
        <v>3691</v>
      </c>
      <c r="E21" s="96" t="s">
        <v>3692</v>
      </c>
      <c r="F21" s="96" t="s">
        <v>312</v>
      </c>
      <c r="G21" s="96" t="s">
        <v>3752</v>
      </c>
      <c r="H21" s="96" t="s">
        <v>3753</v>
      </c>
      <c r="I21" s="96" t="s">
        <v>320</v>
      </c>
      <c r="J21" s="96" t="s">
        <v>1025</v>
      </c>
      <c r="K21" s="96" t="s">
        <v>204</v>
      </c>
      <c r="L21" s="96" t="s">
        <v>223</v>
      </c>
      <c r="M21" s="96" t="s">
        <v>338</v>
      </c>
      <c r="N21" s="96" t="s">
        <v>750</v>
      </c>
      <c r="O21" s="100">
        <v>43335</v>
      </c>
      <c r="P21" s="96" t="s">
        <v>3685</v>
      </c>
      <c r="Q21" s="96" t="s">
        <v>432</v>
      </c>
      <c r="R21" s="96" t="s">
        <v>406</v>
      </c>
      <c r="S21" s="96" t="s">
        <v>1201</v>
      </c>
      <c r="T21" s="97">
        <v>0.25</v>
      </c>
      <c r="U21" s="98">
        <v>1.67E-2</v>
      </c>
      <c r="V21" s="98">
        <v>7.2700000000000001E-2</v>
      </c>
      <c r="W21" s="96" t="s">
        <v>887</v>
      </c>
      <c r="X21" s="96" t="s">
        <v>890</v>
      </c>
      <c r="Y21" s="100">
        <v>45471</v>
      </c>
      <c r="Z21" s="97">
        <v>3982.6867240000001</v>
      </c>
      <c r="AA21" s="97">
        <v>3.7589999999999999</v>
      </c>
      <c r="AB21" s="97">
        <v>101.4913</v>
      </c>
      <c r="AC21" s="97">
        <v>15.194191</v>
      </c>
      <c r="AD21" s="98">
        <v>4.1189999999999997E-2</v>
      </c>
      <c r="AE21" s="98">
        <v>2.8899999999999998E-4</v>
      </c>
      <c r="AF21" s="106"/>
    </row>
    <row r="22" spans="1:32" ht="15" customHeight="1">
      <c r="A22" s="106"/>
      <c r="B22" s="96">
        <v>286</v>
      </c>
      <c r="C22" s="96">
        <v>286</v>
      </c>
      <c r="D22" s="96" t="s">
        <v>3725</v>
      </c>
      <c r="E22" s="96" t="s">
        <v>3726</v>
      </c>
      <c r="F22" s="96" t="s">
        <v>312</v>
      </c>
      <c r="G22" s="96" t="s">
        <v>3727</v>
      </c>
      <c r="H22" s="96" t="s">
        <v>3728</v>
      </c>
      <c r="I22" s="96" t="s">
        <v>320</v>
      </c>
      <c r="J22" s="96" t="s">
        <v>1025</v>
      </c>
      <c r="K22" s="96" t="s">
        <v>204</v>
      </c>
      <c r="L22" s="96" t="s">
        <v>223</v>
      </c>
      <c r="M22" s="96" t="s">
        <v>338</v>
      </c>
      <c r="N22" s="96" t="s">
        <v>750</v>
      </c>
      <c r="O22" s="100">
        <v>44460</v>
      </c>
      <c r="P22" s="96" t="s">
        <v>3685</v>
      </c>
      <c r="Q22" s="96" t="s">
        <v>432</v>
      </c>
      <c r="R22" s="96" t="s">
        <v>406</v>
      </c>
      <c r="S22" s="96" t="s">
        <v>1201</v>
      </c>
      <c r="T22" s="97">
        <v>0.25</v>
      </c>
      <c r="U22" s="98">
        <v>1.6E-2</v>
      </c>
      <c r="V22" s="98">
        <v>7.2099999999999997E-2</v>
      </c>
      <c r="W22" s="96" t="s">
        <v>887</v>
      </c>
      <c r="X22" s="96" t="s">
        <v>890</v>
      </c>
      <c r="Y22" s="100">
        <v>45471</v>
      </c>
      <c r="Z22" s="97">
        <v>473059.93459999998</v>
      </c>
      <c r="AA22" s="97">
        <v>3.7589999999999999</v>
      </c>
      <c r="AB22" s="97">
        <v>101.4477</v>
      </c>
      <c r="AC22" s="97">
        <v>1803.976038</v>
      </c>
      <c r="AD22" s="98">
        <v>9.0380000000000002E-2</v>
      </c>
      <c r="AE22" s="98">
        <v>9.3899999999999995E-4</v>
      </c>
      <c r="AF22" s="106"/>
    </row>
    <row r="23" spans="1:32" ht="15" customHeight="1">
      <c r="A23" s="106"/>
      <c r="B23" s="96">
        <v>286</v>
      </c>
      <c r="C23" s="96">
        <v>286</v>
      </c>
      <c r="D23" s="96" t="s">
        <v>3701</v>
      </c>
      <c r="E23" s="96">
        <v>516576212</v>
      </c>
      <c r="F23" s="96" t="s">
        <v>308</v>
      </c>
      <c r="G23" s="96" t="s">
        <v>3702</v>
      </c>
      <c r="H23" s="96" t="s">
        <v>3703</v>
      </c>
      <c r="I23" s="96" t="s">
        <v>320</v>
      </c>
      <c r="J23" s="96" t="s">
        <v>1027</v>
      </c>
      <c r="K23" s="96" t="s">
        <v>204</v>
      </c>
      <c r="L23" s="96" t="s">
        <v>216</v>
      </c>
      <c r="M23" s="96" t="s">
        <v>338</v>
      </c>
      <c r="N23" s="96" t="s">
        <v>750</v>
      </c>
      <c r="O23" s="100">
        <v>45463</v>
      </c>
      <c r="P23" s="96" t="s">
        <v>409</v>
      </c>
      <c r="Q23" s="96" t="s">
        <v>409</v>
      </c>
      <c r="R23" s="96" t="s">
        <v>409</v>
      </c>
      <c r="S23" s="96" t="s">
        <v>1201</v>
      </c>
      <c r="T23" s="97">
        <v>0.25</v>
      </c>
      <c r="U23" s="98">
        <v>1.7999999999999999E-2</v>
      </c>
      <c r="V23" s="98">
        <v>7.1499999999999994E-2</v>
      </c>
      <c r="W23" s="96" t="s">
        <v>887</v>
      </c>
      <c r="X23" s="96" t="s">
        <v>890</v>
      </c>
      <c r="Y23" s="100">
        <v>45471</v>
      </c>
      <c r="Z23" s="97">
        <v>304860.84674200002</v>
      </c>
      <c r="AA23" s="97">
        <v>3.7589999999999999</v>
      </c>
      <c r="AB23" s="97">
        <v>100.04989999999999</v>
      </c>
      <c r="AC23" s="97">
        <v>1146.5449080000001</v>
      </c>
      <c r="AD23" s="98">
        <v>5.7442E-2</v>
      </c>
      <c r="AE23" s="98">
        <v>5.9699999999999998E-4</v>
      </c>
      <c r="AF23" s="106"/>
    </row>
    <row r="24" spans="1:32" ht="15" customHeight="1">
      <c r="A24" s="106"/>
      <c r="B24" s="96">
        <v>286</v>
      </c>
      <c r="C24" s="96">
        <v>286</v>
      </c>
      <c r="D24" s="96" t="s">
        <v>3695</v>
      </c>
      <c r="E24" s="96" t="s">
        <v>3696</v>
      </c>
      <c r="F24" s="96" t="s">
        <v>312</v>
      </c>
      <c r="G24" s="96" t="s">
        <v>3708</v>
      </c>
      <c r="H24" s="96" t="s">
        <v>3709</v>
      </c>
      <c r="I24" s="96" t="s">
        <v>320</v>
      </c>
      <c r="J24" s="96" t="s">
        <v>1025</v>
      </c>
      <c r="K24" s="96" t="s">
        <v>204</v>
      </c>
      <c r="L24" s="96" t="s">
        <v>219</v>
      </c>
      <c r="M24" s="96" t="s">
        <v>338</v>
      </c>
      <c r="N24" s="96" t="s">
        <v>750</v>
      </c>
      <c r="O24" s="100">
        <v>45470</v>
      </c>
      <c r="P24" s="96" t="s">
        <v>3685</v>
      </c>
      <c r="Q24" s="96" t="s">
        <v>422</v>
      </c>
      <c r="R24" s="96" t="s">
        <v>406</v>
      </c>
      <c r="S24" s="96" t="s">
        <v>1202</v>
      </c>
      <c r="T24" s="97">
        <v>0.25</v>
      </c>
      <c r="U24" s="98">
        <v>2.0500000000000001E-2</v>
      </c>
      <c r="V24" s="98">
        <v>5.7000000000000002E-2</v>
      </c>
      <c r="W24" s="96" t="s">
        <v>887</v>
      </c>
      <c r="X24" s="96" t="s">
        <v>890</v>
      </c>
      <c r="Y24" s="100">
        <v>45471</v>
      </c>
      <c r="Z24" s="97">
        <v>189223.97383999999</v>
      </c>
      <c r="AA24" s="97">
        <v>4.0202</v>
      </c>
      <c r="AB24" s="97">
        <v>100</v>
      </c>
      <c r="AC24" s="97">
        <v>760.71821899999998</v>
      </c>
      <c r="AD24" s="98">
        <v>3.8112E-2</v>
      </c>
      <c r="AE24" s="98">
        <v>3.9599999999999998E-4</v>
      </c>
      <c r="AF24" s="106"/>
    </row>
    <row r="25" spans="1:32" ht="15" customHeight="1">
      <c r="A25" s="106"/>
      <c r="B25" s="96">
        <v>286</v>
      </c>
      <c r="C25" s="96">
        <v>286</v>
      </c>
      <c r="D25" s="96" t="s">
        <v>3691</v>
      </c>
      <c r="E25" s="96" t="s">
        <v>3692</v>
      </c>
      <c r="F25" s="96" t="s">
        <v>312</v>
      </c>
      <c r="G25" s="96" t="s">
        <v>3729</v>
      </c>
      <c r="H25" s="96" t="s">
        <v>3730</v>
      </c>
      <c r="I25" s="96" t="s">
        <v>320</v>
      </c>
      <c r="J25" s="96" t="s">
        <v>1025</v>
      </c>
      <c r="K25" s="96" t="s">
        <v>204</v>
      </c>
      <c r="L25" s="96" t="s">
        <v>223</v>
      </c>
      <c r="M25" s="96" t="s">
        <v>338</v>
      </c>
      <c r="N25" s="96" t="s">
        <v>750</v>
      </c>
      <c r="O25" s="100">
        <v>44726</v>
      </c>
      <c r="P25" s="96" t="s">
        <v>1281</v>
      </c>
      <c r="Q25" s="96" t="s">
        <v>422</v>
      </c>
      <c r="R25" s="96" t="s">
        <v>408</v>
      </c>
      <c r="S25" s="96" t="s">
        <v>1201</v>
      </c>
      <c r="T25" s="97">
        <v>0.25</v>
      </c>
      <c r="U25" s="98">
        <v>2.1000000000000001E-2</v>
      </c>
      <c r="V25" s="98">
        <v>7.4300000000000005E-2</v>
      </c>
      <c r="W25" s="96" t="s">
        <v>887</v>
      </c>
      <c r="X25" s="96" t="s">
        <v>890</v>
      </c>
      <c r="Y25" s="100">
        <v>45471</v>
      </c>
      <c r="Z25" s="97">
        <v>525622.14955500001</v>
      </c>
      <c r="AA25" s="97">
        <v>3.7589999999999999</v>
      </c>
      <c r="AB25" s="97">
        <v>101.6581</v>
      </c>
      <c r="AC25" s="97">
        <v>2008.5753549999999</v>
      </c>
      <c r="AD25" s="98">
        <v>0.10063</v>
      </c>
      <c r="AE25" s="98">
        <v>1.0449999999999999E-3</v>
      </c>
      <c r="AF25" s="106"/>
    </row>
    <row r="26" spans="1:32" ht="15" customHeight="1">
      <c r="A26" s="106"/>
      <c r="B26" s="96">
        <v>286</v>
      </c>
      <c r="C26" s="96">
        <v>286</v>
      </c>
      <c r="D26" s="96" t="s">
        <v>3704</v>
      </c>
      <c r="E26" s="96" t="s">
        <v>3705</v>
      </c>
      <c r="F26" s="96" t="s">
        <v>312</v>
      </c>
      <c r="G26" s="96" t="s">
        <v>3706</v>
      </c>
      <c r="H26" s="96" t="s">
        <v>3707</v>
      </c>
      <c r="I26" s="96" t="s">
        <v>320</v>
      </c>
      <c r="J26" s="96" t="s">
        <v>1025</v>
      </c>
      <c r="K26" s="96" t="s">
        <v>204</v>
      </c>
      <c r="L26" s="96" t="s">
        <v>280</v>
      </c>
      <c r="M26" s="96" t="s">
        <v>338</v>
      </c>
      <c r="N26" s="96" t="s">
        <v>750</v>
      </c>
      <c r="O26" s="100">
        <v>44706</v>
      </c>
      <c r="P26" s="96" t="s">
        <v>3685</v>
      </c>
      <c r="Q26" s="96" t="s">
        <v>422</v>
      </c>
      <c r="R26" s="96" t="s">
        <v>406</v>
      </c>
      <c r="S26" s="96" t="s">
        <v>1202</v>
      </c>
      <c r="T26" s="97">
        <v>0.25</v>
      </c>
      <c r="U26" s="98">
        <v>2.1499999999999998E-2</v>
      </c>
      <c r="V26" s="98">
        <v>4.8399999999999999E-2</v>
      </c>
      <c r="W26" s="96" t="s">
        <v>887</v>
      </c>
      <c r="X26" s="96" t="s">
        <v>890</v>
      </c>
      <c r="Y26" s="100">
        <v>45471</v>
      </c>
      <c r="Z26" s="97">
        <v>387488.648652</v>
      </c>
      <c r="AA26" s="97">
        <v>4.0202</v>
      </c>
      <c r="AB26" s="97">
        <v>102.01479999999999</v>
      </c>
      <c r="AC26" s="97">
        <v>1589.16866</v>
      </c>
      <c r="AD26" s="98">
        <v>7.9617999999999994E-2</v>
      </c>
      <c r="AE26" s="98">
        <v>8.2700000000000004E-4</v>
      </c>
      <c r="AF26" s="106"/>
    </row>
    <row r="27" spans="1:32" ht="15" customHeight="1">
      <c r="A27" s="106"/>
      <c r="B27" s="96">
        <v>286</v>
      </c>
      <c r="C27" s="96">
        <v>286</v>
      </c>
      <c r="D27" s="96" t="s">
        <v>3695</v>
      </c>
      <c r="E27" s="96" t="s">
        <v>3696</v>
      </c>
      <c r="F27" s="96" t="s">
        <v>312</v>
      </c>
      <c r="G27" s="96" t="s">
        <v>3697</v>
      </c>
      <c r="H27" s="96" t="s">
        <v>3698</v>
      </c>
      <c r="I27" s="96" t="s">
        <v>320</v>
      </c>
      <c r="J27" s="96" t="s">
        <v>1025</v>
      </c>
      <c r="K27" s="96" t="s">
        <v>204</v>
      </c>
      <c r="L27" s="96" t="s">
        <v>219</v>
      </c>
      <c r="M27" s="96" t="s">
        <v>338</v>
      </c>
      <c r="N27" s="96" t="s">
        <v>750</v>
      </c>
      <c r="O27" s="100">
        <v>45470</v>
      </c>
      <c r="P27" s="96" t="s">
        <v>3685</v>
      </c>
      <c r="Q27" s="96" t="s">
        <v>422</v>
      </c>
      <c r="R27" s="96" t="s">
        <v>406</v>
      </c>
      <c r="S27" s="96" t="s">
        <v>1202</v>
      </c>
      <c r="T27" s="97">
        <v>0.25</v>
      </c>
      <c r="U27" s="98">
        <v>5.5E-2</v>
      </c>
      <c r="V27" s="98">
        <v>5.5E-2</v>
      </c>
      <c r="W27" s="96" t="s">
        <v>887</v>
      </c>
      <c r="X27" s="96" t="s">
        <v>890</v>
      </c>
      <c r="Y27" s="100">
        <v>45471</v>
      </c>
      <c r="Z27" s="97">
        <v>105124.429911</v>
      </c>
      <c r="AA27" s="97">
        <v>4.0202</v>
      </c>
      <c r="AB27" s="97">
        <v>100.0458</v>
      </c>
      <c r="AC27" s="97">
        <v>422.81493399999999</v>
      </c>
      <c r="AD27" s="98">
        <v>2.1183E-2</v>
      </c>
      <c r="AE27" s="98">
        <v>2.2000000000000001E-4</v>
      </c>
      <c r="AF27" s="106"/>
    </row>
    <row r="28" spans="1:32" ht="15" customHeight="1">
      <c r="A28" s="106"/>
      <c r="B28" s="96">
        <v>286</v>
      </c>
      <c r="C28" s="96">
        <v>286</v>
      </c>
      <c r="D28" s="96" t="s">
        <v>3691</v>
      </c>
      <c r="E28" s="96" t="s">
        <v>3692</v>
      </c>
      <c r="F28" s="96" t="s">
        <v>312</v>
      </c>
      <c r="G28" s="96" t="s">
        <v>3752</v>
      </c>
      <c r="H28" s="96" t="s">
        <v>3753</v>
      </c>
      <c r="I28" s="96" t="s">
        <v>320</v>
      </c>
      <c r="J28" s="96" t="s">
        <v>1025</v>
      </c>
      <c r="K28" s="96" t="s">
        <v>204</v>
      </c>
      <c r="L28" s="96" t="s">
        <v>223</v>
      </c>
      <c r="M28" s="96" t="s">
        <v>338</v>
      </c>
      <c r="N28" s="96" t="s">
        <v>750</v>
      </c>
      <c r="O28" s="100">
        <v>43335</v>
      </c>
      <c r="P28" s="96" t="s">
        <v>3685</v>
      </c>
      <c r="Q28" s="96" t="s">
        <v>432</v>
      </c>
      <c r="R28" s="96" t="s">
        <v>406</v>
      </c>
      <c r="S28" s="96" t="s">
        <v>1201</v>
      </c>
      <c r="T28" s="97">
        <v>0.25</v>
      </c>
      <c r="U28" s="98">
        <v>1.67E-2</v>
      </c>
      <c r="V28" s="98">
        <v>7.2700000000000001E-2</v>
      </c>
      <c r="W28" s="96" t="s">
        <v>887</v>
      </c>
      <c r="X28" s="96" t="s">
        <v>890</v>
      </c>
      <c r="Y28" s="100">
        <v>45471</v>
      </c>
      <c r="Z28" s="97">
        <v>215505.081317</v>
      </c>
      <c r="AA28" s="97">
        <v>3.7589999999999999</v>
      </c>
      <c r="AB28" s="97">
        <v>101.4913</v>
      </c>
      <c r="AC28" s="97">
        <v>822.16496099999995</v>
      </c>
      <c r="AD28" s="98">
        <v>4.1190999999999998E-2</v>
      </c>
      <c r="AE28" s="98">
        <v>4.28E-4</v>
      </c>
      <c r="AF28" s="106"/>
    </row>
    <row r="29" spans="1:32" ht="15" customHeight="1">
      <c r="A29" s="106"/>
      <c r="B29" s="96">
        <v>286</v>
      </c>
      <c r="C29" s="96">
        <v>286</v>
      </c>
      <c r="D29" s="96" t="s">
        <v>3695</v>
      </c>
      <c r="E29" s="96" t="s">
        <v>3696</v>
      </c>
      <c r="F29" s="96" t="s">
        <v>312</v>
      </c>
      <c r="G29" s="96" t="s">
        <v>3699</v>
      </c>
      <c r="H29" s="96" t="s">
        <v>3700</v>
      </c>
      <c r="I29" s="96" t="s">
        <v>320</v>
      </c>
      <c r="J29" s="96" t="s">
        <v>1025</v>
      </c>
      <c r="K29" s="96" t="s">
        <v>204</v>
      </c>
      <c r="L29" s="96" t="s">
        <v>232</v>
      </c>
      <c r="M29" s="96" t="s">
        <v>338</v>
      </c>
      <c r="N29" s="96" t="s">
        <v>750</v>
      </c>
      <c r="O29" s="100">
        <v>45364</v>
      </c>
      <c r="P29" s="96" t="s">
        <v>3685</v>
      </c>
      <c r="Q29" s="96" t="s">
        <v>422</v>
      </c>
      <c r="R29" s="96" t="s">
        <v>406</v>
      </c>
      <c r="S29" s="96" t="s">
        <v>1202</v>
      </c>
      <c r="T29" s="97">
        <v>0.25</v>
      </c>
      <c r="U29" s="98">
        <v>2.1000000000000001E-2</v>
      </c>
      <c r="V29" s="98">
        <v>4.7600000000000003E-2</v>
      </c>
      <c r="W29" s="96" t="s">
        <v>887</v>
      </c>
      <c r="X29" s="96" t="s">
        <v>890</v>
      </c>
      <c r="Y29" s="100">
        <v>45471</v>
      </c>
      <c r="Z29" s="97">
        <v>336398.17571500002</v>
      </c>
      <c r="AA29" s="97">
        <v>4.0202</v>
      </c>
      <c r="AB29" s="97">
        <v>101.5094</v>
      </c>
      <c r="AC29" s="97">
        <v>1372.801234</v>
      </c>
      <c r="AD29" s="98">
        <v>6.8778000000000006E-2</v>
      </c>
      <c r="AE29" s="98">
        <v>7.1400000000000001E-4</v>
      </c>
      <c r="AF29" s="106"/>
    </row>
    <row r="30" spans="1:32" ht="15" customHeight="1">
      <c r="A30" s="106"/>
      <c r="B30" s="96">
        <v>286</v>
      </c>
      <c r="C30" s="96">
        <v>286</v>
      </c>
      <c r="D30" s="96" t="s">
        <v>3731</v>
      </c>
      <c r="E30" s="96" t="s">
        <v>3732</v>
      </c>
      <c r="F30" s="96" t="s">
        <v>312</v>
      </c>
      <c r="G30" s="96" t="s">
        <v>3733</v>
      </c>
      <c r="H30" s="96" t="s">
        <v>3734</v>
      </c>
      <c r="I30" s="96" t="s">
        <v>320</v>
      </c>
      <c r="J30" s="96" t="s">
        <v>1025</v>
      </c>
      <c r="K30" s="96" t="s">
        <v>204</v>
      </c>
      <c r="L30" s="96" t="s">
        <v>223</v>
      </c>
      <c r="M30" s="96" t="s">
        <v>338</v>
      </c>
      <c r="N30" s="96" t="s">
        <v>750</v>
      </c>
      <c r="O30" s="100">
        <v>45068</v>
      </c>
      <c r="P30" s="96" t="s">
        <v>3685</v>
      </c>
      <c r="Q30" s="96" t="s">
        <v>422</v>
      </c>
      <c r="R30" s="96" t="s">
        <v>408</v>
      </c>
      <c r="S30" s="96" t="s">
        <v>1201</v>
      </c>
      <c r="T30" s="97">
        <v>0.25</v>
      </c>
      <c r="U30" s="98">
        <v>2.4500000000000001E-2</v>
      </c>
      <c r="V30" s="98">
        <v>7.5700000000000003E-2</v>
      </c>
      <c r="W30" s="96" t="s">
        <v>887</v>
      </c>
      <c r="X30" s="96" t="s">
        <v>890</v>
      </c>
      <c r="Y30" s="100">
        <v>45471</v>
      </c>
      <c r="Z30" s="97">
        <v>315373.28973299998</v>
      </c>
      <c r="AA30" s="97">
        <v>3.7589999999999999</v>
      </c>
      <c r="AB30" s="97">
        <v>102.9541</v>
      </c>
      <c r="AC30" s="97">
        <v>1220.509654</v>
      </c>
      <c r="AD30" s="98">
        <v>6.1148000000000001E-2</v>
      </c>
      <c r="AE30" s="98">
        <v>6.3500000000000004E-4</v>
      </c>
      <c r="AF30" s="106"/>
    </row>
    <row r="31" spans="1:32" ht="15" customHeight="1">
      <c r="A31" s="106"/>
      <c r="B31" s="96">
        <v>286</v>
      </c>
      <c r="C31" s="96">
        <v>286</v>
      </c>
      <c r="D31" s="96" t="s">
        <v>3718</v>
      </c>
      <c r="E31" s="96" t="s">
        <v>3719</v>
      </c>
      <c r="F31" s="96" t="s">
        <v>312</v>
      </c>
      <c r="G31" s="96" t="s">
        <v>3720</v>
      </c>
      <c r="H31" s="96" t="s">
        <v>3721</v>
      </c>
      <c r="I31" s="96" t="s">
        <v>320</v>
      </c>
      <c r="J31" s="96" t="s">
        <v>1025</v>
      </c>
      <c r="K31" s="96" t="s">
        <v>204</v>
      </c>
      <c r="L31" s="96" t="s">
        <v>223</v>
      </c>
      <c r="M31" s="96" t="s">
        <v>338</v>
      </c>
      <c r="N31" s="96" t="s">
        <v>750</v>
      </c>
      <c r="O31" s="100">
        <v>44435</v>
      </c>
      <c r="P31" s="96" t="s">
        <v>3722</v>
      </c>
      <c r="Q31" s="96" t="s">
        <v>430</v>
      </c>
      <c r="R31" s="96" t="s">
        <v>406</v>
      </c>
      <c r="S31" s="96" t="s">
        <v>1201</v>
      </c>
      <c r="T31" s="97">
        <v>0.25</v>
      </c>
      <c r="U31" s="98">
        <v>1.6500000000000001E-2</v>
      </c>
      <c r="V31" s="98">
        <v>7.2300000000000003E-2</v>
      </c>
      <c r="W31" s="96" t="s">
        <v>887</v>
      </c>
      <c r="X31" s="96" t="s">
        <v>890</v>
      </c>
      <c r="Y31" s="100">
        <v>45471</v>
      </c>
      <c r="Z31" s="97">
        <v>66228.390843999994</v>
      </c>
      <c r="AA31" s="97">
        <v>3.7589999999999999</v>
      </c>
      <c r="AB31" s="97">
        <v>101.75530000000001</v>
      </c>
      <c r="AC31" s="97">
        <v>253.32246699999999</v>
      </c>
      <c r="AD31" s="98">
        <v>1.2690999999999999E-2</v>
      </c>
      <c r="AE31" s="98">
        <v>1.3100000000000001E-4</v>
      </c>
      <c r="AF31" s="106"/>
    </row>
    <row r="32" spans="1:32" ht="15" customHeight="1">
      <c r="A32" s="106"/>
      <c r="B32" s="96">
        <v>286</v>
      </c>
      <c r="C32" s="96">
        <v>286</v>
      </c>
      <c r="D32" s="96" t="s">
        <v>3695</v>
      </c>
      <c r="E32" s="96" t="s">
        <v>3696</v>
      </c>
      <c r="F32" s="96" t="s">
        <v>312</v>
      </c>
      <c r="G32" s="96" t="s">
        <v>3723</v>
      </c>
      <c r="H32" s="96" t="s">
        <v>3724</v>
      </c>
      <c r="I32" s="96" t="s">
        <v>320</v>
      </c>
      <c r="J32" s="96" t="s">
        <v>1025</v>
      </c>
      <c r="K32" s="96" t="s">
        <v>204</v>
      </c>
      <c r="L32" s="96" t="s">
        <v>280</v>
      </c>
      <c r="M32" s="96" t="s">
        <v>338</v>
      </c>
      <c r="N32" s="96" t="s">
        <v>750</v>
      </c>
      <c r="O32" s="100">
        <v>44277</v>
      </c>
      <c r="P32" s="96" t="s">
        <v>3685</v>
      </c>
      <c r="Q32" s="96" t="s">
        <v>422</v>
      </c>
      <c r="R32" s="96" t="s">
        <v>406</v>
      </c>
      <c r="S32" s="96" t="s">
        <v>1202</v>
      </c>
      <c r="T32" s="97">
        <v>0.25</v>
      </c>
      <c r="U32" s="98">
        <v>1.2800000000000001E-2</v>
      </c>
      <c r="V32" s="98">
        <v>4.6600000000000003E-2</v>
      </c>
      <c r="W32" s="96" t="s">
        <v>887</v>
      </c>
      <c r="X32" s="96" t="s">
        <v>890</v>
      </c>
      <c r="Y32" s="100">
        <v>45471</v>
      </c>
      <c r="Z32" s="97">
        <v>190527.516771</v>
      </c>
      <c r="AA32" s="97">
        <v>4.0202</v>
      </c>
      <c r="AB32" s="97">
        <v>99.609200000000001</v>
      </c>
      <c r="AC32" s="97">
        <v>762.96590900000001</v>
      </c>
      <c r="AD32" s="98">
        <v>3.8225000000000002E-2</v>
      </c>
      <c r="AE32" s="98">
        <v>3.97E-4</v>
      </c>
      <c r="AF32" s="106"/>
    </row>
    <row r="33" spans="1:32" ht="15" customHeight="1">
      <c r="A33" s="106"/>
      <c r="B33" s="96">
        <v>286</v>
      </c>
      <c r="C33" s="96">
        <v>286</v>
      </c>
      <c r="D33" s="96" t="s">
        <v>3710</v>
      </c>
      <c r="E33" s="96" t="s">
        <v>3711</v>
      </c>
      <c r="F33" s="96" t="s">
        <v>312</v>
      </c>
      <c r="G33" s="96" t="s">
        <v>3712</v>
      </c>
      <c r="H33" s="96" t="s">
        <v>3713</v>
      </c>
      <c r="I33" s="96" t="s">
        <v>320</v>
      </c>
      <c r="J33" s="96" t="s">
        <v>1025</v>
      </c>
      <c r="K33" s="96" t="s">
        <v>204</v>
      </c>
      <c r="L33" s="96" t="s">
        <v>223</v>
      </c>
      <c r="M33" s="96" t="s">
        <v>338</v>
      </c>
      <c r="N33" s="96" t="s">
        <v>750</v>
      </c>
      <c r="O33" s="100">
        <v>44532</v>
      </c>
      <c r="P33" s="96" t="s">
        <v>3685</v>
      </c>
      <c r="Q33" s="96" t="s">
        <v>432</v>
      </c>
      <c r="R33" s="96" t="s">
        <v>406</v>
      </c>
      <c r="S33" s="96" t="s">
        <v>1201</v>
      </c>
      <c r="T33" s="97">
        <v>0.25</v>
      </c>
      <c r="U33" s="98">
        <v>1.7000000000000001E-2</v>
      </c>
      <c r="V33" s="98">
        <v>7.1800000000000003E-2</v>
      </c>
      <c r="W33" s="96" t="s">
        <v>887</v>
      </c>
      <c r="X33" s="96" t="s">
        <v>890</v>
      </c>
      <c r="Y33" s="100">
        <v>45471</v>
      </c>
      <c r="Z33" s="97">
        <v>315373.28973299998</v>
      </c>
      <c r="AA33" s="97">
        <v>3.7589999999999999</v>
      </c>
      <c r="AB33" s="97">
        <v>102.1923</v>
      </c>
      <c r="AC33" s="97">
        <v>1211.4778429999999</v>
      </c>
      <c r="AD33" s="98">
        <v>6.0694999999999999E-2</v>
      </c>
      <c r="AE33" s="98">
        <v>6.3000000000000003E-4</v>
      </c>
      <c r="AF33" s="106"/>
    </row>
    <row r="34" spans="1:32" ht="15" customHeight="1">
      <c r="A34" s="106"/>
      <c r="B34" s="96">
        <v>286</v>
      </c>
      <c r="C34" s="96">
        <v>286</v>
      </c>
      <c r="D34" s="96" t="s">
        <v>3744</v>
      </c>
      <c r="E34" s="96" t="s">
        <v>3745</v>
      </c>
      <c r="F34" s="96" t="s">
        <v>312</v>
      </c>
      <c r="G34" s="96" t="s">
        <v>3746</v>
      </c>
      <c r="H34" s="96" t="s">
        <v>3747</v>
      </c>
      <c r="I34" s="96" t="s">
        <v>320</v>
      </c>
      <c r="J34" s="96" t="s">
        <v>1025</v>
      </c>
      <c r="K34" s="96" t="s">
        <v>204</v>
      </c>
      <c r="L34" s="96" t="s">
        <v>223</v>
      </c>
      <c r="M34" s="96" t="s">
        <v>338</v>
      </c>
      <c r="N34" s="96" t="s">
        <v>750</v>
      </c>
      <c r="O34" s="100">
        <v>43461</v>
      </c>
      <c r="P34" s="96" t="s">
        <v>3685</v>
      </c>
      <c r="Q34" s="96" t="s">
        <v>432</v>
      </c>
      <c r="R34" s="96" t="s">
        <v>406</v>
      </c>
      <c r="S34" s="96" t="s">
        <v>1201</v>
      </c>
      <c r="T34" s="97">
        <v>0.25</v>
      </c>
      <c r="U34" s="98">
        <v>1.7000000000000001E-2</v>
      </c>
      <c r="V34" s="98">
        <v>7.3099999999999998E-2</v>
      </c>
      <c r="W34" s="96" t="s">
        <v>887</v>
      </c>
      <c r="X34" s="96" t="s">
        <v>890</v>
      </c>
      <c r="Y34" s="100">
        <v>45471</v>
      </c>
      <c r="Z34" s="97">
        <v>210248.859822</v>
      </c>
      <c r="AA34" s="97">
        <v>3.7589999999999999</v>
      </c>
      <c r="AB34" s="97">
        <v>101.60680000000001</v>
      </c>
      <c r="AC34" s="97">
        <v>803.02504499999998</v>
      </c>
      <c r="AD34" s="98">
        <v>4.0231999999999997E-2</v>
      </c>
      <c r="AE34" s="98">
        <v>4.1800000000000002E-4</v>
      </c>
      <c r="AF34" s="106"/>
    </row>
    <row r="35" spans="1:32" ht="15" customHeight="1">
      <c r="A35" s="106"/>
      <c r="B35" s="96">
        <v>286</v>
      </c>
      <c r="C35" s="96">
        <v>286</v>
      </c>
      <c r="D35" s="96" t="s">
        <v>3704</v>
      </c>
      <c r="E35" s="96" t="s">
        <v>3705</v>
      </c>
      <c r="F35" s="96" t="s">
        <v>312</v>
      </c>
      <c r="G35" s="96" t="s">
        <v>3716</v>
      </c>
      <c r="H35" s="96" t="s">
        <v>3717</v>
      </c>
      <c r="I35" s="96" t="s">
        <v>320</v>
      </c>
      <c r="J35" s="96" t="s">
        <v>1025</v>
      </c>
      <c r="K35" s="96" t="s">
        <v>204</v>
      </c>
      <c r="L35" s="96" t="s">
        <v>232</v>
      </c>
      <c r="M35" s="96" t="s">
        <v>338</v>
      </c>
      <c r="N35" s="96" t="s">
        <v>750</v>
      </c>
      <c r="O35" s="100">
        <v>45106</v>
      </c>
      <c r="P35" s="96" t="s">
        <v>3685</v>
      </c>
      <c r="Q35" s="96" t="s">
        <v>422</v>
      </c>
      <c r="R35" s="96" t="s">
        <v>406</v>
      </c>
      <c r="S35" s="96" t="s">
        <v>1202</v>
      </c>
      <c r="T35" s="97">
        <v>0.25</v>
      </c>
      <c r="U35" s="98">
        <v>3.15E-2</v>
      </c>
      <c r="V35" s="98">
        <v>5.5599999999999997E-2</v>
      </c>
      <c r="W35" s="96" t="s">
        <v>887</v>
      </c>
      <c r="X35" s="96" t="s">
        <v>890</v>
      </c>
      <c r="Y35" s="100">
        <v>45471</v>
      </c>
      <c r="Z35" s="97">
        <v>271746.65132</v>
      </c>
      <c r="AA35" s="97">
        <v>4.0202</v>
      </c>
      <c r="AB35" s="97">
        <v>103.8747</v>
      </c>
      <c r="AC35" s="97">
        <v>1134.8061600000001</v>
      </c>
      <c r="AD35" s="98">
        <v>5.6854000000000002E-2</v>
      </c>
      <c r="AE35" s="98">
        <v>5.9000000000000003E-4</v>
      </c>
      <c r="AF35" s="106"/>
    </row>
    <row r="36" spans="1:32" ht="15" customHeight="1">
      <c r="A36" s="106"/>
      <c r="B36" s="96">
        <v>286</v>
      </c>
      <c r="C36" s="96">
        <v>286</v>
      </c>
      <c r="D36" s="96" t="s">
        <v>3704</v>
      </c>
      <c r="E36" s="96" t="s">
        <v>3705</v>
      </c>
      <c r="F36" s="96" t="s">
        <v>312</v>
      </c>
      <c r="G36" s="96" t="s">
        <v>3714</v>
      </c>
      <c r="H36" s="96" t="s">
        <v>3715</v>
      </c>
      <c r="I36" s="96" t="s">
        <v>320</v>
      </c>
      <c r="J36" s="96" t="s">
        <v>1025</v>
      </c>
      <c r="K36" s="96" t="s">
        <v>204</v>
      </c>
      <c r="L36" s="96" t="s">
        <v>223</v>
      </c>
      <c r="M36" s="96" t="s">
        <v>338</v>
      </c>
      <c r="N36" s="96" t="s">
        <v>750</v>
      </c>
      <c r="O36" s="100">
        <v>44498</v>
      </c>
      <c r="P36" s="96" t="s">
        <v>3685</v>
      </c>
      <c r="Q36" s="96" t="s">
        <v>432</v>
      </c>
      <c r="R36" s="96" t="s">
        <v>406</v>
      </c>
      <c r="S36" s="96" t="s">
        <v>1201</v>
      </c>
      <c r="T36" s="97">
        <v>0.25</v>
      </c>
      <c r="U36" s="98">
        <v>1.6500000000000001E-2</v>
      </c>
      <c r="V36" s="98">
        <v>7.2599999999999998E-2</v>
      </c>
      <c r="W36" s="96" t="s">
        <v>887</v>
      </c>
      <c r="X36" s="96" t="s">
        <v>890</v>
      </c>
      <c r="Y36" s="100">
        <v>45471</v>
      </c>
      <c r="Z36" s="97">
        <v>367935.50468900002</v>
      </c>
      <c r="AA36" s="97">
        <v>3.7589999999999999</v>
      </c>
      <c r="AB36" s="97">
        <v>101.6071</v>
      </c>
      <c r="AC36" s="97">
        <v>1405.296934</v>
      </c>
      <c r="AD36" s="98">
        <v>7.0405999999999996E-2</v>
      </c>
      <c r="AE36" s="98">
        <v>7.3099999999999999E-4</v>
      </c>
      <c r="AF36" s="106"/>
    </row>
    <row r="37" spans="1:32" ht="15" customHeight="1">
      <c r="A37" s="106"/>
      <c r="B37" s="96">
        <v>286</v>
      </c>
      <c r="C37" s="96">
        <v>286</v>
      </c>
      <c r="D37" s="96" t="s">
        <v>3748</v>
      </c>
      <c r="E37" s="96" t="s">
        <v>3749</v>
      </c>
      <c r="F37" s="96" t="s">
        <v>312</v>
      </c>
      <c r="G37" s="96" t="s">
        <v>3750</v>
      </c>
      <c r="H37" s="96" t="s">
        <v>3751</v>
      </c>
      <c r="I37" s="96" t="s">
        <v>320</v>
      </c>
      <c r="J37" s="96" t="s">
        <v>1025</v>
      </c>
      <c r="K37" s="96" t="s">
        <v>204</v>
      </c>
      <c r="L37" s="96" t="s">
        <v>232</v>
      </c>
      <c r="M37" s="96" t="s">
        <v>338</v>
      </c>
      <c r="N37" s="96" t="s">
        <v>750</v>
      </c>
      <c r="O37" s="100">
        <v>45252</v>
      </c>
      <c r="P37" s="96" t="s">
        <v>3685</v>
      </c>
      <c r="Q37" s="96" t="s">
        <v>422</v>
      </c>
      <c r="R37" s="96" t="s">
        <v>406</v>
      </c>
      <c r="S37" s="96" t="s">
        <v>1202</v>
      </c>
      <c r="T37" s="97">
        <v>0.25</v>
      </c>
      <c r="U37" s="98">
        <v>3.0499999999999999E-2</v>
      </c>
      <c r="V37" s="98">
        <v>4.9599999999999998E-2</v>
      </c>
      <c r="W37" s="96" t="s">
        <v>887</v>
      </c>
      <c r="X37" s="96" t="s">
        <v>890</v>
      </c>
      <c r="Y37" s="100">
        <v>45471</v>
      </c>
      <c r="Z37" s="97">
        <v>486200.48833899997</v>
      </c>
      <c r="AA37" s="97">
        <v>4.0202</v>
      </c>
      <c r="AB37" s="97">
        <v>101.81489999999999</v>
      </c>
      <c r="AC37" s="97">
        <v>1990.0988749999999</v>
      </c>
      <c r="AD37" s="98">
        <v>9.9705000000000002E-2</v>
      </c>
      <c r="AE37" s="98">
        <v>1.036E-3</v>
      </c>
      <c r="AF37" s="106"/>
    </row>
    <row r="38" spans="1:32" ht="15" customHeight="1">
      <c r="A38" s="106"/>
      <c r="B38" s="96">
        <v>286</v>
      </c>
      <c r="C38" s="96">
        <v>286</v>
      </c>
      <c r="D38" s="96" t="s">
        <v>3740</v>
      </c>
      <c r="E38" s="96" t="s">
        <v>3741</v>
      </c>
      <c r="F38" s="96" t="s">
        <v>312</v>
      </c>
      <c r="G38" s="96" t="s">
        <v>3742</v>
      </c>
      <c r="H38" s="96" t="s">
        <v>3743</v>
      </c>
      <c r="I38" s="96" t="s">
        <v>320</v>
      </c>
      <c r="J38" s="96" t="s">
        <v>1025</v>
      </c>
      <c r="K38" s="96" t="s">
        <v>204</v>
      </c>
      <c r="L38" s="96" t="s">
        <v>223</v>
      </c>
      <c r="M38" s="96" t="s">
        <v>338</v>
      </c>
      <c r="N38" s="96" t="s">
        <v>750</v>
      </c>
      <c r="O38" s="100">
        <v>45176</v>
      </c>
      <c r="P38" s="96" t="s">
        <v>3685</v>
      </c>
      <c r="Q38" s="96" t="s">
        <v>422</v>
      </c>
      <c r="R38" s="96" t="s">
        <v>408</v>
      </c>
      <c r="S38" s="96" t="s">
        <v>1201</v>
      </c>
      <c r="T38" s="97">
        <v>0.25</v>
      </c>
      <c r="U38" s="98">
        <v>7.8329999999999997E-2</v>
      </c>
      <c r="V38" s="98">
        <v>7.6200000000000004E-2</v>
      </c>
      <c r="W38" s="96" t="s">
        <v>887</v>
      </c>
      <c r="X38" s="96" t="s">
        <v>890</v>
      </c>
      <c r="Y38" s="100">
        <v>45471</v>
      </c>
      <c r="Z38" s="97">
        <v>73587.100936999996</v>
      </c>
      <c r="AA38" s="97">
        <v>3.7589999999999999</v>
      </c>
      <c r="AB38" s="97">
        <v>102.6703</v>
      </c>
      <c r="AC38" s="97">
        <v>284.00052399999998</v>
      </c>
      <c r="AD38" s="98">
        <v>1.4227999999999999E-2</v>
      </c>
      <c r="AE38" s="98">
        <v>1.47E-4</v>
      </c>
      <c r="AF38" s="106"/>
    </row>
    <row r="39" spans="1:32" ht="15" customHeight="1">
      <c r="A39" s="106"/>
      <c r="B39" s="96">
        <v>286</v>
      </c>
      <c r="C39" s="96">
        <v>286</v>
      </c>
      <c r="D39" s="96" t="s">
        <v>3691</v>
      </c>
      <c r="E39" s="96" t="s">
        <v>3692</v>
      </c>
      <c r="F39" s="96" t="s">
        <v>312</v>
      </c>
      <c r="G39" s="96" t="s">
        <v>3693</v>
      </c>
      <c r="H39" s="96" t="s">
        <v>3694</v>
      </c>
      <c r="I39" s="96" t="s">
        <v>320</v>
      </c>
      <c r="J39" s="96" t="s">
        <v>1025</v>
      </c>
      <c r="K39" s="96" t="s">
        <v>204</v>
      </c>
      <c r="L39" s="96" t="s">
        <v>223</v>
      </c>
      <c r="M39" s="96" t="s">
        <v>338</v>
      </c>
      <c r="N39" s="96" t="s">
        <v>750</v>
      </c>
      <c r="O39" s="100">
        <v>45198</v>
      </c>
      <c r="P39" s="96" t="s">
        <v>3685</v>
      </c>
      <c r="Q39" s="96" t="s">
        <v>422</v>
      </c>
      <c r="R39" s="96" t="s">
        <v>406</v>
      </c>
      <c r="S39" s="96" t="s">
        <v>1201</v>
      </c>
      <c r="T39" s="97">
        <v>0.25</v>
      </c>
      <c r="U39" s="98">
        <v>7.7399990000000002E-2</v>
      </c>
      <c r="V39" s="98">
        <v>7.5399999999999995E-2</v>
      </c>
      <c r="W39" s="96" t="s">
        <v>887</v>
      </c>
      <c r="X39" s="96" t="s">
        <v>890</v>
      </c>
      <c r="Y39" s="100">
        <v>45471</v>
      </c>
      <c r="Z39" s="97">
        <v>94611.986919999996</v>
      </c>
      <c r="AA39" s="97">
        <v>3.7589999999999999</v>
      </c>
      <c r="AB39" s="97">
        <v>102.8974</v>
      </c>
      <c r="AC39" s="97">
        <v>365.951077</v>
      </c>
      <c r="AD39" s="98">
        <v>1.8334E-2</v>
      </c>
      <c r="AE39" s="98">
        <v>1.9000000000000001E-4</v>
      </c>
      <c r="AF39" s="106"/>
    </row>
    <row r="40" spans="1:32" ht="15" customHeight="1">
      <c r="A40" s="106"/>
      <c r="B40" s="96">
        <v>286</v>
      </c>
      <c r="C40" s="96">
        <v>286</v>
      </c>
      <c r="D40" s="96" t="s">
        <v>3735</v>
      </c>
      <c r="E40" s="96" t="s">
        <v>3736</v>
      </c>
      <c r="F40" s="96" t="s">
        <v>312</v>
      </c>
      <c r="G40" s="96" t="s">
        <v>3737</v>
      </c>
      <c r="H40" s="96" t="s">
        <v>3738</v>
      </c>
      <c r="I40" s="96" t="s">
        <v>320</v>
      </c>
      <c r="J40" s="96" t="s">
        <v>1025</v>
      </c>
      <c r="K40" s="96" t="s">
        <v>204</v>
      </c>
      <c r="L40" s="96" t="s">
        <v>223</v>
      </c>
      <c r="M40" s="96" t="s">
        <v>338</v>
      </c>
      <c r="N40" s="96" t="s">
        <v>750</v>
      </c>
      <c r="O40" s="100">
        <v>43174</v>
      </c>
      <c r="P40" s="96" t="s">
        <v>3739</v>
      </c>
      <c r="Q40" s="96" t="s">
        <v>430</v>
      </c>
      <c r="R40" s="96" t="s">
        <v>406</v>
      </c>
      <c r="S40" s="96" t="s">
        <v>1201</v>
      </c>
      <c r="T40" s="97">
        <v>0.25</v>
      </c>
      <c r="U40" s="98">
        <v>1.4E-2</v>
      </c>
      <c r="V40" s="98">
        <v>6.9699999999999998E-2</v>
      </c>
      <c r="W40" s="96" t="s">
        <v>887</v>
      </c>
      <c r="X40" s="96" t="s">
        <v>890</v>
      </c>
      <c r="Y40" s="100">
        <v>45471</v>
      </c>
      <c r="Z40" s="97">
        <v>157686.64486599999</v>
      </c>
      <c r="AA40" s="97">
        <v>3.7589999999999999</v>
      </c>
      <c r="AB40" s="97">
        <v>101.49420000000001</v>
      </c>
      <c r="AC40" s="97">
        <v>601.60095200000001</v>
      </c>
      <c r="AD40" s="98">
        <v>3.014E-2</v>
      </c>
      <c r="AE40" s="98">
        <v>3.1300000000000002E-4</v>
      </c>
      <c r="AF40" s="106"/>
    </row>
    <row r="41" spans="1:32" ht="15" customHeight="1">
      <c r="A41" s="106"/>
      <c r="B41" s="96">
        <v>286</v>
      </c>
      <c r="C41" s="96">
        <v>14418</v>
      </c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106"/>
    </row>
    <row r="42" spans="1:32" ht="15" customHeight="1">
      <c r="A42" s="106"/>
      <c r="B42" s="96">
        <v>286</v>
      </c>
      <c r="C42" s="96">
        <v>1446</v>
      </c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106"/>
    </row>
    <row r="43" spans="1:32" ht="15" customHeight="1">
      <c r="A43" s="106"/>
      <c r="B43" s="96">
        <v>286</v>
      </c>
      <c r="C43" s="96">
        <v>9803</v>
      </c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106"/>
    </row>
    <row r="44" spans="1:32" ht="15" customHeight="1">
      <c r="A44" s="106"/>
      <c r="B44" s="105" t="s">
        <v>3767</v>
      </c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6"/>
    </row>
  </sheetData>
  <mergeCells count="4">
    <mergeCell ref="B44:AE44"/>
    <mergeCell ref="A1:A44"/>
    <mergeCell ref="B1:AE1"/>
    <mergeCell ref="AF1:AF44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AA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7.125" bestFit="1" customWidth="1"/>
    <col min="5" max="5" width="9.375" bestFit="1" customWidth="1"/>
    <col min="6" max="6" width="8" bestFit="1" customWidth="1"/>
    <col min="7" max="7" width="9.625" bestFit="1" customWidth="1"/>
    <col min="8" max="8" width="10.75" bestFit="1" customWidth="1"/>
    <col min="9" max="9" width="8.75" bestFit="1" customWidth="1"/>
    <col min="10" max="10" width="10.75" bestFit="1" customWidth="1"/>
    <col min="11" max="11" width="9.625" bestFit="1" customWidth="1"/>
    <col min="12" max="12" width="8.375" bestFit="1" customWidth="1"/>
    <col min="13" max="13" width="7.125" bestFit="1" customWidth="1"/>
    <col min="14" max="14" width="9.875" bestFit="1" customWidth="1"/>
    <col min="15" max="15" width="5.125" bestFit="1" customWidth="1"/>
    <col min="16" max="16" width="9.25" bestFit="1" customWidth="1"/>
    <col min="17" max="17" width="10.375" bestFit="1" customWidth="1"/>
    <col min="18" max="18" width="8.875" bestFit="1" customWidth="1"/>
    <col min="19" max="19" width="9.125" bestFit="1" customWidth="1"/>
    <col min="20" max="20" width="9.25" bestFit="1" customWidth="1"/>
    <col min="21" max="21" width="9.5" bestFit="1" customWidth="1"/>
    <col min="22" max="22" width="11" bestFit="1" customWidth="1"/>
    <col min="23" max="23" width="10.375" bestFit="1" customWidth="1"/>
    <col min="24" max="24" width="3.125" customWidth="1"/>
    <col min="25" max="27" width="9" customWidth="1"/>
  </cols>
  <sheetData>
    <row r="1" spans="1:27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6" t="s">
        <v>3766</v>
      </c>
    </row>
    <row r="2" spans="1:27" ht="66.75" customHeight="1">
      <c r="A2" s="106"/>
      <c r="B2" s="21" t="s">
        <v>49</v>
      </c>
      <c r="C2" s="21" t="s">
        <v>50</v>
      </c>
      <c r="D2" s="21" t="s">
        <v>51</v>
      </c>
      <c r="E2" s="21" t="s">
        <v>52</v>
      </c>
      <c r="F2" s="21" t="s">
        <v>53</v>
      </c>
      <c r="G2" s="21" t="s">
        <v>54</v>
      </c>
      <c r="H2" s="101" t="s">
        <v>173</v>
      </c>
      <c r="I2" s="21" t="s">
        <v>55</v>
      </c>
      <c r="J2" s="21" t="s">
        <v>69</v>
      </c>
      <c r="K2" s="21" t="s">
        <v>56</v>
      </c>
      <c r="L2" s="21" t="s">
        <v>57</v>
      </c>
      <c r="M2" s="21" t="s">
        <v>58</v>
      </c>
      <c r="N2" s="21" t="s">
        <v>59</v>
      </c>
      <c r="O2" s="99" t="s">
        <v>72</v>
      </c>
      <c r="P2" s="95" t="s">
        <v>62</v>
      </c>
      <c r="Q2" s="95" t="s">
        <v>74</v>
      </c>
      <c r="R2" s="99" t="s">
        <v>60</v>
      </c>
      <c r="S2" s="99" t="s">
        <v>61</v>
      </c>
      <c r="T2" s="99" t="s">
        <v>174</v>
      </c>
      <c r="U2" s="99" t="s">
        <v>63</v>
      </c>
      <c r="V2" s="95" t="s">
        <v>64</v>
      </c>
      <c r="W2" s="95" t="s">
        <v>65</v>
      </c>
      <c r="X2" s="106"/>
      <c r="Y2" s="10"/>
      <c r="Z2" s="10"/>
      <c r="AA2" s="10"/>
    </row>
    <row r="3" spans="1:27" ht="15" customHeight="1">
      <c r="A3" s="106"/>
      <c r="B3" s="96">
        <v>286</v>
      </c>
      <c r="C3" s="96">
        <v>14418</v>
      </c>
      <c r="D3" s="96"/>
      <c r="E3" s="96"/>
      <c r="F3" s="96"/>
      <c r="G3" s="96"/>
      <c r="H3" s="100"/>
      <c r="I3" s="96"/>
      <c r="J3" s="96"/>
      <c r="K3" s="96"/>
      <c r="L3" s="96"/>
      <c r="M3" s="96"/>
      <c r="N3" s="96"/>
      <c r="O3" s="97"/>
      <c r="P3" s="98"/>
      <c r="Q3" s="98"/>
      <c r="R3" s="97"/>
      <c r="S3" s="97"/>
      <c r="T3" s="97"/>
      <c r="U3" s="97"/>
      <c r="V3" s="98"/>
      <c r="W3" s="98"/>
      <c r="X3" s="106"/>
    </row>
    <row r="4" spans="1:27" ht="15" customHeight="1">
      <c r="A4" s="106"/>
      <c r="B4" s="96">
        <v>286</v>
      </c>
      <c r="C4" s="96">
        <v>1445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106"/>
    </row>
    <row r="5" spans="1:27" ht="15" customHeight="1">
      <c r="A5" s="106"/>
      <c r="B5" s="96">
        <v>286</v>
      </c>
      <c r="C5" s="96">
        <v>1446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106"/>
    </row>
    <row r="6" spans="1:27" ht="15" customHeight="1">
      <c r="A6" s="106"/>
      <c r="B6" s="96">
        <v>286</v>
      </c>
      <c r="C6" s="96">
        <v>286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106"/>
    </row>
    <row r="7" spans="1:27" ht="15" customHeight="1">
      <c r="A7" s="106"/>
      <c r="B7" s="96">
        <v>286</v>
      </c>
      <c r="C7" s="96">
        <v>9803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106"/>
    </row>
    <row r="8" spans="1:27" ht="15" customHeight="1">
      <c r="A8" s="106"/>
      <c r="B8" s="105" t="s">
        <v>3767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6"/>
    </row>
  </sheetData>
  <mergeCells count="4">
    <mergeCell ref="B8:W8"/>
    <mergeCell ref="A1:A8"/>
    <mergeCell ref="B1:W1"/>
    <mergeCell ref="X1:X8"/>
  </mergeCells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AA8"/>
  <sheetViews>
    <sheetView rightToLeft="1" topLeftCell="E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7" bestFit="1" customWidth="1"/>
    <col min="5" max="5" width="9.625" bestFit="1" customWidth="1"/>
    <col min="6" max="6" width="10" bestFit="1" customWidth="1"/>
    <col min="7" max="7" width="9.625" bestFit="1" customWidth="1"/>
    <col min="8" max="9" width="10.125" bestFit="1" customWidth="1"/>
    <col min="10" max="10" width="11.25" bestFit="1" customWidth="1"/>
    <col min="11" max="11" width="9.125" bestFit="1" customWidth="1"/>
    <col min="12" max="12" width="10.75" bestFit="1" customWidth="1"/>
    <col min="13" max="13" width="11.375" bestFit="1" customWidth="1"/>
    <col min="14" max="15" width="7.25" bestFit="1" customWidth="1"/>
    <col min="16" max="16" width="10.875" bestFit="1" customWidth="1"/>
    <col min="17" max="17" width="10.625" bestFit="1" customWidth="1"/>
    <col min="18" max="18" width="9.875" bestFit="1" customWidth="1"/>
    <col min="19" max="19" width="7.875" bestFit="1" customWidth="1"/>
    <col min="20" max="20" width="9.5" bestFit="1" customWidth="1"/>
    <col min="21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3.125" customWidth="1"/>
    <col min="27" max="27" width="9" customWidth="1"/>
  </cols>
  <sheetData>
    <row r="1" spans="1:27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6" t="s">
        <v>3766</v>
      </c>
    </row>
    <row r="2" spans="1:27" ht="66.75" customHeight="1">
      <c r="A2" s="106"/>
      <c r="B2" s="21" t="s">
        <v>49</v>
      </c>
      <c r="C2" s="21" t="s">
        <v>50</v>
      </c>
      <c r="D2" s="21" t="s">
        <v>175</v>
      </c>
      <c r="E2" s="21" t="s">
        <v>54</v>
      </c>
      <c r="F2" s="21" t="s">
        <v>176</v>
      </c>
      <c r="G2" s="21" t="s">
        <v>56</v>
      </c>
      <c r="H2" s="101" t="s">
        <v>97</v>
      </c>
      <c r="I2" s="21" t="s">
        <v>177</v>
      </c>
      <c r="J2" s="21" t="s">
        <v>178</v>
      </c>
      <c r="K2" s="21" t="s">
        <v>179</v>
      </c>
      <c r="L2" s="95" t="s">
        <v>180</v>
      </c>
      <c r="M2" s="21" t="s">
        <v>181</v>
      </c>
      <c r="N2" s="21" t="s">
        <v>103</v>
      </c>
      <c r="O2" s="21" t="s">
        <v>105</v>
      </c>
      <c r="P2" s="21" t="s">
        <v>104</v>
      </c>
      <c r="Q2" s="101" t="s">
        <v>106</v>
      </c>
      <c r="R2" s="21" t="s">
        <v>59</v>
      </c>
      <c r="S2" s="99" t="s">
        <v>172</v>
      </c>
      <c r="T2" s="99" t="s">
        <v>63</v>
      </c>
      <c r="U2" s="99" t="s">
        <v>78</v>
      </c>
      <c r="V2" s="99" t="s">
        <v>88</v>
      </c>
      <c r="W2" s="21" t="s">
        <v>17</v>
      </c>
      <c r="X2" s="95" t="s">
        <v>64</v>
      </c>
      <c r="Y2" s="95" t="s">
        <v>65</v>
      </c>
      <c r="Z2" s="106"/>
      <c r="AA2" s="10"/>
    </row>
    <row r="3" spans="1:27" ht="15" customHeight="1">
      <c r="A3" s="106"/>
      <c r="B3" s="96">
        <v>286</v>
      </c>
      <c r="C3" s="96">
        <v>14418</v>
      </c>
      <c r="D3" s="96"/>
      <c r="E3" s="96"/>
      <c r="F3" s="96"/>
      <c r="G3" s="96"/>
      <c r="H3" s="100"/>
      <c r="I3" s="96"/>
      <c r="J3" s="96"/>
      <c r="K3" s="96"/>
      <c r="L3" s="98"/>
      <c r="M3" s="96"/>
      <c r="N3" s="96"/>
      <c r="O3" s="96"/>
      <c r="P3" s="96"/>
      <c r="Q3" s="100"/>
      <c r="R3" s="96"/>
      <c r="S3" s="97"/>
      <c r="T3" s="97"/>
      <c r="U3" s="97"/>
      <c r="V3" s="97"/>
      <c r="W3" s="96"/>
      <c r="X3" s="98"/>
      <c r="Y3" s="98"/>
      <c r="Z3" s="106"/>
    </row>
    <row r="4" spans="1:27" ht="15" customHeight="1">
      <c r="A4" s="106"/>
      <c r="B4" s="96">
        <v>286</v>
      </c>
      <c r="C4" s="96">
        <v>1445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106"/>
    </row>
    <row r="5" spans="1:27" ht="15" customHeight="1">
      <c r="A5" s="106"/>
      <c r="B5" s="96">
        <v>286</v>
      </c>
      <c r="C5" s="96">
        <v>1446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106"/>
    </row>
    <row r="6" spans="1:27" ht="15" customHeight="1">
      <c r="A6" s="106"/>
      <c r="B6" s="96">
        <v>286</v>
      </c>
      <c r="C6" s="96">
        <v>286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106"/>
    </row>
    <row r="7" spans="1:27" ht="15" customHeight="1">
      <c r="A7" s="106"/>
      <c r="B7" s="96">
        <v>286</v>
      </c>
      <c r="C7" s="96">
        <v>9803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106"/>
    </row>
    <row r="8" spans="1:27" ht="15" customHeight="1">
      <c r="A8" s="106"/>
      <c r="B8" s="105" t="s">
        <v>3767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6"/>
    </row>
  </sheetData>
  <mergeCells count="4">
    <mergeCell ref="B8:Y8"/>
    <mergeCell ref="A1:A8"/>
    <mergeCell ref="B1:Y1"/>
    <mergeCell ref="Z1:Z8"/>
  </mergeCells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AA8"/>
  <sheetViews>
    <sheetView rightToLeft="1" workbookViewId="0">
      <selection sqref="A1:A8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375" bestFit="1" customWidth="1"/>
    <col min="6" max="6" width="9.125" bestFit="1" customWidth="1"/>
    <col min="7" max="7" width="9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7.75" bestFit="1" customWidth="1"/>
    <col min="14" max="14" width="9.625" bestFit="1" customWidth="1"/>
    <col min="15" max="15" width="9.875" bestFit="1" customWidth="1"/>
    <col min="16" max="16" width="7.25" bestFit="1" customWidth="1"/>
    <col min="17" max="17" width="10.875" bestFit="1" customWidth="1"/>
    <col min="18" max="18" width="10.625" bestFit="1" customWidth="1"/>
    <col min="19" max="19" width="10.125" bestFit="1" customWidth="1"/>
    <col min="20" max="20" width="11" bestFit="1" customWidth="1"/>
    <col min="21" max="22" width="9.5" bestFit="1" customWidth="1"/>
    <col min="23" max="23" width="11" bestFit="1" customWidth="1"/>
    <col min="24" max="24" width="10.375" bestFit="1" customWidth="1"/>
    <col min="25" max="25" width="3.125" customWidth="1"/>
    <col min="26" max="27" width="9" customWidth="1"/>
  </cols>
  <sheetData>
    <row r="1" spans="1:27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6" t="s">
        <v>3766</v>
      </c>
    </row>
    <row r="2" spans="1:27" ht="66.75" customHeight="1">
      <c r="A2" s="106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83</v>
      </c>
      <c r="N2" s="21" t="s">
        <v>56</v>
      </c>
      <c r="O2" s="21" t="s">
        <v>59</v>
      </c>
      <c r="P2" s="21" t="s">
        <v>103</v>
      </c>
      <c r="Q2" s="21" t="s">
        <v>104</v>
      </c>
      <c r="R2" s="101" t="s">
        <v>106</v>
      </c>
      <c r="S2" s="101" t="s">
        <v>107</v>
      </c>
      <c r="T2" s="95" t="s">
        <v>182</v>
      </c>
      <c r="U2" s="99" t="s">
        <v>183</v>
      </c>
      <c r="V2" s="99" t="s">
        <v>63</v>
      </c>
      <c r="W2" s="95" t="s">
        <v>64</v>
      </c>
      <c r="X2" s="95" t="s">
        <v>65</v>
      </c>
      <c r="Y2" s="106"/>
      <c r="Z2" s="10"/>
      <c r="AA2" s="10"/>
    </row>
    <row r="3" spans="1:27" ht="15" customHeight="1">
      <c r="A3" s="106"/>
      <c r="B3" s="96">
        <v>286</v>
      </c>
      <c r="C3" s="96">
        <v>14418</v>
      </c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0"/>
      <c r="S3" s="100"/>
      <c r="T3" s="98"/>
      <c r="U3" s="97"/>
      <c r="V3" s="97"/>
      <c r="W3" s="98"/>
      <c r="X3" s="98"/>
      <c r="Y3" s="106"/>
    </row>
    <row r="4" spans="1:27" ht="15" customHeight="1">
      <c r="A4" s="106"/>
      <c r="B4" s="96">
        <v>286</v>
      </c>
      <c r="C4" s="96">
        <v>1445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106"/>
    </row>
    <row r="5" spans="1:27" ht="15" customHeight="1">
      <c r="A5" s="106"/>
      <c r="B5" s="96">
        <v>286</v>
      </c>
      <c r="C5" s="96">
        <v>1446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106"/>
    </row>
    <row r="6" spans="1:27" ht="15" customHeight="1">
      <c r="A6" s="106"/>
      <c r="B6" s="96">
        <v>286</v>
      </c>
      <c r="C6" s="96">
        <v>286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106"/>
    </row>
    <row r="7" spans="1:27" ht="15" customHeight="1">
      <c r="A7" s="106"/>
      <c r="B7" s="96">
        <v>286</v>
      </c>
      <c r="C7" s="96">
        <v>9803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106"/>
    </row>
    <row r="8" spans="1:27" ht="15" customHeight="1">
      <c r="A8" s="106"/>
      <c r="B8" s="105" t="s">
        <v>3767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6"/>
    </row>
  </sheetData>
  <mergeCells count="4">
    <mergeCell ref="B8:X8"/>
    <mergeCell ref="A1:A8"/>
    <mergeCell ref="B1:X1"/>
    <mergeCell ref="Y1:Y8"/>
  </mergeCells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AA104"/>
  <sheetViews>
    <sheetView rightToLeft="1" workbookViewId="0">
      <selection sqref="A1:A104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40.625" bestFit="1" customWidth="1"/>
    <col min="5" max="5" width="14.375" bestFit="1" customWidth="1"/>
    <col min="6" max="6" width="14.875" bestFit="1" customWidth="1"/>
    <col min="7" max="7" width="8.75" bestFit="1" customWidth="1"/>
    <col min="8" max="8" width="10.75" bestFit="1" customWidth="1"/>
    <col min="9" max="9" width="9.625" bestFit="1" customWidth="1"/>
    <col min="10" max="10" width="10.125" bestFit="1" customWidth="1"/>
    <col min="11" max="11" width="9.875" bestFit="1" customWidth="1"/>
    <col min="12" max="12" width="10.625" bestFit="1" customWidth="1"/>
    <col min="13" max="13" width="10.875" bestFit="1" customWidth="1"/>
    <col min="14" max="14" width="8.625" bestFit="1" customWidth="1"/>
    <col min="15" max="15" width="9.5" bestFit="1" customWidth="1"/>
    <col min="16" max="16" width="11.375" bestFit="1" customWidth="1"/>
    <col min="17" max="17" width="10.625" bestFit="1" customWidth="1"/>
    <col min="18" max="18" width="11" bestFit="1" customWidth="1"/>
    <col min="19" max="19" width="10.375" bestFit="1" customWidth="1"/>
    <col min="20" max="20" width="3.125" customWidth="1"/>
    <col min="21" max="27" width="9" customWidth="1"/>
  </cols>
  <sheetData>
    <row r="1" spans="1:27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6" t="s">
        <v>3766</v>
      </c>
    </row>
    <row r="2" spans="1:27" ht="66.75" customHeight="1">
      <c r="A2" s="106"/>
      <c r="B2" s="21" t="s">
        <v>49</v>
      </c>
      <c r="C2" s="21" t="s">
        <v>50</v>
      </c>
      <c r="D2" s="21" t="s">
        <v>184</v>
      </c>
      <c r="E2" s="21" t="s">
        <v>185</v>
      </c>
      <c r="F2" s="21" t="s">
        <v>54</v>
      </c>
      <c r="G2" s="21" t="s">
        <v>55</v>
      </c>
      <c r="H2" s="21" t="s">
        <v>69</v>
      </c>
      <c r="I2" s="21" t="s">
        <v>56</v>
      </c>
      <c r="J2" s="21" t="s">
        <v>186</v>
      </c>
      <c r="K2" s="21" t="s">
        <v>59</v>
      </c>
      <c r="L2" s="21" t="s">
        <v>106</v>
      </c>
      <c r="M2" s="21" t="s">
        <v>60</v>
      </c>
      <c r="N2" s="21" t="s">
        <v>61</v>
      </c>
      <c r="O2" s="21" t="s">
        <v>63</v>
      </c>
      <c r="P2" s="99" t="s">
        <v>78</v>
      </c>
      <c r="Q2" s="21" t="s">
        <v>17</v>
      </c>
      <c r="R2" s="21" t="s">
        <v>64</v>
      </c>
      <c r="S2" s="21" t="s">
        <v>65</v>
      </c>
      <c r="T2" s="106"/>
      <c r="U2" s="10"/>
      <c r="V2" s="10"/>
      <c r="W2" s="10"/>
      <c r="X2" s="10"/>
      <c r="Y2" s="10"/>
      <c r="Z2" s="10"/>
      <c r="AA2" s="10"/>
    </row>
    <row r="3" spans="1:27" ht="15" customHeight="1">
      <c r="A3" s="106"/>
      <c r="B3" s="96">
        <v>286</v>
      </c>
      <c r="C3" s="96">
        <v>14418</v>
      </c>
      <c r="D3" s="96" t="s">
        <v>3045</v>
      </c>
      <c r="E3" s="96" t="s">
        <v>3046</v>
      </c>
      <c r="F3" s="96" t="s">
        <v>1035</v>
      </c>
      <c r="G3" s="96" t="s">
        <v>204</v>
      </c>
      <c r="H3" s="96" t="s">
        <v>223</v>
      </c>
      <c r="I3" s="96" t="s">
        <v>338</v>
      </c>
      <c r="J3" s="100"/>
      <c r="K3" s="96" t="s">
        <v>1201</v>
      </c>
      <c r="L3" s="100"/>
      <c r="M3" s="97">
        <v>0.1002</v>
      </c>
      <c r="N3" s="97">
        <v>3.7589999999999999</v>
      </c>
      <c r="O3" s="97">
        <v>0.37664999999999998</v>
      </c>
      <c r="P3" s="97"/>
      <c r="Q3" s="96"/>
      <c r="R3" s="98">
        <v>1.08E-4</v>
      </c>
      <c r="S3" s="98">
        <v>8.7000000000000001E-5</v>
      </c>
      <c r="T3" s="106"/>
    </row>
    <row r="4" spans="1:27" ht="15" customHeight="1">
      <c r="A4" s="106"/>
      <c r="B4" s="96">
        <v>286</v>
      </c>
      <c r="C4" s="96">
        <v>1445</v>
      </c>
      <c r="D4" s="96" t="s">
        <v>1840</v>
      </c>
      <c r="E4" s="96" t="s">
        <v>1841</v>
      </c>
      <c r="F4" s="96" t="s">
        <v>3754</v>
      </c>
      <c r="G4" s="96" t="s">
        <v>203</v>
      </c>
      <c r="H4" s="96" t="s">
        <v>203</v>
      </c>
      <c r="I4" s="96" t="s">
        <v>337</v>
      </c>
      <c r="J4" s="100">
        <v>44425</v>
      </c>
      <c r="K4" s="96" t="s">
        <v>1200</v>
      </c>
      <c r="L4" s="100"/>
      <c r="M4" s="97">
        <v>8.4825999999999999E-2</v>
      </c>
      <c r="N4" s="97">
        <v>1</v>
      </c>
      <c r="O4" s="97">
        <v>8.4825999999999999E-2</v>
      </c>
      <c r="P4" s="96"/>
      <c r="Q4" s="96"/>
      <c r="R4" s="98">
        <v>6.0000000000000002E-6</v>
      </c>
      <c r="S4" s="98">
        <v>9.9999999999999995E-7</v>
      </c>
      <c r="T4" s="106"/>
    </row>
    <row r="5" spans="1:27" ht="15" customHeight="1">
      <c r="A5" s="106"/>
      <c r="B5" s="96">
        <v>286</v>
      </c>
      <c r="C5" s="96">
        <v>1445</v>
      </c>
      <c r="D5" s="96" t="s">
        <v>1661</v>
      </c>
      <c r="E5" s="96" t="s">
        <v>1662</v>
      </c>
      <c r="F5" s="96" t="s">
        <v>3754</v>
      </c>
      <c r="G5" s="96" t="s">
        <v>203</v>
      </c>
      <c r="H5" s="96" t="s">
        <v>203</v>
      </c>
      <c r="I5" s="96" t="s">
        <v>338</v>
      </c>
      <c r="J5" s="100">
        <v>41850</v>
      </c>
      <c r="K5" s="96" t="s">
        <v>1200</v>
      </c>
      <c r="L5" s="100"/>
      <c r="M5" s="97">
        <v>3.648628</v>
      </c>
      <c r="N5" s="97">
        <v>1</v>
      </c>
      <c r="O5" s="97">
        <v>3.648628</v>
      </c>
      <c r="P5" s="96"/>
      <c r="Q5" s="96"/>
      <c r="R5" s="98">
        <v>2.8400000000000002E-4</v>
      </c>
      <c r="S5" s="98">
        <v>6.8999999999999997E-5</v>
      </c>
      <c r="T5" s="106"/>
    </row>
    <row r="6" spans="1:27" ht="15" customHeight="1">
      <c r="A6" s="106"/>
      <c r="B6" s="96">
        <v>286</v>
      </c>
      <c r="C6" s="96">
        <v>1445</v>
      </c>
      <c r="D6" s="96" t="s">
        <v>1485</v>
      </c>
      <c r="E6" s="96" t="s">
        <v>1486</v>
      </c>
      <c r="F6" s="96" t="s">
        <v>3754</v>
      </c>
      <c r="G6" s="96" t="s">
        <v>203</v>
      </c>
      <c r="H6" s="96" t="s">
        <v>203</v>
      </c>
      <c r="I6" s="96" t="s">
        <v>338</v>
      </c>
      <c r="J6" s="100">
        <v>44012</v>
      </c>
      <c r="K6" s="96" t="s">
        <v>1200</v>
      </c>
      <c r="L6" s="100"/>
      <c r="M6" s="97">
        <v>0.163854</v>
      </c>
      <c r="N6" s="97">
        <v>1</v>
      </c>
      <c r="O6" s="97">
        <v>0.163854</v>
      </c>
      <c r="P6" s="96"/>
      <c r="Q6" s="96"/>
      <c r="R6" s="98">
        <v>1.2E-5</v>
      </c>
      <c r="S6" s="98">
        <v>3.0000000000000001E-6</v>
      </c>
      <c r="T6" s="106"/>
    </row>
    <row r="7" spans="1:27" ht="15" customHeight="1">
      <c r="A7" s="106"/>
      <c r="B7" s="96">
        <v>286</v>
      </c>
      <c r="C7" s="96">
        <v>1445</v>
      </c>
      <c r="D7" s="96" t="s">
        <v>1579</v>
      </c>
      <c r="E7" s="96" t="s">
        <v>1580</v>
      </c>
      <c r="F7" s="96" t="s">
        <v>3754</v>
      </c>
      <c r="G7" s="96" t="s">
        <v>203</v>
      </c>
      <c r="H7" s="96" t="s">
        <v>203</v>
      </c>
      <c r="I7" s="96" t="s">
        <v>338</v>
      </c>
      <c r="J7" s="100">
        <v>44398</v>
      </c>
      <c r="K7" s="96" t="s">
        <v>1200</v>
      </c>
      <c r="L7" s="100"/>
      <c r="M7" s="97">
        <v>1.9791970000000001</v>
      </c>
      <c r="N7" s="97">
        <v>1</v>
      </c>
      <c r="O7" s="97">
        <v>1.9791970000000001</v>
      </c>
      <c r="P7" s="96"/>
      <c r="Q7" s="96"/>
      <c r="R7" s="98">
        <v>1.54E-4</v>
      </c>
      <c r="S7" s="98">
        <v>3.6999999999999998E-5</v>
      </c>
      <c r="T7" s="106"/>
    </row>
    <row r="8" spans="1:27" ht="15" customHeight="1">
      <c r="A8" s="106"/>
      <c r="B8" s="96">
        <v>286</v>
      </c>
      <c r="C8" s="96">
        <v>1445</v>
      </c>
      <c r="D8" s="96" t="s">
        <v>2037</v>
      </c>
      <c r="E8" s="96" t="s">
        <v>2038</v>
      </c>
      <c r="F8" s="96" t="s">
        <v>3754</v>
      </c>
      <c r="G8" s="96" t="s">
        <v>203</v>
      </c>
      <c r="H8" s="96" t="s">
        <v>203</v>
      </c>
      <c r="I8" s="96" t="s">
        <v>337</v>
      </c>
      <c r="J8" s="100">
        <v>42639</v>
      </c>
      <c r="K8" s="96" t="s">
        <v>1200</v>
      </c>
      <c r="L8" s="100"/>
      <c r="M8" s="97">
        <v>0.34325499999999998</v>
      </c>
      <c r="N8" s="97">
        <v>1</v>
      </c>
      <c r="O8" s="97">
        <v>0.34325499999999998</v>
      </c>
      <c r="P8" s="96"/>
      <c r="Q8" s="96"/>
      <c r="R8" s="98">
        <v>2.5999999999999998E-5</v>
      </c>
      <c r="S8" s="98">
        <v>6.0000000000000002E-6</v>
      </c>
      <c r="T8" s="106"/>
    </row>
    <row r="9" spans="1:27" ht="15" customHeight="1">
      <c r="A9" s="106"/>
      <c r="B9" s="96">
        <v>286</v>
      </c>
      <c r="C9" s="96">
        <v>1445</v>
      </c>
      <c r="D9" s="96" t="s">
        <v>3755</v>
      </c>
      <c r="E9" s="96" t="s">
        <v>3756</v>
      </c>
      <c r="F9" s="96" t="s">
        <v>1040</v>
      </c>
      <c r="G9" s="96" t="s">
        <v>203</v>
      </c>
      <c r="H9" s="96" t="s">
        <v>203</v>
      </c>
      <c r="I9" s="96" t="s">
        <v>338</v>
      </c>
      <c r="J9" s="100">
        <v>43166</v>
      </c>
      <c r="K9" s="96" t="s">
        <v>1200</v>
      </c>
      <c r="L9" s="100">
        <v>45329</v>
      </c>
      <c r="M9" s="97">
        <v>0.239204</v>
      </c>
      <c r="N9" s="97">
        <v>1</v>
      </c>
      <c r="O9" s="97">
        <v>0.239204</v>
      </c>
      <c r="P9" s="96"/>
      <c r="Q9" s="96"/>
      <c r="R9" s="98">
        <v>2.3415999999999999E-2</v>
      </c>
      <c r="S9" s="98">
        <v>3.9999999999999998E-6</v>
      </c>
      <c r="T9" s="106"/>
    </row>
    <row r="10" spans="1:27" ht="15" customHeight="1">
      <c r="A10" s="106"/>
      <c r="B10" s="96">
        <v>286</v>
      </c>
      <c r="C10" s="96">
        <v>1445</v>
      </c>
      <c r="D10" s="96" t="s">
        <v>1577</v>
      </c>
      <c r="E10" s="96" t="s">
        <v>1578</v>
      </c>
      <c r="F10" s="96" t="s">
        <v>3754</v>
      </c>
      <c r="G10" s="96" t="s">
        <v>203</v>
      </c>
      <c r="H10" s="96" t="s">
        <v>203</v>
      </c>
      <c r="I10" s="96" t="s">
        <v>337</v>
      </c>
      <c r="J10" s="100">
        <v>45287</v>
      </c>
      <c r="K10" s="96" t="s">
        <v>1200</v>
      </c>
      <c r="L10" s="100"/>
      <c r="M10" s="97">
        <v>0.50794099999999998</v>
      </c>
      <c r="N10" s="97">
        <v>1</v>
      </c>
      <c r="O10" s="97">
        <v>0.50794099999999998</v>
      </c>
      <c r="P10" s="96"/>
      <c r="Q10" s="96"/>
      <c r="R10" s="98">
        <v>3.8999999999999999E-5</v>
      </c>
      <c r="S10" s="98">
        <v>9.0000000000000002E-6</v>
      </c>
      <c r="T10" s="106"/>
    </row>
    <row r="11" spans="1:27" ht="15" customHeight="1">
      <c r="A11" s="106"/>
      <c r="B11" s="96">
        <v>286</v>
      </c>
      <c r="C11" s="96">
        <v>1445</v>
      </c>
      <c r="D11" s="96" t="s">
        <v>1673</v>
      </c>
      <c r="E11" s="96" t="s">
        <v>1674</v>
      </c>
      <c r="F11" s="96" t="s">
        <v>3754</v>
      </c>
      <c r="G11" s="96" t="s">
        <v>203</v>
      </c>
      <c r="H11" s="96" t="s">
        <v>203</v>
      </c>
      <c r="I11" s="96" t="s">
        <v>338</v>
      </c>
      <c r="J11" s="100">
        <v>42992</v>
      </c>
      <c r="K11" s="96" t="s">
        <v>1200</v>
      </c>
      <c r="L11" s="100"/>
      <c r="M11" s="97">
        <v>0.20805699999999999</v>
      </c>
      <c r="N11" s="97">
        <v>1</v>
      </c>
      <c r="O11" s="97">
        <v>0.20805699999999999</v>
      </c>
      <c r="P11" s="96"/>
      <c r="Q11" s="96"/>
      <c r="R11" s="98">
        <v>1.5999999999999999E-5</v>
      </c>
      <c r="S11" s="98">
        <v>3.0000000000000001E-6</v>
      </c>
      <c r="T11" s="106"/>
    </row>
    <row r="12" spans="1:27" ht="15" customHeight="1">
      <c r="A12" s="106"/>
      <c r="B12" s="96">
        <v>286</v>
      </c>
      <c r="C12" s="96">
        <v>1445</v>
      </c>
      <c r="D12" s="96" t="s">
        <v>1990</v>
      </c>
      <c r="E12" s="96" t="s">
        <v>1991</v>
      </c>
      <c r="F12" s="96" t="s">
        <v>3754</v>
      </c>
      <c r="G12" s="96" t="s">
        <v>203</v>
      </c>
      <c r="H12" s="96" t="s">
        <v>203</v>
      </c>
      <c r="I12" s="96" t="s">
        <v>338</v>
      </c>
      <c r="J12" s="100">
        <v>44398</v>
      </c>
      <c r="K12" s="96" t="s">
        <v>1200</v>
      </c>
      <c r="L12" s="100"/>
      <c r="M12" s="97">
        <v>0.58409100000000003</v>
      </c>
      <c r="N12" s="97">
        <v>1</v>
      </c>
      <c r="O12" s="97">
        <v>0.58409100000000003</v>
      </c>
      <c r="P12" s="96"/>
      <c r="Q12" s="96"/>
      <c r="R12" s="98">
        <v>4.5000000000000003E-5</v>
      </c>
      <c r="S12" s="98">
        <v>1.1E-5</v>
      </c>
      <c r="T12" s="106"/>
    </row>
    <row r="13" spans="1:27" ht="15" customHeight="1">
      <c r="A13" s="106"/>
      <c r="B13" s="96">
        <v>286</v>
      </c>
      <c r="C13" s="96">
        <v>1445</v>
      </c>
      <c r="D13" s="96" t="s">
        <v>1453</v>
      </c>
      <c r="E13" s="96" t="s">
        <v>1454</v>
      </c>
      <c r="F13" s="96" t="s">
        <v>3754</v>
      </c>
      <c r="G13" s="96" t="s">
        <v>203</v>
      </c>
      <c r="H13" s="96" t="s">
        <v>203</v>
      </c>
      <c r="I13" s="96" t="s">
        <v>337</v>
      </c>
      <c r="J13" s="100">
        <v>44262</v>
      </c>
      <c r="K13" s="96" t="s">
        <v>1200</v>
      </c>
      <c r="L13" s="100"/>
      <c r="M13" s="97">
        <v>0.17959800000000001</v>
      </c>
      <c r="N13" s="97">
        <v>1</v>
      </c>
      <c r="O13" s="97">
        <v>0.17959800000000001</v>
      </c>
      <c r="P13" s="96"/>
      <c r="Q13" s="96"/>
      <c r="R13" s="98">
        <v>1.4E-5</v>
      </c>
      <c r="S13" s="98">
        <v>3.0000000000000001E-6</v>
      </c>
      <c r="T13" s="106"/>
    </row>
    <row r="14" spans="1:27" ht="15" customHeight="1">
      <c r="A14" s="106"/>
      <c r="B14" s="96">
        <v>286</v>
      </c>
      <c r="C14" s="96">
        <v>1445</v>
      </c>
      <c r="D14" s="96" t="s">
        <v>1415</v>
      </c>
      <c r="E14" s="96" t="s">
        <v>1416</v>
      </c>
      <c r="F14" s="96" t="s">
        <v>3754</v>
      </c>
      <c r="G14" s="96" t="s">
        <v>203</v>
      </c>
      <c r="H14" s="96" t="s">
        <v>203</v>
      </c>
      <c r="I14" s="96" t="s">
        <v>337</v>
      </c>
      <c r="J14" s="100">
        <v>43165</v>
      </c>
      <c r="K14" s="96" t="s">
        <v>1200</v>
      </c>
      <c r="L14" s="100"/>
      <c r="M14" s="97">
        <v>0.47582799999999997</v>
      </c>
      <c r="N14" s="97">
        <v>1</v>
      </c>
      <c r="O14" s="97">
        <v>0.47582799999999997</v>
      </c>
      <c r="P14" s="96"/>
      <c r="Q14" s="96"/>
      <c r="R14" s="98">
        <v>3.6999999999999998E-5</v>
      </c>
      <c r="S14" s="98">
        <v>9.0000000000000002E-6</v>
      </c>
      <c r="T14" s="106"/>
    </row>
    <row r="15" spans="1:27" ht="15" customHeight="1">
      <c r="A15" s="106"/>
      <c r="B15" s="96">
        <v>286</v>
      </c>
      <c r="C15" s="96">
        <v>1445</v>
      </c>
      <c r="D15" s="96" t="s">
        <v>1753</v>
      </c>
      <c r="E15" s="96" t="s">
        <v>1754</v>
      </c>
      <c r="F15" s="96" t="s">
        <v>3754</v>
      </c>
      <c r="G15" s="96" t="s">
        <v>203</v>
      </c>
      <c r="H15" s="96" t="s">
        <v>203</v>
      </c>
      <c r="I15" s="96" t="s">
        <v>337</v>
      </c>
      <c r="J15" s="100">
        <v>43893</v>
      </c>
      <c r="K15" s="96" t="s">
        <v>1200</v>
      </c>
      <c r="L15" s="100"/>
      <c r="M15" s="97">
        <v>0.12823499999999999</v>
      </c>
      <c r="N15" s="97">
        <v>1</v>
      </c>
      <c r="O15" s="97">
        <v>0.12823499999999999</v>
      </c>
      <c r="P15" s="96"/>
      <c r="Q15" s="96"/>
      <c r="R15" s="98">
        <v>1.0000000000000001E-5</v>
      </c>
      <c r="S15" s="98">
        <v>1.9999999999999999E-6</v>
      </c>
      <c r="T15" s="106"/>
    </row>
    <row r="16" spans="1:27" ht="15" customHeight="1">
      <c r="A16" s="106"/>
      <c r="B16" s="96">
        <v>286</v>
      </c>
      <c r="C16" s="96">
        <v>1445</v>
      </c>
      <c r="D16" s="96" t="s">
        <v>1588</v>
      </c>
      <c r="E16" s="96" t="s">
        <v>1589</v>
      </c>
      <c r="F16" s="96" t="s">
        <v>3754</v>
      </c>
      <c r="G16" s="96" t="s">
        <v>203</v>
      </c>
      <c r="H16" s="96" t="s">
        <v>203</v>
      </c>
      <c r="I16" s="96" t="s">
        <v>337</v>
      </c>
      <c r="J16" s="100">
        <v>45012</v>
      </c>
      <c r="K16" s="96" t="s">
        <v>1200</v>
      </c>
      <c r="L16" s="100"/>
      <c r="M16" s="97">
        <v>1.392471</v>
      </c>
      <c r="N16" s="97">
        <v>1</v>
      </c>
      <c r="O16" s="97">
        <v>1.392471</v>
      </c>
      <c r="P16" s="96"/>
      <c r="Q16" s="96"/>
      <c r="R16" s="98">
        <v>1.08E-4</v>
      </c>
      <c r="S16" s="98">
        <v>2.5999999999999998E-5</v>
      </c>
      <c r="T16" s="106"/>
    </row>
    <row r="17" spans="1:20" ht="15" customHeight="1">
      <c r="A17" s="106"/>
      <c r="B17" s="96">
        <v>286</v>
      </c>
      <c r="C17" s="96">
        <v>1445</v>
      </c>
      <c r="D17" s="96" t="s">
        <v>1299</v>
      </c>
      <c r="E17" s="96" t="s">
        <v>1300</v>
      </c>
      <c r="F17" s="96" t="s">
        <v>3754</v>
      </c>
      <c r="G17" s="96" t="s">
        <v>203</v>
      </c>
      <c r="H17" s="96" t="s">
        <v>203</v>
      </c>
      <c r="I17" s="96" t="s">
        <v>338</v>
      </c>
      <c r="J17" s="100">
        <v>42558</v>
      </c>
      <c r="K17" s="96" t="s">
        <v>1200</v>
      </c>
      <c r="L17" s="100"/>
      <c r="M17" s="97">
        <v>0.92749199999999998</v>
      </c>
      <c r="N17" s="97">
        <v>1</v>
      </c>
      <c r="O17" s="97">
        <v>0.92749199999999998</v>
      </c>
      <c r="P17" s="96"/>
      <c r="Q17" s="96"/>
      <c r="R17" s="98">
        <v>7.2000000000000002E-5</v>
      </c>
      <c r="S17" s="98">
        <v>1.7E-5</v>
      </c>
      <c r="T17" s="106"/>
    </row>
    <row r="18" spans="1:20" ht="15" customHeight="1">
      <c r="A18" s="106"/>
      <c r="B18" s="96">
        <v>286</v>
      </c>
      <c r="C18" s="96">
        <v>1445</v>
      </c>
      <c r="D18" s="96" t="s">
        <v>1670</v>
      </c>
      <c r="E18" s="96" t="s">
        <v>1671</v>
      </c>
      <c r="F18" s="96" t="s">
        <v>3754</v>
      </c>
      <c r="G18" s="96" t="s">
        <v>203</v>
      </c>
      <c r="H18" s="96" t="s">
        <v>203</v>
      </c>
      <c r="I18" s="96" t="s">
        <v>338</v>
      </c>
      <c r="J18" s="100">
        <v>44743</v>
      </c>
      <c r="K18" s="96" t="s">
        <v>1200</v>
      </c>
      <c r="L18" s="100"/>
      <c r="M18" s="97">
        <v>5.8835999999999999E-2</v>
      </c>
      <c r="N18" s="97">
        <v>1</v>
      </c>
      <c r="O18" s="97">
        <v>5.8835999999999999E-2</v>
      </c>
      <c r="P18" s="96"/>
      <c r="Q18" s="96"/>
      <c r="R18" s="98">
        <v>3.9999999999999998E-6</v>
      </c>
      <c r="S18" s="98">
        <v>9.9999999999999995E-7</v>
      </c>
      <c r="T18" s="106"/>
    </row>
    <row r="19" spans="1:20" ht="15" customHeight="1">
      <c r="A19" s="106"/>
      <c r="B19" s="96">
        <v>286</v>
      </c>
      <c r="C19" s="96">
        <v>1445</v>
      </c>
      <c r="D19" s="96" t="s">
        <v>1920</v>
      </c>
      <c r="E19" s="96" t="s">
        <v>1921</v>
      </c>
      <c r="F19" s="96" t="s">
        <v>3754</v>
      </c>
      <c r="G19" s="96" t="s">
        <v>203</v>
      </c>
      <c r="H19" s="96" t="s">
        <v>203</v>
      </c>
      <c r="I19" s="96" t="s">
        <v>338</v>
      </c>
      <c r="J19" s="100">
        <v>44004</v>
      </c>
      <c r="K19" s="96" t="s">
        <v>1200</v>
      </c>
      <c r="L19" s="100"/>
      <c r="M19" s="97">
        <v>1.198296</v>
      </c>
      <c r="N19" s="97">
        <v>1</v>
      </c>
      <c r="O19" s="97">
        <v>1.198296</v>
      </c>
      <c r="P19" s="96"/>
      <c r="Q19" s="96"/>
      <c r="R19" s="98">
        <v>9.2999999999999997E-5</v>
      </c>
      <c r="S19" s="98">
        <v>2.1999999999999999E-5</v>
      </c>
      <c r="T19" s="106"/>
    </row>
    <row r="20" spans="1:20" ht="15" customHeight="1">
      <c r="A20" s="106"/>
      <c r="B20" s="96">
        <v>286</v>
      </c>
      <c r="C20" s="96">
        <v>1445</v>
      </c>
      <c r="D20" s="96" t="s">
        <v>1480</v>
      </c>
      <c r="E20" s="96" t="s">
        <v>1481</v>
      </c>
      <c r="F20" s="96" t="s">
        <v>3754</v>
      </c>
      <c r="G20" s="96" t="s">
        <v>203</v>
      </c>
      <c r="H20" s="96" t="s">
        <v>203</v>
      </c>
      <c r="I20" s="96" t="s">
        <v>337</v>
      </c>
      <c r="J20" s="100">
        <v>42094</v>
      </c>
      <c r="K20" s="96" t="s">
        <v>1200</v>
      </c>
      <c r="L20" s="100"/>
      <c r="M20" s="97">
        <v>0.74526499999999996</v>
      </c>
      <c r="N20" s="97">
        <v>1</v>
      </c>
      <c r="O20" s="97">
        <v>0.74526499999999996</v>
      </c>
      <c r="P20" s="96"/>
      <c r="Q20" s="96"/>
      <c r="R20" s="98">
        <v>5.8E-5</v>
      </c>
      <c r="S20" s="98">
        <v>1.4E-5</v>
      </c>
      <c r="T20" s="106"/>
    </row>
    <row r="21" spans="1:20" ht="15" customHeight="1">
      <c r="A21" s="106"/>
      <c r="B21" s="96">
        <v>286</v>
      </c>
      <c r="C21" s="96">
        <v>1445</v>
      </c>
      <c r="D21" s="96" t="s">
        <v>1455</v>
      </c>
      <c r="E21" s="96" t="s">
        <v>1456</v>
      </c>
      <c r="F21" s="96" t="s">
        <v>3754</v>
      </c>
      <c r="G21" s="96" t="s">
        <v>203</v>
      </c>
      <c r="H21" s="96" t="s">
        <v>203</v>
      </c>
      <c r="I21" s="96" t="s">
        <v>337</v>
      </c>
      <c r="J21" s="100">
        <v>44061</v>
      </c>
      <c r="K21" s="96" t="s">
        <v>1200</v>
      </c>
      <c r="L21" s="100"/>
      <c r="M21" s="97">
        <v>0.62471699999999997</v>
      </c>
      <c r="N21" s="97">
        <v>1</v>
      </c>
      <c r="O21" s="97">
        <v>0.62471699999999997</v>
      </c>
      <c r="P21" s="96"/>
      <c r="Q21" s="96"/>
      <c r="R21" s="98">
        <v>4.8000000000000001E-5</v>
      </c>
      <c r="S21" s="98">
        <v>1.1E-5</v>
      </c>
      <c r="T21" s="106"/>
    </row>
    <row r="22" spans="1:20" ht="15" customHeight="1">
      <c r="A22" s="106"/>
      <c r="B22" s="96">
        <v>286</v>
      </c>
      <c r="C22" s="96">
        <v>1445</v>
      </c>
      <c r="D22" s="96" t="s">
        <v>3757</v>
      </c>
      <c r="E22" s="96" t="s">
        <v>3758</v>
      </c>
      <c r="F22" s="96" t="s">
        <v>1040</v>
      </c>
      <c r="G22" s="96" t="s">
        <v>204</v>
      </c>
      <c r="H22" s="96" t="s">
        <v>284</v>
      </c>
      <c r="I22" s="96" t="s">
        <v>338</v>
      </c>
      <c r="J22" s="100">
        <v>41521</v>
      </c>
      <c r="K22" s="96" t="s">
        <v>3759</v>
      </c>
      <c r="L22" s="100">
        <v>45154</v>
      </c>
      <c r="M22" s="97">
        <v>226.67454900000001</v>
      </c>
      <c r="N22" s="97">
        <v>4.3999999999999997E-2</v>
      </c>
      <c r="O22" s="97">
        <v>9.9759460000000004</v>
      </c>
      <c r="P22" s="96"/>
      <c r="Q22" s="96"/>
      <c r="R22" s="98">
        <v>0.97658299999999998</v>
      </c>
      <c r="S22" s="98">
        <v>1.8900000000000001E-4</v>
      </c>
      <c r="T22" s="106"/>
    </row>
    <row r="23" spans="1:20" ht="15" customHeight="1">
      <c r="A23" s="106"/>
      <c r="B23" s="96">
        <v>286</v>
      </c>
      <c r="C23" s="96">
        <v>1446</v>
      </c>
      <c r="D23" s="96" t="s">
        <v>2583</v>
      </c>
      <c r="E23" s="96" t="s">
        <v>2584</v>
      </c>
      <c r="F23" s="96" t="s">
        <v>1035</v>
      </c>
      <c r="G23" s="96" t="s">
        <v>203</v>
      </c>
      <c r="H23" s="96" t="s">
        <v>203</v>
      </c>
      <c r="I23" s="96" t="s">
        <v>338</v>
      </c>
      <c r="J23" s="100"/>
      <c r="K23" s="96" t="s">
        <v>1200</v>
      </c>
      <c r="L23" s="100"/>
      <c r="M23" s="97">
        <v>0.69451700000000005</v>
      </c>
      <c r="N23" s="97">
        <v>1</v>
      </c>
      <c r="O23" s="97">
        <v>0.69451700000000005</v>
      </c>
      <c r="P23" s="96"/>
      <c r="Q23" s="96"/>
      <c r="R23" s="98">
        <v>1.7E-5</v>
      </c>
      <c r="S23" s="98">
        <v>1.1E-5</v>
      </c>
      <c r="T23" s="106"/>
    </row>
    <row r="24" spans="1:20" ht="15" customHeight="1">
      <c r="A24" s="106"/>
      <c r="B24" s="96">
        <v>286</v>
      </c>
      <c r="C24" s="96">
        <v>1446</v>
      </c>
      <c r="D24" s="96" t="s">
        <v>2478</v>
      </c>
      <c r="E24" s="96" t="s">
        <v>2479</v>
      </c>
      <c r="F24" s="96" t="s">
        <v>1035</v>
      </c>
      <c r="G24" s="96" t="s">
        <v>203</v>
      </c>
      <c r="H24" s="96" t="s">
        <v>203</v>
      </c>
      <c r="I24" s="96" t="s">
        <v>338</v>
      </c>
      <c r="J24" s="100"/>
      <c r="K24" s="96" t="s">
        <v>1200</v>
      </c>
      <c r="L24" s="100"/>
      <c r="M24" s="97">
        <v>1.449724</v>
      </c>
      <c r="N24" s="97">
        <v>1</v>
      </c>
      <c r="O24" s="97">
        <v>1.449724</v>
      </c>
      <c r="P24" s="96"/>
      <c r="Q24" s="96"/>
      <c r="R24" s="98">
        <v>3.6000000000000001E-5</v>
      </c>
      <c r="S24" s="98">
        <v>2.1999999999999999E-5</v>
      </c>
      <c r="T24" s="106"/>
    </row>
    <row r="25" spans="1:20" ht="15" customHeight="1">
      <c r="A25" s="106"/>
      <c r="B25" s="96">
        <v>286</v>
      </c>
      <c r="C25" s="96">
        <v>1446</v>
      </c>
      <c r="D25" s="96" t="s">
        <v>2749</v>
      </c>
      <c r="E25" s="96" t="s">
        <v>2750</v>
      </c>
      <c r="F25" s="96" t="s">
        <v>1035</v>
      </c>
      <c r="G25" s="96" t="s">
        <v>203</v>
      </c>
      <c r="H25" s="96" t="s">
        <v>203</v>
      </c>
      <c r="I25" s="96" t="s">
        <v>337</v>
      </c>
      <c r="J25" s="100"/>
      <c r="K25" s="96" t="s">
        <v>1200</v>
      </c>
      <c r="L25" s="100"/>
      <c r="M25" s="97">
        <v>0.80745699999999998</v>
      </c>
      <c r="N25" s="97">
        <v>1</v>
      </c>
      <c r="O25" s="97">
        <v>0.80745699999999998</v>
      </c>
      <c r="P25" s="96"/>
      <c r="Q25" s="96"/>
      <c r="R25" s="98">
        <v>2.0000000000000002E-5</v>
      </c>
      <c r="S25" s="98">
        <v>1.2E-5</v>
      </c>
      <c r="T25" s="106"/>
    </row>
    <row r="26" spans="1:20" ht="15" customHeight="1">
      <c r="A26" s="106"/>
      <c r="B26" s="96">
        <v>286</v>
      </c>
      <c r="C26" s="96">
        <v>1446</v>
      </c>
      <c r="D26" s="96" t="s">
        <v>2724</v>
      </c>
      <c r="E26" s="96" t="s">
        <v>2725</v>
      </c>
      <c r="F26" s="96" t="s">
        <v>1035</v>
      </c>
      <c r="G26" s="96" t="s">
        <v>203</v>
      </c>
      <c r="H26" s="96" t="s">
        <v>203</v>
      </c>
      <c r="I26" s="96" t="s">
        <v>338</v>
      </c>
      <c r="J26" s="100"/>
      <c r="K26" s="96" t="s">
        <v>1200</v>
      </c>
      <c r="L26" s="100"/>
      <c r="M26" s="97">
        <v>0.36220000000000002</v>
      </c>
      <c r="N26" s="97">
        <v>1</v>
      </c>
      <c r="O26" s="97">
        <v>0.36220000000000002</v>
      </c>
      <c r="P26" s="96"/>
      <c r="Q26" s="96"/>
      <c r="R26" s="98">
        <v>9.0000000000000002E-6</v>
      </c>
      <c r="S26" s="98">
        <v>5.0000000000000004E-6</v>
      </c>
      <c r="T26" s="106"/>
    </row>
    <row r="27" spans="1:20" ht="15" customHeight="1">
      <c r="A27" s="106"/>
      <c r="B27" s="96">
        <v>286</v>
      </c>
      <c r="C27" s="96">
        <v>1446</v>
      </c>
      <c r="D27" s="96" t="s">
        <v>2733</v>
      </c>
      <c r="E27" s="96" t="s">
        <v>2734</v>
      </c>
      <c r="F27" s="96" t="s">
        <v>1035</v>
      </c>
      <c r="G27" s="96" t="s">
        <v>203</v>
      </c>
      <c r="H27" s="96" t="s">
        <v>203</v>
      </c>
      <c r="I27" s="96" t="s">
        <v>338</v>
      </c>
      <c r="J27" s="100"/>
      <c r="K27" s="96" t="s">
        <v>1200</v>
      </c>
      <c r="L27" s="100"/>
      <c r="M27" s="97">
        <v>4.3968E-2</v>
      </c>
      <c r="N27" s="97">
        <v>1</v>
      </c>
      <c r="O27" s="97">
        <v>4.3968E-2</v>
      </c>
      <c r="P27" s="96"/>
      <c r="Q27" s="96"/>
      <c r="R27" s="98">
        <v>9.9999999999999995E-7</v>
      </c>
      <c r="S27" s="98">
        <v>0</v>
      </c>
      <c r="T27" s="106"/>
    </row>
    <row r="28" spans="1:20" ht="15" customHeight="1">
      <c r="A28" s="106"/>
      <c r="B28" s="96">
        <v>286</v>
      </c>
      <c r="C28" s="96">
        <v>1446</v>
      </c>
      <c r="D28" s="96" t="s">
        <v>2542</v>
      </c>
      <c r="E28" s="96" t="s">
        <v>2543</v>
      </c>
      <c r="F28" s="96" t="s">
        <v>1035</v>
      </c>
      <c r="G28" s="96" t="s">
        <v>203</v>
      </c>
      <c r="H28" s="96" t="s">
        <v>203</v>
      </c>
      <c r="I28" s="96" t="s">
        <v>337</v>
      </c>
      <c r="J28" s="100"/>
      <c r="K28" s="96" t="s">
        <v>1200</v>
      </c>
      <c r="L28" s="100"/>
      <c r="M28" s="97">
        <v>7.7923090000000004</v>
      </c>
      <c r="N28" s="97">
        <v>1</v>
      </c>
      <c r="O28" s="97">
        <v>7.7923090000000004</v>
      </c>
      <c r="P28" s="96"/>
      <c r="Q28" s="96"/>
      <c r="R28" s="98">
        <v>1.9900000000000001E-4</v>
      </c>
      <c r="S28" s="98">
        <v>1.2400000000000001E-4</v>
      </c>
      <c r="T28" s="106"/>
    </row>
    <row r="29" spans="1:20" ht="15" customHeight="1">
      <c r="A29" s="106"/>
      <c r="B29" s="96">
        <v>286</v>
      </c>
      <c r="C29" s="96">
        <v>1446</v>
      </c>
      <c r="D29" s="96" t="s">
        <v>3210</v>
      </c>
      <c r="E29" s="96" t="s">
        <v>3211</v>
      </c>
      <c r="F29" s="96" t="s">
        <v>1035</v>
      </c>
      <c r="G29" s="96" t="s">
        <v>204</v>
      </c>
      <c r="H29" s="96" t="s">
        <v>243</v>
      </c>
      <c r="I29" s="96" t="s">
        <v>338</v>
      </c>
      <c r="J29" s="100"/>
      <c r="K29" s="96" t="s">
        <v>1201</v>
      </c>
      <c r="L29" s="100"/>
      <c r="M29" s="97">
        <v>1.4603459999999999</v>
      </c>
      <c r="N29" s="97">
        <v>3.7589999999999999</v>
      </c>
      <c r="O29" s="97">
        <v>5.4894429999999996</v>
      </c>
      <c r="P29" s="96"/>
      <c r="Q29" s="96"/>
      <c r="R29" s="98">
        <v>6.6699999999999995E-4</v>
      </c>
      <c r="S29" s="98">
        <v>8.7999999999999998E-5</v>
      </c>
      <c r="T29" s="106"/>
    </row>
    <row r="30" spans="1:20" ht="15" customHeight="1">
      <c r="A30" s="106"/>
      <c r="B30" s="96">
        <v>286</v>
      </c>
      <c r="C30" s="96">
        <v>1446</v>
      </c>
      <c r="D30" s="96" t="s">
        <v>2923</v>
      </c>
      <c r="E30" s="96" t="s">
        <v>2479</v>
      </c>
      <c r="F30" s="96" t="s">
        <v>1035</v>
      </c>
      <c r="G30" s="96" t="s">
        <v>204</v>
      </c>
      <c r="H30" s="96" t="s">
        <v>203</v>
      </c>
      <c r="I30" s="96" t="s">
        <v>338</v>
      </c>
      <c r="J30" s="100"/>
      <c r="K30" s="96" t="s">
        <v>1201</v>
      </c>
      <c r="L30" s="100"/>
      <c r="M30" s="97">
        <v>1.7949999999999999E-3</v>
      </c>
      <c r="N30" s="97">
        <v>3.7589999999999999</v>
      </c>
      <c r="O30" s="97">
        <v>6.7510000000000001E-3</v>
      </c>
      <c r="P30" s="96"/>
      <c r="Q30" s="96"/>
      <c r="R30" s="98">
        <v>0</v>
      </c>
      <c r="S30" s="98">
        <v>0</v>
      </c>
      <c r="T30" s="106"/>
    </row>
    <row r="31" spans="1:20" ht="15" customHeight="1">
      <c r="A31" s="106"/>
      <c r="B31" s="96">
        <v>286</v>
      </c>
      <c r="C31" s="96">
        <v>1446</v>
      </c>
      <c r="D31" s="96" t="s">
        <v>2841</v>
      </c>
      <c r="E31" s="96" t="s">
        <v>2842</v>
      </c>
      <c r="F31" s="96" t="s">
        <v>1035</v>
      </c>
      <c r="G31" s="96" t="s">
        <v>204</v>
      </c>
      <c r="H31" s="96" t="s">
        <v>223</v>
      </c>
      <c r="I31" s="96" t="s">
        <v>338</v>
      </c>
      <c r="J31" s="100"/>
      <c r="K31" s="96" t="s">
        <v>1201</v>
      </c>
      <c r="L31" s="100"/>
      <c r="M31" s="97">
        <v>0.65522800000000003</v>
      </c>
      <c r="N31" s="97">
        <v>3.7589999999999999</v>
      </c>
      <c r="O31" s="97">
        <v>2.4630049999999999</v>
      </c>
      <c r="P31" s="96"/>
      <c r="Q31" s="96"/>
      <c r="R31" s="98">
        <v>6.3E-5</v>
      </c>
      <c r="S31" s="98">
        <v>3.8999999999999999E-5</v>
      </c>
      <c r="T31" s="106"/>
    </row>
    <row r="32" spans="1:20" ht="15" customHeight="1">
      <c r="A32" s="106"/>
      <c r="B32" s="96">
        <v>286</v>
      </c>
      <c r="C32" s="96">
        <v>1446</v>
      </c>
      <c r="D32" s="96" t="s">
        <v>3006</v>
      </c>
      <c r="E32" s="96" t="s">
        <v>3007</v>
      </c>
      <c r="F32" s="96" t="s">
        <v>1035</v>
      </c>
      <c r="G32" s="96" t="s">
        <v>204</v>
      </c>
      <c r="H32" s="96" t="s">
        <v>248</v>
      </c>
      <c r="I32" s="96" t="s">
        <v>338</v>
      </c>
      <c r="J32" s="100"/>
      <c r="K32" s="96" t="s">
        <v>1201</v>
      </c>
      <c r="L32" s="100"/>
      <c r="M32" s="97">
        <v>0.39612799999999998</v>
      </c>
      <c r="N32" s="97">
        <v>3.7589999999999999</v>
      </c>
      <c r="O32" s="97">
        <v>1.4890479999999999</v>
      </c>
      <c r="P32" s="96"/>
      <c r="Q32" s="96"/>
      <c r="R32" s="98">
        <v>3.8000000000000002E-5</v>
      </c>
      <c r="S32" s="98">
        <v>2.3E-5</v>
      </c>
      <c r="T32" s="106"/>
    </row>
    <row r="33" spans="1:20" ht="15" customHeight="1">
      <c r="A33" s="106"/>
      <c r="B33" s="96">
        <v>286</v>
      </c>
      <c r="C33" s="96">
        <v>1446</v>
      </c>
      <c r="D33" s="96" t="s">
        <v>2777</v>
      </c>
      <c r="E33" s="96" t="s">
        <v>2778</v>
      </c>
      <c r="F33" s="96" t="s">
        <v>1035</v>
      </c>
      <c r="G33" s="96" t="s">
        <v>204</v>
      </c>
      <c r="H33" s="96" t="s">
        <v>281</v>
      </c>
      <c r="I33" s="96" t="s">
        <v>338</v>
      </c>
      <c r="J33" s="100"/>
      <c r="K33" s="96" t="s">
        <v>1201</v>
      </c>
      <c r="L33" s="100"/>
      <c r="M33" s="97">
        <v>0.301375</v>
      </c>
      <c r="N33" s="97">
        <v>3.7589999999999999</v>
      </c>
      <c r="O33" s="97">
        <v>1.1328689999999999</v>
      </c>
      <c r="P33" s="96"/>
      <c r="Q33" s="96"/>
      <c r="R33" s="98">
        <v>2.9E-5</v>
      </c>
      <c r="S33" s="98">
        <v>1.8E-5</v>
      </c>
      <c r="T33" s="106"/>
    </row>
    <row r="34" spans="1:20" ht="15" customHeight="1">
      <c r="A34" s="106"/>
      <c r="B34" s="96">
        <v>286</v>
      </c>
      <c r="C34" s="96">
        <v>1446</v>
      </c>
      <c r="D34" s="96" t="s">
        <v>3010</v>
      </c>
      <c r="E34" s="96" t="s">
        <v>3011</v>
      </c>
      <c r="F34" s="96" t="s">
        <v>1035</v>
      </c>
      <c r="G34" s="96" t="s">
        <v>204</v>
      </c>
      <c r="H34" s="96" t="s">
        <v>223</v>
      </c>
      <c r="I34" s="96" t="s">
        <v>338</v>
      </c>
      <c r="J34" s="100"/>
      <c r="K34" s="96" t="s">
        <v>1201</v>
      </c>
      <c r="L34" s="100"/>
      <c r="M34" s="97">
        <v>8.4925E-2</v>
      </c>
      <c r="N34" s="97">
        <v>3.7589999999999999</v>
      </c>
      <c r="O34" s="97">
        <v>0.31923299999999999</v>
      </c>
      <c r="P34" s="96"/>
      <c r="Q34" s="96"/>
      <c r="R34" s="98">
        <v>7.9999999999999996E-6</v>
      </c>
      <c r="S34" s="98">
        <v>5.0000000000000004E-6</v>
      </c>
      <c r="T34" s="106"/>
    </row>
    <row r="35" spans="1:20" ht="15" customHeight="1">
      <c r="A35" s="106"/>
      <c r="B35" s="96">
        <v>286</v>
      </c>
      <c r="C35" s="96">
        <v>1446</v>
      </c>
      <c r="D35" s="96" t="s">
        <v>2937</v>
      </c>
      <c r="E35" s="96" t="s">
        <v>2938</v>
      </c>
      <c r="F35" s="96" t="s">
        <v>1035</v>
      </c>
      <c r="G35" s="96" t="s">
        <v>204</v>
      </c>
      <c r="H35" s="96" t="s">
        <v>223</v>
      </c>
      <c r="I35" s="96" t="s">
        <v>338</v>
      </c>
      <c r="J35" s="100"/>
      <c r="K35" s="96" t="s">
        <v>1201</v>
      </c>
      <c r="L35" s="100"/>
      <c r="M35" s="97">
        <v>0.277943</v>
      </c>
      <c r="N35" s="97">
        <v>3.7589999999999999</v>
      </c>
      <c r="O35" s="97">
        <v>1.044791</v>
      </c>
      <c r="P35" s="96"/>
      <c r="Q35" s="96"/>
      <c r="R35" s="98">
        <v>2.5999999999999998E-5</v>
      </c>
      <c r="S35" s="98">
        <v>1.5999999999999999E-5</v>
      </c>
      <c r="T35" s="106"/>
    </row>
    <row r="36" spans="1:20" ht="15" customHeight="1">
      <c r="A36" s="106"/>
      <c r="B36" s="96">
        <v>286</v>
      </c>
      <c r="C36" s="96">
        <v>1446</v>
      </c>
      <c r="D36" s="96" t="s">
        <v>2837</v>
      </c>
      <c r="E36" s="96" t="s">
        <v>2838</v>
      </c>
      <c r="F36" s="96" t="s">
        <v>1035</v>
      </c>
      <c r="G36" s="96" t="s">
        <v>204</v>
      </c>
      <c r="H36" s="96" t="s">
        <v>223</v>
      </c>
      <c r="I36" s="96" t="s">
        <v>338</v>
      </c>
      <c r="J36" s="100"/>
      <c r="K36" s="96" t="s">
        <v>1201</v>
      </c>
      <c r="L36" s="100"/>
      <c r="M36" s="97">
        <v>0.161631</v>
      </c>
      <c r="N36" s="97">
        <v>3.7589999999999999</v>
      </c>
      <c r="O36" s="97">
        <v>0.60757399999999995</v>
      </c>
      <c r="P36" s="96"/>
      <c r="Q36" s="96"/>
      <c r="R36" s="98">
        <v>1.5E-5</v>
      </c>
      <c r="S36" s="98">
        <v>9.0000000000000002E-6</v>
      </c>
      <c r="T36" s="106"/>
    </row>
    <row r="37" spans="1:20" ht="15" customHeight="1">
      <c r="A37" s="106"/>
      <c r="B37" s="96">
        <v>286</v>
      </c>
      <c r="C37" s="96">
        <v>1446</v>
      </c>
      <c r="D37" s="96" t="s">
        <v>2959</v>
      </c>
      <c r="E37" s="96" t="s">
        <v>2960</v>
      </c>
      <c r="F37" s="96" t="s">
        <v>1035</v>
      </c>
      <c r="G37" s="96" t="s">
        <v>204</v>
      </c>
      <c r="H37" s="96" t="s">
        <v>223</v>
      </c>
      <c r="I37" s="96" t="s">
        <v>338</v>
      </c>
      <c r="J37" s="100"/>
      <c r="K37" s="96" t="s">
        <v>1201</v>
      </c>
      <c r="L37" s="100"/>
      <c r="M37" s="97">
        <v>5.2472999999999999E-2</v>
      </c>
      <c r="N37" s="97">
        <v>3.7589999999999999</v>
      </c>
      <c r="O37" s="97">
        <v>0.19724800000000001</v>
      </c>
      <c r="P37" s="96"/>
      <c r="Q37" s="96"/>
      <c r="R37" s="98">
        <v>5.0000000000000004E-6</v>
      </c>
      <c r="S37" s="98">
        <v>3.0000000000000001E-6</v>
      </c>
      <c r="T37" s="106"/>
    </row>
    <row r="38" spans="1:20" ht="15" customHeight="1">
      <c r="A38" s="106"/>
      <c r="B38" s="96">
        <v>286</v>
      </c>
      <c r="C38" s="96">
        <v>1446</v>
      </c>
      <c r="D38" s="96" t="s">
        <v>3170</v>
      </c>
      <c r="E38" s="96" t="s">
        <v>3171</v>
      </c>
      <c r="F38" s="96" t="s">
        <v>1035</v>
      </c>
      <c r="G38" s="96" t="s">
        <v>204</v>
      </c>
      <c r="H38" s="96" t="s">
        <v>223</v>
      </c>
      <c r="I38" s="96" t="s">
        <v>338</v>
      </c>
      <c r="J38" s="100"/>
      <c r="K38" s="96" t="s">
        <v>1201</v>
      </c>
      <c r="L38" s="100"/>
      <c r="M38" s="97">
        <v>0.107267</v>
      </c>
      <c r="N38" s="97">
        <v>3.7589999999999999</v>
      </c>
      <c r="O38" s="97">
        <v>0.40321800000000002</v>
      </c>
      <c r="P38" s="96"/>
      <c r="Q38" s="96"/>
      <c r="R38" s="98">
        <v>4.8000000000000001E-5</v>
      </c>
      <c r="S38" s="98">
        <v>6.0000000000000002E-6</v>
      </c>
      <c r="T38" s="106"/>
    </row>
    <row r="39" spans="1:20" ht="15" customHeight="1">
      <c r="A39" s="106"/>
      <c r="B39" s="96">
        <v>286</v>
      </c>
      <c r="C39" s="96">
        <v>286</v>
      </c>
      <c r="D39" s="96" t="s">
        <v>1673</v>
      </c>
      <c r="E39" s="96" t="s">
        <v>1674</v>
      </c>
      <c r="F39" s="96" t="s">
        <v>3754</v>
      </c>
      <c r="G39" s="96" t="s">
        <v>203</v>
      </c>
      <c r="H39" s="96" t="s">
        <v>203</v>
      </c>
      <c r="I39" s="96" t="s">
        <v>338</v>
      </c>
      <c r="J39" s="100">
        <v>42992</v>
      </c>
      <c r="K39" s="96" t="s">
        <v>1200</v>
      </c>
      <c r="L39" s="100"/>
      <c r="M39" s="97">
        <v>3.5560779999999999</v>
      </c>
      <c r="N39" s="97">
        <v>1</v>
      </c>
      <c r="O39" s="97">
        <v>3.5560779999999999</v>
      </c>
      <c r="P39" s="96"/>
      <c r="Q39" s="96"/>
      <c r="R39" s="98">
        <v>1.2999999999999999E-5</v>
      </c>
      <c r="S39" s="98">
        <v>9.9999999999999995E-7</v>
      </c>
      <c r="T39" s="106"/>
    </row>
    <row r="40" spans="1:20" ht="15" customHeight="1">
      <c r="A40" s="106"/>
      <c r="B40" s="96">
        <v>286</v>
      </c>
      <c r="C40" s="96">
        <v>286</v>
      </c>
      <c r="D40" s="96" t="s">
        <v>1577</v>
      </c>
      <c r="E40" s="96" t="s">
        <v>1578</v>
      </c>
      <c r="F40" s="96" t="s">
        <v>3754</v>
      </c>
      <c r="G40" s="96" t="s">
        <v>203</v>
      </c>
      <c r="H40" s="96" t="s">
        <v>203</v>
      </c>
      <c r="I40" s="96" t="s">
        <v>337</v>
      </c>
      <c r="J40" s="100">
        <v>45287</v>
      </c>
      <c r="K40" s="96" t="s">
        <v>1200</v>
      </c>
      <c r="L40" s="100"/>
      <c r="M40" s="97">
        <v>8.6816469999999999</v>
      </c>
      <c r="N40" s="97">
        <v>1</v>
      </c>
      <c r="O40" s="97">
        <v>8.6816469999999999</v>
      </c>
      <c r="P40" s="96"/>
      <c r="Q40" s="96"/>
      <c r="R40" s="98">
        <v>3.1999999999999999E-5</v>
      </c>
      <c r="S40" s="98">
        <v>3.9999999999999998E-6</v>
      </c>
      <c r="T40" s="106"/>
    </row>
    <row r="41" spans="1:20" ht="15" customHeight="1">
      <c r="A41" s="106"/>
      <c r="B41" s="96">
        <v>286</v>
      </c>
      <c r="C41" s="96">
        <v>286</v>
      </c>
      <c r="D41" s="96" t="s">
        <v>2037</v>
      </c>
      <c r="E41" s="96" t="s">
        <v>2038</v>
      </c>
      <c r="F41" s="96" t="s">
        <v>3754</v>
      </c>
      <c r="G41" s="96" t="s">
        <v>203</v>
      </c>
      <c r="H41" s="96" t="s">
        <v>203</v>
      </c>
      <c r="I41" s="96" t="s">
        <v>337</v>
      </c>
      <c r="J41" s="100">
        <v>42639</v>
      </c>
      <c r="K41" s="96" t="s">
        <v>1200</v>
      </c>
      <c r="L41" s="100"/>
      <c r="M41" s="97">
        <v>5.8668579999999997</v>
      </c>
      <c r="N41" s="97">
        <v>1</v>
      </c>
      <c r="O41" s="97">
        <v>5.8668579999999997</v>
      </c>
      <c r="P41" s="96"/>
      <c r="Q41" s="96"/>
      <c r="R41" s="98">
        <v>2.0999999999999999E-5</v>
      </c>
      <c r="S41" s="98">
        <v>3.0000000000000001E-6</v>
      </c>
      <c r="T41" s="106"/>
    </row>
    <row r="42" spans="1:20" ht="15" customHeight="1">
      <c r="A42" s="106"/>
      <c r="B42" s="96">
        <v>286</v>
      </c>
      <c r="C42" s="96">
        <v>286</v>
      </c>
      <c r="D42" s="96" t="s">
        <v>3755</v>
      </c>
      <c r="E42" s="96" t="s">
        <v>3756</v>
      </c>
      <c r="F42" s="96" t="s">
        <v>1040</v>
      </c>
      <c r="G42" s="96" t="s">
        <v>203</v>
      </c>
      <c r="H42" s="96" t="s">
        <v>203</v>
      </c>
      <c r="I42" s="96" t="s">
        <v>338</v>
      </c>
      <c r="J42" s="100">
        <v>43166</v>
      </c>
      <c r="K42" s="96" t="s">
        <v>1200</v>
      </c>
      <c r="L42" s="100">
        <v>45329</v>
      </c>
      <c r="M42" s="97">
        <v>4.0884410000000004</v>
      </c>
      <c r="N42" s="97">
        <v>1</v>
      </c>
      <c r="O42" s="97">
        <v>4.0884410000000004</v>
      </c>
      <c r="P42" s="96"/>
      <c r="Q42" s="96"/>
      <c r="R42" s="98">
        <v>5.9519999999999998E-3</v>
      </c>
      <c r="S42" s="98">
        <v>1.9999999999999999E-6</v>
      </c>
      <c r="T42" s="106"/>
    </row>
    <row r="43" spans="1:20" ht="15" customHeight="1">
      <c r="A43" s="106"/>
      <c r="B43" s="96">
        <v>286</v>
      </c>
      <c r="C43" s="96">
        <v>286</v>
      </c>
      <c r="D43" s="96" t="s">
        <v>2724</v>
      </c>
      <c r="E43" s="96" t="s">
        <v>2725</v>
      </c>
      <c r="F43" s="96" t="s">
        <v>1035</v>
      </c>
      <c r="G43" s="96" t="s">
        <v>203</v>
      </c>
      <c r="H43" s="96" t="s">
        <v>203</v>
      </c>
      <c r="I43" s="96" t="s">
        <v>338</v>
      </c>
      <c r="J43" s="100"/>
      <c r="K43" s="96" t="s">
        <v>1200</v>
      </c>
      <c r="L43" s="100"/>
      <c r="M43" s="97">
        <v>4.4497710000000001</v>
      </c>
      <c r="N43" s="97">
        <v>1</v>
      </c>
      <c r="O43" s="97">
        <v>4.4497710000000001</v>
      </c>
      <c r="P43" s="96"/>
      <c r="Q43" s="96"/>
      <c r="R43" s="98">
        <v>6.9999999999999999E-6</v>
      </c>
      <c r="S43" s="98">
        <v>9.9999999999999995E-7</v>
      </c>
      <c r="T43" s="106"/>
    </row>
    <row r="44" spans="1:20" ht="15" customHeight="1">
      <c r="A44" s="106"/>
      <c r="B44" s="96">
        <v>286</v>
      </c>
      <c r="C44" s="96">
        <v>286</v>
      </c>
      <c r="D44" s="96" t="s">
        <v>1840</v>
      </c>
      <c r="E44" s="96" t="s">
        <v>1841</v>
      </c>
      <c r="F44" s="96" t="s">
        <v>3754</v>
      </c>
      <c r="G44" s="96" t="s">
        <v>203</v>
      </c>
      <c r="H44" s="96" t="s">
        <v>203</v>
      </c>
      <c r="I44" s="96" t="s">
        <v>337</v>
      </c>
      <c r="J44" s="100">
        <v>44425</v>
      </c>
      <c r="K44" s="96" t="s">
        <v>1200</v>
      </c>
      <c r="L44" s="100"/>
      <c r="M44" s="97">
        <v>1.449843</v>
      </c>
      <c r="N44" s="97">
        <v>1</v>
      </c>
      <c r="O44" s="97">
        <v>1.449843</v>
      </c>
      <c r="P44" s="96"/>
      <c r="Q44" s="96"/>
      <c r="R44" s="98">
        <v>5.0000000000000004E-6</v>
      </c>
      <c r="S44" s="98">
        <v>0</v>
      </c>
      <c r="T44" s="106"/>
    </row>
    <row r="45" spans="1:20" ht="15" customHeight="1">
      <c r="A45" s="106"/>
      <c r="B45" s="96">
        <v>286</v>
      </c>
      <c r="C45" s="96">
        <v>286</v>
      </c>
      <c r="D45" s="96" t="s">
        <v>2733</v>
      </c>
      <c r="E45" s="96" t="s">
        <v>2734</v>
      </c>
      <c r="F45" s="96" t="s">
        <v>1035</v>
      </c>
      <c r="G45" s="96" t="s">
        <v>203</v>
      </c>
      <c r="H45" s="96" t="s">
        <v>203</v>
      </c>
      <c r="I45" s="96" t="s">
        <v>338</v>
      </c>
      <c r="J45" s="100"/>
      <c r="K45" s="96" t="s">
        <v>1200</v>
      </c>
      <c r="L45" s="100"/>
      <c r="M45" s="97">
        <v>0.54017199999999999</v>
      </c>
      <c r="N45" s="97">
        <v>1</v>
      </c>
      <c r="O45" s="97">
        <v>0.54017199999999999</v>
      </c>
      <c r="P45" s="96"/>
      <c r="Q45" s="96"/>
      <c r="R45" s="98">
        <v>0</v>
      </c>
      <c r="S45" s="98">
        <v>0</v>
      </c>
      <c r="T45" s="106"/>
    </row>
    <row r="46" spans="1:20" ht="15" customHeight="1">
      <c r="A46" s="106"/>
      <c r="B46" s="96">
        <v>286</v>
      </c>
      <c r="C46" s="96">
        <v>286</v>
      </c>
      <c r="D46" s="96" t="s">
        <v>2583</v>
      </c>
      <c r="E46" s="96" t="s">
        <v>2584</v>
      </c>
      <c r="F46" s="96" t="s">
        <v>1035</v>
      </c>
      <c r="G46" s="96" t="s">
        <v>203</v>
      </c>
      <c r="H46" s="96" t="s">
        <v>203</v>
      </c>
      <c r="I46" s="96" t="s">
        <v>338</v>
      </c>
      <c r="J46" s="100"/>
      <c r="K46" s="96" t="s">
        <v>1200</v>
      </c>
      <c r="L46" s="100"/>
      <c r="M46" s="97">
        <v>8.5323910000000005</v>
      </c>
      <c r="N46" s="97">
        <v>1</v>
      </c>
      <c r="O46" s="97">
        <v>8.5323910000000005</v>
      </c>
      <c r="P46" s="96"/>
      <c r="Q46" s="96"/>
      <c r="R46" s="98">
        <v>1.5E-5</v>
      </c>
      <c r="S46" s="98">
        <v>3.9999999999999998E-6</v>
      </c>
      <c r="T46" s="106"/>
    </row>
    <row r="47" spans="1:20" ht="15" customHeight="1">
      <c r="A47" s="106"/>
      <c r="B47" s="96">
        <v>286</v>
      </c>
      <c r="C47" s="96">
        <v>286</v>
      </c>
      <c r="D47" s="96" t="s">
        <v>1990</v>
      </c>
      <c r="E47" s="96" t="s">
        <v>1991</v>
      </c>
      <c r="F47" s="96" t="s">
        <v>3754</v>
      </c>
      <c r="G47" s="96" t="s">
        <v>203</v>
      </c>
      <c r="H47" s="96" t="s">
        <v>203</v>
      </c>
      <c r="I47" s="96" t="s">
        <v>338</v>
      </c>
      <c r="J47" s="100">
        <v>44398</v>
      </c>
      <c r="K47" s="96" t="s">
        <v>1200</v>
      </c>
      <c r="L47" s="100"/>
      <c r="M47" s="97">
        <v>9.9831819999999993</v>
      </c>
      <c r="N47" s="97">
        <v>1</v>
      </c>
      <c r="O47" s="97">
        <v>9.9831819999999993</v>
      </c>
      <c r="P47" s="96"/>
      <c r="Q47" s="96"/>
      <c r="R47" s="98">
        <v>3.6999999999999998E-5</v>
      </c>
      <c r="S47" s="98">
        <v>5.0000000000000004E-6</v>
      </c>
      <c r="T47" s="106"/>
    </row>
    <row r="48" spans="1:20" ht="15" customHeight="1">
      <c r="A48" s="106"/>
      <c r="B48" s="96">
        <v>286</v>
      </c>
      <c r="C48" s="96">
        <v>286</v>
      </c>
      <c r="D48" s="96" t="s">
        <v>1920</v>
      </c>
      <c r="E48" s="96" t="s">
        <v>1921</v>
      </c>
      <c r="F48" s="96" t="s">
        <v>3754</v>
      </c>
      <c r="G48" s="96" t="s">
        <v>203</v>
      </c>
      <c r="H48" s="96" t="s">
        <v>203</v>
      </c>
      <c r="I48" s="96" t="s">
        <v>338</v>
      </c>
      <c r="J48" s="100">
        <v>44004</v>
      </c>
      <c r="K48" s="96" t="s">
        <v>1200</v>
      </c>
      <c r="L48" s="100"/>
      <c r="M48" s="97">
        <v>20.481068</v>
      </c>
      <c r="N48" s="97">
        <v>1</v>
      </c>
      <c r="O48" s="97">
        <v>20.481068</v>
      </c>
      <c r="P48" s="96"/>
      <c r="Q48" s="96"/>
      <c r="R48" s="98">
        <v>7.6000000000000004E-5</v>
      </c>
      <c r="S48" s="98">
        <v>1.0000000000000001E-5</v>
      </c>
      <c r="T48" s="106"/>
    </row>
    <row r="49" spans="1:20" ht="15" customHeight="1">
      <c r="A49" s="106"/>
      <c r="B49" s="96">
        <v>286</v>
      </c>
      <c r="C49" s="96">
        <v>286</v>
      </c>
      <c r="D49" s="96" t="s">
        <v>1670</v>
      </c>
      <c r="E49" s="96" t="s">
        <v>1671</v>
      </c>
      <c r="F49" s="96" t="s">
        <v>3754</v>
      </c>
      <c r="G49" s="96" t="s">
        <v>203</v>
      </c>
      <c r="H49" s="96" t="s">
        <v>203</v>
      </c>
      <c r="I49" s="96" t="s">
        <v>338</v>
      </c>
      <c r="J49" s="100">
        <v>44743</v>
      </c>
      <c r="K49" s="96" t="s">
        <v>1200</v>
      </c>
      <c r="L49" s="100"/>
      <c r="M49" s="97">
        <v>1.005622</v>
      </c>
      <c r="N49" s="97">
        <v>1</v>
      </c>
      <c r="O49" s="97">
        <v>1.005622</v>
      </c>
      <c r="P49" s="96"/>
      <c r="Q49" s="96"/>
      <c r="R49" s="98">
        <v>3.0000000000000001E-6</v>
      </c>
      <c r="S49" s="98">
        <v>0</v>
      </c>
      <c r="T49" s="106"/>
    </row>
    <row r="50" spans="1:20" ht="15" customHeight="1">
      <c r="A50" s="106"/>
      <c r="B50" s="96">
        <v>286</v>
      </c>
      <c r="C50" s="96">
        <v>286</v>
      </c>
      <c r="D50" s="96" t="s">
        <v>1480</v>
      </c>
      <c r="E50" s="96" t="s">
        <v>1481</v>
      </c>
      <c r="F50" s="96" t="s">
        <v>3754</v>
      </c>
      <c r="G50" s="96" t="s">
        <v>203</v>
      </c>
      <c r="H50" s="96" t="s">
        <v>203</v>
      </c>
      <c r="I50" s="96" t="s">
        <v>337</v>
      </c>
      <c r="J50" s="100">
        <v>42094</v>
      </c>
      <c r="K50" s="96" t="s">
        <v>1200</v>
      </c>
      <c r="L50" s="100"/>
      <c r="M50" s="97">
        <v>12.73795</v>
      </c>
      <c r="N50" s="97">
        <v>1</v>
      </c>
      <c r="O50" s="97">
        <v>12.73795</v>
      </c>
      <c r="P50" s="96"/>
      <c r="Q50" s="96"/>
      <c r="R50" s="98">
        <v>4.6999999999999997E-5</v>
      </c>
      <c r="S50" s="98">
        <v>6.0000000000000002E-6</v>
      </c>
      <c r="T50" s="106"/>
    </row>
    <row r="51" spans="1:20" ht="15" customHeight="1">
      <c r="A51" s="106"/>
      <c r="B51" s="96">
        <v>286</v>
      </c>
      <c r="C51" s="96">
        <v>286</v>
      </c>
      <c r="D51" s="96" t="s">
        <v>1455</v>
      </c>
      <c r="E51" s="96" t="s">
        <v>1456</v>
      </c>
      <c r="F51" s="96" t="s">
        <v>3754</v>
      </c>
      <c r="G51" s="96" t="s">
        <v>203</v>
      </c>
      <c r="H51" s="96" t="s">
        <v>203</v>
      </c>
      <c r="I51" s="96" t="s">
        <v>337</v>
      </c>
      <c r="J51" s="100">
        <v>44061</v>
      </c>
      <c r="K51" s="96" t="s">
        <v>1200</v>
      </c>
      <c r="L51" s="100"/>
      <c r="M51" s="97">
        <v>10.677562</v>
      </c>
      <c r="N51" s="97">
        <v>1</v>
      </c>
      <c r="O51" s="97">
        <v>10.677562</v>
      </c>
      <c r="P51" s="96"/>
      <c r="Q51" s="96"/>
      <c r="R51" s="98">
        <v>4.0000000000000003E-5</v>
      </c>
      <c r="S51" s="98">
        <v>5.0000000000000004E-6</v>
      </c>
      <c r="T51" s="106"/>
    </row>
    <row r="52" spans="1:20" ht="15" customHeight="1">
      <c r="A52" s="106"/>
      <c r="B52" s="96">
        <v>286</v>
      </c>
      <c r="C52" s="96">
        <v>286</v>
      </c>
      <c r="D52" s="96" t="s">
        <v>1299</v>
      </c>
      <c r="E52" s="96" t="s">
        <v>1300</v>
      </c>
      <c r="F52" s="96" t="s">
        <v>3754</v>
      </c>
      <c r="G52" s="96" t="s">
        <v>203</v>
      </c>
      <c r="H52" s="96" t="s">
        <v>203</v>
      </c>
      <c r="I52" s="96" t="s">
        <v>338</v>
      </c>
      <c r="J52" s="100">
        <v>42558</v>
      </c>
      <c r="K52" s="96" t="s">
        <v>1200</v>
      </c>
      <c r="L52" s="100"/>
      <c r="M52" s="97">
        <v>15.852527</v>
      </c>
      <c r="N52" s="97">
        <v>1</v>
      </c>
      <c r="O52" s="97">
        <v>15.852527</v>
      </c>
      <c r="P52" s="96"/>
      <c r="Q52" s="96"/>
      <c r="R52" s="98">
        <v>5.8999999999999998E-5</v>
      </c>
      <c r="S52" s="98">
        <v>7.9999999999999996E-6</v>
      </c>
      <c r="T52" s="106"/>
    </row>
    <row r="53" spans="1:20" ht="15" customHeight="1">
      <c r="A53" s="106"/>
      <c r="B53" s="96">
        <v>286</v>
      </c>
      <c r="C53" s="96">
        <v>286</v>
      </c>
      <c r="D53" s="96" t="s">
        <v>1753</v>
      </c>
      <c r="E53" s="96" t="s">
        <v>1754</v>
      </c>
      <c r="F53" s="96" t="s">
        <v>3754</v>
      </c>
      <c r="G53" s="96" t="s">
        <v>203</v>
      </c>
      <c r="H53" s="96" t="s">
        <v>203</v>
      </c>
      <c r="I53" s="96" t="s">
        <v>337</v>
      </c>
      <c r="J53" s="100">
        <v>43893</v>
      </c>
      <c r="K53" s="96" t="s">
        <v>1200</v>
      </c>
      <c r="L53" s="100"/>
      <c r="M53" s="97">
        <v>2.1917849999999999</v>
      </c>
      <c r="N53" s="97">
        <v>1</v>
      </c>
      <c r="O53" s="97">
        <v>2.1917849999999999</v>
      </c>
      <c r="P53" s="96"/>
      <c r="Q53" s="96"/>
      <c r="R53" s="98">
        <v>7.9999999999999996E-6</v>
      </c>
      <c r="S53" s="98">
        <v>9.9999999999999995E-7</v>
      </c>
      <c r="T53" s="106"/>
    </row>
    <row r="54" spans="1:20" ht="15" customHeight="1">
      <c r="A54" s="106"/>
      <c r="B54" s="96">
        <v>286</v>
      </c>
      <c r="C54" s="96">
        <v>286</v>
      </c>
      <c r="D54" s="96" t="s">
        <v>3760</v>
      </c>
      <c r="E54" s="96" t="s">
        <v>3761</v>
      </c>
      <c r="F54" s="96" t="s">
        <v>1040</v>
      </c>
      <c r="G54" s="96" t="s">
        <v>203</v>
      </c>
      <c r="H54" s="96" t="s">
        <v>203</v>
      </c>
      <c r="I54" s="96" t="s">
        <v>338</v>
      </c>
      <c r="J54" s="100">
        <v>39567</v>
      </c>
      <c r="K54" s="96" t="s">
        <v>1200</v>
      </c>
      <c r="L54" s="100">
        <v>44651</v>
      </c>
      <c r="M54" s="97">
        <v>1.8839999999999999E-2</v>
      </c>
      <c r="N54" s="97">
        <v>1</v>
      </c>
      <c r="O54" s="97">
        <v>1.8839999999999999E-2</v>
      </c>
      <c r="P54" s="96"/>
      <c r="Q54" s="96"/>
      <c r="R54" s="98">
        <v>2.6999999999999999E-5</v>
      </c>
      <c r="S54" s="98">
        <v>0</v>
      </c>
      <c r="T54" s="106"/>
    </row>
    <row r="55" spans="1:20" ht="15" customHeight="1">
      <c r="A55" s="106"/>
      <c r="B55" s="96">
        <v>286</v>
      </c>
      <c r="C55" s="96">
        <v>286</v>
      </c>
      <c r="D55" s="96" t="s">
        <v>3762</v>
      </c>
      <c r="E55" s="96">
        <v>25000194</v>
      </c>
      <c r="F55" s="96" t="s">
        <v>3754</v>
      </c>
      <c r="G55" s="96" t="s">
        <v>203</v>
      </c>
      <c r="H55" s="96" t="s">
        <v>203</v>
      </c>
      <c r="I55" s="96" t="s">
        <v>338</v>
      </c>
      <c r="J55" s="100">
        <v>42370</v>
      </c>
      <c r="K55" s="96" t="s">
        <v>1200</v>
      </c>
      <c r="L55" s="100">
        <v>42459</v>
      </c>
      <c r="M55" s="97">
        <v>142.95912999999999</v>
      </c>
      <c r="N55" s="97">
        <v>1</v>
      </c>
      <c r="O55" s="97">
        <v>142.95912999999999</v>
      </c>
      <c r="P55" s="96"/>
      <c r="Q55" s="96"/>
      <c r="R55" s="98">
        <v>0.20813100000000001</v>
      </c>
      <c r="S55" s="98">
        <v>7.3999999999999996E-5</v>
      </c>
      <c r="T55" s="106"/>
    </row>
    <row r="56" spans="1:20" ht="15" customHeight="1">
      <c r="A56" s="106"/>
      <c r="B56" s="96">
        <v>286</v>
      </c>
      <c r="C56" s="96">
        <v>286</v>
      </c>
      <c r="D56" s="96" t="s">
        <v>1588</v>
      </c>
      <c r="E56" s="96" t="s">
        <v>1589</v>
      </c>
      <c r="F56" s="96" t="s">
        <v>3754</v>
      </c>
      <c r="G56" s="96" t="s">
        <v>203</v>
      </c>
      <c r="H56" s="96" t="s">
        <v>203</v>
      </c>
      <c r="I56" s="96" t="s">
        <v>337</v>
      </c>
      <c r="J56" s="100">
        <v>45012</v>
      </c>
      <c r="K56" s="96" t="s">
        <v>1200</v>
      </c>
      <c r="L56" s="100"/>
      <c r="M56" s="97">
        <v>23.799876000000001</v>
      </c>
      <c r="N56" s="97">
        <v>1</v>
      </c>
      <c r="O56" s="97">
        <v>23.799876000000001</v>
      </c>
      <c r="P56" s="96"/>
      <c r="Q56" s="96"/>
      <c r="R56" s="98">
        <v>8.8999999999999995E-5</v>
      </c>
      <c r="S56" s="98">
        <v>1.2E-5</v>
      </c>
      <c r="T56" s="106"/>
    </row>
    <row r="57" spans="1:20" ht="15" customHeight="1">
      <c r="A57" s="106"/>
      <c r="B57" s="96">
        <v>286</v>
      </c>
      <c r="C57" s="96">
        <v>286</v>
      </c>
      <c r="D57" s="96" t="s">
        <v>1661</v>
      </c>
      <c r="E57" s="96" t="s">
        <v>1662</v>
      </c>
      <c r="F57" s="96" t="s">
        <v>3754</v>
      </c>
      <c r="G57" s="96" t="s">
        <v>203</v>
      </c>
      <c r="H57" s="96" t="s">
        <v>203</v>
      </c>
      <c r="I57" s="96" t="s">
        <v>338</v>
      </c>
      <c r="J57" s="100">
        <v>41850</v>
      </c>
      <c r="K57" s="96" t="s">
        <v>1200</v>
      </c>
      <c r="L57" s="100"/>
      <c r="M57" s="97">
        <v>62.361696000000002</v>
      </c>
      <c r="N57" s="97">
        <v>1</v>
      </c>
      <c r="O57" s="97">
        <v>62.361696000000002</v>
      </c>
      <c r="P57" s="96"/>
      <c r="Q57" s="96"/>
      <c r="R57" s="98">
        <v>2.33E-4</v>
      </c>
      <c r="S57" s="98">
        <v>3.1999999999999999E-5</v>
      </c>
      <c r="T57" s="106"/>
    </row>
    <row r="58" spans="1:20" ht="15" customHeight="1">
      <c r="A58" s="106"/>
      <c r="B58" s="96">
        <v>286</v>
      </c>
      <c r="C58" s="96">
        <v>286</v>
      </c>
      <c r="D58" s="96" t="s">
        <v>1485</v>
      </c>
      <c r="E58" s="96" t="s">
        <v>1486</v>
      </c>
      <c r="F58" s="96" t="s">
        <v>3754</v>
      </c>
      <c r="G58" s="96" t="s">
        <v>203</v>
      </c>
      <c r="H58" s="96" t="s">
        <v>203</v>
      </c>
      <c r="I58" s="96" t="s">
        <v>338</v>
      </c>
      <c r="J58" s="100">
        <v>44012</v>
      </c>
      <c r="K58" s="96" t="s">
        <v>1200</v>
      </c>
      <c r="L58" s="100"/>
      <c r="M58" s="97">
        <v>2.8005779999999998</v>
      </c>
      <c r="N58" s="97">
        <v>1</v>
      </c>
      <c r="O58" s="97">
        <v>2.8005779999999998</v>
      </c>
      <c r="P58" s="96"/>
      <c r="Q58" s="96"/>
      <c r="R58" s="98">
        <v>1.0000000000000001E-5</v>
      </c>
      <c r="S58" s="98">
        <v>9.9999999999999995E-7</v>
      </c>
      <c r="T58" s="106"/>
    </row>
    <row r="59" spans="1:20" ht="15" customHeight="1">
      <c r="A59" s="106"/>
      <c r="B59" s="96">
        <v>286</v>
      </c>
      <c r="C59" s="96">
        <v>286</v>
      </c>
      <c r="D59" s="96" t="s">
        <v>1415</v>
      </c>
      <c r="E59" s="96" t="s">
        <v>1416</v>
      </c>
      <c r="F59" s="96" t="s">
        <v>3754</v>
      </c>
      <c r="G59" s="96" t="s">
        <v>203</v>
      </c>
      <c r="H59" s="96" t="s">
        <v>203</v>
      </c>
      <c r="I59" s="96" t="s">
        <v>337</v>
      </c>
      <c r="J59" s="100">
        <v>43165</v>
      </c>
      <c r="K59" s="96" t="s">
        <v>1200</v>
      </c>
      <c r="L59" s="100"/>
      <c r="M59" s="97">
        <v>8.1327669999999994</v>
      </c>
      <c r="N59" s="97">
        <v>1</v>
      </c>
      <c r="O59" s="97">
        <v>8.1327669999999994</v>
      </c>
      <c r="P59" s="96"/>
      <c r="Q59" s="96"/>
      <c r="R59" s="98">
        <v>3.0000000000000001E-5</v>
      </c>
      <c r="S59" s="98">
        <v>3.9999999999999998E-6</v>
      </c>
      <c r="T59" s="106"/>
    </row>
    <row r="60" spans="1:20" ht="15" customHeight="1">
      <c r="A60" s="106"/>
      <c r="B60" s="96">
        <v>286</v>
      </c>
      <c r="C60" s="96">
        <v>286</v>
      </c>
      <c r="D60" s="96" t="s">
        <v>1453</v>
      </c>
      <c r="E60" s="96" t="s">
        <v>1454</v>
      </c>
      <c r="F60" s="96" t="s">
        <v>3754</v>
      </c>
      <c r="G60" s="96" t="s">
        <v>203</v>
      </c>
      <c r="H60" s="96" t="s">
        <v>203</v>
      </c>
      <c r="I60" s="96" t="s">
        <v>337</v>
      </c>
      <c r="J60" s="100">
        <v>44262</v>
      </c>
      <c r="K60" s="96" t="s">
        <v>1200</v>
      </c>
      <c r="L60" s="100"/>
      <c r="M60" s="97">
        <v>3.0696599999999998</v>
      </c>
      <c r="N60" s="97">
        <v>1</v>
      </c>
      <c r="O60" s="97">
        <v>3.0696599999999998</v>
      </c>
      <c r="P60" s="96"/>
      <c r="Q60" s="96"/>
      <c r="R60" s="98">
        <v>1.1E-5</v>
      </c>
      <c r="S60" s="98">
        <v>9.9999999999999995E-7</v>
      </c>
      <c r="T60" s="106"/>
    </row>
    <row r="61" spans="1:20" ht="15" customHeight="1">
      <c r="A61" s="106"/>
      <c r="B61" s="96">
        <v>286</v>
      </c>
      <c r="C61" s="96">
        <v>286</v>
      </c>
      <c r="D61" s="96" t="s">
        <v>2542</v>
      </c>
      <c r="E61" s="96" t="s">
        <v>2543</v>
      </c>
      <c r="F61" s="96" t="s">
        <v>1035</v>
      </c>
      <c r="G61" s="96" t="s">
        <v>203</v>
      </c>
      <c r="H61" s="96" t="s">
        <v>203</v>
      </c>
      <c r="I61" s="96" t="s">
        <v>337</v>
      </c>
      <c r="J61" s="100"/>
      <c r="K61" s="96" t="s">
        <v>1200</v>
      </c>
      <c r="L61" s="100"/>
      <c r="M61" s="97">
        <v>95.731341999999998</v>
      </c>
      <c r="N61" s="97">
        <v>1</v>
      </c>
      <c r="O61" s="97">
        <v>95.731341999999998</v>
      </c>
      <c r="P61" s="96"/>
      <c r="Q61" s="96"/>
      <c r="R61" s="98">
        <v>1.7100000000000001E-4</v>
      </c>
      <c r="S61" s="98">
        <v>4.8999999999999998E-5</v>
      </c>
      <c r="T61" s="106"/>
    </row>
    <row r="62" spans="1:20" ht="15" customHeight="1">
      <c r="A62" s="106"/>
      <c r="B62" s="96">
        <v>286</v>
      </c>
      <c r="C62" s="96">
        <v>286</v>
      </c>
      <c r="D62" s="96" t="s">
        <v>2749</v>
      </c>
      <c r="E62" s="96" t="s">
        <v>2750</v>
      </c>
      <c r="F62" s="96" t="s">
        <v>1035</v>
      </c>
      <c r="G62" s="96" t="s">
        <v>203</v>
      </c>
      <c r="H62" s="96" t="s">
        <v>203</v>
      </c>
      <c r="I62" s="96" t="s">
        <v>337</v>
      </c>
      <c r="J62" s="100"/>
      <c r="K62" s="96" t="s">
        <v>1200</v>
      </c>
      <c r="L62" s="100"/>
      <c r="M62" s="97">
        <v>9.9199009999999994</v>
      </c>
      <c r="N62" s="97">
        <v>1</v>
      </c>
      <c r="O62" s="97">
        <v>9.9199009999999994</v>
      </c>
      <c r="P62" s="96"/>
      <c r="Q62" s="96"/>
      <c r="R62" s="98">
        <v>1.7E-5</v>
      </c>
      <c r="S62" s="98">
        <v>5.0000000000000004E-6</v>
      </c>
      <c r="T62" s="106"/>
    </row>
    <row r="63" spans="1:20" ht="15" customHeight="1">
      <c r="A63" s="106"/>
      <c r="B63" s="96">
        <v>286</v>
      </c>
      <c r="C63" s="96">
        <v>286</v>
      </c>
      <c r="D63" s="96" t="s">
        <v>2478</v>
      </c>
      <c r="E63" s="96" t="s">
        <v>2479</v>
      </c>
      <c r="F63" s="96" t="s">
        <v>1035</v>
      </c>
      <c r="G63" s="96" t="s">
        <v>203</v>
      </c>
      <c r="H63" s="96" t="s">
        <v>203</v>
      </c>
      <c r="I63" s="96" t="s">
        <v>338</v>
      </c>
      <c r="J63" s="100"/>
      <c r="K63" s="96" t="s">
        <v>1200</v>
      </c>
      <c r="L63" s="100"/>
      <c r="M63" s="97">
        <v>17.810392</v>
      </c>
      <c r="N63" s="97">
        <v>1</v>
      </c>
      <c r="O63" s="97">
        <v>17.810392</v>
      </c>
      <c r="P63" s="96"/>
      <c r="Q63" s="96"/>
      <c r="R63" s="98">
        <v>3.0000000000000001E-5</v>
      </c>
      <c r="S63" s="98">
        <v>9.0000000000000002E-6</v>
      </c>
      <c r="T63" s="106"/>
    </row>
    <row r="64" spans="1:20" ht="15" customHeight="1">
      <c r="A64" s="106"/>
      <c r="B64" s="96">
        <v>286</v>
      </c>
      <c r="C64" s="96">
        <v>286</v>
      </c>
      <c r="D64" s="96" t="s">
        <v>1579</v>
      </c>
      <c r="E64" s="96" t="s">
        <v>1580</v>
      </c>
      <c r="F64" s="96" t="s">
        <v>3754</v>
      </c>
      <c r="G64" s="96" t="s">
        <v>203</v>
      </c>
      <c r="H64" s="96" t="s">
        <v>203</v>
      </c>
      <c r="I64" s="96" t="s">
        <v>338</v>
      </c>
      <c r="J64" s="100">
        <v>44398</v>
      </c>
      <c r="K64" s="96" t="s">
        <v>1200</v>
      </c>
      <c r="L64" s="100"/>
      <c r="M64" s="97">
        <v>33.828086999999996</v>
      </c>
      <c r="N64" s="97">
        <v>1</v>
      </c>
      <c r="O64" s="97">
        <v>33.828086999999996</v>
      </c>
      <c r="P64" s="96"/>
      <c r="Q64" s="96"/>
      <c r="R64" s="98">
        <v>1.26E-4</v>
      </c>
      <c r="S64" s="98">
        <v>1.7E-5</v>
      </c>
      <c r="T64" s="106"/>
    </row>
    <row r="65" spans="1:20" ht="15" customHeight="1">
      <c r="A65" s="106"/>
      <c r="B65" s="96">
        <v>286</v>
      </c>
      <c r="C65" s="96">
        <v>286</v>
      </c>
      <c r="D65" s="96" t="s">
        <v>2837</v>
      </c>
      <c r="E65" s="96" t="s">
        <v>2838</v>
      </c>
      <c r="F65" s="96" t="s">
        <v>1035</v>
      </c>
      <c r="G65" s="96" t="s">
        <v>204</v>
      </c>
      <c r="H65" s="96" t="s">
        <v>223</v>
      </c>
      <c r="I65" s="96" t="s">
        <v>338</v>
      </c>
      <c r="J65" s="100"/>
      <c r="K65" s="96" t="s">
        <v>1201</v>
      </c>
      <c r="L65" s="100"/>
      <c r="M65" s="97">
        <v>1.9857070000000001</v>
      </c>
      <c r="N65" s="97">
        <v>3.7589999999999999</v>
      </c>
      <c r="O65" s="97">
        <v>7.4642739999999996</v>
      </c>
      <c r="P65" s="96"/>
      <c r="Q65" s="96"/>
      <c r="R65" s="98">
        <v>1.2999999999999999E-5</v>
      </c>
      <c r="S65" s="98">
        <v>3.0000000000000001E-6</v>
      </c>
      <c r="T65" s="106"/>
    </row>
    <row r="66" spans="1:20" ht="15" customHeight="1">
      <c r="A66" s="106"/>
      <c r="B66" s="96">
        <v>286</v>
      </c>
      <c r="C66" s="96">
        <v>286</v>
      </c>
      <c r="D66" s="96" t="s">
        <v>2923</v>
      </c>
      <c r="E66" s="96" t="s">
        <v>2479</v>
      </c>
      <c r="F66" s="96" t="s">
        <v>1035</v>
      </c>
      <c r="G66" s="96" t="s">
        <v>204</v>
      </c>
      <c r="H66" s="96" t="s">
        <v>203</v>
      </c>
      <c r="I66" s="96" t="s">
        <v>338</v>
      </c>
      <c r="J66" s="100"/>
      <c r="K66" s="96" t="s">
        <v>1201</v>
      </c>
      <c r="L66" s="100"/>
      <c r="M66" s="97">
        <v>2.2064E-2</v>
      </c>
      <c r="N66" s="97">
        <v>3.7589999999999999</v>
      </c>
      <c r="O66" s="97">
        <v>8.294E-2</v>
      </c>
      <c r="P66" s="96"/>
      <c r="Q66" s="96"/>
      <c r="R66" s="98">
        <v>0</v>
      </c>
      <c r="S66" s="98">
        <v>0</v>
      </c>
      <c r="T66" s="106"/>
    </row>
    <row r="67" spans="1:20" ht="15" customHeight="1">
      <c r="A67" s="106"/>
      <c r="B67" s="96">
        <v>286</v>
      </c>
      <c r="C67" s="96">
        <v>286</v>
      </c>
      <c r="D67" s="96" t="s">
        <v>3210</v>
      </c>
      <c r="E67" s="96" t="s">
        <v>3211</v>
      </c>
      <c r="F67" s="96" t="s">
        <v>1035</v>
      </c>
      <c r="G67" s="96" t="s">
        <v>204</v>
      </c>
      <c r="H67" s="96" t="s">
        <v>243</v>
      </c>
      <c r="I67" s="96" t="s">
        <v>338</v>
      </c>
      <c r="J67" s="100"/>
      <c r="K67" s="96" t="s">
        <v>1201</v>
      </c>
      <c r="L67" s="100"/>
      <c r="M67" s="97">
        <v>23.236522000000001</v>
      </c>
      <c r="N67" s="97">
        <v>3.7589999999999999</v>
      </c>
      <c r="O67" s="97">
        <v>87.346087999999995</v>
      </c>
      <c r="P67" s="96"/>
      <c r="Q67" s="96"/>
      <c r="R67" s="98">
        <v>5.5000000000000003E-4</v>
      </c>
      <c r="S67" s="98">
        <v>4.5000000000000003E-5</v>
      </c>
      <c r="T67" s="106"/>
    </row>
    <row r="68" spans="1:20" ht="15" customHeight="1">
      <c r="A68" s="106"/>
      <c r="B68" s="96">
        <v>286</v>
      </c>
      <c r="C68" s="96">
        <v>286</v>
      </c>
      <c r="D68" s="96" t="s">
        <v>2959</v>
      </c>
      <c r="E68" s="96" t="s">
        <v>2960</v>
      </c>
      <c r="F68" s="96" t="s">
        <v>1035</v>
      </c>
      <c r="G68" s="96" t="s">
        <v>204</v>
      </c>
      <c r="H68" s="96" t="s">
        <v>223</v>
      </c>
      <c r="I68" s="96" t="s">
        <v>338</v>
      </c>
      <c r="J68" s="100"/>
      <c r="K68" s="96" t="s">
        <v>1201</v>
      </c>
      <c r="L68" s="100"/>
      <c r="M68" s="97">
        <v>0.83494400000000002</v>
      </c>
      <c r="N68" s="97">
        <v>3.7589999999999999</v>
      </c>
      <c r="O68" s="97">
        <v>3.1385550000000002</v>
      </c>
      <c r="P68" s="96"/>
      <c r="Q68" s="96"/>
      <c r="R68" s="98">
        <v>5.0000000000000004E-6</v>
      </c>
      <c r="S68" s="98">
        <v>9.9999999999999995E-7</v>
      </c>
      <c r="T68" s="106"/>
    </row>
    <row r="69" spans="1:20" ht="15" customHeight="1">
      <c r="A69" s="106"/>
      <c r="B69" s="96">
        <v>286</v>
      </c>
      <c r="C69" s="96">
        <v>286</v>
      </c>
      <c r="D69" s="96" t="s">
        <v>3006</v>
      </c>
      <c r="E69" s="96" t="s">
        <v>3007</v>
      </c>
      <c r="F69" s="96" t="s">
        <v>1035</v>
      </c>
      <c r="G69" s="96" t="s">
        <v>204</v>
      </c>
      <c r="H69" s="96" t="s">
        <v>248</v>
      </c>
      <c r="I69" s="96" t="s">
        <v>338</v>
      </c>
      <c r="J69" s="100"/>
      <c r="K69" s="96" t="s">
        <v>1201</v>
      </c>
      <c r="L69" s="100"/>
      <c r="M69" s="97">
        <v>6.3030689999999998</v>
      </c>
      <c r="N69" s="97">
        <v>3.7589999999999999</v>
      </c>
      <c r="O69" s="97">
        <v>23.693237</v>
      </c>
      <c r="P69" s="96"/>
      <c r="Q69" s="96"/>
      <c r="R69" s="98">
        <v>4.1999999999999998E-5</v>
      </c>
      <c r="S69" s="98">
        <v>1.1E-5</v>
      </c>
      <c r="T69" s="106"/>
    </row>
    <row r="70" spans="1:20" ht="15" customHeight="1">
      <c r="A70" s="106"/>
      <c r="B70" s="96">
        <v>286</v>
      </c>
      <c r="C70" s="96">
        <v>286</v>
      </c>
      <c r="D70" s="96" t="s">
        <v>2937</v>
      </c>
      <c r="E70" s="96" t="s">
        <v>2938</v>
      </c>
      <c r="F70" s="96" t="s">
        <v>1035</v>
      </c>
      <c r="G70" s="96" t="s">
        <v>204</v>
      </c>
      <c r="H70" s="96" t="s">
        <v>223</v>
      </c>
      <c r="I70" s="96" t="s">
        <v>338</v>
      </c>
      <c r="J70" s="100"/>
      <c r="K70" s="96" t="s">
        <v>1201</v>
      </c>
      <c r="L70" s="100"/>
      <c r="M70" s="97">
        <v>4.4225450000000004</v>
      </c>
      <c r="N70" s="97">
        <v>3.7589999999999999</v>
      </c>
      <c r="O70" s="97">
        <v>16.624347</v>
      </c>
      <c r="P70" s="96"/>
      <c r="Q70" s="96"/>
      <c r="R70" s="98">
        <v>2.9E-5</v>
      </c>
      <c r="S70" s="98">
        <v>7.9999999999999996E-6</v>
      </c>
      <c r="T70" s="106"/>
    </row>
    <row r="71" spans="1:20" ht="15" customHeight="1">
      <c r="A71" s="106"/>
      <c r="B71" s="96">
        <v>286</v>
      </c>
      <c r="C71" s="96">
        <v>286</v>
      </c>
      <c r="D71" s="96" t="s">
        <v>3170</v>
      </c>
      <c r="E71" s="96" t="s">
        <v>3171</v>
      </c>
      <c r="F71" s="96" t="s">
        <v>1035</v>
      </c>
      <c r="G71" s="96" t="s">
        <v>204</v>
      </c>
      <c r="H71" s="96" t="s">
        <v>223</v>
      </c>
      <c r="I71" s="96" t="s">
        <v>338</v>
      </c>
      <c r="J71" s="100"/>
      <c r="K71" s="96" t="s">
        <v>1201</v>
      </c>
      <c r="L71" s="100"/>
      <c r="M71" s="97">
        <v>1.706801</v>
      </c>
      <c r="N71" s="97">
        <v>3.7589999999999999</v>
      </c>
      <c r="O71" s="97">
        <v>6.4158689999999998</v>
      </c>
      <c r="P71" s="96"/>
      <c r="Q71" s="96"/>
      <c r="R71" s="98">
        <v>3.8999999999999999E-5</v>
      </c>
      <c r="S71" s="98">
        <v>3.0000000000000001E-6</v>
      </c>
      <c r="T71" s="106"/>
    </row>
    <row r="72" spans="1:20" ht="15" customHeight="1">
      <c r="A72" s="106"/>
      <c r="B72" s="96">
        <v>286</v>
      </c>
      <c r="C72" s="96">
        <v>286</v>
      </c>
      <c r="D72" s="96" t="s">
        <v>3010</v>
      </c>
      <c r="E72" s="96" t="s">
        <v>3011</v>
      </c>
      <c r="F72" s="96" t="s">
        <v>1035</v>
      </c>
      <c r="G72" s="96" t="s">
        <v>204</v>
      </c>
      <c r="H72" s="96" t="s">
        <v>223</v>
      </c>
      <c r="I72" s="96" t="s">
        <v>338</v>
      </c>
      <c r="J72" s="100"/>
      <c r="K72" s="96" t="s">
        <v>1201</v>
      </c>
      <c r="L72" s="100"/>
      <c r="M72" s="97">
        <v>1.351299</v>
      </c>
      <c r="N72" s="97">
        <v>3.7589999999999999</v>
      </c>
      <c r="O72" s="97">
        <v>5.0795349999999999</v>
      </c>
      <c r="P72" s="96"/>
      <c r="Q72" s="96"/>
      <c r="R72" s="98">
        <v>9.0000000000000002E-6</v>
      </c>
      <c r="S72" s="98">
        <v>1.9999999999999999E-6</v>
      </c>
      <c r="T72" s="106"/>
    </row>
    <row r="73" spans="1:20" ht="15" customHeight="1">
      <c r="A73" s="106"/>
      <c r="B73" s="96">
        <v>286</v>
      </c>
      <c r="C73" s="96">
        <v>286</v>
      </c>
      <c r="D73" s="96" t="s">
        <v>2777</v>
      </c>
      <c r="E73" s="96" t="s">
        <v>2778</v>
      </c>
      <c r="F73" s="96" t="s">
        <v>1035</v>
      </c>
      <c r="G73" s="96" t="s">
        <v>204</v>
      </c>
      <c r="H73" s="96" t="s">
        <v>281</v>
      </c>
      <c r="I73" s="96" t="s">
        <v>338</v>
      </c>
      <c r="J73" s="100"/>
      <c r="K73" s="96" t="s">
        <v>1201</v>
      </c>
      <c r="L73" s="100"/>
      <c r="M73" s="97">
        <v>4.7953749999999999</v>
      </c>
      <c r="N73" s="97">
        <v>3.7589999999999999</v>
      </c>
      <c r="O73" s="97">
        <v>18.025815000000001</v>
      </c>
      <c r="P73" s="96"/>
      <c r="Q73" s="96"/>
      <c r="R73" s="98">
        <v>3.1999999999999999E-5</v>
      </c>
      <c r="S73" s="98">
        <v>9.0000000000000002E-6</v>
      </c>
      <c r="T73" s="106"/>
    </row>
    <row r="74" spans="1:20" ht="15" customHeight="1">
      <c r="A74" s="106"/>
      <c r="B74" s="96">
        <v>286</v>
      </c>
      <c r="C74" s="96">
        <v>286</v>
      </c>
      <c r="D74" s="96" t="s">
        <v>3757</v>
      </c>
      <c r="E74" s="96" t="s">
        <v>3758</v>
      </c>
      <c r="F74" s="96" t="s">
        <v>1040</v>
      </c>
      <c r="G74" s="96" t="s">
        <v>204</v>
      </c>
      <c r="H74" s="96" t="s">
        <v>284</v>
      </c>
      <c r="I74" s="96" t="s">
        <v>338</v>
      </c>
      <c r="J74" s="100">
        <v>41521</v>
      </c>
      <c r="K74" s="96" t="s">
        <v>3759</v>
      </c>
      <c r="L74" s="100">
        <v>45154</v>
      </c>
      <c r="M74" s="97">
        <v>12265.468165</v>
      </c>
      <c r="N74" s="97">
        <v>4.3999999999999997E-2</v>
      </c>
      <c r="O74" s="97">
        <v>539.80325300000004</v>
      </c>
      <c r="P74" s="96"/>
      <c r="Q74" s="96"/>
      <c r="R74" s="98">
        <v>0.78588800000000003</v>
      </c>
      <c r="S74" s="98">
        <v>2.81E-4</v>
      </c>
      <c r="T74" s="106"/>
    </row>
    <row r="75" spans="1:20" ht="15" customHeight="1">
      <c r="A75" s="106"/>
      <c r="B75" s="96">
        <v>286</v>
      </c>
      <c r="C75" s="96">
        <v>286</v>
      </c>
      <c r="D75" s="96" t="s">
        <v>2841</v>
      </c>
      <c r="E75" s="96" t="s">
        <v>2842</v>
      </c>
      <c r="F75" s="96" t="s">
        <v>1035</v>
      </c>
      <c r="G75" s="96" t="s">
        <v>204</v>
      </c>
      <c r="H75" s="96" t="s">
        <v>223</v>
      </c>
      <c r="I75" s="96" t="s">
        <v>338</v>
      </c>
      <c r="J75" s="100"/>
      <c r="K75" s="96" t="s">
        <v>1201</v>
      </c>
      <c r="L75" s="100"/>
      <c r="M75" s="97">
        <v>10.425770999999999</v>
      </c>
      <c r="N75" s="97">
        <v>3.7589999999999999</v>
      </c>
      <c r="O75" s="97">
        <v>39.190475999999997</v>
      </c>
      <c r="P75" s="96"/>
      <c r="Q75" s="96"/>
      <c r="R75" s="98">
        <v>6.9999999999999994E-5</v>
      </c>
      <c r="S75" s="98">
        <v>2.0000000000000002E-5</v>
      </c>
      <c r="T75" s="106"/>
    </row>
    <row r="76" spans="1:20" ht="15" customHeight="1">
      <c r="A76" s="106"/>
      <c r="B76" s="96">
        <v>286</v>
      </c>
      <c r="C76" s="96">
        <v>9803</v>
      </c>
      <c r="D76" s="96" t="s">
        <v>2733</v>
      </c>
      <c r="E76" s="96" t="s">
        <v>2734</v>
      </c>
      <c r="F76" s="96" t="s">
        <v>1035</v>
      </c>
      <c r="G76" s="96" t="s">
        <v>203</v>
      </c>
      <c r="H76" s="96" t="s">
        <v>203</v>
      </c>
      <c r="I76" s="96" t="s">
        <v>338</v>
      </c>
      <c r="J76" s="100"/>
      <c r="K76" s="96" t="s">
        <v>1200</v>
      </c>
      <c r="L76" s="100"/>
      <c r="M76" s="97">
        <v>5.7920000000000003E-3</v>
      </c>
      <c r="N76" s="97">
        <v>1</v>
      </c>
      <c r="O76" s="97">
        <v>5.7920000000000003E-3</v>
      </c>
      <c r="P76" s="96"/>
      <c r="Q76" s="96"/>
      <c r="R76" s="98">
        <v>1.9999999999999999E-6</v>
      </c>
      <c r="S76" s="98">
        <v>0</v>
      </c>
      <c r="T76" s="106"/>
    </row>
    <row r="77" spans="1:20" ht="15" customHeight="1">
      <c r="A77" s="106"/>
      <c r="B77" s="96">
        <v>286</v>
      </c>
      <c r="C77" s="96">
        <v>9803</v>
      </c>
      <c r="D77" s="96" t="s">
        <v>2037</v>
      </c>
      <c r="E77" s="96" t="s">
        <v>2038</v>
      </c>
      <c r="F77" s="96" t="s">
        <v>3754</v>
      </c>
      <c r="G77" s="96" t="s">
        <v>203</v>
      </c>
      <c r="H77" s="96" t="s">
        <v>203</v>
      </c>
      <c r="I77" s="96" t="s">
        <v>337</v>
      </c>
      <c r="J77" s="100">
        <v>42639</v>
      </c>
      <c r="K77" s="96" t="s">
        <v>1200</v>
      </c>
      <c r="L77" s="100"/>
      <c r="M77" s="97">
        <v>0.19147500000000001</v>
      </c>
      <c r="N77" s="97">
        <v>1</v>
      </c>
      <c r="O77" s="97">
        <v>0.19147500000000001</v>
      </c>
      <c r="P77" s="96"/>
      <c r="Q77" s="96"/>
      <c r="R77" s="98">
        <v>2.9E-5</v>
      </c>
      <c r="S77" s="98">
        <v>1.1E-5</v>
      </c>
      <c r="T77" s="106"/>
    </row>
    <row r="78" spans="1:20" ht="15" customHeight="1">
      <c r="A78" s="106"/>
      <c r="B78" s="96">
        <v>286</v>
      </c>
      <c r="C78" s="96">
        <v>9803</v>
      </c>
      <c r="D78" s="96" t="s">
        <v>1920</v>
      </c>
      <c r="E78" s="96" t="s">
        <v>1921</v>
      </c>
      <c r="F78" s="96" t="s">
        <v>3754</v>
      </c>
      <c r="G78" s="96" t="s">
        <v>203</v>
      </c>
      <c r="H78" s="96" t="s">
        <v>203</v>
      </c>
      <c r="I78" s="96" t="s">
        <v>338</v>
      </c>
      <c r="J78" s="100">
        <v>44004</v>
      </c>
      <c r="K78" s="96" t="s">
        <v>1200</v>
      </c>
      <c r="L78" s="100"/>
      <c r="M78" s="97">
        <v>0.66843600000000003</v>
      </c>
      <c r="N78" s="97">
        <v>1</v>
      </c>
      <c r="O78" s="97">
        <v>0.66843600000000003</v>
      </c>
      <c r="P78" s="96"/>
      <c r="Q78" s="96"/>
      <c r="R78" s="98">
        <v>1.03E-4</v>
      </c>
      <c r="S78" s="98">
        <v>4.0000000000000003E-5</v>
      </c>
      <c r="T78" s="106"/>
    </row>
    <row r="79" spans="1:20" ht="15" customHeight="1">
      <c r="A79" s="106"/>
      <c r="B79" s="96">
        <v>286</v>
      </c>
      <c r="C79" s="96">
        <v>9803</v>
      </c>
      <c r="D79" s="96" t="s">
        <v>2478</v>
      </c>
      <c r="E79" s="96" t="s">
        <v>2479</v>
      </c>
      <c r="F79" s="96" t="s">
        <v>1035</v>
      </c>
      <c r="G79" s="96" t="s">
        <v>203</v>
      </c>
      <c r="H79" s="96" t="s">
        <v>203</v>
      </c>
      <c r="I79" s="96" t="s">
        <v>338</v>
      </c>
      <c r="J79" s="100"/>
      <c r="K79" s="96" t="s">
        <v>1200</v>
      </c>
      <c r="L79" s="100"/>
      <c r="M79" s="97">
        <v>0.19098599999999999</v>
      </c>
      <c r="N79" s="97">
        <v>1</v>
      </c>
      <c r="O79" s="97">
        <v>0.19098599999999999</v>
      </c>
      <c r="P79" s="96"/>
      <c r="Q79" s="96"/>
      <c r="R79" s="98">
        <v>8.2999999999999998E-5</v>
      </c>
      <c r="S79" s="98">
        <v>1.1E-5</v>
      </c>
      <c r="T79" s="106"/>
    </row>
    <row r="80" spans="1:20" ht="15" customHeight="1">
      <c r="A80" s="106"/>
      <c r="B80" s="96">
        <v>286</v>
      </c>
      <c r="C80" s="96">
        <v>9803</v>
      </c>
      <c r="D80" s="96" t="s">
        <v>2749</v>
      </c>
      <c r="E80" s="96" t="s">
        <v>2750</v>
      </c>
      <c r="F80" s="96" t="s">
        <v>1035</v>
      </c>
      <c r="G80" s="96" t="s">
        <v>203</v>
      </c>
      <c r="H80" s="96" t="s">
        <v>203</v>
      </c>
      <c r="I80" s="96" t="s">
        <v>337</v>
      </c>
      <c r="J80" s="100"/>
      <c r="K80" s="96" t="s">
        <v>1200</v>
      </c>
      <c r="L80" s="100"/>
      <c r="M80" s="97">
        <v>0.106374</v>
      </c>
      <c r="N80" s="97">
        <v>1</v>
      </c>
      <c r="O80" s="97">
        <v>0.106374</v>
      </c>
      <c r="P80" s="96"/>
      <c r="Q80" s="96"/>
      <c r="R80" s="98">
        <v>4.6E-5</v>
      </c>
      <c r="S80" s="98">
        <v>6.0000000000000002E-6</v>
      </c>
      <c r="T80" s="106"/>
    </row>
    <row r="81" spans="1:20" ht="15" customHeight="1">
      <c r="A81" s="106"/>
      <c r="B81" s="96">
        <v>286</v>
      </c>
      <c r="C81" s="96">
        <v>9803</v>
      </c>
      <c r="D81" s="96" t="s">
        <v>1588</v>
      </c>
      <c r="E81" s="96" t="s">
        <v>1589</v>
      </c>
      <c r="F81" s="96" t="s">
        <v>3754</v>
      </c>
      <c r="G81" s="96" t="s">
        <v>203</v>
      </c>
      <c r="H81" s="96" t="s">
        <v>203</v>
      </c>
      <c r="I81" s="96" t="s">
        <v>337</v>
      </c>
      <c r="J81" s="100">
        <v>45012</v>
      </c>
      <c r="K81" s="96" t="s">
        <v>1200</v>
      </c>
      <c r="L81" s="100"/>
      <c r="M81" s="97">
        <v>0.776752</v>
      </c>
      <c r="N81" s="97">
        <v>1</v>
      </c>
      <c r="O81" s="97">
        <v>0.776752</v>
      </c>
      <c r="P81" s="96"/>
      <c r="Q81" s="96"/>
      <c r="R81" s="98">
        <v>1.2E-4</v>
      </c>
      <c r="S81" s="98">
        <v>4.6E-5</v>
      </c>
      <c r="T81" s="106"/>
    </row>
    <row r="82" spans="1:20" ht="15" customHeight="1">
      <c r="A82" s="106"/>
      <c r="B82" s="96">
        <v>286</v>
      </c>
      <c r="C82" s="96">
        <v>9803</v>
      </c>
      <c r="D82" s="96" t="s">
        <v>1299</v>
      </c>
      <c r="E82" s="96" t="s">
        <v>1300</v>
      </c>
      <c r="F82" s="96" t="s">
        <v>3754</v>
      </c>
      <c r="G82" s="96" t="s">
        <v>203</v>
      </c>
      <c r="H82" s="96" t="s">
        <v>203</v>
      </c>
      <c r="I82" s="96" t="s">
        <v>338</v>
      </c>
      <c r="J82" s="100">
        <v>42558</v>
      </c>
      <c r="K82" s="96" t="s">
        <v>1200</v>
      </c>
      <c r="L82" s="100"/>
      <c r="M82" s="97">
        <v>0.51737599999999995</v>
      </c>
      <c r="N82" s="97">
        <v>1</v>
      </c>
      <c r="O82" s="97">
        <v>0.51737599999999995</v>
      </c>
      <c r="P82" s="96"/>
      <c r="Q82" s="96"/>
      <c r="R82" s="98">
        <v>8.0000000000000007E-5</v>
      </c>
      <c r="S82" s="98">
        <v>3.1000000000000001E-5</v>
      </c>
      <c r="T82" s="106"/>
    </row>
    <row r="83" spans="1:20" ht="15" customHeight="1">
      <c r="A83" s="106"/>
      <c r="B83" s="96">
        <v>286</v>
      </c>
      <c r="C83" s="96">
        <v>9803</v>
      </c>
      <c r="D83" s="96" t="s">
        <v>1840</v>
      </c>
      <c r="E83" s="96" t="s">
        <v>1841</v>
      </c>
      <c r="F83" s="96" t="s">
        <v>3754</v>
      </c>
      <c r="G83" s="96" t="s">
        <v>203</v>
      </c>
      <c r="H83" s="96" t="s">
        <v>203</v>
      </c>
      <c r="I83" s="96" t="s">
        <v>337</v>
      </c>
      <c r="J83" s="100">
        <v>44425</v>
      </c>
      <c r="K83" s="96" t="s">
        <v>1200</v>
      </c>
      <c r="L83" s="100"/>
      <c r="M83" s="97">
        <v>4.7317999999999999E-2</v>
      </c>
      <c r="N83" s="97">
        <v>1</v>
      </c>
      <c r="O83" s="97">
        <v>4.7317999999999999E-2</v>
      </c>
      <c r="P83" s="96"/>
      <c r="Q83" s="96"/>
      <c r="R83" s="98">
        <v>6.9999999999999999E-6</v>
      </c>
      <c r="S83" s="98">
        <v>1.9999999999999999E-6</v>
      </c>
      <c r="T83" s="106"/>
    </row>
    <row r="84" spans="1:20" ht="15" customHeight="1">
      <c r="A84" s="106"/>
      <c r="B84" s="96">
        <v>286</v>
      </c>
      <c r="C84" s="96">
        <v>9803</v>
      </c>
      <c r="D84" s="96" t="s">
        <v>2583</v>
      </c>
      <c r="E84" s="96" t="s">
        <v>2584</v>
      </c>
      <c r="F84" s="96" t="s">
        <v>1035</v>
      </c>
      <c r="G84" s="96" t="s">
        <v>203</v>
      </c>
      <c r="H84" s="96" t="s">
        <v>203</v>
      </c>
      <c r="I84" s="96" t="s">
        <v>338</v>
      </c>
      <c r="J84" s="100"/>
      <c r="K84" s="96" t="s">
        <v>1200</v>
      </c>
      <c r="L84" s="100"/>
      <c r="M84" s="97">
        <v>9.1495000000000007E-2</v>
      </c>
      <c r="N84" s="97">
        <v>1</v>
      </c>
      <c r="O84" s="97">
        <v>9.1495000000000007E-2</v>
      </c>
      <c r="P84" s="96"/>
      <c r="Q84" s="96"/>
      <c r="R84" s="98">
        <v>4.0000000000000003E-5</v>
      </c>
      <c r="S84" s="98">
        <v>5.0000000000000004E-6</v>
      </c>
      <c r="T84" s="106"/>
    </row>
    <row r="85" spans="1:20" ht="15" customHeight="1">
      <c r="A85" s="106"/>
      <c r="B85" s="96">
        <v>286</v>
      </c>
      <c r="C85" s="96">
        <v>9803</v>
      </c>
      <c r="D85" s="96" t="s">
        <v>1661</v>
      </c>
      <c r="E85" s="96" t="s">
        <v>1662</v>
      </c>
      <c r="F85" s="96" t="s">
        <v>3754</v>
      </c>
      <c r="G85" s="96" t="s">
        <v>203</v>
      </c>
      <c r="H85" s="96" t="s">
        <v>203</v>
      </c>
      <c r="I85" s="96" t="s">
        <v>338</v>
      </c>
      <c r="J85" s="100">
        <v>41850</v>
      </c>
      <c r="K85" s="96" t="s">
        <v>1200</v>
      </c>
      <c r="L85" s="100"/>
      <c r="M85" s="97">
        <v>2.0352869999999998</v>
      </c>
      <c r="N85" s="97">
        <v>1</v>
      </c>
      <c r="O85" s="97">
        <v>2.0352869999999998</v>
      </c>
      <c r="P85" s="96"/>
      <c r="Q85" s="96"/>
      <c r="R85" s="98">
        <v>3.1599999999999998E-4</v>
      </c>
      <c r="S85" s="98">
        <v>1.22E-4</v>
      </c>
      <c r="T85" s="106"/>
    </row>
    <row r="86" spans="1:20" ht="15" customHeight="1">
      <c r="A86" s="106"/>
      <c r="B86" s="96">
        <v>286</v>
      </c>
      <c r="C86" s="96">
        <v>9803</v>
      </c>
      <c r="D86" s="96" t="s">
        <v>1990</v>
      </c>
      <c r="E86" s="96" t="s">
        <v>1991</v>
      </c>
      <c r="F86" s="96" t="s">
        <v>3754</v>
      </c>
      <c r="G86" s="96" t="s">
        <v>203</v>
      </c>
      <c r="H86" s="96" t="s">
        <v>203</v>
      </c>
      <c r="I86" s="96" t="s">
        <v>338</v>
      </c>
      <c r="J86" s="100">
        <v>44398</v>
      </c>
      <c r="K86" s="96" t="s">
        <v>1200</v>
      </c>
      <c r="L86" s="100"/>
      <c r="M86" s="97">
        <v>0.32581900000000003</v>
      </c>
      <c r="N86" s="97">
        <v>1</v>
      </c>
      <c r="O86" s="97">
        <v>0.32581900000000003</v>
      </c>
      <c r="P86" s="96"/>
      <c r="Q86" s="96"/>
      <c r="R86" s="98">
        <v>5.0000000000000002E-5</v>
      </c>
      <c r="S86" s="98">
        <v>1.9000000000000001E-5</v>
      </c>
      <c r="T86" s="106"/>
    </row>
    <row r="87" spans="1:20" ht="15" customHeight="1">
      <c r="A87" s="106"/>
      <c r="B87" s="96">
        <v>286</v>
      </c>
      <c r="C87" s="96">
        <v>9803</v>
      </c>
      <c r="D87" s="96" t="s">
        <v>2724</v>
      </c>
      <c r="E87" s="96" t="s">
        <v>2725</v>
      </c>
      <c r="F87" s="96" t="s">
        <v>1035</v>
      </c>
      <c r="G87" s="96" t="s">
        <v>203</v>
      </c>
      <c r="H87" s="96" t="s">
        <v>203</v>
      </c>
      <c r="I87" s="96" t="s">
        <v>338</v>
      </c>
      <c r="J87" s="100"/>
      <c r="K87" s="96" t="s">
        <v>1200</v>
      </c>
      <c r="L87" s="100"/>
      <c r="M87" s="97">
        <v>4.7715E-2</v>
      </c>
      <c r="N87" s="97">
        <v>1</v>
      </c>
      <c r="O87" s="97">
        <v>4.7715E-2</v>
      </c>
      <c r="P87" s="96"/>
      <c r="Q87" s="96"/>
      <c r="R87" s="98">
        <v>2.0000000000000002E-5</v>
      </c>
      <c r="S87" s="98">
        <v>1.9999999999999999E-6</v>
      </c>
      <c r="T87" s="106"/>
    </row>
    <row r="88" spans="1:20" ht="15" customHeight="1">
      <c r="A88" s="106"/>
      <c r="B88" s="96">
        <v>286</v>
      </c>
      <c r="C88" s="96">
        <v>9803</v>
      </c>
      <c r="D88" s="96" t="s">
        <v>2542</v>
      </c>
      <c r="E88" s="96" t="s">
        <v>2543</v>
      </c>
      <c r="F88" s="96" t="s">
        <v>1035</v>
      </c>
      <c r="G88" s="96" t="s">
        <v>203</v>
      </c>
      <c r="H88" s="96" t="s">
        <v>203</v>
      </c>
      <c r="I88" s="96" t="s">
        <v>337</v>
      </c>
      <c r="J88" s="100"/>
      <c r="K88" s="96" t="s">
        <v>1200</v>
      </c>
      <c r="L88" s="100"/>
      <c r="M88" s="97">
        <v>1.0265569999999999</v>
      </c>
      <c r="N88" s="97">
        <v>1</v>
      </c>
      <c r="O88" s="97">
        <v>1.0265569999999999</v>
      </c>
      <c r="P88" s="96"/>
      <c r="Q88" s="96"/>
      <c r="R88" s="98">
        <v>4.4799999999999999E-4</v>
      </c>
      <c r="S88" s="98">
        <v>6.0000000000000002E-5</v>
      </c>
      <c r="T88" s="106"/>
    </row>
    <row r="89" spans="1:20" ht="15" customHeight="1">
      <c r="A89" s="106"/>
      <c r="B89" s="96">
        <v>286</v>
      </c>
      <c r="C89" s="96">
        <v>9803</v>
      </c>
      <c r="D89" s="96" t="s">
        <v>1485</v>
      </c>
      <c r="E89" s="96" t="s">
        <v>1486</v>
      </c>
      <c r="F89" s="96" t="s">
        <v>3754</v>
      </c>
      <c r="G89" s="96" t="s">
        <v>203</v>
      </c>
      <c r="H89" s="96" t="s">
        <v>203</v>
      </c>
      <c r="I89" s="96" t="s">
        <v>338</v>
      </c>
      <c r="J89" s="100">
        <v>44012</v>
      </c>
      <c r="K89" s="96" t="s">
        <v>1200</v>
      </c>
      <c r="L89" s="100"/>
      <c r="M89" s="97">
        <v>9.1400999999999996E-2</v>
      </c>
      <c r="N89" s="97">
        <v>1</v>
      </c>
      <c r="O89" s="97">
        <v>9.1400999999999996E-2</v>
      </c>
      <c r="P89" s="96"/>
      <c r="Q89" s="96"/>
      <c r="R89" s="98">
        <v>1.4E-5</v>
      </c>
      <c r="S89" s="98">
        <v>5.0000000000000004E-6</v>
      </c>
      <c r="T89" s="106"/>
    </row>
    <row r="90" spans="1:20" ht="15" customHeight="1">
      <c r="A90" s="106"/>
      <c r="B90" s="96">
        <v>286</v>
      </c>
      <c r="C90" s="96">
        <v>9803</v>
      </c>
      <c r="D90" s="96" t="s">
        <v>1670</v>
      </c>
      <c r="E90" s="96" t="s">
        <v>1671</v>
      </c>
      <c r="F90" s="96" t="s">
        <v>3754</v>
      </c>
      <c r="G90" s="96" t="s">
        <v>203</v>
      </c>
      <c r="H90" s="96" t="s">
        <v>203</v>
      </c>
      <c r="I90" s="96" t="s">
        <v>338</v>
      </c>
      <c r="J90" s="100">
        <v>44743</v>
      </c>
      <c r="K90" s="96" t="s">
        <v>1200</v>
      </c>
      <c r="L90" s="100"/>
      <c r="M90" s="97">
        <v>3.2820000000000002E-2</v>
      </c>
      <c r="N90" s="97">
        <v>1</v>
      </c>
      <c r="O90" s="97">
        <v>3.2820000000000002E-2</v>
      </c>
      <c r="P90" s="96"/>
      <c r="Q90" s="96"/>
      <c r="R90" s="98">
        <v>5.0000000000000004E-6</v>
      </c>
      <c r="S90" s="98">
        <v>9.9999999999999995E-7</v>
      </c>
      <c r="T90" s="106"/>
    </row>
    <row r="91" spans="1:20" ht="15" customHeight="1">
      <c r="A91" s="106"/>
      <c r="B91" s="96">
        <v>286</v>
      </c>
      <c r="C91" s="96">
        <v>9803</v>
      </c>
      <c r="D91" s="96" t="s">
        <v>1453</v>
      </c>
      <c r="E91" s="96" t="s">
        <v>1454</v>
      </c>
      <c r="F91" s="96" t="s">
        <v>3754</v>
      </c>
      <c r="G91" s="96" t="s">
        <v>203</v>
      </c>
      <c r="H91" s="96" t="s">
        <v>203</v>
      </c>
      <c r="I91" s="96" t="s">
        <v>337</v>
      </c>
      <c r="J91" s="100">
        <v>44262</v>
      </c>
      <c r="K91" s="96" t="s">
        <v>1200</v>
      </c>
      <c r="L91" s="100"/>
      <c r="M91" s="97">
        <v>0.10018299999999999</v>
      </c>
      <c r="N91" s="97">
        <v>1</v>
      </c>
      <c r="O91" s="97">
        <v>0.10018299999999999</v>
      </c>
      <c r="P91" s="96"/>
      <c r="Q91" s="96"/>
      <c r="R91" s="98">
        <v>1.5E-5</v>
      </c>
      <c r="S91" s="98">
        <v>6.0000000000000002E-6</v>
      </c>
      <c r="T91" s="106"/>
    </row>
    <row r="92" spans="1:20" ht="15" customHeight="1">
      <c r="A92" s="106"/>
      <c r="B92" s="96">
        <v>286</v>
      </c>
      <c r="C92" s="96">
        <v>9803</v>
      </c>
      <c r="D92" s="96" t="s">
        <v>1753</v>
      </c>
      <c r="E92" s="96" t="s">
        <v>1754</v>
      </c>
      <c r="F92" s="96" t="s">
        <v>3754</v>
      </c>
      <c r="G92" s="96" t="s">
        <v>203</v>
      </c>
      <c r="H92" s="96" t="s">
        <v>203</v>
      </c>
      <c r="I92" s="96" t="s">
        <v>337</v>
      </c>
      <c r="J92" s="100">
        <v>43893</v>
      </c>
      <c r="K92" s="96" t="s">
        <v>1200</v>
      </c>
      <c r="L92" s="100"/>
      <c r="M92" s="97">
        <v>7.1531999999999998E-2</v>
      </c>
      <c r="N92" s="97">
        <v>1</v>
      </c>
      <c r="O92" s="97">
        <v>7.1531999999999998E-2</v>
      </c>
      <c r="P92" s="96"/>
      <c r="Q92" s="96"/>
      <c r="R92" s="98">
        <v>1.1E-5</v>
      </c>
      <c r="S92" s="98">
        <v>3.9999999999999998E-6</v>
      </c>
      <c r="T92" s="106"/>
    </row>
    <row r="93" spans="1:20" ht="15" customHeight="1">
      <c r="A93" s="106"/>
      <c r="B93" s="96">
        <v>286</v>
      </c>
      <c r="C93" s="96">
        <v>9803</v>
      </c>
      <c r="D93" s="96" t="s">
        <v>1480</v>
      </c>
      <c r="E93" s="96" t="s">
        <v>1481</v>
      </c>
      <c r="F93" s="96" t="s">
        <v>3754</v>
      </c>
      <c r="G93" s="96" t="s">
        <v>203</v>
      </c>
      <c r="H93" s="96" t="s">
        <v>203</v>
      </c>
      <c r="I93" s="96" t="s">
        <v>337</v>
      </c>
      <c r="J93" s="100">
        <v>42094</v>
      </c>
      <c r="K93" s="96" t="s">
        <v>1200</v>
      </c>
      <c r="L93" s="100"/>
      <c r="M93" s="97">
        <v>0.41572599999999998</v>
      </c>
      <c r="N93" s="97">
        <v>1</v>
      </c>
      <c r="O93" s="97">
        <v>0.41572599999999998</v>
      </c>
      <c r="P93" s="96"/>
      <c r="Q93" s="96"/>
      <c r="R93" s="98">
        <v>6.3999999999999997E-5</v>
      </c>
      <c r="S93" s="98">
        <v>2.4000000000000001E-5</v>
      </c>
      <c r="T93" s="106"/>
    </row>
    <row r="94" spans="1:20" ht="15" customHeight="1">
      <c r="A94" s="106"/>
      <c r="B94" s="96">
        <v>286</v>
      </c>
      <c r="C94" s="96">
        <v>9803</v>
      </c>
      <c r="D94" s="96" t="s">
        <v>1579</v>
      </c>
      <c r="E94" s="96" t="s">
        <v>1580</v>
      </c>
      <c r="F94" s="96" t="s">
        <v>3754</v>
      </c>
      <c r="G94" s="96" t="s">
        <v>203</v>
      </c>
      <c r="H94" s="96" t="s">
        <v>203</v>
      </c>
      <c r="I94" s="96" t="s">
        <v>338</v>
      </c>
      <c r="J94" s="100">
        <v>44398</v>
      </c>
      <c r="K94" s="96" t="s">
        <v>1200</v>
      </c>
      <c r="L94" s="100"/>
      <c r="M94" s="97">
        <v>1.1040410000000001</v>
      </c>
      <c r="N94" s="97">
        <v>1</v>
      </c>
      <c r="O94" s="97">
        <v>1.1040410000000001</v>
      </c>
      <c r="P94" s="96"/>
      <c r="Q94" s="96"/>
      <c r="R94" s="98">
        <v>1.7100000000000001E-4</v>
      </c>
      <c r="S94" s="98">
        <v>6.6000000000000005E-5</v>
      </c>
      <c r="T94" s="106"/>
    </row>
    <row r="95" spans="1:20" ht="15" customHeight="1">
      <c r="A95" s="106"/>
      <c r="B95" s="96">
        <v>286</v>
      </c>
      <c r="C95" s="96">
        <v>9803</v>
      </c>
      <c r="D95" s="96" t="s">
        <v>1415</v>
      </c>
      <c r="E95" s="96" t="s">
        <v>1416</v>
      </c>
      <c r="F95" s="96" t="s">
        <v>3754</v>
      </c>
      <c r="G95" s="96" t="s">
        <v>203</v>
      </c>
      <c r="H95" s="96" t="s">
        <v>203</v>
      </c>
      <c r="I95" s="96" t="s">
        <v>337</v>
      </c>
      <c r="J95" s="100">
        <v>43165</v>
      </c>
      <c r="K95" s="96" t="s">
        <v>1200</v>
      </c>
      <c r="L95" s="100"/>
      <c r="M95" s="97">
        <v>0.26542700000000002</v>
      </c>
      <c r="N95" s="97">
        <v>1</v>
      </c>
      <c r="O95" s="97">
        <v>0.26542700000000002</v>
      </c>
      <c r="P95" s="96"/>
      <c r="Q95" s="96"/>
      <c r="R95" s="98">
        <v>4.1E-5</v>
      </c>
      <c r="S95" s="98">
        <v>1.5E-5</v>
      </c>
      <c r="T95" s="106"/>
    </row>
    <row r="96" spans="1:20" ht="15" customHeight="1">
      <c r="A96" s="106"/>
      <c r="B96" s="96">
        <v>286</v>
      </c>
      <c r="C96" s="96">
        <v>9803</v>
      </c>
      <c r="D96" s="96" t="s">
        <v>1455</v>
      </c>
      <c r="E96" s="96" t="s">
        <v>1456</v>
      </c>
      <c r="F96" s="96" t="s">
        <v>3754</v>
      </c>
      <c r="G96" s="96" t="s">
        <v>203</v>
      </c>
      <c r="H96" s="96" t="s">
        <v>203</v>
      </c>
      <c r="I96" s="96" t="s">
        <v>337</v>
      </c>
      <c r="J96" s="100">
        <v>44061</v>
      </c>
      <c r="K96" s="96" t="s">
        <v>1200</v>
      </c>
      <c r="L96" s="100"/>
      <c r="M96" s="97">
        <v>0.34848099999999999</v>
      </c>
      <c r="N96" s="97">
        <v>1</v>
      </c>
      <c r="O96" s="97">
        <v>0.34848099999999999</v>
      </c>
      <c r="P96" s="96"/>
      <c r="Q96" s="96"/>
      <c r="R96" s="98">
        <v>5.3999999999999998E-5</v>
      </c>
      <c r="S96" s="98">
        <v>2.0000000000000002E-5</v>
      </c>
      <c r="T96" s="106"/>
    </row>
    <row r="97" spans="1:20" ht="15" customHeight="1">
      <c r="A97" s="106"/>
      <c r="B97" s="96">
        <v>286</v>
      </c>
      <c r="C97" s="96">
        <v>9803</v>
      </c>
      <c r="D97" s="96" t="s">
        <v>1673</v>
      </c>
      <c r="E97" s="96" t="s">
        <v>1674</v>
      </c>
      <c r="F97" s="96" t="s">
        <v>3754</v>
      </c>
      <c r="G97" s="96" t="s">
        <v>203</v>
      </c>
      <c r="H97" s="96" t="s">
        <v>203</v>
      </c>
      <c r="I97" s="96" t="s">
        <v>338</v>
      </c>
      <c r="J97" s="100">
        <v>42992</v>
      </c>
      <c r="K97" s="96" t="s">
        <v>1200</v>
      </c>
      <c r="L97" s="100"/>
      <c r="M97" s="97">
        <v>0.116059</v>
      </c>
      <c r="N97" s="97">
        <v>1</v>
      </c>
      <c r="O97" s="97">
        <v>0.116059</v>
      </c>
      <c r="P97" s="96"/>
      <c r="Q97" s="96"/>
      <c r="R97" s="98">
        <v>1.8E-5</v>
      </c>
      <c r="S97" s="98">
        <v>6.0000000000000002E-6</v>
      </c>
      <c r="T97" s="106"/>
    </row>
    <row r="98" spans="1:20" ht="15" customHeight="1">
      <c r="A98" s="106"/>
      <c r="B98" s="96">
        <v>286</v>
      </c>
      <c r="C98" s="96">
        <v>9803</v>
      </c>
      <c r="D98" s="96" t="s">
        <v>1577</v>
      </c>
      <c r="E98" s="96" t="s">
        <v>1578</v>
      </c>
      <c r="F98" s="96" t="s">
        <v>3754</v>
      </c>
      <c r="G98" s="96" t="s">
        <v>203</v>
      </c>
      <c r="H98" s="96" t="s">
        <v>203</v>
      </c>
      <c r="I98" s="96" t="s">
        <v>337</v>
      </c>
      <c r="J98" s="100">
        <v>45287</v>
      </c>
      <c r="K98" s="96" t="s">
        <v>1200</v>
      </c>
      <c r="L98" s="100"/>
      <c r="M98" s="97">
        <v>0.28334100000000001</v>
      </c>
      <c r="N98" s="97">
        <v>1</v>
      </c>
      <c r="O98" s="97">
        <v>0.28334100000000001</v>
      </c>
      <c r="P98" s="96"/>
      <c r="Q98" s="96"/>
      <c r="R98" s="98">
        <v>4.3999999999999999E-5</v>
      </c>
      <c r="S98" s="98">
        <v>1.5999999999999999E-5</v>
      </c>
      <c r="T98" s="106"/>
    </row>
    <row r="99" spans="1:20" ht="15" customHeight="1">
      <c r="A99" s="106"/>
      <c r="B99" s="96">
        <v>286</v>
      </c>
      <c r="C99" s="96">
        <v>9803</v>
      </c>
      <c r="D99" s="96" t="s">
        <v>3755</v>
      </c>
      <c r="E99" s="96" t="s">
        <v>3756</v>
      </c>
      <c r="F99" s="96" t="s">
        <v>1040</v>
      </c>
      <c r="G99" s="96" t="s">
        <v>203</v>
      </c>
      <c r="H99" s="96" t="s">
        <v>203</v>
      </c>
      <c r="I99" s="96" t="s">
        <v>338</v>
      </c>
      <c r="J99" s="100">
        <v>43166</v>
      </c>
      <c r="K99" s="96" t="s">
        <v>1200</v>
      </c>
      <c r="L99" s="100">
        <v>45329</v>
      </c>
      <c r="M99" s="97">
        <v>0.133433</v>
      </c>
      <c r="N99" s="97">
        <v>1</v>
      </c>
      <c r="O99" s="97">
        <v>0.133433</v>
      </c>
      <c r="P99" s="96"/>
      <c r="Q99" s="96"/>
      <c r="R99" s="98">
        <v>1</v>
      </c>
      <c r="S99" s="98">
        <v>7.9999999999999996E-6</v>
      </c>
      <c r="T99" s="106"/>
    </row>
    <row r="100" spans="1:20" ht="15" customHeight="1">
      <c r="A100" s="106"/>
      <c r="B100" s="96">
        <v>286</v>
      </c>
      <c r="C100" s="96">
        <v>9803</v>
      </c>
      <c r="D100" s="96" t="s">
        <v>2837</v>
      </c>
      <c r="E100" s="96" t="s">
        <v>2838</v>
      </c>
      <c r="F100" s="96" t="s">
        <v>1035</v>
      </c>
      <c r="G100" s="96" t="s">
        <v>204</v>
      </c>
      <c r="H100" s="96" t="s">
        <v>223</v>
      </c>
      <c r="I100" s="96" t="s">
        <v>338</v>
      </c>
      <c r="J100" s="96"/>
      <c r="K100" s="96" t="s">
        <v>1201</v>
      </c>
      <c r="L100" s="96"/>
      <c r="M100" s="97">
        <v>2.1292999999999999E-2</v>
      </c>
      <c r="N100" s="97">
        <v>3.7589999999999999</v>
      </c>
      <c r="O100" s="97">
        <v>8.0041000000000001E-2</v>
      </c>
      <c r="P100" s="96"/>
      <c r="Q100" s="96"/>
      <c r="R100" s="98">
        <v>3.4E-5</v>
      </c>
      <c r="S100" s="98">
        <v>3.9999999999999998E-6</v>
      </c>
      <c r="T100" s="106"/>
    </row>
    <row r="101" spans="1:20" ht="15" customHeight="1">
      <c r="A101" s="106"/>
      <c r="B101" s="96">
        <v>286</v>
      </c>
      <c r="C101" s="96">
        <v>9803</v>
      </c>
      <c r="D101" s="96" t="s">
        <v>2923</v>
      </c>
      <c r="E101" s="96" t="s">
        <v>2479</v>
      </c>
      <c r="F101" s="96" t="s">
        <v>1035</v>
      </c>
      <c r="G101" s="96" t="s">
        <v>204</v>
      </c>
      <c r="H101" s="96" t="s">
        <v>203</v>
      </c>
      <c r="I101" s="96" t="s">
        <v>338</v>
      </c>
      <c r="J101" s="96"/>
      <c r="K101" s="96" t="s">
        <v>1201</v>
      </c>
      <c r="L101" s="96"/>
      <c r="M101" s="97">
        <v>2.3599999999999999E-4</v>
      </c>
      <c r="N101" s="97">
        <v>3.7589999999999999</v>
      </c>
      <c r="O101" s="97">
        <v>8.8900000000000003E-4</v>
      </c>
      <c r="P101" s="96"/>
      <c r="Q101" s="96"/>
      <c r="R101" s="98">
        <v>0</v>
      </c>
      <c r="S101" s="98">
        <v>0</v>
      </c>
      <c r="T101" s="106"/>
    </row>
    <row r="102" spans="1:20" ht="15" customHeight="1">
      <c r="A102" s="106"/>
      <c r="B102" s="96">
        <v>286</v>
      </c>
      <c r="C102" s="96">
        <v>14418</v>
      </c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106"/>
    </row>
    <row r="103" spans="1:20" ht="15" customHeight="1">
      <c r="A103" s="106"/>
      <c r="B103" s="96">
        <v>286</v>
      </c>
      <c r="C103" s="96">
        <v>1446</v>
      </c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106"/>
    </row>
    <row r="104" spans="1:20" ht="15" customHeight="1">
      <c r="A104" s="106"/>
      <c r="B104" s="105" t="s">
        <v>3767</v>
      </c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6"/>
    </row>
  </sheetData>
  <mergeCells count="4">
    <mergeCell ref="B104:S104"/>
    <mergeCell ref="A1:A104"/>
    <mergeCell ref="B1:S1"/>
    <mergeCell ref="T1:T104"/>
  </mergeCells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AA127"/>
  <sheetViews>
    <sheetView rightToLeft="1" workbookViewId="0">
      <selection sqref="A1:A127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9.375" bestFit="1" customWidth="1"/>
    <col min="5" max="5" width="8" bestFit="1" customWidth="1"/>
    <col min="6" max="6" width="8.375" bestFit="1" customWidth="1"/>
    <col min="7" max="7" width="10" bestFit="1" customWidth="1"/>
    <col min="8" max="8" width="11.125" bestFit="1" customWidth="1"/>
    <col min="9" max="9" width="8.75" bestFit="1" customWidth="1"/>
    <col min="10" max="10" width="10.75" bestFit="1" customWidth="1"/>
    <col min="11" max="11" width="9.625" bestFit="1" customWidth="1"/>
    <col min="12" max="12" width="6.375" bestFit="1" customWidth="1"/>
    <col min="13" max="13" width="12.25" bestFit="1" customWidth="1"/>
    <col min="14" max="14" width="11.25" bestFit="1" customWidth="1"/>
    <col min="15" max="15" width="9.875" bestFit="1" customWidth="1"/>
    <col min="16" max="16" width="8.625" bestFit="1" customWidth="1"/>
    <col min="17" max="17" width="9.25" bestFit="1" customWidth="1"/>
    <col min="18" max="18" width="8.5" bestFit="1" customWidth="1"/>
    <col min="19" max="20" width="9.875" bestFit="1" customWidth="1"/>
    <col min="21" max="21" width="10.75" bestFit="1" customWidth="1"/>
    <col min="22" max="22" width="3.125" customWidth="1"/>
    <col min="23" max="27" width="11.625" customWidth="1"/>
  </cols>
  <sheetData>
    <row r="1" spans="1:27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6" t="s">
        <v>3766</v>
      </c>
    </row>
    <row r="2" spans="1:27" ht="66.75" customHeight="1">
      <c r="A2" s="106"/>
      <c r="B2" s="21" t="s">
        <v>49</v>
      </c>
      <c r="C2" s="21" t="s">
        <v>50</v>
      </c>
      <c r="D2" s="21" t="s">
        <v>150</v>
      </c>
      <c r="E2" s="21" t="s">
        <v>151</v>
      </c>
      <c r="F2" s="21" t="s">
        <v>152</v>
      </c>
      <c r="G2" s="21" t="s">
        <v>153</v>
      </c>
      <c r="H2" s="21" t="s">
        <v>187</v>
      </c>
      <c r="I2" s="21" t="s">
        <v>55</v>
      </c>
      <c r="J2" s="21" t="s">
        <v>69</v>
      </c>
      <c r="K2" s="21" t="s">
        <v>56</v>
      </c>
      <c r="L2" s="21" t="s">
        <v>71</v>
      </c>
      <c r="M2" s="21" t="s">
        <v>58</v>
      </c>
      <c r="N2" s="21" t="s">
        <v>158</v>
      </c>
      <c r="O2" s="21" t="s">
        <v>59</v>
      </c>
      <c r="P2" s="21" t="s">
        <v>61</v>
      </c>
      <c r="Q2" s="21" t="s">
        <v>62</v>
      </c>
      <c r="R2" s="21" t="s">
        <v>159</v>
      </c>
      <c r="S2" s="21" t="s">
        <v>188</v>
      </c>
      <c r="T2" s="21" t="s">
        <v>189</v>
      </c>
      <c r="U2" s="21" t="s">
        <v>190</v>
      </c>
      <c r="V2" s="106"/>
      <c r="W2" s="10"/>
      <c r="X2" s="10"/>
      <c r="Y2" s="10"/>
      <c r="Z2" s="10"/>
      <c r="AA2" s="10"/>
    </row>
    <row r="3" spans="1:27" ht="15" customHeight="1">
      <c r="A3" s="106"/>
      <c r="B3" s="96">
        <v>286</v>
      </c>
      <c r="C3" s="96">
        <v>1445</v>
      </c>
      <c r="D3" s="96"/>
      <c r="E3" s="96"/>
      <c r="F3" s="96"/>
      <c r="G3" s="96">
        <v>977915</v>
      </c>
      <c r="H3" s="100">
        <v>45162</v>
      </c>
      <c r="I3" s="96" t="s">
        <v>203</v>
      </c>
      <c r="J3" s="96"/>
      <c r="K3" s="96" t="s">
        <v>338</v>
      </c>
      <c r="L3" s="96" t="s">
        <v>1309</v>
      </c>
      <c r="M3" s="96" t="s">
        <v>414</v>
      </c>
      <c r="N3" s="96" t="s">
        <v>407</v>
      </c>
      <c r="O3" s="96" t="s">
        <v>1200</v>
      </c>
      <c r="P3" s="97">
        <v>1</v>
      </c>
      <c r="Q3" s="98">
        <v>5.0000000000000001E-3</v>
      </c>
      <c r="R3" s="96" t="s">
        <v>3678</v>
      </c>
      <c r="S3" s="97">
        <v>0.934504</v>
      </c>
      <c r="T3" s="97">
        <v>0.934504</v>
      </c>
      <c r="U3" s="98">
        <v>1</v>
      </c>
      <c r="V3" s="106"/>
    </row>
    <row r="4" spans="1:27" ht="15" customHeight="1">
      <c r="A4" s="106"/>
      <c r="B4" s="96">
        <v>286</v>
      </c>
      <c r="C4" s="96">
        <v>1445</v>
      </c>
      <c r="D4" s="96"/>
      <c r="E4" s="96"/>
      <c r="F4" s="96"/>
      <c r="G4" s="96">
        <v>977921</v>
      </c>
      <c r="H4" s="100">
        <v>45218</v>
      </c>
      <c r="I4" s="96" t="s">
        <v>203</v>
      </c>
      <c r="J4" s="96"/>
      <c r="K4" s="96" t="s">
        <v>337</v>
      </c>
      <c r="L4" s="96" t="s">
        <v>1328</v>
      </c>
      <c r="M4" s="96" t="s">
        <v>412</v>
      </c>
      <c r="N4" s="96" t="s">
        <v>407</v>
      </c>
      <c r="O4" s="96" t="s">
        <v>1200</v>
      </c>
      <c r="P4" s="97">
        <v>1</v>
      </c>
      <c r="Q4" s="98">
        <v>2.5000000000000001E-3</v>
      </c>
      <c r="R4" s="96" t="s">
        <v>3678</v>
      </c>
      <c r="S4" s="97">
        <v>20.862859</v>
      </c>
      <c r="T4" s="97">
        <v>20.862859</v>
      </c>
      <c r="U4" s="98">
        <v>1</v>
      </c>
      <c r="V4" s="106"/>
    </row>
    <row r="5" spans="1:27" ht="15" customHeight="1">
      <c r="A5" s="106"/>
      <c r="B5" s="96">
        <v>286</v>
      </c>
      <c r="C5" s="96">
        <v>1445</v>
      </c>
      <c r="D5" s="96"/>
      <c r="E5" s="96"/>
      <c r="F5" s="96"/>
      <c r="G5" s="96">
        <v>977845</v>
      </c>
      <c r="H5" s="100">
        <v>44194</v>
      </c>
      <c r="I5" s="96" t="s">
        <v>203</v>
      </c>
      <c r="J5" s="96"/>
      <c r="K5" s="96" t="s">
        <v>338</v>
      </c>
      <c r="L5" s="96" t="s">
        <v>1520</v>
      </c>
      <c r="M5" s="96" t="s">
        <v>414</v>
      </c>
      <c r="N5" s="96" t="s">
        <v>407</v>
      </c>
      <c r="O5" s="96" t="s">
        <v>1200</v>
      </c>
      <c r="P5" s="97">
        <v>1</v>
      </c>
      <c r="Q5" s="98">
        <v>5.0000000000000001E-3</v>
      </c>
      <c r="R5" s="96" t="s">
        <v>3678</v>
      </c>
      <c r="S5" s="97">
        <v>9.2967999999999995E-2</v>
      </c>
      <c r="T5" s="97">
        <v>9.2967999999999995E-2</v>
      </c>
      <c r="U5" s="98">
        <v>1</v>
      </c>
      <c r="V5" s="106"/>
    </row>
    <row r="6" spans="1:27" ht="15" customHeight="1">
      <c r="A6" s="106"/>
      <c r="B6" s="96">
        <v>286</v>
      </c>
      <c r="C6" s="96">
        <v>1445</v>
      </c>
      <c r="D6" s="96"/>
      <c r="E6" s="96"/>
      <c r="F6" s="96"/>
      <c r="G6" s="96">
        <v>977864</v>
      </c>
      <c r="H6" s="100">
        <v>44418</v>
      </c>
      <c r="I6" s="96" t="s">
        <v>203</v>
      </c>
      <c r="J6" s="96"/>
      <c r="K6" s="96" t="s">
        <v>338</v>
      </c>
      <c r="L6" s="96" t="s">
        <v>1357</v>
      </c>
      <c r="M6" s="96" t="s">
        <v>414</v>
      </c>
      <c r="N6" s="96" t="s">
        <v>407</v>
      </c>
      <c r="O6" s="96" t="s">
        <v>1202</v>
      </c>
      <c r="P6" s="97">
        <v>4.0202</v>
      </c>
      <c r="Q6" s="98">
        <v>6.0000000000000001E-3</v>
      </c>
      <c r="R6" s="96" t="s">
        <v>3678</v>
      </c>
      <c r="S6" s="97">
        <v>0.37351699999999999</v>
      </c>
      <c r="T6" s="97">
        <v>1.5016130000000001</v>
      </c>
      <c r="U6" s="98">
        <v>1.0000020000000001</v>
      </c>
      <c r="V6" s="106"/>
    </row>
    <row r="7" spans="1:27" ht="15" customHeight="1">
      <c r="A7" s="106"/>
      <c r="B7" s="96">
        <v>286</v>
      </c>
      <c r="C7" s="96">
        <v>1445</v>
      </c>
      <c r="D7" s="96"/>
      <c r="E7" s="96"/>
      <c r="F7" s="96"/>
      <c r="G7" s="96">
        <v>977883</v>
      </c>
      <c r="H7" s="100">
        <v>44790</v>
      </c>
      <c r="I7" s="96" t="s">
        <v>203</v>
      </c>
      <c r="J7" s="96"/>
      <c r="K7" s="96" t="s">
        <v>338</v>
      </c>
      <c r="L7" s="96" t="s">
        <v>3683</v>
      </c>
      <c r="M7" s="96" t="s">
        <v>412</v>
      </c>
      <c r="N7" s="96" t="s">
        <v>407</v>
      </c>
      <c r="O7" s="96" t="s">
        <v>1200</v>
      </c>
      <c r="P7" s="97">
        <v>1</v>
      </c>
      <c r="Q7" s="98">
        <v>8.0000000000000002E-3</v>
      </c>
      <c r="R7" s="96" t="s">
        <v>3678</v>
      </c>
      <c r="S7" s="97">
        <v>1.2841640000000001</v>
      </c>
      <c r="T7" s="97">
        <v>1.2841640000000001</v>
      </c>
      <c r="U7" s="98">
        <v>1</v>
      </c>
      <c r="V7" s="106"/>
    </row>
    <row r="8" spans="1:27" ht="15" customHeight="1">
      <c r="A8" s="106"/>
      <c r="B8" s="96">
        <v>286</v>
      </c>
      <c r="C8" s="96">
        <v>1445</v>
      </c>
      <c r="D8" s="96"/>
      <c r="E8" s="96"/>
      <c r="F8" s="96"/>
      <c r="G8" s="96">
        <v>977930</v>
      </c>
      <c r="H8" s="100">
        <v>45393</v>
      </c>
      <c r="I8" s="96" t="s">
        <v>203</v>
      </c>
      <c r="J8" s="96"/>
      <c r="K8" s="96" t="s">
        <v>338</v>
      </c>
      <c r="L8" s="96" t="s">
        <v>3681</v>
      </c>
      <c r="M8" s="96" t="s">
        <v>311</v>
      </c>
      <c r="N8" s="96" t="s">
        <v>407</v>
      </c>
      <c r="O8" s="96" t="s">
        <v>1200</v>
      </c>
      <c r="P8" s="97">
        <v>1</v>
      </c>
      <c r="Q8" s="98">
        <v>3.0000000000000001E-3</v>
      </c>
      <c r="R8" s="96" t="s">
        <v>3678</v>
      </c>
      <c r="S8" s="97">
        <v>14.835811</v>
      </c>
      <c r="T8" s="97">
        <v>14.835811</v>
      </c>
      <c r="U8" s="98">
        <v>0.49999900000000003</v>
      </c>
      <c r="V8" s="106"/>
    </row>
    <row r="9" spans="1:27" ht="15" customHeight="1">
      <c r="A9" s="106"/>
      <c r="B9" s="96">
        <v>286</v>
      </c>
      <c r="C9" s="96">
        <v>1445</v>
      </c>
      <c r="D9" s="96"/>
      <c r="E9" s="96"/>
      <c r="F9" s="96"/>
      <c r="G9" s="96">
        <v>977918</v>
      </c>
      <c r="H9" s="100">
        <v>45201</v>
      </c>
      <c r="I9" s="96" t="s">
        <v>203</v>
      </c>
      <c r="J9" s="96"/>
      <c r="K9" s="96" t="s">
        <v>338</v>
      </c>
      <c r="L9" s="96" t="s">
        <v>2074</v>
      </c>
      <c r="M9" s="96" t="s">
        <v>311</v>
      </c>
      <c r="N9" s="96" t="s">
        <v>407</v>
      </c>
      <c r="O9" s="96" t="s">
        <v>1200</v>
      </c>
      <c r="P9" s="97">
        <v>1</v>
      </c>
      <c r="Q9" s="98">
        <v>3.0000000000000001E-3</v>
      </c>
      <c r="R9" s="96" t="s">
        <v>3678</v>
      </c>
      <c r="S9" s="97">
        <v>10.014172</v>
      </c>
      <c r="T9" s="97">
        <v>10.014172</v>
      </c>
      <c r="U9" s="98">
        <v>2.0879000000000002E-2</v>
      </c>
      <c r="V9" s="106"/>
    </row>
    <row r="10" spans="1:27" ht="15" customHeight="1">
      <c r="A10" s="106"/>
      <c r="B10" s="96">
        <v>286</v>
      </c>
      <c r="C10" s="96">
        <v>1445</v>
      </c>
      <c r="D10" s="96"/>
      <c r="E10" s="96"/>
      <c r="F10" s="96"/>
      <c r="G10" s="96">
        <v>977848</v>
      </c>
      <c r="H10" s="100">
        <v>44194</v>
      </c>
      <c r="I10" s="96" t="s">
        <v>203</v>
      </c>
      <c r="J10" s="96"/>
      <c r="K10" s="96" t="s">
        <v>338</v>
      </c>
      <c r="L10" s="96" t="s">
        <v>1520</v>
      </c>
      <c r="M10" s="96" t="s">
        <v>414</v>
      </c>
      <c r="N10" s="96" t="s">
        <v>407</v>
      </c>
      <c r="O10" s="96" t="s">
        <v>1200</v>
      </c>
      <c r="P10" s="97">
        <v>1</v>
      </c>
      <c r="Q10" s="98">
        <v>5.0000000000000001E-3</v>
      </c>
      <c r="R10" s="96" t="s">
        <v>3678</v>
      </c>
      <c r="S10" s="97">
        <v>0.25892799999999999</v>
      </c>
      <c r="T10" s="97">
        <v>0.25892799999999999</v>
      </c>
      <c r="U10" s="98">
        <v>1</v>
      </c>
      <c r="V10" s="106"/>
    </row>
    <row r="11" spans="1:27" ht="15" customHeight="1">
      <c r="A11" s="106"/>
      <c r="B11" s="96">
        <v>286</v>
      </c>
      <c r="C11" s="96">
        <v>1445</v>
      </c>
      <c r="D11" s="96"/>
      <c r="E11" s="96"/>
      <c r="F11" s="96"/>
      <c r="G11" s="96">
        <v>977889</v>
      </c>
      <c r="H11" s="100">
        <v>44809</v>
      </c>
      <c r="I11" s="96" t="s">
        <v>203</v>
      </c>
      <c r="J11" s="96"/>
      <c r="K11" s="96" t="s">
        <v>338</v>
      </c>
      <c r="L11" s="96" t="s">
        <v>3681</v>
      </c>
      <c r="M11" s="96" t="s">
        <v>311</v>
      </c>
      <c r="N11" s="96" t="s">
        <v>407</v>
      </c>
      <c r="O11" s="96" t="s">
        <v>1200</v>
      </c>
      <c r="P11" s="97">
        <v>1</v>
      </c>
      <c r="Q11" s="98">
        <v>5.0000000000000001E-3</v>
      </c>
      <c r="R11" s="96" t="s">
        <v>3678</v>
      </c>
      <c r="S11" s="97">
        <v>3.4478420000000001</v>
      </c>
      <c r="T11" s="97">
        <v>3.4478420000000001</v>
      </c>
      <c r="U11" s="98">
        <v>1.5086E-2</v>
      </c>
      <c r="V11" s="106"/>
    </row>
    <row r="12" spans="1:27" ht="15" customHeight="1">
      <c r="A12" s="106"/>
      <c r="B12" s="96">
        <v>286</v>
      </c>
      <c r="C12" s="96">
        <v>1445</v>
      </c>
      <c r="D12" s="96"/>
      <c r="E12" s="96"/>
      <c r="F12" s="96"/>
      <c r="G12" s="96">
        <v>977852</v>
      </c>
      <c r="H12" s="100">
        <v>44265</v>
      </c>
      <c r="I12" s="96" t="s">
        <v>203</v>
      </c>
      <c r="J12" s="96"/>
      <c r="K12" s="96" t="s">
        <v>338</v>
      </c>
      <c r="L12" s="96" t="s">
        <v>1320</v>
      </c>
      <c r="M12" s="96" t="s">
        <v>412</v>
      </c>
      <c r="N12" s="96" t="s">
        <v>407</v>
      </c>
      <c r="O12" s="96" t="s">
        <v>1200</v>
      </c>
      <c r="P12" s="97">
        <v>1</v>
      </c>
      <c r="Q12" s="98">
        <v>6.0000000000000001E-3</v>
      </c>
      <c r="R12" s="96" t="s">
        <v>3678</v>
      </c>
      <c r="S12" s="97">
        <v>35.532786999999999</v>
      </c>
      <c r="T12" s="97">
        <v>35.532786999999999</v>
      </c>
      <c r="U12" s="98">
        <v>3.0561999999999999E-2</v>
      </c>
      <c r="V12" s="106"/>
    </row>
    <row r="13" spans="1:27" ht="15" customHeight="1">
      <c r="A13" s="106"/>
      <c r="B13" s="96">
        <v>286</v>
      </c>
      <c r="C13" s="96">
        <v>1445</v>
      </c>
      <c r="D13" s="96"/>
      <c r="E13" s="96"/>
      <c r="F13" s="96"/>
      <c r="G13" s="96">
        <v>977914</v>
      </c>
      <c r="H13" s="100">
        <v>45162</v>
      </c>
      <c r="I13" s="96" t="s">
        <v>203</v>
      </c>
      <c r="J13" s="96"/>
      <c r="K13" s="96" t="s">
        <v>338</v>
      </c>
      <c r="L13" s="96" t="s">
        <v>1309</v>
      </c>
      <c r="M13" s="96" t="s">
        <v>414</v>
      </c>
      <c r="N13" s="96" t="s">
        <v>407</v>
      </c>
      <c r="O13" s="96" t="s">
        <v>1200</v>
      </c>
      <c r="P13" s="97">
        <v>1</v>
      </c>
      <c r="Q13" s="98">
        <v>5.0000000000000001E-3</v>
      </c>
      <c r="R13" s="96" t="s">
        <v>3678</v>
      </c>
      <c r="S13" s="97">
        <v>6.0844050000000003</v>
      </c>
      <c r="T13" s="97">
        <v>6.0844050000000003</v>
      </c>
      <c r="U13" s="98">
        <v>1</v>
      </c>
      <c r="V13" s="106"/>
    </row>
    <row r="14" spans="1:27" ht="15" customHeight="1">
      <c r="A14" s="106"/>
      <c r="B14" s="96">
        <v>286</v>
      </c>
      <c r="C14" s="96">
        <v>1445</v>
      </c>
      <c r="D14" s="96"/>
      <c r="E14" s="96"/>
      <c r="F14" s="96"/>
      <c r="G14" s="96">
        <v>977923</v>
      </c>
      <c r="H14" s="100">
        <v>45265</v>
      </c>
      <c r="I14" s="96" t="s">
        <v>203</v>
      </c>
      <c r="J14" s="96"/>
      <c r="K14" s="96" t="s">
        <v>338</v>
      </c>
      <c r="L14" s="96" t="s">
        <v>1357</v>
      </c>
      <c r="M14" s="96" t="s">
        <v>414</v>
      </c>
      <c r="N14" s="96" t="s">
        <v>407</v>
      </c>
      <c r="O14" s="96" t="s">
        <v>1200</v>
      </c>
      <c r="P14" s="97">
        <v>1</v>
      </c>
      <c r="Q14" s="98">
        <v>5.0000000000000001E-3</v>
      </c>
      <c r="R14" s="96" t="s">
        <v>3678</v>
      </c>
      <c r="S14" s="97">
        <v>5.0981009999999998</v>
      </c>
      <c r="T14" s="97">
        <v>5.0981009999999998</v>
      </c>
      <c r="U14" s="98">
        <v>1</v>
      </c>
      <c r="V14" s="106"/>
    </row>
    <row r="15" spans="1:27" ht="15" customHeight="1">
      <c r="A15" s="106"/>
      <c r="B15" s="96">
        <v>286</v>
      </c>
      <c r="C15" s="96">
        <v>1445</v>
      </c>
      <c r="D15" s="96"/>
      <c r="E15" s="96"/>
      <c r="F15" s="96"/>
      <c r="G15" s="96">
        <v>977919</v>
      </c>
      <c r="H15" s="100">
        <v>45202</v>
      </c>
      <c r="I15" s="96" t="s">
        <v>203</v>
      </c>
      <c r="J15" s="96"/>
      <c r="K15" s="96" t="s">
        <v>337</v>
      </c>
      <c r="L15" s="96" t="s">
        <v>2102</v>
      </c>
      <c r="M15" s="96" t="s">
        <v>311</v>
      </c>
      <c r="N15" s="96" t="s">
        <v>407</v>
      </c>
      <c r="O15" s="96" t="s">
        <v>1200</v>
      </c>
      <c r="P15" s="97">
        <v>1</v>
      </c>
      <c r="Q15" s="98">
        <v>2E-3</v>
      </c>
      <c r="R15" s="96" t="s">
        <v>3678</v>
      </c>
      <c r="S15" s="97">
        <v>5.3826169999999998</v>
      </c>
      <c r="T15" s="97">
        <v>5.3826169999999998</v>
      </c>
      <c r="U15" s="98">
        <v>0.77519300000000002</v>
      </c>
      <c r="V15" s="106"/>
    </row>
    <row r="16" spans="1:27" ht="15" customHeight="1">
      <c r="A16" s="106"/>
      <c r="B16" s="96">
        <v>286</v>
      </c>
      <c r="C16" s="96">
        <v>1445</v>
      </c>
      <c r="D16" s="96"/>
      <c r="E16" s="96"/>
      <c r="F16" s="96"/>
      <c r="G16" s="96">
        <v>977902</v>
      </c>
      <c r="H16" s="100">
        <v>45020</v>
      </c>
      <c r="I16" s="96" t="s">
        <v>203</v>
      </c>
      <c r="J16" s="96"/>
      <c r="K16" s="96" t="s">
        <v>338</v>
      </c>
      <c r="L16" s="96" t="s">
        <v>409</v>
      </c>
      <c r="M16" s="96" t="s">
        <v>409</v>
      </c>
      <c r="N16" s="96" t="s">
        <v>409</v>
      </c>
      <c r="O16" s="96" t="s">
        <v>1200</v>
      </c>
      <c r="P16" s="97">
        <v>1</v>
      </c>
      <c r="Q16" s="98">
        <v>5.0000000000000001E-3</v>
      </c>
      <c r="R16" s="96" t="s">
        <v>3678</v>
      </c>
      <c r="S16" s="97">
        <v>15.70556</v>
      </c>
      <c r="T16" s="97">
        <v>15.70556</v>
      </c>
      <c r="U16" s="98">
        <v>0.53534400000000004</v>
      </c>
      <c r="V16" s="106"/>
    </row>
    <row r="17" spans="1:22" ht="15" customHeight="1">
      <c r="A17" s="106"/>
      <c r="B17" s="96">
        <v>286</v>
      </c>
      <c r="C17" s="96">
        <v>1445</v>
      </c>
      <c r="D17" s="96"/>
      <c r="E17" s="96"/>
      <c r="F17" s="96"/>
      <c r="G17" s="96">
        <v>977853</v>
      </c>
      <c r="H17" s="100">
        <v>44383</v>
      </c>
      <c r="I17" s="96" t="s">
        <v>203</v>
      </c>
      <c r="J17" s="96"/>
      <c r="K17" s="96" t="s">
        <v>338</v>
      </c>
      <c r="L17" s="96" t="s">
        <v>409</v>
      </c>
      <c r="M17" s="96" t="s">
        <v>409</v>
      </c>
      <c r="N17" s="96" t="s">
        <v>409</v>
      </c>
      <c r="O17" s="96" t="s">
        <v>1200</v>
      </c>
      <c r="P17" s="97">
        <v>1</v>
      </c>
      <c r="Q17" s="98">
        <v>6.0000000000000001E-3</v>
      </c>
      <c r="R17" s="96" t="s">
        <v>3678</v>
      </c>
      <c r="S17" s="97">
        <v>8.9463779999999993</v>
      </c>
      <c r="T17" s="97">
        <v>8.9463779999999993</v>
      </c>
      <c r="U17" s="98">
        <v>0.79063700000000003</v>
      </c>
      <c r="V17" s="106"/>
    </row>
    <row r="18" spans="1:22" ht="15" customHeight="1">
      <c r="A18" s="106"/>
      <c r="B18" s="96">
        <v>286</v>
      </c>
      <c r="C18" s="96">
        <v>1445</v>
      </c>
      <c r="D18" s="96"/>
      <c r="E18" s="96"/>
      <c r="F18" s="96"/>
      <c r="G18" s="96">
        <v>977929</v>
      </c>
      <c r="H18" s="100">
        <v>45273</v>
      </c>
      <c r="I18" s="96" t="s">
        <v>203</v>
      </c>
      <c r="J18" s="96"/>
      <c r="K18" s="96" t="s">
        <v>338</v>
      </c>
      <c r="L18" s="96" t="s">
        <v>1357</v>
      </c>
      <c r="M18" s="96" t="s">
        <v>414</v>
      </c>
      <c r="N18" s="96" t="s">
        <v>407</v>
      </c>
      <c r="O18" s="96" t="s">
        <v>1200</v>
      </c>
      <c r="P18" s="97">
        <v>1</v>
      </c>
      <c r="Q18" s="98">
        <v>6.0000000000000001E-3</v>
      </c>
      <c r="R18" s="96" t="s">
        <v>3678</v>
      </c>
      <c r="S18" s="97">
        <v>38.001466000000001</v>
      </c>
      <c r="T18" s="97">
        <v>38.001466000000001</v>
      </c>
      <c r="U18" s="98">
        <v>0.92888899999999996</v>
      </c>
      <c r="V18" s="106"/>
    </row>
    <row r="19" spans="1:22" ht="15" customHeight="1">
      <c r="A19" s="106"/>
      <c r="B19" s="96">
        <v>286</v>
      </c>
      <c r="C19" s="96">
        <v>1445</v>
      </c>
      <c r="D19" s="96"/>
      <c r="E19" s="96"/>
      <c r="F19" s="96"/>
      <c r="G19" s="96">
        <v>977885</v>
      </c>
      <c r="H19" s="100">
        <v>44802</v>
      </c>
      <c r="I19" s="96" t="s">
        <v>203</v>
      </c>
      <c r="J19" s="96"/>
      <c r="K19" s="96" t="s">
        <v>338</v>
      </c>
      <c r="L19" s="96" t="s">
        <v>1357</v>
      </c>
      <c r="M19" s="96" t="s">
        <v>414</v>
      </c>
      <c r="N19" s="96" t="s">
        <v>407</v>
      </c>
      <c r="O19" s="96" t="s">
        <v>1200</v>
      </c>
      <c r="P19" s="97">
        <v>1</v>
      </c>
      <c r="Q19" s="98">
        <v>4.0000000000000001E-3</v>
      </c>
      <c r="R19" s="96" t="s">
        <v>3678</v>
      </c>
      <c r="S19" s="97">
        <v>37.696629000000001</v>
      </c>
      <c r="T19" s="97">
        <v>37.696629000000001</v>
      </c>
      <c r="U19" s="98">
        <v>1</v>
      </c>
      <c r="V19" s="106"/>
    </row>
    <row r="20" spans="1:22" ht="15" customHeight="1">
      <c r="A20" s="106"/>
      <c r="B20" s="96">
        <v>286</v>
      </c>
      <c r="C20" s="96">
        <v>1445</v>
      </c>
      <c r="D20" s="96"/>
      <c r="E20" s="96"/>
      <c r="F20" s="96"/>
      <c r="G20" s="96">
        <v>977973</v>
      </c>
      <c r="H20" s="100">
        <v>45442</v>
      </c>
      <c r="I20" s="96" t="s">
        <v>203</v>
      </c>
      <c r="J20" s="96"/>
      <c r="K20" s="96" t="s">
        <v>338</v>
      </c>
      <c r="L20" s="96" t="s">
        <v>409</v>
      </c>
      <c r="M20" s="96" t="s">
        <v>409</v>
      </c>
      <c r="N20" s="96" t="s">
        <v>409</v>
      </c>
      <c r="O20" s="96" t="s">
        <v>1200</v>
      </c>
      <c r="P20" s="97">
        <v>1</v>
      </c>
      <c r="Q20" s="98">
        <v>4.0000000000000001E-3</v>
      </c>
      <c r="R20" s="96" t="s">
        <v>3678</v>
      </c>
      <c r="S20" s="97">
        <v>1.9048419999999999</v>
      </c>
      <c r="T20" s="97">
        <v>1.9048419999999999</v>
      </c>
      <c r="U20" s="98">
        <v>1</v>
      </c>
      <c r="V20" s="106"/>
    </row>
    <row r="21" spans="1:22" ht="15" customHeight="1">
      <c r="A21" s="106"/>
      <c r="B21" s="96">
        <v>286</v>
      </c>
      <c r="C21" s="96">
        <v>1445</v>
      </c>
      <c r="D21" s="96"/>
      <c r="E21" s="96"/>
      <c r="F21" s="96"/>
      <c r="G21" s="96">
        <v>977926</v>
      </c>
      <c r="H21" s="100">
        <v>45271</v>
      </c>
      <c r="I21" s="96" t="s">
        <v>203</v>
      </c>
      <c r="J21" s="96"/>
      <c r="K21" s="96" t="s">
        <v>338</v>
      </c>
      <c r="L21" s="96" t="s">
        <v>409</v>
      </c>
      <c r="M21" s="96" t="s">
        <v>409</v>
      </c>
      <c r="N21" s="96" t="s">
        <v>409</v>
      </c>
      <c r="O21" s="96" t="s">
        <v>1200</v>
      </c>
      <c r="P21" s="97">
        <v>1</v>
      </c>
      <c r="Q21" s="98">
        <v>3.5000000000000001E-3</v>
      </c>
      <c r="R21" s="96" t="s">
        <v>3678</v>
      </c>
      <c r="S21" s="97">
        <v>25.035430999999999</v>
      </c>
      <c r="T21" s="97">
        <v>25.035430999999999</v>
      </c>
      <c r="U21" s="98">
        <v>0.60077800000000003</v>
      </c>
      <c r="V21" s="106"/>
    </row>
    <row r="22" spans="1:22" ht="15" customHeight="1">
      <c r="A22" s="106"/>
      <c r="B22" s="96">
        <v>286</v>
      </c>
      <c r="C22" s="96">
        <v>1445</v>
      </c>
      <c r="D22" s="96"/>
      <c r="E22" s="96"/>
      <c r="F22" s="96"/>
      <c r="G22" s="96">
        <v>977865</v>
      </c>
      <c r="H22" s="100">
        <v>44418</v>
      </c>
      <c r="I22" s="96" t="s">
        <v>203</v>
      </c>
      <c r="J22" s="96"/>
      <c r="K22" s="96" t="s">
        <v>338</v>
      </c>
      <c r="L22" s="96" t="s">
        <v>1357</v>
      </c>
      <c r="M22" s="96" t="s">
        <v>414</v>
      </c>
      <c r="N22" s="96" t="s">
        <v>407</v>
      </c>
      <c r="O22" s="96" t="s">
        <v>1202</v>
      </c>
      <c r="P22" s="97">
        <v>4.0202</v>
      </c>
      <c r="Q22" s="98">
        <v>6.0000000000000001E-3</v>
      </c>
      <c r="R22" s="96" t="s">
        <v>3678</v>
      </c>
      <c r="S22" s="97">
        <v>0.355466</v>
      </c>
      <c r="T22" s="97">
        <v>1.429044</v>
      </c>
      <c r="U22" s="98">
        <v>1.0000020000000001</v>
      </c>
      <c r="V22" s="106"/>
    </row>
    <row r="23" spans="1:22" ht="15" customHeight="1">
      <c r="A23" s="106"/>
      <c r="B23" s="96">
        <v>286</v>
      </c>
      <c r="C23" s="96">
        <v>1445</v>
      </c>
      <c r="D23" s="96"/>
      <c r="E23" s="96"/>
      <c r="F23" s="96"/>
      <c r="G23" s="96">
        <v>977925</v>
      </c>
      <c r="H23" s="100">
        <v>45265</v>
      </c>
      <c r="I23" s="96" t="s">
        <v>203</v>
      </c>
      <c r="J23" s="96"/>
      <c r="K23" s="96" t="s">
        <v>338</v>
      </c>
      <c r="L23" s="96" t="s">
        <v>1357</v>
      </c>
      <c r="M23" s="96" t="s">
        <v>414</v>
      </c>
      <c r="N23" s="96" t="s">
        <v>407</v>
      </c>
      <c r="O23" s="96" t="s">
        <v>1200</v>
      </c>
      <c r="P23" s="97">
        <v>1</v>
      </c>
      <c r="Q23" s="98">
        <v>5.0000000000000001E-3</v>
      </c>
      <c r="R23" s="96" t="s">
        <v>3678</v>
      </c>
      <c r="S23" s="97">
        <v>4.2931379999999999</v>
      </c>
      <c r="T23" s="97">
        <v>4.2931379999999999</v>
      </c>
      <c r="U23" s="98">
        <v>1</v>
      </c>
      <c r="V23" s="106"/>
    </row>
    <row r="24" spans="1:22" ht="15" customHeight="1">
      <c r="A24" s="106"/>
      <c r="B24" s="96">
        <v>286</v>
      </c>
      <c r="C24" s="96">
        <v>1445</v>
      </c>
      <c r="D24" s="96"/>
      <c r="E24" s="96"/>
      <c r="F24" s="96"/>
      <c r="G24" s="96">
        <v>977802</v>
      </c>
      <c r="H24" s="100">
        <v>42915</v>
      </c>
      <c r="I24" s="96" t="s">
        <v>203</v>
      </c>
      <c r="J24" s="96"/>
      <c r="K24" s="96" t="s">
        <v>338</v>
      </c>
      <c r="L24" s="96" t="s">
        <v>1357</v>
      </c>
      <c r="M24" s="96" t="s">
        <v>414</v>
      </c>
      <c r="N24" s="96" t="s">
        <v>407</v>
      </c>
      <c r="O24" s="96" t="s">
        <v>1200</v>
      </c>
      <c r="P24" s="97">
        <v>1</v>
      </c>
      <c r="Q24" s="98">
        <v>6.0000000000000001E-3</v>
      </c>
      <c r="R24" s="96" t="s">
        <v>3678</v>
      </c>
      <c r="S24" s="97">
        <v>301.62</v>
      </c>
      <c r="T24" s="97">
        <v>301.62</v>
      </c>
      <c r="U24" s="98">
        <v>6.5249000000000001E-2</v>
      </c>
      <c r="V24" s="106"/>
    </row>
    <row r="25" spans="1:22" ht="15" customHeight="1">
      <c r="A25" s="106"/>
      <c r="B25" s="96">
        <v>286</v>
      </c>
      <c r="C25" s="96">
        <v>1445</v>
      </c>
      <c r="D25" s="96"/>
      <c r="E25" s="96"/>
      <c r="F25" s="96"/>
      <c r="G25" s="96">
        <v>977846</v>
      </c>
      <c r="H25" s="100">
        <v>44194</v>
      </c>
      <c r="I25" s="96" t="s">
        <v>203</v>
      </c>
      <c r="J25" s="96"/>
      <c r="K25" s="96" t="s">
        <v>338</v>
      </c>
      <c r="L25" s="96" t="s">
        <v>1357</v>
      </c>
      <c r="M25" s="96" t="s">
        <v>414</v>
      </c>
      <c r="N25" s="96" t="s">
        <v>407</v>
      </c>
      <c r="O25" s="96" t="s">
        <v>1200</v>
      </c>
      <c r="P25" s="97">
        <v>1</v>
      </c>
      <c r="Q25" s="98">
        <v>5.0000000000000001E-3</v>
      </c>
      <c r="R25" s="96" t="s">
        <v>3678</v>
      </c>
      <c r="S25" s="97">
        <v>0.36145699999999997</v>
      </c>
      <c r="T25" s="97">
        <v>0.36145699999999997</v>
      </c>
      <c r="U25" s="98">
        <v>1</v>
      </c>
      <c r="V25" s="106"/>
    </row>
    <row r="26" spans="1:22" ht="15" customHeight="1">
      <c r="A26" s="106"/>
      <c r="B26" s="96">
        <v>286</v>
      </c>
      <c r="C26" s="96">
        <v>1445</v>
      </c>
      <c r="D26" s="96"/>
      <c r="E26" s="96"/>
      <c r="F26" s="96"/>
      <c r="G26" s="96">
        <v>977974</v>
      </c>
      <c r="H26" s="100">
        <v>45459</v>
      </c>
      <c r="I26" s="96" t="s">
        <v>203</v>
      </c>
      <c r="J26" s="96"/>
      <c r="K26" s="96" t="s">
        <v>338</v>
      </c>
      <c r="L26" s="96" t="s">
        <v>1208</v>
      </c>
      <c r="M26" s="96" t="s">
        <v>311</v>
      </c>
      <c r="N26" s="96" t="s">
        <v>407</v>
      </c>
      <c r="O26" s="96" t="s">
        <v>1200</v>
      </c>
      <c r="P26" s="97">
        <v>1</v>
      </c>
      <c r="Q26" s="98">
        <v>3.0000000000000001E-3</v>
      </c>
      <c r="R26" s="96" t="s">
        <v>3678</v>
      </c>
      <c r="S26" s="97">
        <v>14.830551</v>
      </c>
      <c r="T26" s="97">
        <v>14.830551</v>
      </c>
      <c r="U26" s="98">
        <v>1</v>
      </c>
      <c r="V26" s="106"/>
    </row>
    <row r="27" spans="1:22" ht="15" customHeight="1">
      <c r="A27" s="106"/>
      <c r="B27" s="96">
        <v>286</v>
      </c>
      <c r="C27" s="96">
        <v>1445</v>
      </c>
      <c r="D27" s="96"/>
      <c r="E27" s="96"/>
      <c r="F27" s="96"/>
      <c r="G27" s="96">
        <v>977894</v>
      </c>
      <c r="H27" s="100">
        <v>44882</v>
      </c>
      <c r="I27" s="96" t="s">
        <v>203</v>
      </c>
      <c r="J27" s="96"/>
      <c r="K27" s="96" t="s">
        <v>338</v>
      </c>
      <c r="L27" s="96" t="s">
        <v>3679</v>
      </c>
      <c r="M27" s="96" t="s">
        <v>311</v>
      </c>
      <c r="N27" s="96" t="s">
        <v>407</v>
      </c>
      <c r="O27" s="96" t="s">
        <v>1200</v>
      </c>
      <c r="P27" s="97">
        <v>1</v>
      </c>
      <c r="Q27" s="98">
        <v>1.5E-3</v>
      </c>
      <c r="R27" s="96" t="s">
        <v>3678</v>
      </c>
      <c r="S27" s="97">
        <v>18.943356999999999</v>
      </c>
      <c r="T27" s="97">
        <v>18.943356999999999</v>
      </c>
      <c r="U27" s="98">
        <v>0.45518999999999998</v>
      </c>
      <c r="V27" s="106"/>
    </row>
    <row r="28" spans="1:22" ht="15" customHeight="1">
      <c r="A28" s="106"/>
      <c r="B28" s="96">
        <v>286</v>
      </c>
      <c r="C28" s="96">
        <v>1445</v>
      </c>
      <c r="D28" s="96"/>
      <c r="E28" s="96"/>
      <c r="F28" s="96"/>
      <c r="G28" s="96">
        <v>977909</v>
      </c>
      <c r="H28" s="100">
        <v>45111</v>
      </c>
      <c r="I28" s="96" t="s">
        <v>203</v>
      </c>
      <c r="J28" s="96"/>
      <c r="K28" s="96" t="s">
        <v>338</v>
      </c>
      <c r="L28" s="96" t="s">
        <v>1357</v>
      </c>
      <c r="M28" s="96" t="s">
        <v>414</v>
      </c>
      <c r="N28" s="96" t="s">
        <v>407</v>
      </c>
      <c r="O28" s="96" t="s">
        <v>1200</v>
      </c>
      <c r="P28" s="97">
        <v>1</v>
      </c>
      <c r="Q28" s="98">
        <v>7.7000000000000002E-3</v>
      </c>
      <c r="R28" s="96" t="s">
        <v>3678</v>
      </c>
      <c r="S28" s="97">
        <v>24.364944999999999</v>
      </c>
      <c r="T28" s="97">
        <v>24.364944999999999</v>
      </c>
      <c r="U28" s="98">
        <v>0.85183500000000001</v>
      </c>
      <c r="V28" s="106"/>
    </row>
    <row r="29" spans="1:22" ht="15" customHeight="1">
      <c r="A29" s="106"/>
      <c r="B29" s="96">
        <v>286</v>
      </c>
      <c r="C29" s="96">
        <v>1445</v>
      </c>
      <c r="D29" s="96"/>
      <c r="E29" s="96"/>
      <c r="F29" s="96"/>
      <c r="G29" s="96">
        <v>977931</v>
      </c>
      <c r="H29" s="100">
        <v>45393</v>
      </c>
      <c r="I29" s="96" t="s">
        <v>203</v>
      </c>
      <c r="J29" s="96"/>
      <c r="K29" s="96" t="s">
        <v>338</v>
      </c>
      <c r="L29" s="96" t="s">
        <v>3681</v>
      </c>
      <c r="M29" s="96" t="s">
        <v>311</v>
      </c>
      <c r="N29" s="96" t="s">
        <v>407</v>
      </c>
      <c r="O29" s="96" t="s">
        <v>1200</v>
      </c>
      <c r="P29" s="97">
        <v>1</v>
      </c>
      <c r="Q29" s="98">
        <v>0</v>
      </c>
      <c r="R29" s="96" t="s">
        <v>3678</v>
      </c>
      <c r="S29" s="97">
        <v>7.4179050000000002</v>
      </c>
      <c r="T29" s="97">
        <v>7.4179050000000002</v>
      </c>
      <c r="U29" s="98">
        <v>0.49999900000000003</v>
      </c>
      <c r="V29" s="106"/>
    </row>
    <row r="30" spans="1:22" ht="15" customHeight="1">
      <c r="A30" s="106"/>
      <c r="B30" s="96">
        <v>286</v>
      </c>
      <c r="C30" s="96">
        <v>1445</v>
      </c>
      <c r="D30" s="96"/>
      <c r="E30" s="96"/>
      <c r="F30" s="96"/>
      <c r="G30" s="96">
        <v>977878</v>
      </c>
      <c r="H30" s="100">
        <v>44712</v>
      </c>
      <c r="I30" s="96" t="s">
        <v>203</v>
      </c>
      <c r="J30" s="96"/>
      <c r="K30" s="96" t="s">
        <v>338</v>
      </c>
      <c r="L30" s="96" t="s">
        <v>1208</v>
      </c>
      <c r="M30" s="96" t="s">
        <v>311</v>
      </c>
      <c r="N30" s="96" t="s">
        <v>407</v>
      </c>
      <c r="O30" s="96" t="s">
        <v>1200</v>
      </c>
      <c r="P30" s="97">
        <v>1</v>
      </c>
      <c r="Q30" s="98">
        <v>6.0000000000000001E-3</v>
      </c>
      <c r="R30" s="96" t="s">
        <v>3678</v>
      </c>
      <c r="S30" s="97">
        <v>0.196518</v>
      </c>
      <c r="T30" s="97">
        <v>0.196518</v>
      </c>
      <c r="U30" s="98">
        <v>1</v>
      </c>
      <c r="V30" s="106"/>
    </row>
    <row r="31" spans="1:22" ht="15" customHeight="1">
      <c r="A31" s="106"/>
      <c r="B31" s="96">
        <v>286</v>
      </c>
      <c r="C31" s="96">
        <v>1445</v>
      </c>
      <c r="D31" s="96"/>
      <c r="E31" s="96"/>
      <c r="F31" s="96"/>
      <c r="G31" s="96">
        <v>977972</v>
      </c>
      <c r="H31" s="100">
        <v>45442</v>
      </c>
      <c r="I31" s="96" t="s">
        <v>203</v>
      </c>
      <c r="J31" s="96"/>
      <c r="K31" s="96" t="s">
        <v>338</v>
      </c>
      <c r="L31" s="96" t="s">
        <v>409</v>
      </c>
      <c r="M31" s="96" t="s">
        <v>409</v>
      </c>
      <c r="N31" s="96" t="s">
        <v>409</v>
      </c>
      <c r="O31" s="96" t="s">
        <v>1200</v>
      </c>
      <c r="P31" s="97">
        <v>1</v>
      </c>
      <c r="Q31" s="98">
        <v>4.0000000000000001E-3</v>
      </c>
      <c r="R31" s="96" t="s">
        <v>3678</v>
      </c>
      <c r="S31" s="97">
        <v>49.111803000000002</v>
      </c>
      <c r="T31" s="97">
        <v>49.111803000000002</v>
      </c>
      <c r="U31" s="98">
        <v>1</v>
      </c>
      <c r="V31" s="106"/>
    </row>
    <row r="32" spans="1:22" ht="15" customHeight="1">
      <c r="A32" s="106"/>
      <c r="B32" s="96">
        <v>286</v>
      </c>
      <c r="C32" s="96">
        <v>1445</v>
      </c>
      <c r="D32" s="96"/>
      <c r="E32" s="96"/>
      <c r="F32" s="96"/>
      <c r="G32" s="96">
        <v>977844</v>
      </c>
      <c r="H32" s="100">
        <v>44194</v>
      </c>
      <c r="I32" s="96" t="s">
        <v>203</v>
      </c>
      <c r="J32" s="96"/>
      <c r="K32" s="96" t="s">
        <v>338</v>
      </c>
      <c r="L32" s="96" t="s">
        <v>1520</v>
      </c>
      <c r="M32" s="96" t="s">
        <v>414</v>
      </c>
      <c r="N32" s="96" t="s">
        <v>407</v>
      </c>
      <c r="O32" s="96" t="s">
        <v>1200</v>
      </c>
      <c r="P32" s="97">
        <v>1</v>
      </c>
      <c r="Q32" s="98">
        <v>5.0000000000000001E-3</v>
      </c>
      <c r="R32" s="96" t="s">
        <v>3678</v>
      </c>
      <c r="S32" s="97">
        <v>0.93684900000000004</v>
      </c>
      <c r="T32" s="97">
        <v>0.93684900000000004</v>
      </c>
      <c r="U32" s="98">
        <v>1</v>
      </c>
      <c r="V32" s="106"/>
    </row>
    <row r="33" spans="1:22" ht="15" customHeight="1">
      <c r="A33" s="106"/>
      <c r="B33" s="96">
        <v>286</v>
      </c>
      <c r="C33" s="96">
        <v>1445</v>
      </c>
      <c r="D33" s="96"/>
      <c r="E33" s="96"/>
      <c r="F33" s="96"/>
      <c r="G33" s="96">
        <v>977862</v>
      </c>
      <c r="H33" s="100">
        <v>44418</v>
      </c>
      <c r="I33" s="96" t="s">
        <v>203</v>
      </c>
      <c r="J33" s="96"/>
      <c r="K33" s="96" t="s">
        <v>338</v>
      </c>
      <c r="L33" s="96" t="s">
        <v>1357</v>
      </c>
      <c r="M33" s="96" t="s">
        <v>414</v>
      </c>
      <c r="N33" s="96" t="s">
        <v>407</v>
      </c>
      <c r="O33" s="96" t="s">
        <v>1202</v>
      </c>
      <c r="P33" s="97">
        <v>4.0202</v>
      </c>
      <c r="Q33" s="98">
        <v>6.0000000000000001E-3</v>
      </c>
      <c r="R33" s="96" t="s">
        <v>3678</v>
      </c>
      <c r="S33" s="97">
        <v>3.4435859999999998</v>
      </c>
      <c r="T33" s="97">
        <v>13.843904</v>
      </c>
      <c r="U33" s="98">
        <v>0.54483899999999996</v>
      </c>
      <c r="V33" s="106"/>
    </row>
    <row r="34" spans="1:22" ht="15" customHeight="1">
      <c r="A34" s="106"/>
      <c r="B34" s="96">
        <v>286</v>
      </c>
      <c r="C34" s="96">
        <v>1445</v>
      </c>
      <c r="D34" s="96"/>
      <c r="E34" s="96"/>
      <c r="F34" s="96"/>
      <c r="G34" s="96">
        <v>977877</v>
      </c>
      <c r="H34" s="100">
        <v>44712</v>
      </c>
      <c r="I34" s="96" t="s">
        <v>203</v>
      </c>
      <c r="J34" s="96"/>
      <c r="K34" s="96" t="s">
        <v>338</v>
      </c>
      <c r="L34" s="96" t="s">
        <v>3686</v>
      </c>
      <c r="M34" s="96" t="s">
        <v>414</v>
      </c>
      <c r="N34" s="96" t="s">
        <v>407</v>
      </c>
      <c r="O34" s="96" t="s">
        <v>1200</v>
      </c>
      <c r="P34" s="97">
        <v>1</v>
      </c>
      <c r="Q34" s="98">
        <v>6.0000000000000001E-3</v>
      </c>
      <c r="R34" s="96" t="s">
        <v>3678</v>
      </c>
      <c r="S34" s="97">
        <v>8.4222000000000005E-2</v>
      </c>
      <c r="T34" s="97">
        <v>8.4222000000000005E-2</v>
      </c>
      <c r="U34" s="98">
        <v>1</v>
      </c>
      <c r="V34" s="106"/>
    </row>
    <row r="35" spans="1:22" ht="15" customHeight="1">
      <c r="A35" s="106"/>
      <c r="B35" s="96">
        <v>286</v>
      </c>
      <c r="C35" s="96">
        <v>1445</v>
      </c>
      <c r="D35" s="96"/>
      <c r="E35" s="96"/>
      <c r="F35" s="96"/>
      <c r="G35" s="96">
        <v>977888</v>
      </c>
      <c r="H35" s="100">
        <v>44802</v>
      </c>
      <c r="I35" s="96" t="s">
        <v>203</v>
      </c>
      <c r="J35" s="96"/>
      <c r="K35" s="96" t="s">
        <v>338</v>
      </c>
      <c r="L35" s="96" t="s">
        <v>1357</v>
      </c>
      <c r="M35" s="96" t="s">
        <v>414</v>
      </c>
      <c r="N35" s="96" t="s">
        <v>407</v>
      </c>
      <c r="O35" s="96" t="s">
        <v>1200</v>
      </c>
      <c r="P35" s="97">
        <v>1</v>
      </c>
      <c r="Q35" s="98">
        <v>4.0000000000000001E-3</v>
      </c>
      <c r="R35" s="96" t="s">
        <v>3678</v>
      </c>
      <c r="S35" s="97">
        <v>11.407297</v>
      </c>
      <c r="T35" s="97">
        <v>11.407297</v>
      </c>
      <c r="U35" s="98">
        <v>0.59868299999999997</v>
      </c>
      <c r="V35" s="106"/>
    </row>
    <row r="36" spans="1:22" ht="15" customHeight="1">
      <c r="A36" s="106"/>
      <c r="B36" s="96">
        <v>286</v>
      </c>
      <c r="C36" s="96">
        <v>1445</v>
      </c>
      <c r="D36" s="96"/>
      <c r="E36" s="96"/>
      <c r="F36" s="96"/>
      <c r="G36" s="96">
        <v>977908</v>
      </c>
      <c r="H36" s="100">
        <v>45111</v>
      </c>
      <c r="I36" s="96" t="s">
        <v>203</v>
      </c>
      <c r="J36" s="96"/>
      <c r="K36" s="96" t="s">
        <v>338</v>
      </c>
      <c r="L36" s="96" t="s">
        <v>1357</v>
      </c>
      <c r="M36" s="96" t="s">
        <v>414</v>
      </c>
      <c r="N36" s="96" t="s">
        <v>407</v>
      </c>
      <c r="O36" s="96" t="s">
        <v>1200</v>
      </c>
      <c r="P36" s="97">
        <v>1</v>
      </c>
      <c r="Q36" s="98">
        <v>7.7000000000000002E-3</v>
      </c>
      <c r="R36" s="96" t="s">
        <v>3678</v>
      </c>
      <c r="S36" s="97">
        <v>25.205116</v>
      </c>
      <c r="T36" s="97">
        <v>25.205116</v>
      </c>
      <c r="U36" s="98">
        <v>0.91797200000000001</v>
      </c>
      <c r="V36" s="106"/>
    </row>
    <row r="37" spans="1:22" ht="15" customHeight="1">
      <c r="A37" s="106"/>
      <c r="B37" s="96">
        <v>286</v>
      </c>
      <c r="C37" s="96">
        <v>1445</v>
      </c>
      <c r="D37" s="96"/>
      <c r="E37" s="96"/>
      <c r="F37" s="96"/>
      <c r="G37" s="96">
        <v>977927</v>
      </c>
      <c r="H37" s="100">
        <v>45273</v>
      </c>
      <c r="I37" s="96" t="s">
        <v>203</v>
      </c>
      <c r="J37" s="96"/>
      <c r="K37" s="96" t="s">
        <v>338</v>
      </c>
      <c r="L37" s="96" t="s">
        <v>1357</v>
      </c>
      <c r="M37" s="96" t="s">
        <v>414</v>
      </c>
      <c r="N37" s="96" t="s">
        <v>407</v>
      </c>
      <c r="O37" s="96" t="s">
        <v>1200</v>
      </c>
      <c r="P37" s="97">
        <v>1</v>
      </c>
      <c r="Q37" s="98">
        <v>6.0000000000000001E-3</v>
      </c>
      <c r="R37" s="96" t="s">
        <v>3678</v>
      </c>
      <c r="S37" s="97">
        <v>25.113</v>
      </c>
      <c r="T37" s="97">
        <v>25.113</v>
      </c>
      <c r="U37" s="98">
        <v>0.16</v>
      </c>
      <c r="V37" s="106"/>
    </row>
    <row r="38" spans="1:22" ht="15" customHeight="1">
      <c r="A38" s="106"/>
      <c r="B38" s="96">
        <v>286</v>
      </c>
      <c r="C38" s="96">
        <v>1445</v>
      </c>
      <c r="D38" s="96"/>
      <c r="E38" s="96"/>
      <c r="F38" s="96"/>
      <c r="G38" s="96">
        <v>977968</v>
      </c>
      <c r="H38" s="100">
        <v>45428</v>
      </c>
      <c r="I38" s="96" t="s">
        <v>203</v>
      </c>
      <c r="J38" s="96"/>
      <c r="K38" s="96" t="s">
        <v>338</v>
      </c>
      <c r="L38" s="96" t="s">
        <v>1520</v>
      </c>
      <c r="M38" s="96" t="s">
        <v>414</v>
      </c>
      <c r="N38" s="96" t="s">
        <v>407</v>
      </c>
      <c r="O38" s="96" t="s">
        <v>1200</v>
      </c>
      <c r="P38" s="97">
        <v>1</v>
      </c>
      <c r="Q38" s="98">
        <v>6.0000000000000001E-3</v>
      </c>
      <c r="R38" s="96" t="s">
        <v>3678</v>
      </c>
      <c r="S38" s="97">
        <v>3.0046780000000002</v>
      </c>
      <c r="T38" s="97">
        <v>3.0046780000000002</v>
      </c>
      <c r="U38" s="98">
        <v>1</v>
      </c>
      <c r="V38" s="106"/>
    </row>
    <row r="39" spans="1:22" ht="15" customHeight="1">
      <c r="A39" s="106"/>
      <c r="B39" s="96">
        <v>286</v>
      </c>
      <c r="C39" s="96">
        <v>1445</v>
      </c>
      <c r="D39" s="96"/>
      <c r="E39" s="96"/>
      <c r="F39" s="96"/>
      <c r="G39" s="96">
        <v>977882</v>
      </c>
      <c r="H39" s="100">
        <v>44790</v>
      </c>
      <c r="I39" s="96" t="s">
        <v>203</v>
      </c>
      <c r="J39" s="96"/>
      <c r="K39" s="96" t="s">
        <v>338</v>
      </c>
      <c r="L39" s="96" t="s">
        <v>3683</v>
      </c>
      <c r="M39" s="96" t="s">
        <v>412</v>
      </c>
      <c r="N39" s="96" t="s">
        <v>407</v>
      </c>
      <c r="O39" s="96" t="s">
        <v>1200</v>
      </c>
      <c r="P39" s="97">
        <v>1</v>
      </c>
      <c r="Q39" s="98">
        <v>5.0000000000000001E-3</v>
      </c>
      <c r="R39" s="96" t="s">
        <v>3678</v>
      </c>
      <c r="S39" s="97">
        <v>3.4707150000000002</v>
      </c>
      <c r="T39" s="97">
        <v>3.4707150000000002</v>
      </c>
      <c r="U39" s="98">
        <v>1</v>
      </c>
      <c r="V39" s="106"/>
    </row>
    <row r="40" spans="1:22" ht="15" customHeight="1">
      <c r="A40" s="106"/>
      <c r="B40" s="96">
        <v>286</v>
      </c>
      <c r="C40" s="96">
        <v>1445</v>
      </c>
      <c r="D40" s="96"/>
      <c r="E40" s="96"/>
      <c r="F40" s="96"/>
      <c r="G40" s="96">
        <v>977887</v>
      </c>
      <c r="H40" s="100">
        <v>44802</v>
      </c>
      <c r="I40" s="96" t="s">
        <v>203</v>
      </c>
      <c r="J40" s="96"/>
      <c r="K40" s="96" t="s">
        <v>338</v>
      </c>
      <c r="L40" s="96" t="s">
        <v>1357</v>
      </c>
      <c r="M40" s="96" t="s">
        <v>414</v>
      </c>
      <c r="N40" s="96" t="s">
        <v>407</v>
      </c>
      <c r="O40" s="96" t="s">
        <v>1200</v>
      </c>
      <c r="P40" s="97">
        <v>1</v>
      </c>
      <c r="Q40" s="98">
        <v>4.0000000000000001E-3</v>
      </c>
      <c r="R40" s="96" t="s">
        <v>3678</v>
      </c>
      <c r="S40" s="97">
        <v>1.891516</v>
      </c>
      <c r="T40" s="97">
        <v>1.891516</v>
      </c>
      <c r="U40" s="98">
        <v>1</v>
      </c>
      <c r="V40" s="106"/>
    </row>
    <row r="41" spans="1:22" ht="15" customHeight="1">
      <c r="A41" s="106"/>
      <c r="B41" s="96">
        <v>286</v>
      </c>
      <c r="C41" s="96">
        <v>1445</v>
      </c>
      <c r="D41" s="96"/>
      <c r="E41" s="96"/>
      <c r="F41" s="96"/>
      <c r="G41" s="96">
        <v>977920</v>
      </c>
      <c r="H41" s="100">
        <v>45210</v>
      </c>
      <c r="I41" s="96" t="s">
        <v>203</v>
      </c>
      <c r="J41" s="96"/>
      <c r="K41" s="96" t="s">
        <v>338</v>
      </c>
      <c r="L41" s="96" t="s">
        <v>409</v>
      </c>
      <c r="M41" s="96" t="s">
        <v>409</v>
      </c>
      <c r="N41" s="96" t="s">
        <v>409</v>
      </c>
      <c r="O41" s="96" t="s">
        <v>1200</v>
      </c>
      <c r="P41" s="97">
        <v>1</v>
      </c>
      <c r="Q41" s="98">
        <v>3.0000000000000001E-3</v>
      </c>
      <c r="R41" s="96" t="s">
        <v>3678</v>
      </c>
      <c r="S41" s="97">
        <v>5.5912459999999999</v>
      </c>
      <c r="T41" s="97">
        <v>5.5912459999999999</v>
      </c>
      <c r="U41" s="98">
        <v>0.850746</v>
      </c>
      <c r="V41" s="106"/>
    </row>
    <row r="42" spans="1:22" ht="15" customHeight="1">
      <c r="A42" s="106"/>
      <c r="B42" s="96">
        <v>286</v>
      </c>
      <c r="C42" s="96">
        <v>1445</v>
      </c>
      <c r="D42" s="96"/>
      <c r="E42" s="96"/>
      <c r="F42" s="96"/>
      <c r="G42" s="96">
        <v>977847</v>
      </c>
      <c r="H42" s="100">
        <v>44194</v>
      </c>
      <c r="I42" s="96" t="s">
        <v>203</v>
      </c>
      <c r="J42" s="96"/>
      <c r="K42" s="96" t="s">
        <v>338</v>
      </c>
      <c r="L42" s="96" t="s">
        <v>1520</v>
      </c>
      <c r="M42" s="96" t="s">
        <v>414</v>
      </c>
      <c r="N42" s="96" t="s">
        <v>407</v>
      </c>
      <c r="O42" s="96" t="s">
        <v>1200</v>
      </c>
      <c r="P42" s="97">
        <v>1</v>
      </c>
      <c r="Q42" s="98">
        <v>5.0000000000000001E-3</v>
      </c>
      <c r="R42" s="96" t="s">
        <v>3678</v>
      </c>
      <c r="S42" s="97">
        <v>5.4466000000000001E-2</v>
      </c>
      <c r="T42" s="97">
        <v>5.4466000000000001E-2</v>
      </c>
      <c r="U42" s="98">
        <v>1</v>
      </c>
      <c r="V42" s="106"/>
    </row>
    <row r="43" spans="1:22" ht="15" customHeight="1">
      <c r="A43" s="106"/>
      <c r="B43" s="96">
        <v>286</v>
      </c>
      <c r="C43" s="96">
        <v>1445</v>
      </c>
      <c r="D43" s="96"/>
      <c r="E43" s="96"/>
      <c r="F43" s="96"/>
      <c r="G43" s="96">
        <v>977886</v>
      </c>
      <c r="H43" s="100">
        <v>44802</v>
      </c>
      <c r="I43" s="96" t="s">
        <v>203</v>
      </c>
      <c r="J43" s="96"/>
      <c r="K43" s="96" t="s">
        <v>338</v>
      </c>
      <c r="L43" s="96" t="s">
        <v>1357</v>
      </c>
      <c r="M43" s="96" t="s">
        <v>414</v>
      </c>
      <c r="N43" s="96" t="s">
        <v>407</v>
      </c>
      <c r="O43" s="96" t="s">
        <v>1200</v>
      </c>
      <c r="P43" s="97">
        <v>1</v>
      </c>
      <c r="Q43" s="98">
        <v>4.0000000000000001E-3</v>
      </c>
      <c r="R43" s="96" t="s">
        <v>3678</v>
      </c>
      <c r="S43" s="97">
        <v>7.4205629999999996</v>
      </c>
      <c r="T43" s="97">
        <v>7.4205629999999996</v>
      </c>
      <c r="U43" s="98">
        <v>0.95127499999999998</v>
      </c>
      <c r="V43" s="106"/>
    </row>
    <row r="44" spans="1:22" ht="15" customHeight="1">
      <c r="A44" s="106"/>
      <c r="B44" s="96">
        <v>286</v>
      </c>
      <c r="C44" s="96">
        <v>1445</v>
      </c>
      <c r="D44" s="96"/>
      <c r="E44" s="96"/>
      <c r="F44" s="96"/>
      <c r="G44" s="96">
        <v>977916</v>
      </c>
      <c r="H44" s="100">
        <v>45173</v>
      </c>
      <c r="I44" s="96" t="s">
        <v>203</v>
      </c>
      <c r="J44" s="96"/>
      <c r="K44" s="96" t="s">
        <v>337</v>
      </c>
      <c r="L44" s="96" t="s">
        <v>1309</v>
      </c>
      <c r="M44" s="96" t="s">
        <v>414</v>
      </c>
      <c r="N44" s="96" t="s">
        <v>407</v>
      </c>
      <c r="O44" s="96" t="s">
        <v>1200</v>
      </c>
      <c r="P44" s="97">
        <v>1</v>
      </c>
      <c r="Q44" s="98">
        <v>2.5000000000000001E-3</v>
      </c>
      <c r="R44" s="96" t="s">
        <v>3678</v>
      </c>
      <c r="S44" s="97">
        <v>34.215088999999999</v>
      </c>
      <c r="T44" s="97">
        <v>34.215088999999999</v>
      </c>
      <c r="U44" s="98">
        <v>0.43902400000000003</v>
      </c>
      <c r="V44" s="106"/>
    </row>
    <row r="45" spans="1:22" ht="15" customHeight="1">
      <c r="A45" s="106"/>
      <c r="B45" s="96">
        <v>286</v>
      </c>
      <c r="C45" s="96">
        <v>1445</v>
      </c>
      <c r="D45" s="96"/>
      <c r="E45" s="96"/>
      <c r="F45" s="96"/>
      <c r="G45" s="96">
        <v>977901</v>
      </c>
      <c r="H45" s="100">
        <v>45011</v>
      </c>
      <c r="I45" s="96" t="s">
        <v>203</v>
      </c>
      <c r="J45" s="96"/>
      <c r="K45" s="96" t="s">
        <v>338</v>
      </c>
      <c r="L45" s="96" t="s">
        <v>409</v>
      </c>
      <c r="M45" s="96" t="s">
        <v>409</v>
      </c>
      <c r="N45" s="96" t="s">
        <v>409</v>
      </c>
      <c r="O45" s="96" t="s">
        <v>1200</v>
      </c>
      <c r="P45" s="97">
        <v>1</v>
      </c>
      <c r="Q45" s="98">
        <v>4.0000000000000001E-3</v>
      </c>
      <c r="R45" s="96" t="s">
        <v>3678</v>
      </c>
      <c r="S45" s="97">
        <v>13.581721</v>
      </c>
      <c r="T45" s="97">
        <v>13.581721</v>
      </c>
      <c r="U45" s="98">
        <v>0.83008400000000004</v>
      </c>
      <c r="V45" s="106"/>
    </row>
    <row r="46" spans="1:22" ht="15" customHeight="1">
      <c r="A46" s="106"/>
      <c r="B46" s="96">
        <v>286</v>
      </c>
      <c r="C46" s="96">
        <v>1445</v>
      </c>
      <c r="D46" s="96"/>
      <c r="E46" s="96"/>
      <c r="F46" s="96"/>
      <c r="G46" s="96">
        <v>977903</v>
      </c>
      <c r="H46" s="100">
        <v>45020</v>
      </c>
      <c r="I46" s="96" t="s">
        <v>203</v>
      </c>
      <c r="J46" s="96"/>
      <c r="K46" s="96" t="s">
        <v>338</v>
      </c>
      <c r="L46" s="96" t="s">
        <v>409</v>
      </c>
      <c r="M46" s="96" t="s">
        <v>409</v>
      </c>
      <c r="N46" s="96" t="s">
        <v>409</v>
      </c>
      <c r="O46" s="96" t="s">
        <v>1200</v>
      </c>
      <c r="P46" s="97">
        <v>1</v>
      </c>
      <c r="Q46" s="98">
        <v>5.0000000000000001E-3</v>
      </c>
      <c r="R46" s="96" t="s">
        <v>3678</v>
      </c>
      <c r="S46" s="97">
        <v>0.24582599999999999</v>
      </c>
      <c r="T46" s="97">
        <v>0.24582599999999999</v>
      </c>
      <c r="U46" s="98">
        <v>1</v>
      </c>
      <c r="V46" s="106"/>
    </row>
    <row r="47" spans="1:22" ht="15" customHeight="1">
      <c r="A47" s="106"/>
      <c r="B47" s="96">
        <v>286</v>
      </c>
      <c r="C47" s="96">
        <v>1445</v>
      </c>
      <c r="D47" s="96"/>
      <c r="E47" s="96"/>
      <c r="F47" s="96"/>
      <c r="G47" s="96">
        <v>977893</v>
      </c>
      <c r="H47" s="100">
        <v>44833</v>
      </c>
      <c r="I47" s="96" t="s">
        <v>203</v>
      </c>
      <c r="J47" s="96"/>
      <c r="K47" s="96" t="s">
        <v>338</v>
      </c>
      <c r="L47" s="96" t="s">
        <v>1520</v>
      </c>
      <c r="M47" s="96" t="s">
        <v>414</v>
      </c>
      <c r="N47" s="96" t="s">
        <v>407</v>
      </c>
      <c r="O47" s="96" t="s">
        <v>1200</v>
      </c>
      <c r="P47" s="97">
        <v>1</v>
      </c>
      <c r="Q47" s="98">
        <v>5.0000000000000001E-3</v>
      </c>
      <c r="R47" s="96" t="s">
        <v>3678</v>
      </c>
      <c r="S47" s="97">
        <v>0.19086600000000001</v>
      </c>
      <c r="T47" s="97">
        <v>0.19086600000000001</v>
      </c>
      <c r="U47" s="98">
        <v>1</v>
      </c>
      <c r="V47" s="106"/>
    </row>
    <row r="48" spans="1:22" ht="15" customHeight="1">
      <c r="A48" s="106"/>
      <c r="B48" s="96">
        <v>286</v>
      </c>
      <c r="C48" s="96">
        <v>1445</v>
      </c>
      <c r="D48" s="96"/>
      <c r="E48" s="96"/>
      <c r="F48" s="96"/>
      <c r="G48" s="96">
        <v>977912</v>
      </c>
      <c r="H48" s="100">
        <v>45162</v>
      </c>
      <c r="I48" s="96" t="s">
        <v>203</v>
      </c>
      <c r="J48" s="96"/>
      <c r="K48" s="96" t="s">
        <v>338</v>
      </c>
      <c r="L48" s="96" t="s">
        <v>1309</v>
      </c>
      <c r="M48" s="96" t="s">
        <v>414</v>
      </c>
      <c r="N48" s="96" t="s">
        <v>407</v>
      </c>
      <c r="O48" s="96" t="s">
        <v>1200</v>
      </c>
      <c r="P48" s="97">
        <v>1</v>
      </c>
      <c r="Q48" s="98">
        <v>5.0000000000000001E-3</v>
      </c>
      <c r="R48" s="96" t="s">
        <v>3678</v>
      </c>
      <c r="S48" s="97">
        <v>23.140176</v>
      </c>
      <c r="T48" s="97">
        <v>23.140176</v>
      </c>
      <c r="U48" s="98">
        <v>0.93083499999999997</v>
      </c>
      <c r="V48" s="106"/>
    </row>
    <row r="49" spans="1:22" ht="15" customHeight="1">
      <c r="A49" s="106"/>
      <c r="B49" s="96">
        <v>286</v>
      </c>
      <c r="C49" s="96">
        <v>1445</v>
      </c>
      <c r="D49" s="96"/>
      <c r="E49" s="96"/>
      <c r="F49" s="96"/>
      <c r="G49" s="96">
        <v>977924</v>
      </c>
      <c r="H49" s="100">
        <v>45265</v>
      </c>
      <c r="I49" s="96" t="s">
        <v>203</v>
      </c>
      <c r="J49" s="96"/>
      <c r="K49" s="96" t="s">
        <v>338</v>
      </c>
      <c r="L49" s="96" t="s">
        <v>1357</v>
      </c>
      <c r="M49" s="96" t="s">
        <v>414</v>
      </c>
      <c r="N49" s="96" t="s">
        <v>407</v>
      </c>
      <c r="O49" s="96" t="s">
        <v>1200</v>
      </c>
      <c r="P49" s="97">
        <v>1</v>
      </c>
      <c r="Q49" s="98">
        <v>5.0000000000000001E-3</v>
      </c>
      <c r="R49" s="96" t="s">
        <v>3678</v>
      </c>
      <c r="S49" s="97">
        <v>1.4489339999999999</v>
      </c>
      <c r="T49" s="97">
        <v>1.4489339999999999</v>
      </c>
      <c r="U49" s="98">
        <v>1</v>
      </c>
      <c r="V49" s="106"/>
    </row>
    <row r="50" spans="1:22" ht="15" customHeight="1">
      <c r="A50" s="106"/>
      <c r="B50" s="96">
        <v>286</v>
      </c>
      <c r="C50" s="96">
        <v>1445</v>
      </c>
      <c r="D50" s="96"/>
      <c r="E50" s="96"/>
      <c r="F50" s="96"/>
      <c r="G50" s="96">
        <v>977895</v>
      </c>
      <c r="H50" s="100">
        <v>44887</v>
      </c>
      <c r="I50" s="96" t="s">
        <v>203</v>
      </c>
      <c r="J50" s="96"/>
      <c r="K50" s="96" t="s">
        <v>338</v>
      </c>
      <c r="L50" s="96" t="s">
        <v>1328</v>
      </c>
      <c r="M50" s="96" t="s">
        <v>412</v>
      </c>
      <c r="N50" s="96" t="s">
        <v>407</v>
      </c>
      <c r="O50" s="96" t="s">
        <v>1200</v>
      </c>
      <c r="P50" s="97">
        <v>1</v>
      </c>
      <c r="Q50" s="98">
        <v>2.5000000000000001E-3</v>
      </c>
      <c r="R50" s="96" t="s">
        <v>3678</v>
      </c>
      <c r="S50" s="97">
        <v>42.316555999999999</v>
      </c>
      <c r="T50" s="97">
        <v>42.316555999999999</v>
      </c>
      <c r="U50" s="98">
        <v>0.17047000000000001</v>
      </c>
      <c r="V50" s="106"/>
    </row>
    <row r="51" spans="1:22" ht="15" customHeight="1">
      <c r="A51" s="106"/>
      <c r="B51" s="96">
        <v>286</v>
      </c>
      <c r="C51" s="96">
        <v>1445</v>
      </c>
      <c r="D51" s="96"/>
      <c r="E51" s="96"/>
      <c r="F51" s="96"/>
      <c r="G51" s="96">
        <v>977879</v>
      </c>
      <c r="H51" s="100">
        <v>44712</v>
      </c>
      <c r="I51" s="96" t="s">
        <v>203</v>
      </c>
      <c r="J51" s="96"/>
      <c r="K51" s="96" t="s">
        <v>338</v>
      </c>
      <c r="L51" s="96" t="s">
        <v>1357</v>
      </c>
      <c r="M51" s="96" t="s">
        <v>414</v>
      </c>
      <c r="N51" s="96" t="s">
        <v>407</v>
      </c>
      <c r="O51" s="96" t="s">
        <v>1200</v>
      </c>
      <c r="P51" s="97">
        <v>1</v>
      </c>
      <c r="Q51" s="98">
        <v>6.0000000000000001E-3</v>
      </c>
      <c r="R51" s="96" t="s">
        <v>3678</v>
      </c>
      <c r="S51" s="97">
        <v>0.92905400000000005</v>
      </c>
      <c r="T51" s="97">
        <v>0.92905400000000005</v>
      </c>
      <c r="U51" s="98">
        <v>1</v>
      </c>
      <c r="V51" s="106"/>
    </row>
    <row r="52" spans="1:22" ht="15" customHeight="1">
      <c r="A52" s="106"/>
      <c r="B52" s="96">
        <v>286</v>
      </c>
      <c r="C52" s="96">
        <v>1445</v>
      </c>
      <c r="D52" s="96"/>
      <c r="E52" s="96"/>
      <c r="F52" s="96"/>
      <c r="G52" s="96">
        <v>977922</v>
      </c>
      <c r="H52" s="100">
        <v>45265</v>
      </c>
      <c r="I52" s="96" t="s">
        <v>203</v>
      </c>
      <c r="J52" s="96"/>
      <c r="K52" s="96" t="s">
        <v>338</v>
      </c>
      <c r="L52" s="96" t="s">
        <v>1357</v>
      </c>
      <c r="M52" s="96" t="s">
        <v>414</v>
      </c>
      <c r="N52" s="96" t="s">
        <v>407</v>
      </c>
      <c r="O52" s="96" t="s">
        <v>1200</v>
      </c>
      <c r="P52" s="97">
        <v>1</v>
      </c>
      <c r="Q52" s="98">
        <v>5.0000000000000001E-3</v>
      </c>
      <c r="R52" s="96" t="s">
        <v>3678</v>
      </c>
      <c r="S52" s="97">
        <v>27.9054</v>
      </c>
      <c r="T52" s="97">
        <v>27.9054</v>
      </c>
      <c r="U52" s="98">
        <v>1</v>
      </c>
      <c r="V52" s="106"/>
    </row>
    <row r="53" spans="1:22" ht="15" customHeight="1">
      <c r="A53" s="106"/>
      <c r="B53" s="96">
        <v>286</v>
      </c>
      <c r="C53" s="96">
        <v>1445</v>
      </c>
      <c r="D53" s="96"/>
      <c r="E53" s="96"/>
      <c r="F53" s="96"/>
      <c r="G53" s="96">
        <v>977971</v>
      </c>
      <c r="H53" s="100">
        <v>45439</v>
      </c>
      <c r="I53" s="96" t="s">
        <v>203</v>
      </c>
      <c r="J53" s="96"/>
      <c r="K53" s="96" t="s">
        <v>338</v>
      </c>
      <c r="L53" s="96" t="s">
        <v>1328</v>
      </c>
      <c r="M53" s="96" t="s">
        <v>412</v>
      </c>
      <c r="N53" s="96" t="s">
        <v>407</v>
      </c>
      <c r="O53" s="96" t="s">
        <v>1200</v>
      </c>
      <c r="P53" s="97">
        <v>1</v>
      </c>
      <c r="Q53" s="98">
        <v>2.5000000000000001E-3</v>
      </c>
      <c r="R53" s="96" t="s">
        <v>3678</v>
      </c>
      <c r="S53" s="97">
        <v>18.544764000000001</v>
      </c>
      <c r="T53" s="97">
        <v>18.544764000000001</v>
      </c>
      <c r="U53" s="98">
        <v>1</v>
      </c>
      <c r="V53" s="106"/>
    </row>
    <row r="54" spans="1:22" ht="15" customHeight="1">
      <c r="A54" s="106"/>
      <c r="B54" s="96">
        <v>286</v>
      </c>
      <c r="C54" s="96">
        <v>1445</v>
      </c>
      <c r="D54" s="96"/>
      <c r="E54" s="96"/>
      <c r="F54" s="96"/>
      <c r="G54" s="96">
        <v>977913</v>
      </c>
      <c r="H54" s="100">
        <v>45162</v>
      </c>
      <c r="I54" s="96" t="s">
        <v>203</v>
      </c>
      <c r="J54" s="96"/>
      <c r="K54" s="96" t="s">
        <v>338</v>
      </c>
      <c r="L54" s="96" t="s">
        <v>1309</v>
      </c>
      <c r="M54" s="96" t="s">
        <v>414</v>
      </c>
      <c r="N54" s="96" t="s">
        <v>407</v>
      </c>
      <c r="O54" s="96" t="s">
        <v>1200</v>
      </c>
      <c r="P54" s="97">
        <v>1</v>
      </c>
      <c r="Q54" s="98">
        <v>1.0500000000000001E-2</v>
      </c>
      <c r="R54" s="96" t="s">
        <v>3678</v>
      </c>
      <c r="S54" s="97">
        <v>1.1348990000000001</v>
      </c>
      <c r="T54" s="97">
        <v>1.1348990000000001</v>
      </c>
      <c r="U54" s="98">
        <v>1</v>
      </c>
      <c r="V54" s="106"/>
    </row>
    <row r="55" spans="1:22" ht="15" customHeight="1">
      <c r="A55" s="106"/>
      <c r="B55" s="96">
        <v>286</v>
      </c>
      <c r="C55" s="96">
        <v>1445</v>
      </c>
      <c r="D55" s="96"/>
      <c r="E55" s="96"/>
      <c r="F55" s="96"/>
      <c r="G55" s="96">
        <v>977861</v>
      </c>
      <c r="H55" s="100">
        <v>44418</v>
      </c>
      <c r="I55" s="96" t="s">
        <v>203</v>
      </c>
      <c r="J55" s="96"/>
      <c r="K55" s="96" t="s">
        <v>338</v>
      </c>
      <c r="L55" s="96" t="s">
        <v>1357</v>
      </c>
      <c r="M55" s="96" t="s">
        <v>414</v>
      </c>
      <c r="N55" s="96" t="s">
        <v>407</v>
      </c>
      <c r="O55" s="96" t="s">
        <v>1202</v>
      </c>
      <c r="P55" s="97">
        <v>4.0202</v>
      </c>
      <c r="Q55" s="98">
        <v>6.0000000000000001E-3</v>
      </c>
      <c r="R55" s="96" t="s">
        <v>3678</v>
      </c>
      <c r="S55" s="97">
        <v>2.08629</v>
      </c>
      <c r="T55" s="97">
        <v>8.3873029999999993</v>
      </c>
      <c r="U55" s="98">
        <v>1.6360000000000001E-3</v>
      </c>
      <c r="V55" s="106"/>
    </row>
    <row r="56" spans="1:22" ht="15" customHeight="1">
      <c r="A56" s="106"/>
      <c r="B56" s="96">
        <v>286</v>
      </c>
      <c r="C56" s="96">
        <v>1445</v>
      </c>
      <c r="D56" s="96"/>
      <c r="E56" s="96"/>
      <c r="F56" s="96"/>
      <c r="G56" s="96">
        <v>977881</v>
      </c>
      <c r="H56" s="100">
        <v>44790</v>
      </c>
      <c r="I56" s="96" t="s">
        <v>203</v>
      </c>
      <c r="J56" s="96"/>
      <c r="K56" s="96" t="s">
        <v>338</v>
      </c>
      <c r="L56" s="96" t="s">
        <v>3683</v>
      </c>
      <c r="M56" s="96" t="s">
        <v>412</v>
      </c>
      <c r="N56" s="96" t="s">
        <v>407</v>
      </c>
      <c r="O56" s="96" t="s">
        <v>1200</v>
      </c>
      <c r="P56" s="97">
        <v>1</v>
      </c>
      <c r="Q56" s="98">
        <v>5.0000000000000001E-3</v>
      </c>
      <c r="R56" s="96" t="s">
        <v>3678</v>
      </c>
      <c r="S56" s="97">
        <v>32.798265999999998</v>
      </c>
      <c r="T56" s="97">
        <v>32.798265999999998</v>
      </c>
      <c r="U56" s="98">
        <v>0.51108399999999998</v>
      </c>
      <c r="V56" s="106"/>
    </row>
    <row r="57" spans="1:22" ht="15" customHeight="1">
      <c r="A57" s="106"/>
      <c r="B57" s="96">
        <v>286</v>
      </c>
      <c r="C57" s="96">
        <v>1445</v>
      </c>
      <c r="D57" s="96"/>
      <c r="E57" s="96"/>
      <c r="F57" s="96"/>
      <c r="G57" s="96">
        <v>977855</v>
      </c>
      <c r="H57" s="100">
        <v>44409</v>
      </c>
      <c r="I57" s="96" t="s">
        <v>204</v>
      </c>
      <c r="J57" s="96"/>
      <c r="K57" s="96" t="s">
        <v>338</v>
      </c>
      <c r="L57" s="96" t="s">
        <v>1324</v>
      </c>
      <c r="M57" s="96" t="s">
        <v>412</v>
      </c>
      <c r="N57" s="96" t="s">
        <v>407</v>
      </c>
      <c r="O57" s="96" t="s">
        <v>1201</v>
      </c>
      <c r="P57" s="97">
        <v>3.7589999999999999</v>
      </c>
      <c r="Q57" s="98">
        <v>1.4999999999999999E-2</v>
      </c>
      <c r="R57" s="96" t="s">
        <v>3678</v>
      </c>
      <c r="S57" s="97">
        <v>1.001417</v>
      </c>
      <c r="T57" s="97">
        <v>3.7643270000000002</v>
      </c>
      <c r="U57" s="98">
        <v>0.37254300000000001</v>
      </c>
      <c r="V57" s="106"/>
    </row>
    <row r="58" spans="1:22" ht="15" customHeight="1">
      <c r="A58" s="106"/>
      <c r="B58" s="96">
        <v>286</v>
      </c>
      <c r="C58" s="96">
        <v>1445</v>
      </c>
      <c r="D58" s="96"/>
      <c r="E58" s="96"/>
      <c r="F58" s="96"/>
      <c r="G58" s="96">
        <v>977875</v>
      </c>
      <c r="H58" s="100">
        <v>44665</v>
      </c>
      <c r="I58" s="96" t="s">
        <v>204</v>
      </c>
      <c r="J58" s="96"/>
      <c r="K58" s="96" t="s">
        <v>338</v>
      </c>
      <c r="L58" s="96" t="s">
        <v>1328</v>
      </c>
      <c r="M58" s="96" t="s">
        <v>412</v>
      </c>
      <c r="N58" s="96" t="s">
        <v>407</v>
      </c>
      <c r="O58" s="96" t="s">
        <v>1205</v>
      </c>
      <c r="P58" s="97">
        <v>4.7504999999999997</v>
      </c>
      <c r="Q58" s="98">
        <v>0</v>
      </c>
      <c r="R58" s="96" t="s">
        <v>3678</v>
      </c>
      <c r="S58" s="97">
        <v>4.7213060000000002</v>
      </c>
      <c r="T58" s="97">
        <v>22.428564000000001</v>
      </c>
      <c r="U58" s="98">
        <v>0.53556700000000002</v>
      </c>
      <c r="V58" s="106"/>
    </row>
    <row r="59" spans="1:22" ht="15" customHeight="1">
      <c r="A59" s="106"/>
      <c r="B59" s="96">
        <v>286</v>
      </c>
      <c r="C59" s="96">
        <v>1445</v>
      </c>
      <c r="D59" s="96"/>
      <c r="E59" s="96"/>
      <c r="F59" s="96"/>
      <c r="G59" s="96">
        <v>977904</v>
      </c>
      <c r="H59" s="100">
        <v>45054</v>
      </c>
      <c r="I59" s="96" t="s">
        <v>204</v>
      </c>
      <c r="J59" s="96"/>
      <c r="K59" s="96" t="s">
        <v>338</v>
      </c>
      <c r="L59" s="96" t="s">
        <v>409</v>
      </c>
      <c r="M59" s="96" t="s">
        <v>409</v>
      </c>
      <c r="N59" s="96" t="s">
        <v>409</v>
      </c>
      <c r="O59" s="96" t="s">
        <v>1201</v>
      </c>
      <c r="P59" s="97">
        <v>3.7589999999999999</v>
      </c>
      <c r="Q59" s="98">
        <v>0</v>
      </c>
      <c r="R59" s="96" t="s">
        <v>3678</v>
      </c>
      <c r="S59" s="97">
        <v>6.2588489999999997</v>
      </c>
      <c r="T59" s="97">
        <v>23.527013</v>
      </c>
      <c r="U59" s="98">
        <v>4.5490000000000001E-3</v>
      </c>
      <c r="V59" s="106"/>
    </row>
    <row r="60" spans="1:22" ht="15" customHeight="1">
      <c r="A60" s="106"/>
      <c r="B60" s="96">
        <v>286</v>
      </c>
      <c r="C60" s="96">
        <v>1445</v>
      </c>
      <c r="D60" s="96"/>
      <c r="E60" s="96"/>
      <c r="F60" s="96"/>
      <c r="G60" s="96">
        <v>977854</v>
      </c>
      <c r="H60" s="100">
        <v>44409</v>
      </c>
      <c r="I60" s="96" t="s">
        <v>204</v>
      </c>
      <c r="J60" s="96"/>
      <c r="K60" s="96" t="s">
        <v>338</v>
      </c>
      <c r="L60" s="96" t="s">
        <v>1324</v>
      </c>
      <c r="M60" s="96" t="s">
        <v>412</v>
      </c>
      <c r="N60" s="96" t="s">
        <v>407</v>
      </c>
      <c r="O60" s="96" t="s">
        <v>1201</v>
      </c>
      <c r="P60" s="97">
        <v>3.7589999999999999</v>
      </c>
      <c r="Q60" s="98">
        <v>1.4999999999999999E-2</v>
      </c>
      <c r="R60" s="96" t="s">
        <v>3678</v>
      </c>
      <c r="S60" s="97">
        <v>1.0039199999999999</v>
      </c>
      <c r="T60" s="97">
        <v>3.7737349999999998</v>
      </c>
      <c r="U60" s="98">
        <v>0.41184100000000001</v>
      </c>
      <c r="V60" s="106"/>
    </row>
    <row r="61" spans="1:22" ht="15" customHeight="1">
      <c r="A61" s="106"/>
      <c r="B61" s="96">
        <v>286</v>
      </c>
      <c r="C61" s="96">
        <v>1445</v>
      </c>
      <c r="D61" s="96"/>
      <c r="E61" s="96"/>
      <c r="F61" s="96"/>
      <c r="G61" s="96">
        <v>977860</v>
      </c>
      <c r="H61" s="100">
        <v>44409</v>
      </c>
      <c r="I61" s="96" t="s">
        <v>204</v>
      </c>
      <c r="J61" s="96"/>
      <c r="K61" s="96" t="s">
        <v>338</v>
      </c>
      <c r="L61" s="96" t="s">
        <v>1324</v>
      </c>
      <c r="M61" s="96" t="s">
        <v>412</v>
      </c>
      <c r="N61" s="96" t="s">
        <v>407</v>
      </c>
      <c r="O61" s="96" t="s">
        <v>1201</v>
      </c>
      <c r="P61" s="97">
        <v>3.7589999999999999</v>
      </c>
      <c r="Q61" s="98">
        <v>1.4999999999999999E-2</v>
      </c>
      <c r="R61" s="96" t="s">
        <v>3678</v>
      </c>
      <c r="S61" s="97">
        <v>2.4534720000000001</v>
      </c>
      <c r="T61" s="97">
        <v>9.2226009999999992</v>
      </c>
      <c r="U61" s="98">
        <v>0.31357200000000002</v>
      </c>
      <c r="V61" s="106"/>
    </row>
    <row r="62" spans="1:22" ht="15" customHeight="1">
      <c r="A62" s="106"/>
      <c r="B62" s="96">
        <v>286</v>
      </c>
      <c r="C62" s="96">
        <v>1445</v>
      </c>
      <c r="D62" s="96"/>
      <c r="E62" s="96"/>
      <c r="F62" s="96"/>
      <c r="G62" s="96">
        <v>977856</v>
      </c>
      <c r="H62" s="100">
        <v>44409</v>
      </c>
      <c r="I62" s="96" t="s">
        <v>204</v>
      </c>
      <c r="J62" s="96"/>
      <c r="K62" s="96" t="s">
        <v>338</v>
      </c>
      <c r="L62" s="96" t="s">
        <v>1324</v>
      </c>
      <c r="M62" s="96" t="s">
        <v>412</v>
      </c>
      <c r="N62" s="96" t="s">
        <v>407</v>
      </c>
      <c r="O62" s="96" t="s">
        <v>1201</v>
      </c>
      <c r="P62" s="97">
        <v>3.7589999999999999</v>
      </c>
      <c r="Q62" s="98">
        <v>1.4999999999999999E-2</v>
      </c>
      <c r="R62" s="96" t="s">
        <v>3678</v>
      </c>
      <c r="S62" s="97">
        <v>0.54827499999999996</v>
      </c>
      <c r="T62" s="97">
        <v>2.0609660000000001</v>
      </c>
      <c r="U62" s="98">
        <v>0.32645299999999999</v>
      </c>
      <c r="V62" s="106"/>
    </row>
    <row r="63" spans="1:22" ht="15" customHeight="1">
      <c r="A63" s="106"/>
      <c r="B63" s="96">
        <v>286</v>
      </c>
      <c r="C63" s="96">
        <v>286</v>
      </c>
      <c r="D63" s="96"/>
      <c r="E63" s="96"/>
      <c r="F63" s="96"/>
      <c r="G63" s="96">
        <v>977921</v>
      </c>
      <c r="H63" s="100">
        <v>45218</v>
      </c>
      <c r="I63" s="96" t="s">
        <v>203</v>
      </c>
      <c r="J63" s="96"/>
      <c r="K63" s="96" t="s">
        <v>337</v>
      </c>
      <c r="L63" s="96" t="s">
        <v>1328</v>
      </c>
      <c r="M63" s="96" t="s">
        <v>412</v>
      </c>
      <c r="N63" s="96" t="s">
        <v>407</v>
      </c>
      <c r="O63" s="96" t="s">
        <v>1200</v>
      </c>
      <c r="P63" s="97">
        <v>1</v>
      </c>
      <c r="Q63" s="98">
        <v>2.5000000000000001E-3</v>
      </c>
      <c r="R63" s="96" t="s">
        <v>3678</v>
      </c>
      <c r="S63" s="97">
        <v>847.44937200000004</v>
      </c>
      <c r="T63" s="97">
        <v>847.44937200000004</v>
      </c>
      <c r="U63" s="98">
        <v>1</v>
      </c>
      <c r="V63" s="106"/>
    </row>
    <row r="64" spans="1:22" ht="15" customHeight="1">
      <c r="A64" s="106"/>
      <c r="B64" s="96">
        <v>286</v>
      </c>
      <c r="C64" s="96">
        <v>286</v>
      </c>
      <c r="D64" s="96"/>
      <c r="E64" s="96"/>
      <c r="F64" s="96"/>
      <c r="G64" s="96">
        <v>977847</v>
      </c>
      <c r="H64" s="100">
        <v>44194</v>
      </c>
      <c r="I64" s="96" t="s">
        <v>203</v>
      </c>
      <c r="J64" s="96"/>
      <c r="K64" s="96" t="s">
        <v>338</v>
      </c>
      <c r="L64" s="96" t="s">
        <v>1520</v>
      </c>
      <c r="M64" s="96" t="s">
        <v>414</v>
      </c>
      <c r="N64" s="96" t="s">
        <v>407</v>
      </c>
      <c r="O64" s="96" t="s">
        <v>1200</v>
      </c>
      <c r="P64" s="97">
        <v>1</v>
      </c>
      <c r="Q64" s="98">
        <v>5.0000000000000001E-3</v>
      </c>
      <c r="R64" s="96" t="s">
        <v>3678</v>
      </c>
      <c r="S64" s="97">
        <v>2.2124190000000001</v>
      </c>
      <c r="T64" s="97">
        <v>2.2124190000000001</v>
      </c>
      <c r="U64" s="98">
        <v>1</v>
      </c>
      <c r="V64" s="106"/>
    </row>
    <row r="65" spans="1:22" ht="15" customHeight="1">
      <c r="A65" s="106"/>
      <c r="B65" s="96">
        <v>286</v>
      </c>
      <c r="C65" s="96">
        <v>286</v>
      </c>
      <c r="D65" s="96"/>
      <c r="E65" s="96"/>
      <c r="F65" s="96"/>
      <c r="G65" s="96">
        <v>977877</v>
      </c>
      <c r="H65" s="100">
        <v>44712</v>
      </c>
      <c r="I65" s="96" t="s">
        <v>203</v>
      </c>
      <c r="J65" s="96"/>
      <c r="K65" s="96" t="s">
        <v>338</v>
      </c>
      <c r="L65" s="96" t="s">
        <v>3686</v>
      </c>
      <c r="M65" s="96" t="s">
        <v>414</v>
      </c>
      <c r="N65" s="96" t="s">
        <v>407</v>
      </c>
      <c r="O65" s="96" t="s">
        <v>1200</v>
      </c>
      <c r="P65" s="97">
        <v>1</v>
      </c>
      <c r="Q65" s="98">
        <v>6.0000000000000001E-3</v>
      </c>
      <c r="R65" s="96" t="s">
        <v>3678</v>
      </c>
      <c r="S65" s="97">
        <v>3.4211</v>
      </c>
      <c r="T65" s="97">
        <v>3.4211</v>
      </c>
      <c r="U65" s="98">
        <v>1</v>
      </c>
      <c r="V65" s="106"/>
    </row>
    <row r="66" spans="1:22" ht="15" customHeight="1">
      <c r="A66" s="106"/>
      <c r="B66" s="96">
        <v>286</v>
      </c>
      <c r="C66" s="96">
        <v>286</v>
      </c>
      <c r="D66" s="96"/>
      <c r="E66" s="96"/>
      <c r="F66" s="96"/>
      <c r="G66" s="96">
        <v>977918</v>
      </c>
      <c r="H66" s="100">
        <v>45201</v>
      </c>
      <c r="I66" s="96" t="s">
        <v>203</v>
      </c>
      <c r="J66" s="96"/>
      <c r="K66" s="96" t="s">
        <v>338</v>
      </c>
      <c r="L66" s="96" t="s">
        <v>2074</v>
      </c>
      <c r="M66" s="96" t="s">
        <v>311</v>
      </c>
      <c r="N66" s="96" t="s">
        <v>407</v>
      </c>
      <c r="O66" s="96" t="s">
        <v>1200</v>
      </c>
      <c r="P66" s="97">
        <v>1</v>
      </c>
      <c r="Q66" s="98">
        <v>3.0000000000000001E-3</v>
      </c>
      <c r="R66" s="96" t="s">
        <v>3678</v>
      </c>
      <c r="S66" s="97">
        <v>406.77569499999998</v>
      </c>
      <c r="T66" s="97">
        <v>406.77569499999998</v>
      </c>
      <c r="U66" s="98">
        <v>2.0879000000000002E-2</v>
      </c>
      <c r="V66" s="106"/>
    </row>
    <row r="67" spans="1:22" ht="15" customHeight="1">
      <c r="A67" s="106"/>
      <c r="B67" s="96">
        <v>286</v>
      </c>
      <c r="C67" s="96">
        <v>286</v>
      </c>
      <c r="D67" s="96"/>
      <c r="E67" s="96"/>
      <c r="F67" s="96"/>
      <c r="G67" s="96">
        <v>977894</v>
      </c>
      <c r="H67" s="100">
        <v>44882</v>
      </c>
      <c r="I67" s="96" t="s">
        <v>203</v>
      </c>
      <c r="J67" s="96"/>
      <c r="K67" s="96" t="s">
        <v>338</v>
      </c>
      <c r="L67" s="96" t="s">
        <v>3679</v>
      </c>
      <c r="M67" s="96" t="s">
        <v>311</v>
      </c>
      <c r="N67" s="96" t="s">
        <v>407</v>
      </c>
      <c r="O67" s="96" t="s">
        <v>1200</v>
      </c>
      <c r="P67" s="97">
        <v>1</v>
      </c>
      <c r="Q67" s="98">
        <v>1.5E-3</v>
      </c>
      <c r="R67" s="96" t="s">
        <v>3678</v>
      </c>
      <c r="S67" s="97">
        <v>769.47919000000002</v>
      </c>
      <c r="T67" s="97">
        <v>769.47919000000002</v>
      </c>
      <c r="U67" s="98">
        <v>0.45518999999999998</v>
      </c>
      <c r="V67" s="106"/>
    </row>
    <row r="68" spans="1:22" ht="15" customHeight="1">
      <c r="A68" s="106"/>
      <c r="B68" s="96">
        <v>286</v>
      </c>
      <c r="C68" s="96">
        <v>286</v>
      </c>
      <c r="D68" s="96"/>
      <c r="E68" s="96"/>
      <c r="F68" s="96"/>
      <c r="G68" s="96">
        <v>977886</v>
      </c>
      <c r="H68" s="100">
        <v>44802</v>
      </c>
      <c r="I68" s="96" t="s">
        <v>203</v>
      </c>
      <c r="J68" s="96"/>
      <c r="K68" s="96" t="s">
        <v>338</v>
      </c>
      <c r="L68" s="96" t="s">
        <v>1357</v>
      </c>
      <c r="M68" s="96" t="s">
        <v>414</v>
      </c>
      <c r="N68" s="96" t="s">
        <v>407</v>
      </c>
      <c r="O68" s="96" t="s">
        <v>1200</v>
      </c>
      <c r="P68" s="97">
        <v>1</v>
      </c>
      <c r="Q68" s="98">
        <v>4.0000000000000001E-3</v>
      </c>
      <c r="R68" s="96" t="s">
        <v>3678</v>
      </c>
      <c r="S68" s="97">
        <v>301.42327799999998</v>
      </c>
      <c r="T68" s="97">
        <v>301.42327799999998</v>
      </c>
      <c r="U68" s="98">
        <v>0.95127499999999998</v>
      </c>
      <c r="V68" s="106"/>
    </row>
    <row r="69" spans="1:22" ht="15" customHeight="1">
      <c r="A69" s="106"/>
      <c r="B69" s="96">
        <v>286</v>
      </c>
      <c r="C69" s="96">
        <v>286</v>
      </c>
      <c r="D69" s="96"/>
      <c r="E69" s="96"/>
      <c r="F69" s="96"/>
      <c r="G69" s="96">
        <v>977873</v>
      </c>
      <c r="H69" s="100">
        <v>44545</v>
      </c>
      <c r="I69" s="96" t="s">
        <v>203</v>
      </c>
      <c r="J69" s="96"/>
      <c r="K69" s="96" t="s">
        <v>338</v>
      </c>
      <c r="L69" s="96" t="s">
        <v>1336</v>
      </c>
      <c r="M69" s="96" t="s">
        <v>414</v>
      </c>
      <c r="N69" s="96" t="s">
        <v>407</v>
      </c>
      <c r="O69" s="96" t="s">
        <v>1200</v>
      </c>
      <c r="P69" s="97">
        <v>1</v>
      </c>
      <c r="Q69" s="98">
        <v>1.15E-2</v>
      </c>
      <c r="R69" s="96" t="s">
        <v>3678</v>
      </c>
      <c r="S69" s="97">
        <v>848.7</v>
      </c>
      <c r="T69" s="97">
        <v>848.7</v>
      </c>
      <c r="U69" s="98">
        <v>1</v>
      </c>
      <c r="V69" s="106"/>
    </row>
    <row r="70" spans="1:22" ht="15" customHeight="1">
      <c r="A70" s="106"/>
      <c r="B70" s="96">
        <v>286</v>
      </c>
      <c r="C70" s="96">
        <v>286</v>
      </c>
      <c r="D70" s="96"/>
      <c r="E70" s="96"/>
      <c r="F70" s="96"/>
      <c r="G70" s="96">
        <v>977913</v>
      </c>
      <c r="H70" s="100">
        <v>45162</v>
      </c>
      <c r="I70" s="96" t="s">
        <v>203</v>
      </c>
      <c r="J70" s="96"/>
      <c r="K70" s="96" t="s">
        <v>338</v>
      </c>
      <c r="L70" s="96" t="s">
        <v>1309</v>
      </c>
      <c r="M70" s="96" t="s">
        <v>414</v>
      </c>
      <c r="N70" s="96" t="s">
        <v>407</v>
      </c>
      <c r="O70" s="96" t="s">
        <v>1200</v>
      </c>
      <c r="P70" s="97">
        <v>1</v>
      </c>
      <c r="Q70" s="98">
        <v>1.0500000000000001E-2</v>
      </c>
      <c r="R70" s="96" t="s">
        <v>3678</v>
      </c>
      <c r="S70" s="97">
        <v>46.099603000000002</v>
      </c>
      <c r="T70" s="97">
        <v>46.099603000000002</v>
      </c>
      <c r="U70" s="98">
        <v>1</v>
      </c>
      <c r="V70" s="106"/>
    </row>
    <row r="71" spans="1:22" ht="15" customHeight="1">
      <c r="A71" s="106"/>
      <c r="B71" s="96">
        <v>286</v>
      </c>
      <c r="C71" s="96">
        <v>286</v>
      </c>
      <c r="D71" s="96"/>
      <c r="E71" s="96"/>
      <c r="F71" s="96"/>
      <c r="G71" s="96">
        <v>977862</v>
      </c>
      <c r="H71" s="100">
        <v>44418</v>
      </c>
      <c r="I71" s="96" t="s">
        <v>203</v>
      </c>
      <c r="J71" s="96"/>
      <c r="K71" s="96" t="s">
        <v>338</v>
      </c>
      <c r="L71" s="96" t="s">
        <v>1357</v>
      </c>
      <c r="M71" s="96" t="s">
        <v>414</v>
      </c>
      <c r="N71" s="96" t="s">
        <v>407</v>
      </c>
      <c r="O71" s="96" t="s">
        <v>1202</v>
      </c>
      <c r="P71" s="97">
        <v>4.0202</v>
      </c>
      <c r="Q71" s="98">
        <v>6.0000000000000001E-3</v>
      </c>
      <c r="R71" s="96" t="s">
        <v>3678</v>
      </c>
      <c r="S71" s="97">
        <v>139.87849399999999</v>
      </c>
      <c r="T71" s="97">
        <v>562.33952199999999</v>
      </c>
      <c r="U71" s="98">
        <v>0.54483899999999996</v>
      </c>
      <c r="V71" s="106"/>
    </row>
    <row r="72" spans="1:22" ht="15" customHeight="1">
      <c r="A72" s="106"/>
      <c r="B72" s="96">
        <v>286</v>
      </c>
      <c r="C72" s="96">
        <v>286</v>
      </c>
      <c r="D72" s="96"/>
      <c r="E72" s="96"/>
      <c r="F72" s="96"/>
      <c r="G72" s="96">
        <v>977973</v>
      </c>
      <c r="H72" s="100">
        <v>45442</v>
      </c>
      <c r="I72" s="96" t="s">
        <v>203</v>
      </c>
      <c r="J72" s="96"/>
      <c r="K72" s="96" t="s">
        <v>338</v>
      </c>
      <c r="L72" s="96" t="s">
        <v>409</v>
      </c>
      <c r="M72" s="96" t="s">
        <v>409</v>
      </c>
      <c r="N72" s="96" t="s">
        <v>409</v>
      </c>
      <c r="O72" s="96" t="s">
        <v>1200</v>
      </c>
      <c r="P72" s="97">
        <v>1</v>
      </c>
      <c r="Q72" s="98">
        <v>4.0000000000000001E-3</v>
      </c>
      <c r="R72" s="96" t="s">
        <v>3678</v>
      </c>
      <c r="S72" s="97">
        <v>77.374691999999996</v>
      </c>
      <c r="T72" s="97">
        <v>77.374691999999996</v>
      </c>
      <c r="U72" s="98">
        <v>1</v>
      </c>
      <c r="V72" s="106"/>
    </row>
    <row r="73" spans="1:22" ht="15" customHeight="1">
      <c r="A73" s="106"/>
      <c r="B73" s="96">
        <v>286</v>
      </c>
      <c r="C73" s="96">
        <v>286</v>
      </c>
      <c r="D73" s="96"/>
      <c r="E73" s="96"/>
      <c r="F73" s="96"/>
      <c r="G73" s="96">
        <v>977888</v>
      </c>
      <c r="H73" s="100">
        <v>44802</v>
      </c>
      <c r="I73" s="96" t="s">
        <v>203</v>
      </c>
      <c r="J73" s="96"/>
      <c r="K73" s="96" t="s">
        <v>338</v>
      </c>
      <c r="L73" s="96" t="s">
        <v>1357</v>
      </c>
      <c r="M73" s="96" t="s">
        <v>414</v>
      </c>
      <c r="N73" s="96" t="s">
        <v>407</v>
      </c>
      <c r="O73" s="96" t="s">
        <v>1200</v>
      </c>
      <c r="P73" s="97">
        <v>1</v>
      </c>
      <c r="Q73" s="98">
        <v>4.0000000000000001E-3</v>
      </c>
      <c r="R73" s="96" t="s">
        <v>3678</v>
      </c>
      <c r="S73" s="97">
        <v>463.36441300000001</v>
      </c>
      <c r="T73" s="97">
        <v>463.36441300000001</v>
      </c>
      <c r="U73" s="98">
        <v>0.59868299999999997</v>
      </c>
      <c r="V73" s="106"/>
    </row>
    <row r="74" spans="1:22" ht="15" customHeight="1">
      <c r="A74" s="106"/>
      <c r="B74" s="96">
        <v>286</v>
      </c>
      <c r="C74" s="96">
        <v>286</v>
      </c>
      <c r="D74" s="96"/>
      <c r="E74" s="96"/>
      <c r="F74" s="96"/>
      <c r="G74" s="96">
        <v>977929</v>
      </c>
      <c r="H74" s="100">
        <v>45273</v>
      </c>
      <c r="I74" s="96" t="s">
        <v>203</v>
      </c>
      <c r="J74" s="96"/>
      <c r="K74" s="96" t="s">
        <v>338</v>
      </c>
      <c r="L74" s="96" t="s">
        <v>1357</v>
      </c>
      <c r="M74" s="96" t="s">
        <v>414</v>
      </c>
      <c r="N74" s="96" t="s">
        <v>407</v>
      </c>
      <c r="O74" s="96" t="s">
        <v>1200</v>
      </c>
      <c r="P74" s="97">
        <v>1</v>
      </c>
      <c r="Q74" s="98">
        <v>6.0000000000000001E-3</v>
      </c>
      <c r="R74" s="96" t="s">
        <v>3678</v>
      </c>
      <c r="S74" s="97">
        <v>1543.619616</v>
      </c>
      <c r="T74" s="97">
        <v>1543.619616</v>
      </c>
      <c r="U74" s="98">
        <v>0.92888899999999996</v>
      </c>
      <c r="V74" s="106"/>
    </row>
    <row r="75" spans="1:22" ht="15" customHeight="1">
      <c r="A75" s="106"/>
      <c r="B75" s="96">
        <v>286</v>
      </c>
      <c r="C75" s="96">
        <v>286</v>
      </c>
      <c r="D75" s="96"/>
      <c r="E75" s="96"/>
      <c r="F75" s="96"/>
      <c r="G75" s="96">
        <v>977916</v>
      </c>
      <c r="H75" s="100">
        <v>45173</v>
      </c>
      <c r="I75" s="96" t="s">
        <v>203</v>
      </c>
      <c r="J75" s="96"/>
      <c r="K75" s="96" t="s">
        <v>337</v>
      </c>
      <c r="L75" s="96" t="s">
        <v>1309</v>
      </c>
      <c r="M75" s="96" t="s">
        <v>414</v>
      </c>
      <c r="N75" s="96" t="s">
        <v>407</v>
      </c>
      <c r="O75" s="96" t="s">
        <v>1200</v>
      </c>
      <c r="P75" s="97">
        <v>1</v>
      </c>
      <c r="Q75" s="98">
        <v>2.5000000000000001E-3</v>
      </c>
      <c r="R75" s="96" t="s">
        <v>3678</v>
      </c>
      <c r="S75" s="97">
        <v>1389.816971</v>
      </c>
      <c r="T75" s="97">
        <v>1389.816971</v>
      </c>
      <c r="U75" s="98">
        <v>0.43902400000000003</v>
      </c>
      <c r="V75" s="106"/>
    </row>
    <row r="76" spans="1:22" ht="15" customHeight="1">
      <c r="A76" s="106"/>
      <c r="B76" s="96">
        <v>286</v>
      </c>
      <c r="C76" s="96">
        <v>286</v>
      </c>
      <c r="D76" s="96"/>
      <c r="E76" s="96"/>
      <c r="F76" s="96"/>
      <c r="G76" s="96">
        <v>977882</v>
      </c>
      <c r="H76" s="100">
        <v>44790</v>
      </c>
      <c r="I76" s="96" t="s">
        <v>203</v>
      </c>
      <c r="J76" s="96"/>
      <c r="K76" s="96" t="s">
        <v>338</v>
      </c>
      <c r="L76" s="96" t="s">
        <v>3683</v>
      </c>
      <c r="M76" s="96" t="s">
        <v>412</v>
      </c>
      <c r="N76" s="96" t="s">
        <v>407</v>
      </c>
      <c r="O76" s="96" t="s">
        <v>1200</v>
      </c>
      <c r="P76" s="97">
        <v>1</v>
      </c>
      <c r="Q76" s="98">
        <v>5.0000000000000001E-3</v>
      </c>
      <c r="R76" s="96" t="s">
        <v>3678</v>
      </c>
      <c r="S76" s="97">
        <v>140.98048299999999</v>
      </c>
      <c r="T76" s="97">
        <v>140.98048299999999</v>
      </c>
      <c r="U76" s="98">
        <v>1</v>
      </c>
      <c r="V76" s="106"/>
    </row>
    <row r="77" spans="1:22" ht="15" customHeight="1">
      <c r="A77" s="106"/>
      <c r="B77" s="96">
        <v>286</v>
      </c>
      <c r="C77" s="96">
        <v>286</v>
      </c>
      <c r="D77" s="96"/>
      <c r="E77" s="96"/>
      <c r="F77" s="96"/>
      <c r="G77" s="96">
        <v>977927</v>
      </c>
      <c r="H77" s="100">
        <v>45273</v>
      </c>
      <c r="I77" s="96" t="s">
        <v>203</v>
      </c>
      <c r="J77" s="96"/>
      <c r="K77" s="96" t="s">
        <v>338</v>
      </c>
      <c r="L77" s="96" t="s">
        <v>1357</v>
      </c>
      <c r="M77" s="96" t="s">
        <v>414</v>
      </c>
      <c r="N77" s="96" t="s">
        <v>407</v>
      </c>
      <c r="O77" s="96" t="s">
        <v>1200</v>
      </c>
      <c r="P77" s="97">
        <v>1</v>
      </c>
      <c r="Q77" s="98">
        <v>6.0000000000000001E-3</v>
      </c>
      <c r="R77" s="96" t="s">
        <v>3678</v>
      </c>
      <c r="S77" s="97">
        <v>200.904</v>
      </c>
      <c r="T77" s="97">
        <v>200.904</v>
      </c>
      <c r="U77" s="98">
        <v>0.16</v>
      </c>
      <c r="V77" s="106"/>
    </row>
    <row r="78" spans="1:22" ht="15" customHeight="1">
      <c r="A78" s="106"/>
      <c r="B78" s="96">
        <v>286</v>
      </c>
      <c r="C78" s="96">
        <v>286</v>
      </c>
      <c r="D78" s="96"/>
      <c r="E78" s="96"/>
      <c r="F78" s="96"/>
      <c r="G78" s="96">
        <v>977865</v>
      </c>
      <c r="H78" s="100">
        <v>44418</v>
      </c>
      <c r="I78" s="96" t="s">
        <v>203</v>
      </c>
      <c r="J78" s="96"/>
      <c r="K78" s="96" t="s">
        <v>338</v>
      </c>
      <c r="L78" s="96" t="s">
        <v>1357</v>
      </c>
      <c r="M78" s="96" t="s">
        <v>414</v>
      </c>
      <c r="N78" s="96" t="s">
        <v>407</v>
      </c>
      <c r="O78" s="96" t="s">
        <v>1202</v>
      </c>
      <c r="P78" s="97">
        <v>4.0202</v>
      </c>
      <c r="Q78" s="98">
        <v>6.0000000000000001E-3</v>
      </c>
      <c r="R78" s="96" t="s">
        <v>3678</v>
      </c>
      <c r="S78" s="97">
        <v>14.439068000000001</v>
      </c>
      <c r="T78" s="97">
        <v>58.047941000000002</v>
      </c>
      <c r="U78" s="98">
        <v>1</v>
      </c>
      <c r="V78" s="106"/>
    </row>
    <row r="79" spans="1:22" ht="15" customHeight="1">
      <c r="A79" s="106"/>
      <c r="B79" s="96">
        <v>286</v>
      </c>
      <c r="C79" s="96">
        <v>286</v>
      </c>
      <c r="D79" s="96"/>
      <c r="E79" s="96"/>
      <c r="F79" s="96"/>
      <c r="G79" s="96">
        <v>977903</v>
      </c>
      <c r="H79" s="100">
        <v>45020</v>
      </c>
      <c r="I79" s="96" t="s">
        <v>203</v>
      </c>
      <c r="J79" s="96"/>
      <c r="K79" s="96" t="s">
        <v>338</v>
      </c>
      <c r="L79" s="96" t="s">
        <v>409</v>
      </c>
      <c r="M79" s="96" t="s">
        <v>409</v>
      </c>
      <c r="N79" s="96" t="s">
        <v>409</v>
      </c>
      <c r="O79" s="96" t="s">
        <v>1200</v>
      </c>
      <c r="P79" s="97">
        <v>1</v>
      </c>
      <c r="Q79" s="98">
        <v>5.0000000000000001E-3</v>
      </c>
      <c r="R79" s="96" t="s">
        <v>3678</v>
      </c>
      <c r="S79" s="97">
        <v>9.9854579999999995</v>
      </c>
      <c r="T79" s="97">
        <v>9.9854579999999995</v>
      </c>
      <c r="U79" s="98">
        <v>1</v>
      </c>
      <c r="V79" s="106"/>
    </row>
    <row r="80" spans="1:22" ht="15" customHeight="1">
      <c r="A80" s="106"/>
      <c r="B80" s="96">
        <v>286</v>
      </c>
      <c r="C80" s="96">
        <v>286</v>
      </c>
      <c r="D80" s="96"/>
      <c r="E80" s="96"/>
      <c r="F80" s="96"/>
      <c r="G80" s="96">
        <v>977893</v>
      </c>
      <c r="H80" s="100">
        <v>44833</v>
      </c>
      <c r="I80" s="96" t="s">
        <v>203</v>
      </c>
      <c r="J80" s="96"/>
      <c r="K80" s="96" t="s">
        <v>338</v>
      </c>
      <c r="L80" s="96" t="s">
        <v>1520</v>
      </c>
      <c r="M80" s="96" t="s">
        <v>414</v>
      </c>
      <c r="N80" s="96" t="s">
        <v>407</v>
      </c>
      <c r="O80" s="96" t="s">
        <v>1200</v>
      </c>
      <c r="P80" s="97">
        <v>1</v>
      </c>
      <c r="Q80" s="98">
        <v>5.0000000000000001E-3</v>
      </c>
      <c r="R80" s="96" t="s">
        <v>3678</v>
      </c>
      <c r="S80" s="97">
        <v>7.753012</v>
      </c>
      <c r="T80" s="97">
        <v>7.753012</v>
      </c>
      <c r="U80" s="98">
        <v>1</v>
      </c>
      <c r="V80" s="106"/>
    </row>
    <row r="81" spans="1:22" ht="15" customHeight="1">
      <c r="A81" s="106"/>
      <c r="B81" s="96">
        <v>286</v>
      </c>
      <c r="C81" s="96">
        <v>286</v>
      </c>
      <c r="D81" s="96"/>
      <c r="E81" s="96"/>
      <c r="F81" s="96"/>
      <c r="G81" s="96">
        <v>977852</v>
      </c>
      <c r="H81" s="100">
        <v>44265</v>
      </c>
      <c r="I81" s="96" t="s">
        <v>203</v>
      </c>
      <c r="J81" s="96"/>
      <c r="K81" s="96" t="s">
        <v>338</v>
      </c>
      <c r="L81" s="96" t="s">
        <v>1320</v>
      </c>
      <c r="M81" s="96" t="s">
        <v>412</v>
      </c>
      <c r="N81" s="96" t="s">
        <v>407</v>
      </c>
      <c r="O81" s="96" t="s">
        <v>1200</v>
      </c>
      <c r="P81" s="97">
        <v>1</v>
      </c>
      <c r="Q81" s="98">
        <v>6.0000000000000001E-3</v>
      </c>
      <c r="R81" s="96" t="s">
        <v>3678</v>
      </c>
      <c r="S81" s="97">
        <v>1443.34187</v>
      </c>
      <c r="T81" s="97">
        <v>1443.34187</v>
      </c>
      <c r="U81" s="98">
        <v>3.0561999999999999E-2</v>
      </c>
      <c r="V81" s="106"/>
    </row>
    <row r="82" spans="1:22" ht="15" customHeight="1">
      <c r="A82" s="106"/>
      <c r="B82" s="96">
        <v>286</v>
      </c>
      <c r="C82" s="96">
        <v>286</v>
      </c>
      <c r="D82" s="96"/>
      <c r="E82" s="96"/>
      <c r="F82" s="96"/>
      <c r="G82" s="96">
        <v>977924</v>
      </c>
      <c r="H82" s="100">
        <v>45265</v>
      </c>
      <c r="I82" s="96" t="s">
        <v>203</v>
      </c>
      <c r="J82" s="96"/>
      <c r="K82" s="96" t="s">
        <v>338</v>
      </c>
      <c r="L82" s="96" t="s">
        <v>1357</v>
      </c>
      <c r="M82" s="96" t="s">
        <v>414</v>
      </c>
      <c r="N82" s="96" t="s">
        <v>407</v>
      </c>
      <c r="O82" s="96" t="s">
        <v>1200</v>
      </c>
      <c r="P82" s="97">
        <v>1</v>
      </c>
      <c r="Q82" s="98">
        <v>5.0000000000000001E-3</v>
      </c>
      <c r="R82" s="96" t="s">
        <v>3678</v>
      </c>
      <c r="S82" s="97">
        <v>58.855708999999997</v>
      </c>
      <c r="T82" s="97">
        <v>58.855708999999997</v>
      </c>
      <c r="U82" s="98">
        <v>1</v>
      </c>
      <c r="V82" s="106"/>
    </row>
    <row r="83" spans="1:22" ht="15" customHeight="1">
      <c r="A83" s="106"/>
      <c r="B83" s="96">
        <v>286</v>
      </c>
      <c r="C83" s="96">
        <v>286</v>
      </c>
      <c r="D83" s="96"/>
      <c r="E83" s="96"/>
      <c r="F83" s="96"/>
      <c r="G83" s="96">
        <v>977968</v>
      </c>
      <c r="H83" s="100">
        <v>45428</v>
      </c>
      <c r="I83" s="96" t="s">
        <v>203</v>
      </c>
      <c r="J83" s="96"/>
      <c r="K83" s="96" t="s">
        <v>338</v>
      </c>
      <c r="L83" s="96" t="s">
        <v>1520</v>
      </c>
      <c r="M83" s="96" t="s">
        <v>414</v>
      </c>
      <c r="N83" s="96" t="s">
        <v>407</v>
      </c>
      <c r="O83" s="96" t="s">
        <v>1200</v>
      </c>
      <c r="P83" s="97">
        <v>1</v>
      </c>
      <c r="Q83" s="98">
        <v>6.0000000000000001E-3</v>
      </c>
      <c r="R83" s="96" t="s">
        <v>3678</v>
      </c>
      <c r="S83" s="97">
        <v>122.05003499999999</v>
      </c>
      <c r="T83" s="97">
        <v>122.05003499999999</v>
      </c>
      <c r="U83" s="98">
        <v>1</v>
      </c>
      <c r="V83" s="106"/>
    </row>
    <row r="84" spans="1:22" ht="15" customHeight="1">
      <c r="A84" s="106"/>
      <c r="B84" s="96">
        <v>286</v>
      </c>
      <c r="C84" s="96">
        <v>286</v>
      </c>
      <c r="D84" s="96"/>
      <c r="E84" s="96"/>
      <c r="F84" s="96"/>
      <c r="G84" s="96">
        <v>977878</v>
      </c>
      <c r="H84" s="100">
        <v>44712</v>
      </c>
      <c r="I84" s="96" t="s">
        <v>203</v>
      </c>
      <c r="J84" s="96"/>
      <c r="K84" s="96" t="s">
        <v>338</v>
      </c>
      <c r="L84" s="96" t="s">
        <v>1208</v>
      </c>
      <c r="M84" s="96" t="s">
        <v>311</v>
      </c>
      <c r="N84" s="96" t="s">
        <v>407</v>
      </c>
      <c r="O84" s="96" t="s">
        <v>1200</v>
      </c>
      <c r="P84" s="97">
        <v>1</v>
      </c>
      <c r="Q84" s="98">
        <v>6.0000000000000001E-3</v>
      </c>
      <c r="R84" s="96" t="s">
        <v>3678</v>
      </c>
      <c r="S84" s="97">
        <v>7.9825730000000004</v>
      </c>
      <c r="T84" s="97">
        <v>7.9825730000000004</v>
      </c>
      <c r="U84" s="98">
        <v>1</v>
      </c>
      <c r="V84" s="106"/>
    </row>
    <row r="85" spans="1:22" ht="15" customHeight="1">
      <c r="A85" s="106"/>
      <c r="B85" s="96">
        <v>286</v>
      </c>
      <c r="C85" s="96">
        <v>286</v>
      </c>
      <c r="D85" s="96"/>
      <c r="E85" s="96"/>
      <c r="F85" s="96"/>
      <c r="G85" s="96">
        <v>977887</v>
      </c>
      <c r="H85" s="100">
        <v>44802</v>
      </c>
      <c r="I85" s="96" t="s">
        <v>203</v>
      </c>
      <c r="J85" s="96"/>
      <c r="K85" s="96" t="s">
        <v>338</v>
      </c>
      <c r="L85" s="96" t="s">
        <v>1357</v>
      </c>
      <c r="M85" s="96" t="s">
        <v>414</v>
      </c>
      <c r="N85" s="96" t="s">
        <v>407</v>
      </c>
      <c r="O85" s="96" t="s">
        <v>1200</v>
      </c>
      <c r="P85" s="97">
        <v>1</v>
      </c>
      <c r="Q85" s="98">
        <v>4.0000000000000001E-3</v>
      </c>
      <c r="R85" s="96" t="s">
        <v>3678</v>
      </c>
      <c r="S85" s="97">
        <v>76.833382999999998</v>
      </c>
      <c r="T85" s="97">
        <v>76.833382999999998</v>
      </c>
      <c r="U85" s="98">
        <v>1</v>
      </c>
      <c r="V85" s="106"/>
    </row>
    <row r="86" spans="1:22" ht="15" customHeight="1">
      <c r="A86" s="106"/>
      <c r="B86" s="96">
        <v>286</v>
      </c>
      <c r="C86" s="96">
        <v>286</v>
      </c>
      <c r="D86" s="96"/>
      <c r="E86" s="96"/>
      <c r="F86" s="96"/>
      <c r="G86" s="96">
        <v>977923</v>
      </c>
      <c r="H86" s="100">
        <v>45265</v>
      </c>
      <c r="I86" s="96" t="s">
        <v>203</v>
      </c>
      <c r="J86" s="96"/>
      <c r="K86" s="96" t="s">
        <v>338</v>
      </c>
      <c r="L86" s="96" t="s">
        <v>1357</v>
      </c>
      <c r="M86" s="96" t="s">
        <v>414</v>
      </c>
      <c r="N86" s="96" t="s">
        <v>407</v>
      </c>
      <c r="O86" s="96" t="s">
        <v>1200</v>
      </c>
      <c r="P86" s="97">
        <v>1</v>
      </c>
      <c r="Q86" s="98">
        <v>5.0000000000000001E-3</v>
      </c>
      <c r="R86" s="96" t="s">
        <v>3678</v>
      </c>
      <c r="S86" s="97">
        <v>207.08490499999999</v>
      </c>
      <c r="T86" s="97">
        <v>207.08490499999999</v>
      </c>
      <c r="U86" s="98">
        <v>1</v>
      </c>
      <c r="V86" s="106"/>
    </row>
    <row r="87" spans="1:22" ht="15" customHeight="1">
      <c r="A87" s="106"/>
      <c r="B87" s="96">
        <v>286</v>
      </c>
      <c r="C87" s="96">
        <v>286</v>
      </c>
      <c r="D87" s="96"/>
      <c r="E87" s="96"/>
      <c r="F87" s="96"/>
      <c r="G87" s="96">
        <v>977914</v>
      </c>
      <c r="H87" s="100">
        <v>45162</v>
      </c>
      <c r="I87" s="96" t="s">
        <v>203</v>
      </c>
      <c r="J87" s="96"/>
      <c r="K87" s="96" t="s">
        <v>338</v>
      </c>
      <c r="L87" s="96" t="s">
        <v>1309</v>
      </c>
      <c r="M87" s="96" t="s">
        <v>414</v>
      </c>
      <c r="N87" s="96" t="s">
        <v>407</v>
      </c>
      <c r="O87" s="96" t="s">
        <v>1200</v>
      </c>
      <c r="P87" s="97">
        <v>1</v>
      </c>
      <c r="Q87" s="98">
        <v>5.0000000000000001E-3</v>
      </c>
      <c r="R87" s="96" t="s">
        <v>3678</v>
      </c>
      <c r="S87" s="97">
        <v>247.148572</v>
      </c>
      <c r="T87" s="97">
        <v>247.148572</v>
      </c>
      <c r="U87" s="98">
        <v>1</v>
      </c>
      <c r="V87" s="106"/>
    </row>
    <row r="88" spans="1:22" ht="15" customHeight="1">
      <c r="A88" s="106"/>
      <c r="B88" s="96">
        <v>286</v>
      </c>
      <c r="C88" s="96">
        <v>286</v>
      </c>
      <c r="D88" s="96"/>
      <c r="E88" s="96"/>
      <c r="F88" s="96"/>
      <c r="G88" s="96">
        <v>977889</v>
      </c>
      <c r="H88" s="100">
        <v>44809</v>
      </c>
      <c r="I88" s="96" t="s">
        <v>203</v>
      </c>
      <c r="J88" s="96"/>
      <c r="K88" s="96" t="s">
        <v>338</v>
      </c>
      <c r="L88" s="96" t="s">
        <v>3681</v>
      </c>
      <c r="M88" s="96" t="s">
        <v>311</v>
      </c>
      <c r="N88" s="96" t="s">
        <v>407</v>
      </c>
      <c r="O88" s="96" t="s">
        <v>1200</v>
      </c>
      <c r="P88" s="97">
        <v>1</v>
      </c>
      <c r="Q88" s="98">
        <v>5.0000000000000001E-3</v>
      </c>
      <c r="R88" s="96" t="s">
        <v>3678</v>
      </c>
      <c r="S88" s="97">
        <v>140.051366</v>
      </c>
      <c r="T88" s="97">
        <v>140.051366</v>
      </c>
      <c r="U88" s="98">
        <v>1.5086E-2</v>
      </c>
      <c r="V88" s="106"/>
    </row>
    <row r="89" spans="1:22" ht="15" customHeight="1">
      <c r="A89" s="106"/>
      <c r="B89" s="96">
        <v>286</v>
      </c>
      <c r="C89" s="96">
        <v>286</v>
      </c>
      <c r="D89" s="96"/>
      <c r="E89" s="96"/>
      <c r="F89" s="96"/>
      <c r="G89" s="96">
        <v>977885</v>
      </c>
      <c r="H89" s="100">
        <v>44802</v>
      </c>
      <c r="I89" s="96" t="s">
        <v>203</v>
      </c>
      <c r="J89" s="96"/>
      <c r="K89" s="96" t="s">
        <v>338</v>
      </c>
      <c r="L89" s="96" t="s">
        <v>1357</v>
      </c>
      <c r="M89" s="96" t="s">
        <v>414</v>
      </c>
      <c r="N89" s="96" t="s">
        <v>407</v>
      </c>
      <c r="O89" s="96" t="s">
        <v>1200</v>
      </c>
      <c r="P89" s="97">
        <v>1</v>
      </c>
      <c r="Q89" s="98">
        <v>4.0000000000000001E-3</v>
      </c>
      <c r="R89" s="96" t="s">
        <v>3678</v>
      </c>
      <c r="S89" s="97">
        <v>1531.2371189999999</v>
      </c>
      <c r="T89" s="97">
        <v>1531.2371189999999</v>
      </c>
      <c r="U89" s="98">
        <v>1</v>
      </c>
      <c r="V89" s="106"/>
    </row>
    <row r="90" spans="1:22" ht="15" customHeight="1">
      <c r="A90" s="106"/>
      <c r="B90" s="96">
        <v>286</v>
      </c>
      <c r="C90" s="96">
        <v>286</v>
      </c>
      <c r="D90" s="96"/>
      <c r="E90" s="96"/>
      <c r="F90" s="96"/>
      <c r="G90" s="96">
        <v>977909</v>
      </c>
      <c r="H90" s="100">
        <v>45111</v>
      </c>
      <c r="I90" s="96" t="s">
        <v>203</v>
      </c>
      <c r="J90" s="96"/>
      <c r="K90" s="96" t="s">
        <v>338</v>
      </c>
      <c r="L90" s="96" t="s">
        <v>1357</v>
      </c>
      <c r="M90" s="96" t="s">
        <v>414</v>
      </c>
      <c r="N90" s="96" t="s">
        <v>407</v>
      </c>
      <c r="O90" s="96" t="s">
        <v>1200</v>
      </c>
      <c r="P90" s="97">
        <v>1</v>
      </c>
      <c r="Q90" s="98">
        <v>7.7000000000000002E-3</v>
      </c>
      <c r="R90" s="96" t="s">
        <v>3678</v>
      </c>
      <c r="S90" s="97">
        <v>989.70410700000002</v>
      </c>
      <c r="T90" s="97">
        <v>989.70410700000002</v>
      </c>
      <c r="U90" s="98">
        <v>0.85183500000000001</v>
      </c>
      <c r="V90" s="106"/>
    </row>
    <row r="91" spans="1:22" ht="15" customHeight="1">
      <c r="A91" s="106"/>
      <c r="B91" s="96">
        <v>286</v>
      </c>
      <c r="C91" s="96">
        <v>286</v>
      </c>
      <c r="D91" s="96"/>
      <c r="E91" s="96"/>
      <c r="F91" s="96"/>
      <c r="G91" s="96">
        <v>977846</v>
      </c>
      <c r="H91" s="100">
        <v>44194</v>
      </c>
      <c r="I91" s="96" t="s">
        <v>203</v>
      </c>
      <c r="J91" s="96"/>
      <c r="K91" s="96" t="s">
        <v>338</v>
      </c>
      <c r="L91" s="96" t="s">
        <v>1357</v>
      </c>
      <c r="M91" s="96" t="s">
        <v>414</v>
      </c>
      <c r="N91" s="96" t="s">
        <v>407</v>
      </c>
      <c r="O91" s="96" t="s">
        <v>1200</v>
      </c>
      <c r="P91" s="97">
        <v>1</v>
      </c>
      <c r="Q91" s="98">
        <v>5.0000000000000001E-3</v>
      </c>
      <c r="R91" s="96" t="s">
        <v>3678</v>
      </c>
      <c r="S91" s="97">
        <v>14.682421</v>
      </c>
      <c r="T91" s="97">
        <v>14.682421</v>
      </c>
      <c r="U91" s="98">
        <v>1</v>
      </c>
      <c r="V91" s="106"/>
    </row>
    <row r="92" spans="1:22" ht="15" customHeight="1">
      <c r="A92" s="106"/>
      <c r="B92" s="96">
        <v>286</v>
      </c>
      <c r="C92" s="96">
        <v>286</v>
      </c>
      <c r="D92" s="96"/>
      <c r="E92" s="96"/>
      <c r="F92" s="96"/>
      <c r="G92" s="96">
        <v>977861</v>
      </c>
      <c r="H92" s="100">
        <v>44418</v>
      </c>
      <c r="I92" s="96" t="s">
        <v>203</v>
      </c>
      <c r="J92" s="96"/>
      <c r="K92" s="96" t="s">
        <v>338</v>
      </c>
      <c r="L92" s="96" t="s">
        <v>1357</v>
      </c>
      <c r="M92" s="96" t="s">
        <v>414</v>
      </c>
      <c r="N92" s="96" t="s">
        <v>407</v>
      </c>
      <c r="O92" s="96" t="s">
        <v>1202</v>
      </c>
      <c r="P92" s="97">
        <v>4.0202</v>
      </c>
      <c r="Q92" s="98">
        <v>6.0000000000000001E-3</v>
      </c>
      <c r="R92" s="96" t="s">
        <v>3678</v>
      </c>
      <c r="S92" s="97">
        <v>84.745103</v>
      </c>
      <c r="T92" s="97">
        <v>340.69226300000003</v>
      </c>
      <c r="U92" s="98">
        <v>1.6360000000000001E-3</v>
      </c>
      <c r="V92" s="106"/>
    </row>
    <row r="93" spans="1:22" ht="15" customHeight="1">
      <c r="A93" s="106"/>
      <c r="B93" s="96">
        <v>286</v>
      </c>
      <c r="C93" s="96">
        <v>286</v>
      </c>
      <c r="D93" s="96"/>
      <c r="E93" s="96"/>
      <c r="F93" s="96"/>
      <c r="G93" s="96">
        <v>977925</v>
      </c>
      <c r="H93" s="100">
        <v>45265</v>
      </c>
      <c r="I93" s="96" t="s">
        <v>203</v>
      </c>
      <c r="J93" s="96"/>
      <c r="K93" s="96" t="s">
        <v>338</v>
      </c>
      <c r="L93" s="96" t="s">
        <v>1357</v>
      </c>
      <c r="M93" s="96" t="s">
        <v>414</v>
      </c>
      <c r="N93" s="96" t="s">
        <v>407</v>
      </c>
      <c r="O93" s="96" t="s">
        <v>1200</v>
      </c>
      <c r="P93" s="97">
        <v>1</v>
      </c>
      <c r="Q93" s="98">
        <v>5.0000000000000001E-3</v>
      </c>
      <c r="R93" s="96" t="s">
        <v>3678</v>
      </c>
      <c r="S93" s="97">
        <v>174.387292</v>
      </c>
      <c r="T93" s="97">
        <v>174.387292</v>
      </c>
      <c r="U93" s="98">
        <v>1</v>
      </c>
      <c r="V93" s="106"/>
    </row>
    <row r="94" spans="1:22" ht="15" customHeight="1">
      <c r="A94" s="106"/>
      <c r="B94" s="96">
        <v>286</v>
      </c>
      <c r="C94" s="96">
        <v>286</v>
      </c>
      <c r="D94" s="96"/>
      <c r="E94" s="96"/>
      <c r="F94" s="96"/>
      <c r="G94" s="96">
        <v>977919</v>
      </c>
      <c r="H94" s="100">
        <v>45202</v>
      </c>
      <c r="I94" s="96" t="s">
        <v>203</v>
      </c>
      <c r="J94" s="96"/>
      <c r="K94" s="96" t="s">
        <v>337</v>
      </c>
      <c r="L94" s="96" t="s">
        <v>2102</v>
      </c>
      <c r="M94" s="96" t="s">
        <v>311</v>
      </c>
      <c r="N94" s="96" t="s">
        <v>407</v>
      </c>
      <c r="O94" s="96" t="s">
        <v>1200</v>
      </c>
      <c r="P94" s="97">
        <v>1</v>
      </c>
      <c r="Q94" s="98">
        <v>2E-3</v>
      </c>
      <c r="R94" s="96" t="s">
        <v>3678</v>
      </c>
      <c r="S94" s="97">
        <v>218.64193800000001</v>
      </c>
      <c r="T94" s="97">
        <v>218.64193800000001</v>
      </c>
      <c r="U94" s="98">
        <v>0.77519300000000002</v>
      </c>
      <c r="V94" s="106"/>
    </row>
    <row r="95" spans="1:22" ht="15" customHeight="1">
      <c r="A95" s="106"/>
      <c r="B95" s="96">
        <v>286</v>
      </c>
      <c r="C95" s="96">
        <v>286</v>
      </c>
      <c r="D95" s="96"/>
      <c r="E95" s="96"/>
      <c r="F95" s="96"/>
      <c r="G95" s="96">
        <v>977901</v>
      </c>
      <c r="H95" s="100">
        <v>45011</v>
      </c>
      <c r="I95" s="96" t="s">
        <v>203</v>
      </c>
      <c r="J95" s="96"/>
      <c r="K95" s="96" t="s">
        <v>338</v>
      </c>
      <c r="L95" s="96" t="s">
        <v>409</v>
      </c>
      <c r="M95" s="96" t="s">
        <v>409</v>
      </c>
      <c r="N95" s="96" t="s">
        <v>409</v>
      </c>
      <c r="O95" s="96" t="s">
        <v>1200</v>
      </c>
      <c r="P95" s="97">
        <v>1</v>
      </c>
      <c r="Q95" s="98">
        <v>4.0000000000000001E-3</v>
      </c>
      <c r="R95" s="96" t="s">
        <v>3678</v>
      </c>
      <c r="S95" s="97">
        <v>551.68954099999996</v>
      </c>
      <c r="T95" s="97">
        <v>551.68954099999996</v>
      </c>
      <c r="U95" s="98">
        <v>0.83008400000000004</v>
      </c>
      <c r="V95" s="106"/>
    </row>
    <row r="96" spans="1:22" ht="15" customHeight="1">
      <c r="A96" s="106"/>
      <c r="B96" s="96">
        <v>286</v>
      </c>
      <c r="C96" s="96">
        <v>286</v>
      </c>
      <c r="D96" s="96"/>
      <c r="E96" s="96"/>
      <c r="F96" s="96"/>
      <c r="G96" s="96">
        <v>977974</v>
      </c>
      <c r="H96" s="100">
        <v>45459</v>
      </c>
      <c r="I96" s="96" t="s">
        <v>203</v>
      </c>
      <c r="J96" s="96"/>
      <c r="K96" s="96" t="s">
        <v>338</v>
      </c>
      <c r="L96" s="96" t="s">
        <v>1208</v>
      </c>
      <c r="M96" s="96" t="s">
        <v>311</v>
      </c>
      <c r="N96" s="96" t="s">
        <v>407</v>
      </c>
      <c r="O96" s="96" t="s">
        <v>1200</v>
      </c>
      <c r="P96" s="97">
        <v>1</v>
      </c>
      <c r="Q96" s="98">
        <v>3.0000000000000001E-3</v>
      </c>
      <c r="R96" s="96" t="s">
        <v>3678</v>
      </c>
      <c r="S96" s="97">
        <v>602.41703199999995</v>
      </c>
      <c r="T96" s="97">
        <v>602.41703199999995</v>
      </c>
      <c r="U96" s="98">
        <v>1</v>
      </c>
      <c r="V96" s="106"/>
    </row>
    <row r="97" spans="1:22" ht="15" customHeight="1">
      <c r="A97" s="106"/>
      <c r="B97" s="96">
        <v>286</v>
      </c>
      <c r="C97" s="96">
        <v>286</v>
      </c>
      <c r="D97" s="96"/>
      <c r="E97" s="96"/>
      <c r="F97" s="96"/>
      <c r="G97" s="96">
        <v>977802</v>
      </c>
      <c r="H97" s="100">
        <v>42915</v>
      </c>
      <c r="I97" s="96" t="s">
        <v>203</v>
      </c>
      <c r="J97" s="96"/>
      <c r="K97" s="96" t="s">
        <v>338</v>
      </c>
      <c r="L97" s="96" t="s">
        <v>1357</v>
      </c>
      <c r="M97" s="96" t="s">
        <v>414</v>
      </c>
      <c r="N97" s="96" t="s">
        <v>407</v>
      </c>
      <c r="O97" s="96" t="s">
        <v>1200</v>
      </c>
      <c r="P97" s="97">
        <v>1</v>
      </c>
      <c r="Q97" s="98">
        <v>6.0000000000000001E-3</v>
      </c>
      <c r="R97" s="96" t="s">
        <v>3678</v>
      </c>
      <c r="S97" s="97">
        <v>2412.96</v>
      </c>
      <c r="T97" s="97">
        <v>2412.96</v>
      </c>
      <c r="U97" s="98">
        <v>6.5249000000000001E-2</v>
      </c>
      <c r="V97" s="106"/>
    </row>
    <row r="98" spans="1:22" ht="15" customHeight="1">
      <c r="A98" s="106"/>
      <c r="B98" s="96">
        <v>286</v>
      </c>
      <c r="C98" s="96">
        <v>286</v>
      </c>
      <c r="D98" s="96"/>
      <c r="E98" s="96"/>
      <c r="F98" s="96"/>
      <c r="G98" s="96">
        <v>977864</v>
      </c>
      <c r="H98" s="100">
        <v>44418</v>
      </c>
      <c r="I98" s="96" t="s">
        <v>203</v>
      </c>
      <c r="J98" s="96"/>
      <c r="K98" s="96" t="s">
        <v>338</v>
      </c>
      <c r="L98" s="96" t="s">
        <v>1357</v>
      </c>
      <c r="M98" s="96" t="s">
        <v>414</v>
      </c>
      <c r="N98" s="96" t="s">
        <v>407</v>
      </c>
      <c r="O98" s="96" t="s">
        <v>1202</v>
      </c>
      <c r="P98" s="97">
        <v>4.0202</v>
      </c>
      <c r="Q98" s="98">
        <v>6.0000000000000001E-3</v>
      </c>
      <c r="R98" s="96" t="s">
        <v>3678</v>
      </c>
      <c r="S98" s="97">
        <v>15.1723</v>
      </c>
      <c r="T98" s="97">
        <v>60.99568</v>
      </c>
      <c r="U98" s="98">
        <v>1</v>
      </c>
      <c r="V98" s="106"/>
    </row>
    <row r="99" spans="1:22" ht="15" customHeight="1">
      <c r="A99" s="106"/>
      <c r="B99" s="96">
        <v>286</v>
      </c>
      <c r="C99" s="96">
        <v>286</v>
      </c>
      <c r="D99" s="96"/>
      <c r="E99" s="96"/>
      <c r="F99" s="96"/>
      <c r="G99" s="96">
        <v>977922</v>
      </c>
      <c r="H99" s="100">
        <v>45265</v>
      </c>
      <c r="I99" s="96" t="s">
        <v>203</v>
      </c>
      <c r="J99" s="96"/>
      <c r="K99" s="96" t="s">
        <v>338</v>
      </c>
      <c r="L99" s="96" t="s">
        <v>1357</v>
      </c>
      <c r="M99" s="96" t="s">
        <v>414</v>
      </c>
      <c r="N99" s="96" t="s">
        <v>407</v>
      </c>
      <c r="O99" s="96" t="s">
        <v>1200</v>
      </c>
      <c r="P99" s="97">
        <v>1</v>
      </c>
      <c r="Q99" s="98">
        <v>5.0000000000000001E-3</v>
      </c>
      <c r="R99" s="96" t="s">
        <v>3678</v>
      </c>
      <c r="S99" s="97">
        <v>1133.517396</v>
      </c>
      <c r="T99" s="97">
        <v>1133.517396</v>
      </c>
      <c r="U99" s="98">
        <v>1</v>
      </c>
      <c r="V99" s="106"/>
    </row>
    <row r="100" spans="1:22" ht="15" customHeight="1">
      <c r="A100" s="106"/>
      <c r="B100" s="96">
        <v>286</v>
      </c>
      <c r="C100" s="96">
        <v>286</v>
      </c>
      <c r="D100" s="96"/>
      <c r="E100" s="96"/>
      <c r="F100" s="96"/>
      <c r="G100" s="96">
        <v>977930</v>
      </c>
      <c r="H100" s="100">
        <v>45393</v>
      </c>
      <c r="I100" s="96" t="s">
        <v>203</v>
      </c>
      <c r="J100" s="96"/>
      <c r="K100" s="96" t="s">
        <v>338</v>
      </c>
      <c r="L100" s="96" t="s">
        <v>3681</v>
      </c>
      <c r="M100" s="96" t="s">
        <v>311</v>
      </c>
      <c r="N100" s="96" t="s">
        <v>407</v>
      </c>
      <c r="O100" s="96" t="s">
        <v>1200</v>
      </c>
      <c r="P100" s="97">
        <v>1</v>
      </c>
      <c r="Q100" s="98">
        <v>3.0000000000000001E-3</v>
      </c>
      <c r="R100" s="96" t="s">
        <v>3678</v>
      </c>
      <c r="S100" s="97">
        <v>602.63066500000002</v>
      </c>
      <c r="T100" s="97">
        <v>602.63066500000002</v>
      </c>
      <c r="U100" s="98">
        <v>0.49999900000000003</v>
      </c>
      <c r="V100" s="106"/>
    </row>
    <row r="101" spans="1:22" ht="15" customHeight="1">
      <c r="A101" s="106"/>
      <c r="B101" s="96">
        <v>286</v>
      </c>
      <c r="C101" s="96">
        <v>286</v>
      </c>
      <c r="D101" s="96"/>
      <c r="E101" s="96"/>
      <c r="F101" s="96"/>
      <c r="G101" s="96">
        <v>977848</v>
      </c>
      <c r="H101" s="100">
        <v>44194</v>
      </c>
      <c r="I101" s="96" t="s">
        <v>203</v>
      </c>
      <c r="J101" s="96"/>
      <c r="K101" s="96" t="s">
        <v>338</v>
      </c>
      <c r="L101" s="96" t="s">
        <v>1520</v>
      </c>
      <c r="M101" s="96" t="s">
        <v>414</v>
      </c>
      <c r="N101" s="96" t="s">
        <v>407</v>
      </c>
      <c r="O101" s="96" t="s">
        <v>1200</v>
      </c>
      <c r="P101" s="97">
        <v>1</v>
      </c>
      <c r="Q101" s="98">
        <v>5.0000000000000001E-3</v>
      </c>
      <c r="R101" s="96" t="s">
        <v>3678</v>
      </c>
      <c r="S101" s="97">
        <v>10.517659999999999</v>
      </c>
      <c r="T101" s="97">
        <v>10.517659999999999</v>
      </c>
      <c r="U101" s="98">
        <v>1</v>
      </c>
      <c r="V101" s="106"/>
    </row>
    <row r="102" spans="1:22" ht="15" customHeight="1">
      <c r="A102" s="106"/>
      <c r="B102" s="96">
        <v>286</v>
      </c>
      <c r="C102" s="96">
        <v>286</v>
      </c>
      <c r="D102" s="96"/>
      <c r="E102" s="96"/>
      <c r="F102" s="96"/>
      <c r="G102" s="96">
        <v>977920</v>
      </c>
      <c r="H102" s="100">
        <v>45210</v>
      </c>
      <c r="I102" s="96" t="s">
        <v>203</v>
      </c>
      <c r="J102" s="96"/>
      <c r="K102" s="96" t="s">
        <v>338</v>
      </c>
      <c r="L102" s="96" t="s">
        <v>409</v>
      </c>
      <c r="M102" s="96" t="s">
        <v>409</v>
      </c>
      <c r="N102" s="96" t="s">
        <v>409</v>
      </c>
      <c r="O102" s="96" t="s">
        <v>1200</v>
      </c>
      <c r="P102" s="97">
        <v>1</v>
      </c>
      <c r="Q102" s="98">
        <v>3.0000000000000001E-3</v>
      </c>
      <c r="R102" s="96" t="s">
        <v>3678</v>
      </c>
      <c r="S102" s="97">
        <v>227.11643100000001</v>
      </c>
      <c r="T102" s="97">
        <v>227.11643100000001</v>
      </c>
      <c r="U102" s="98">
        <v>0.850746</v>
      </c>
      <c r="V102" s="106"/>
    </row>
    <row r="103" spans="1:22" ht="15" customHeight="1">
      <c r="A103" s="106"/>
      <c r="B103" s="96">
        <v>286</v>
      </c>
      <c r="C103" s="96">
        <v>286</v>
      </c>
      <c r="D103" s="96"/>
      <c r="E103" s="96"/>
      <c r="F103" s="96"/>
      <c r="G103" s="96">
        <v>977883</v>
      </c>
      <c r="H103" s="100">
        <v>44790</v>
      </c>
      <c r="I103" s="96" t="s">
        <v>203</v>
      </c>
      <c r="J103" s="96"/>
      <c r="K103" s="96" t="s">
        <v>338</v>
      </c>
      <c r="L103" s="96" t="s">
        <v>3683</v>
      </c>
      <c r="M103" s="96" t="s">
        <v>412</v>
      </c>
      <c r="N103" s="96" t="s">
        <v>407</v>
      </c>
      <c r="O103" s="96" t="s">
        <v>1200</v>
      </c>
      <c r="P103" s="97">
        <v>1</v>
      </c>
      <c r="Q103" s="98">
        <v>8.0000000000000002E-3</v>
      </c>
      <c r="R103" s="96" t="s">
        <v>3678</v>
      </c>
      <c r="S103" s="97">
        <v>52.162779999999998</v>
      </c>
      <c r="T103" s="97">
        <v>52.162779999999998</v>
      </c>
      <c r="U103" s="98">
        <v>1</v>
      </c>
      <c r="V103" s="106"/>
    </row>
    <row r="104" spans="1:22" ht="15" customHeight="1">
      <c r="A104" s="106"/>
      <c r="B104" s="96">
        <v>286</v>
      </c>
      <c r="C104" s="96">
        <v>286</v>
      </c>
      <c r="D104" s="96"/>
      <c r="E104" s="96"/>
      <c r="F104" s="96"/>
      <c r="G104" s="96">
        <v>977931</v>
      </c>
      <c r="H104" s="100">
        <v>45393</v>
      </c>
      <c r="I104" s="96" t="s">
        <v>203</v>
      </c>
      <c r="J104" s="96"/>
      <c r="K104" s="96" t="s">
        <v>338</v>
      </c>
      <c r="L104" s="96" t="s">
        <v>3681</v>
      </c>
      <c r="M104" s="96" t="s">
        <v>311</v>
      </c>
      <c r="N104" s="96" t="s">
        <v>407</v>
      </c>
      <c r="O104" s="96" t="s">
        <v>1200</v>
      </c>
      <c r="P104" s="97">
        <v>1</v>
      </c>
      <c r="Q104" s="98">
        <v>0</v>
      </c>
      <c r="R104" s="96" t="s">
        <v>3678</v>
      </c>
      <c r="S104" s="97">
        <v>301.31533200000001</v>
      </c>
      <c r="T104" s="97">
        <v>301.31533200000001</v>
      </c>
      <c r="U104" s="98">
        <v>0.5</v>
      </c>
      <c r="V104" s="106"/>
    </row>
    <row r="105" spans="1:22" ht="15" customHeight="1">
      <c r="A105" s="106"/>
      <c r="B105" s="96">
        <v>286</v>
      </c>
      <c r="C105" s="96">
        <v>286</v>
      </c>
      <c r="D105" s="96"/>
      <c r="E105" s="96"/>
      <c r="F105" s="96"/>
      <c r="G105" s="96">
        <v>977926</v>
      </c>
      <c r="H105" s="100">
        <v>45271</v>
      </c>
      <c r="I105" s="96" t="s">
        <v>203</v>
      </c>
      <c r="J105" s="96"/>
      <c r="K105" s="96" t="s">
        <v>338</v>
      </c>
      <c r="L105" s="96" t="s">
        <v>409</v>
      </c>
      <c r="M105" s="96" t="s">
        <v>409</v>
      </c>
      <c r="N105" s="96" t="s">
        <v>409</v>
      </c>
      <c r="O105" s="96" t="s">
        <v>1200</v>
      </c>
      <c r="P105" s="97">
        <v>1</v>
      </c>
      <c r="Q105" s="98">
        <v>3.5000000000000001E-3</v>
      </c>
      <c r="R105" s="96" t="s">
        <v>3678</v>
      </c>
      <c r="S105" s="97">
        <v>1016.939247</v>
      </c>
      <c r="T105" s="97">
        <v>1016.939247</v>
      </c>
      <c r="U105" s="98">
        <v>0.60077800000000003</v>
      </c>
      <c r="V105" s="106"/>
    </row>
    <row r="106" spans="1:22" ht="15" customHeight="1">
      <c r="A106" s="106"/>
      <c r="B106" s="96">
        <v>286</v>
      </c>
      <c r="C106" s="96">
        <v>286</v>
      </c>
      <c r="D106" s="96"/>
      <c r="E106" s="96"/>
      <c r="F106" s="96"/>
      <c r="G106" s="96">
        <v>977895</v>
      </c>
      <c r="H106" s="100">
        <v>44887</v>
      </c>
      <c r="I106" s="96" t="s">
        <v>203</v>
      </c>
      <c r="J106" s="96"/>
      <c r="K106" s="96" t="s">
        <v>338</v>
      </c>
      <c r="L106" s="96" t="s">
        <v>1328</v>
      </c>
      <c r="M106" s="96" t="s">
        <v>412</v>
      </c>
      <c r="N106" s="96" t="s">
        <v>407</v>
      </c>
      <c r="O106" s="96" t="s">
        <v>1200</v>
      </c>
      <c r="P106" s="97">
        <v>1</v>
      </c>
      <c r="Q106" s="98">
        <v>2.5000000000000001E-3</v>
      </c>
      <c r="R106" s="96" t="s">
        <v>3678</v>
      </c>
      <c r="S106" s="97">
        <v>1718.8985720000001</v>
      </c>
      <c r="T106" s="97">
        <v>1718.8985720000001</v>
      </c>
      <c r="U106" s="98">
        <v>0.17047000000000001</v>
      </c>
      <c r="V106" s="106"/>
    </row>
    <row r="107" spans="1:22" ht="15" customHeight="1">
      <c r="A107" s="106"/>
      <c r="B107" s="96">
        <v>286</v>
      </c>
      <c r="C107" s="96">
        <v>286</v>
      </c>
      <c r="D107" s="96"/>
      <c r="E107" s="96"/>
      <c r="F107" s="96"/>
      <c r="G107" s="96">
        <v>977972</v>
      </c>
      <c r="H107" s="100">
        <v>45442</v>
      </c>
      <c r="I107" s="96" t="s">
        <v>203</v>
      </c>
      <c r="J107" s="96"/>
      <c r="K107" s="96" t="s">
        <v>338</v>
      </c>
      <c r="L107" s="96" t="s">
        <v>409</v>
      </c>
      <c r="M107" s="96" t="s">
        <v>409</v>
      </c>
      <c r="N107" s="96" t="s">
        <v>409</v>
      </c>
      <c r="O107" s="96" t="s">
        <v>1200</v>
      </c>
      <c r="P107" s="97">
        <v>1</v>
      </c>
      <c r="Q107" s="98">
        <v>4.0000000000000001E-3</v>
      </c>
      <c r="R107" s="96" t="s">
        <v>3678</v>
      </c>
      <c r="S107" s="97">
        <v>1994.921503</v>
      </c>
      <c r="T107" s="97">
        <v>1994.921503</v>
      </c>
      <c r="U107" s="98">
        <v>1</v>
      </c>
      <c r="V107" s="106"/>
    </row>
    <row r="108" spans="1:22" ht="15" customHeight="1">
      <c r="A108" s="106"/>
      <c r="B108" s="96">
        <v>286</v>
      </c>
      <c r="C108" s="96">
        <v>286</v>
      </c>
      <c r="D108" s="96"/>
      <c r="E108" s="96"/>
      <c r="F108" s="96"/>
      <c r="G108" s="96">
        <v>977844</v>
      </c>
      <c r="H108" s="100">
        <v>44194</v>
      </c>
      <c r="I108" s="96" t="s">
        <v>203</v>
      </c>
      <c r="J108" s="96"/>
      <c r="K108" s="96" t="s">
        <v>338</v>
      </c>
      <c r="L108" s="96" t="s">
        <v>1520</v>
      </c>
      <c r="M108" s="96" t="s">
        <v>414</v>
      </c>
      <c r="N108" s="96" t="s">
        <v>407</v>
      </c>
      <c r="O108" s="96" t="s">
        <v>1200</v>
      </c>
      <c r="P108" s="97">
        <v>1</v>
      </c>
      <c r="Q108" s="98">
        <v>5.0000000000000001E-3</v>
      </c>
      <c r="R108" s="96" t="s">
        <v>3678</v>
      </c>
      <c r="S108" s="97">
        <v>38.054834</v>
      </c>
      <c r="T108" s="97">
        <v>38.054834</v>
      </c>
      <c r="U108" s="98">
        <v>1</v>
      </c>
      <c r="V108" s="106"/>
    </row>
    <row r="109" spans="1:22" ht="15" customHeight="1">
      <c r="A109" s="106"/>
      <c r="B109" s="96">
        <v>286</v>
      </c>
      <c r="C109" s="96">
        <v>286</v>
      </c>
      <c r="D109" s="96"/>
      <c r="E109" s="96"/>
      <c r="F109" s="96"/>
      <c r="G109" s="96">
        <v>977971</v>
      </c>
      <c r="H109" s="100">
        <v>45439</v>
      </c>
      <c r="I109" s="96" t="s">
        <v>203</v>
      </c>
      <c r="J109" s="96"/>
      <c r="K109" s="96" t="s">
        <v>338</v>
      </c>
      <c r="L109" s="96" t="s">
        <v>1328</v>
      </c>
      <c r="M109" s="96" t="s">
        <v>412</v>
      </c>
      <c r="N109" s="96" t="s">
        <v>407</v>
      </c>
      <c r="O109" s="96" t="s">
        <v>1200</v>
      </c>
      <c r="P109" s="97">
        <v>1</v>
      </c>
      <c r="Q109" s="98">
        <v>2.5000000000000001E-3</v>
      </c>
      <c r="R109" s="96" t="s">
        <v>3678</v>
      </c>
      <c r="S109" s="97">
        <v>753.28833099999997</v>
      </c>
      <c r="T109" s="97">
        <v>753.28833099999997</v>
      </c>
      <c r="U109" s="98">
        <v>1</v>
      </c>
      <c r="V109" s="106"/>
    </row>
    <row r="110" spans="1:22" ht="15" customHeight="1">
      <c r="A110" s="106"/>
      <c r="B110" s="96">
        <v>286</v>
      </c>
      <c r="C110" s="96">
        <v>286</v>
      </c>
      <c r="D110" s="96"/>
      <c r="E110" s="96"/>
      <c r="F110" s="96"/>
      <c r="G110" s="96">
        <v>977912</v>
      </c>
      <c r="H110" s="100">
        <v>45162</v>
      </c>
      <c r="I110" s="96" t="s">
        <v>203</v>
      </c>
      <c r="J110" s="96"/>
      <c r="K110" s="96" t="s">
        <v>338</v>
      </c>
      <c r="L110" s="96" t="s">
        <v>1309</v>
      </c>
      <c r="M110" s="96" t="s">
        <v>414</v>
      </c>
      <c r="N110" s="96" t="s">
        <v>407</v>
      </c>
      <c r="O110" s="96" t="s">
        <v>1200</v>
      </c>
      <c r="P110" s="97">
        <v>1</v>
      </c>
      <c r="Q110" s="98">
        <v>5.0000000000000001E-3</v>
      </c>
      <c r="R110" s="96" t="s">
        <v>3678</v>
      </c>
      <c r="S110" s="97">
        <v>939.95399699999996</v>
      </c>
      <c r="T110" s="97">
        <v>939.95399699999996</v>
      </c>
      <c r="U110" s="98">
        <v>0.93083499999999997</v>
      </c>
      <c r="V110" s="106"/>
    </row>
    <row r="111" spans="1:22" ht="15" customHeight="1">
      <c r="A111" s="106"/>
      <c r="B111" s="96">
        <v>286</v>
      </c>
      <c r="C111" s="96">
        <v>286</v>
      </c>
      <c r="D111" s="96"/>
      <c r="E111" s="96"/>
      <c r="F111" s="96"/>
      <c r="G111" s="96">
        <v>977902</v>
      </c>
      <c r="H111" s="100">
        <v>45020</v>
      </c>
      <c r="I111" s="96" t="s">
        <v>203</v>
      </c>
      <c r="J111" s="96"/>
      <c r="K111" s="96" t="s">
        <v>338</v>
      </c>
      <c r="L111" s="96" t="s">
        <v>409</v>
      </c>
      <c r="M111" s="96" t="s">
        <v>409</v>
      </c>
      <c r="N111" s="96" t="s">
        <v>409</v>
      </c>
      <c r="O111" s="96" t="s">
        <v>1200</v>
      </c>
      <c r="P111" s="97">
        <v>1</v>
      </c>
      <c r="Q111" s="98">
        <v>5.0000000000000001E-3</v>
      </c>
      <c r="R111" s="96" t="s">
        <v>3678</v>
      </c>
      <c r="S111" s="97">
        <v>637.95988399999999</v>
      </c>
      <c r="T111" s="97">
        <v>637.95988399999999</v>
      </c>
      <c r="U111" s="98">
        <v>0.53534400000000004</v>
      </c>
      <c r="V111" s="106"/>
    </row>
    <row r="112" spans="1:22" ht="15" customHeight="1">
      <c r="A112" s="106"/>
      <c r="B112" s="96">
        <v>286</v>
      </c>
      <c r="C112" s="96">
        <v>286</v>
      </c>
      <c r="D112" s="96"/>
      <c r="E112" s="96"/>
      <c r="F112" s="96"/>
      <c r="G112" s="96">
        <v>977881</v>
      </c>
      <c r="H112" s="100">
        <v>44790</v>
      </c>
      <c r="I112" s="96" t="s">
        <v>203</v>
      </c>
      <c r="J112" s="96"/>
      <c r="K112" s="96" t="s">
        <v>338</v>
      </c>
      <c r="L112" s="96" t="s">
        <v>3683</v>
      </c>
      <c r="M112" s="96" t="s">
        <v>412</v>
      </c>
      <c r="N112" s="96" t="s">
        <v>407</v>
      </c>
      <c r="O112" s="96" t="s">
        <v>1200</v>
      </c>
      <c r="P112" s="97">
        <v>1</v>
      </c>
      <c r="Q112" s="98">
        <v>5.0000000000000001E-3</v>
      </c>
      <c r="R112" s="96" t="s">
        <v>3678</v>
      </c>
      <c r="S112" s="97">
        <v>1332.2656030000001</v>
      </c>
      <c r="T112" s="97">
        <v>1332.2656030000001</v>
      </c>
      <c r="U112" s="98">
        <v>0.51108399999999998</v>
      </c>
      <c r="V112" s="106"/>
    </row>
    <row r="113" spans="1:22" ht="15" customHeight="1">
      <c r="A113" s="106"/>
      <c r="B113" s="96">
        <v>286</v>
      </c>
      <c r="C113" s="96">
        <v>286</v>
      </c>
      <c r="D113" s="96"/>
      <c r="E113" s="96"/>
      <c r="F113" s="96"/>
      <c r="G113" s="96">
        <v>977853</v>
      </c>
      <c r="H113" s="100">
        <v>44383</v>
      </c>
      <c r="I113" s="96" t="s">
        <v>203</v>
      </c>
      <c r="J113" s="96"/>
      <c r="K113" s="96" t="s">
        <v>338</v>
      </c>
      <c r="L113" s="96" t="s">
        <v>409</v>
      </c>
      <c r="M113" s="96" t="s">
        <v>409</v>
      </c>
      <c r="N113" s="96" t="s">
        <v>409</v>
      </c>
      <c r="O113" s="96" t="s">
        <v>1200</v>
      </c>
      <c r="P113" s="97">
        <v>1</v>
      </c>
      <c r="Q113" s="98">
        <v>6.0000000000000001E-3</v>
      </c>
      <c r="R113" s="96" t="s">
        <v>3678</v>
      </c>
      <c r="S113" s="97">
        <v>363.401884</v>
      </c>
      <c r="T113" s="97">
        <v>363.401884</v>
      </c>
      <c r="U113" s="98">
        <v>0.79063700000000003</v>
      </c>
      <c r="V113" s="106"/>
    </row>
    <row r="114" spans="1:22" ht="15" customHeight="1">
      <c r="A114" s="106"/>
      <c r="B114" s="96">
        <v>286</v>
      </c>
      <c r="C114" s="96">
        <v>286</v>
      </c>
      <c r="D114" s="96"/>
      <c r="E114" s="96"/>
      <c r="F114" s="96"/>
      <c r="G114" s="96">
        <v>977915</v>
      </c>
      <c r="H114" s="100">
        <v>45162</v>
      </c>
      <c r="I114" s="96" t="s">
        <v>203</v>
      </c>
      <c r="J114" s="96"/>
      <c r="K114" s="96" t="s">
        <v>338</v>
      </c>
      <c r="L114" s="96" t="s">
        <v>1309</v>
      </c>
      <c r="M114" s="96" t="s">
        <v>414</v>
      </c>
      <c r="N114" s="96" t="s">
        <v>407</v>
      </c>
      <c r="O114" s="96" t="s">
        <v>1200</v>
      </c>
      <c r="P114" s="97">
        <v>1</v>
      </c>
      <c r="Q114" s="98">
        <v>5.0000000000000001E-3</v>
      </c>
      <c r="R114" s="96" t="s">
        <v>3678</v>
      </c>
      <c r="S114" s="97">
        <v>37.959558000000001</v>
      </c>
      <c r="T114" s="97">
        <v>37.959558000000001</v>
      </c>
      <c r="U114" s="98">
        <v>1</v>
      </c>
      <c r="V114" s="106"/>
    </row>
    <row r="115" spans="1:22" ht="15" customHeight="1">
      <c r="A115" s="106"/>
      <c r="B115" s="96">
        <v>286</v>
      </c>
      <c r="C115" s="96">
        <v>286</v>
      </c>
      <c r="D115" s="96"/>
      <c r="E115" s="96"/>
      <c r="F115" s="96"/>
      <c r="G115" s="96">
        <v>977908</v>
      </c>
      <c r="H115" s="100">
        <v>45111</v>
      </c>
      <c r="I115" s="96" t="s">
        <v>203</v>
      </c>
      <c r="J115" s="96"/>
      <c r="K115" s="96" t="s">
        <v>338</v>
      </c>
      <c r="L115" s="96" t="s">
        <v>1357</v>
      </c>
      <c r="M115" s="96" t="s">
        <v>414</v>
      </c>
      <c r="N115" s="96" t="s">
        <v>407</v>
      </c>
      <c r="O115" s="96" t="s">
        <v>1200</v>
      </c>
      <c r="P115" s="97">
        <v>1</v>
      </c>
      <c r="Q115" s="98">
        <v>7.7000000000000002E-3</v>
      </c>
      <c r="R115" s="96" t="s">
        <v>3678</v>
      </c>
      <c r="S115" s="97">
        <v>1023.831835</v>
      </c>
      <c r="T115" s="97">
        <v>1023.831835</v>
      </c>
      <c r="U115" s="98">
        <v>0.91797200000000001</v>
      </c>
      <c r="V115" s="106"/>
    </row>
    <row r="116" spans="1:22" ht="15" customHeight="1">
      <c r="A116" s="106"/>
      <c r="B116" s="96">
        <v>286</v>
      </c>
      <c r="C116" s="96">
        <v>286</v>
      </c>
      <c r="D116" s="96"/>
      <c r="E116" s="96"/>
      <c r="F116" s="96"/>
      <c r="G116" s="96">
        <v>977879</v>
      </c>
      <c r="H116" s="100">
        <v>44712</v>
      </c>
      <c r="I116" s="96" t="s">
        <v>203</v>
      </c>
      <c r="J116" s="96"/>
      <c r="K116" s="96" t="s">
        <v>338</v>
      </c>
      <c r="L116" s="96" t="s">
        <v>1357</v>
      </c>
      <c r="M116" s="96" t="s">
        <v>414</v>
      </c>
      <c r="N116" s="96" t="s">
        <v>407</v>
      </c>
      <c r="O116" s="96" t="s">
        <v>1200</v>
      </c>
      <c r="P116" s="97">
        <v>1</v>
      </c>
      <c r="Q116" s="98">
        <v>6.0000000000000001E-3</v>
      </c>
      <c r="R116" s="96" t="s">
        <v>3678</v>
      </c>
      <c r="S116" s="97">
        <v>37.738188999999998</v>
      </c>
      <c r="T116" s="97">
        <v>37.738188999999998</v>
      </c>
      <c r="U116" s="98">
        <v>1</v>
      </c>
      <c r="V116" s="106"/>
    </row>
    <row r="117" spans="1:22" ht="15" customHeight="1">
      <c r="A117" s="106"/>
      <c r="B117" s="96">
        <v>286</v>
      </c>
      <c r="C117" s="96">
        <v>286</v>
      </c>
      <c r="D117" s="96"/>
      <c r="E117" s="96"/>
      <c r="F117" s="96"/>
      <c r="G117" s="96">
        <v>977845</v>
      </c>
      <c r="H117" s="100">
        <v>44194</v>
      </c>
      <c r="I117" s="96" t="s">
        <v>203</v>
      </c>
      <c r="J117" s="96"/>
      <c r="K117" s="96" t="s">
        <v>338</v>
      </c>
      <c r="L117" s="96" t="s">
        <v>1520</v>
      </c>
      <c r="M117" s="96" t="s">
        <v>414</v>
      </c>
      <c r="N117" s="96" t="s">
        <v>407</v>
      </c>
      <c r="O117" s="96" t="s">
        <v>1200</v>
      </c>
      <c r="P117" s="97">
        <v>1</v>
      </c>
      <c r="Q117" s="98">
        <v>5.0000000000000001E-3</v>
      </c>
      <c r="R117" s="96" t="s">
        <v>3678</v>
      </c>
      <c r="S117" s="97">
        <v>3.7763689999999999</v>
      </c>
      <c r="T117" s="97">
        <v>3.7763689999999999</v>
      </c>
      <c r="U117" s="98">
        <v>1</v>
      </c>
      <c r="V117" s="106"/>
    </row>
    <row r="118" spans="1:22" ht="15" customHeight="1">
      <c r="A118" s="106"/>
      <c r="B118" s="96">
        <v>286</v>
      </c>
      <c r="C118" s="96">
        <v>286</v>
      </c>
      <c r="D118" s="96"/>
      <c r="E118" s="96"/>
      <c r="F118" s="96"/>
      <c r="G118" s="96">
        <v>977860</v>
      </c>
      <c r="H118" s="100">
        <v>44409</v>
      </c>
      <c r="I118" s="96" t="s">
        <v>204</v>
      </c>
      <c r="J118" s="96"/>
      <c r="K118" s="96" t="s">
        <v>338</v>
      </c>
      <c r="L118" s="96" t="s">
        <v>1324</v>
      </c>
      <c r="M118" s="96" t="s">
        <v>412</v>
      </c>
      <c r="N118" s="96" t="s">
        <v>407</v>
      </c>
      <c r="O118" s="96" t="s">
        <v>1201</v>
      </c>
      <c r="P118" s="97">
        <v>3.7589999999999999</v>
      </c>
      <c r="Q118" s="98">
        <v>1.4999999999999999E-2</v>
      </c>
      <c r="R118" s="96" t="s">
        <v>3678</v>
      </c>
      <c r="S118" s="97">
        <v>99.660045999999994</v>
      </c>
      <c r="T118" s="97">
        <v>374.62211300000001</v>
      </c>
      <c r="U118" s="98">
        <v>0.31357200000000002</v>
      </c>
      <c r="V118" s="106"/>
    </row>
    <row r="119" spans="1:22" ht="15" customHeight="1">
      <c r="A119" s="106"/>
      <c r="B119" s="96">
        <v>286</v>
      </c>
      <c r="C119" s="96">
        <v>286</v>
      </c>
      <c r="D119" s="96"/>
      <c r="E119" s="96"/>
      <c r="F119" s="96"/>
      <c r="G119" s="96">
        <v>977856</v>
      </c>
      <c r="H119" s="100">
        <v>44409</v>
      </c>
      <c r="I119" s="96" t="s">
        <v>204</v>
      </c>
      <c r="J119" s="96"/>
      <c r="K119" s="96" t="s">
        <v>338</v>
      </c>
      <c r="L119" s="96" t="s">
        <v>1324</v>
      </c>
      <c r="M119" s="96" t="s">
        <v>412</v>
      </c>
      <c r="N119" s="96" t="s">
        <v>407</v>
      </c>
      <c r="O119" s="96" t="s">
        <v>1201</v>
      </c>
      <c r="P119" s="97">
        <v>3.7589999999999999</v>
      </c>
      <c r="Q119" s="98">
        <v>1.4999999999999999E-2</v>
      </c>
      <c r="R119" s="96" t="s">
        <v>3678</v>
      </c>
      <c r="S119" s="97">
        <v>22.270965</v>
      </c>
      <c r="T119" s="97">
        <v>83.716556999999995</v>
      </c>
      <c r="U119" s="98">
        <v>0.32645299999999999</v>
      </c>
      <c r="V119" s="106"/>
    </row>
    <row r="120" spans="1:22" ht="15" customHeight="1">
      <c r="A120" s="106"/>
      <c r="B120" s="96">
        <v>286</v>
      </c>
      <c r="C120" s="96">
        <v>286</v>
      </c>
      <c r="D120" s="96"/>
      <c r="E120" s="96"/>
      <c r="F120" s="96"/>
      <c r="G120" s="96">
        <v>977904</v>
      </c>
      <c r="H120" s="100">
        <v>45054</v>
      </c>
      <c r="I120" s="96" t="s">
        <v>204</v>
      </c>
      <c r="J120" s="96"/>
      <c r="K120" s="96" t="s">
        <v>338</v>
      </c>
      <c r="L120" s="96" t="s">
        <v>409</v>
      </c>
      <c r="M120" s="96" t="s">
        <v>409</v>
      </c>
      <c r="N120" s="96" t="s">
        <v>409</v>
      </c>
      <c r="O120" s="96" t="s">
        <v>1201</v>
      </c>
      <c r="P120" s="97">
        <v>3.7589999999999999</v>
      </c>
      <c r="Q120" s="98">
        <v>0</v>
      </c>
      <c r="R120" s="96" t="s">
        <v>3678</v>
      </c>
      <c r="S120" s="97">
        <v>254.23448400000001</v>
      </c>
      <c r="T120" s="97">
        <v>955.66742499999998</v>
      </c>
      <c r="U120" s="98">
        <v>4.5490000000000001E-3</v>
      </c>
      <c r="V120" s="106"/>
    </row>
    <row r="121" spans="1:22" ht="15" customHeight="1">
      <c r="A121" s="106"/>
      <c r="B121" s="96">
        <v>286</v>
      </c>
      <c r="C121" s="96">
        <v>286</v>
      </c>
      <c r="D121" s="96"/>
      <c r="E121" s="96"/>
      <c r="F121" s="96"/>
      <c r="G121" s="96">
        <v>977854</v>
      </c>
      <c r="H121" s="100">
        <v>44409</v>
      </c>
      <c r="I121" s="96" t="s">
        <v>204</v>
      </c>
      <c r="J121" s="96"/>
      <c r="K121" s="96" t="s">
        <v>338</v>
      </c>
      <c r="L121" s="96" t="s">
        <v>1324</v>
      </c>
      <c r="M121" s="96" t="s">
        <v>412</v>
      </c>
      <c r="N121" s="96" t="s">
        <v>407</v>
      </c>
      <c r="O121" s="96" t="s">
        <v>1201</v>
      </c>
      <c r="P121" s="97">
        <v>3.7589999999999999</v>
      </c>
      <c r="Q121" s="98">
        <v>1.4999999999999999E-2</v>
      </c>
      <c r="R121" s="96" t="s">
        <v>3678</v>
      </c>
      <c r="S121" s="97">
        <v>40.779263</v>
      </c>
      <c r="T121" s="97">
        <v>153.28925000000001</v>
      </c>
      <c r="U121" s="98">
        <v>0.41184100000000001</v>
      </c>
      <c r="V121" s="106"/>
    </row>
    <row r="122" spans="1:22" ht="15" customHeight="1">
      <c r="A122" s="106"/>
      <c r="B122" s="96">
        <v>286</v>
      </c>
      <c r="C122" s="96">
        <v>286</v>
      </c>
      <c r="D122" s="96"/>
      <c r="E122" s="96"/>
      <c r="F122" s="96"/>
      <c r="G122" s="96">
        <v>977855</v>
      </c>
      <c r="H122" s="100">
        <v>44409</v>
      </c>
      <c r="I122" s="96" t="s">
        <v>204</v>
      </c>
      <c r="J122" s="96"/>
      <c r="K122" s="96" t="s">
        <v>338</v>
      </c>
      <c r="L122" s="96" t="s">
        <v>1324</v>
      </c>
      <c r="M122" s="96" t="s">
        <v>412</v>
      </c>
      <c r="N122" s="96" t="s">
        <v>407</v>
      </c>
      <c r="O122" s="96" t="s">
        <v>1201</v>
      </c>
      <c r="P122" s="97">
        <v>3.7589999999999999</v>
      </c>
      <c r="Q122" s="98">
        <v>1.4999999999999999E-2</v>
      </c>
      <c r="R122" s="96" t="s">
        <v>3678</v>
      </c>
      <c r="S122" s="97">
        <v>40.677565999999999</v>
      </c>
      <c r="T122" s="97">
        <v>152.906971</v>
      </c>
      <c r="U122" s="98">
        <v>0.37254300000000001</v>
      </c>
      <c r="V122" s="106"/>
    </row>
    <row r="123" spans="1:22" ht="15" customHeight="1">
      <c r="A123" s="106"/>
      <c r="B123" s="96">
        <v>286</v>
      </c>
      <c r="C123" s="96">
        <v>286</v>
      </c>
      <c r="D123" s="96"/>
      <c r="E123" s="96"/>
      <c r="F123" s="96"/>
      <c r="G123" s="96">
        <v>977875</v>
      </c>
      <c r="H123" s="100">
        <v>44665</v>
      </c>
      <c r="I123" s="96" t="s">
        <v>204</v>
      </c>
      <c r="J123" s="96"/>
      <c r="K123" s="96" t="s">
        <v>338</v>
      </c>
      <c r="L123" s="96" t="s">
        <v>1328</v>
      </c>
      <c r="M123" s="96" t="s">
        <v>412</v>
      </c>
      <c r="N123" s="96" t="s">
        <v>407</v>
      </c>
      <c r="O123" s="96" t="s">
        <v>1205</v>
      </c>
      <c r="P123" s="97">
        <v>4.7504999999999997</v>
      </c>
      <c r="Q123" s="98">
        <v>0</v>
      </c>
      <c r="R123" s="96" t="s">
        <v>3678</v>
      </c>
      <c r="S123" s="97">
        <v>191.77948699999999</v>
      </c>
      <c r="T123" s="97">
        <v>911.04845299999999</v>
      </c>
      <c r="U123" s="98">
        <v>0.53556700000000002</v>
      </c>
      <c r="V123" s="106"/>
    </row>
    <row r="124" spans="1:22" ht="15" customHeight="1">
      <c r="A124" s="106"/>
      <c r="B124" s="96">
        <v>286</v>
      </c>
      <c r="C124" s="96">
        <v>14418</v>
      </c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106"/>
    </row>
    <row r="125" spans="1:22" ht="15" customHeight="1">
      <c r="A125" s="106"/>
      <c r="B125" s="96">
        <v>286</v>
      </c>
      <c r="C125" s="96">
        <v>1446</v>
      </c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106"/>
    </row>
    <row r="126" spans="1:22" ht="15" customHeight="1">
      <c r="A126" s="106"/>
      <c r="B126" s="96">
        <v>286</v>
      </c>
      <c r="C126" s="96">
        <v>9803</v>
      </c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106"/>
    </row>
    <row r="127" spans="1:22" ht="15" customHeight="1">
      <c r="A127" s="106"/>
      <c r="B127" s="105" t="s">
        <v>3767</v>
      </c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6"/>
    </row>
  </sheetData>
  <mergeCells count="4">
    <mergeCell ref="B127:U127"/>
    <mergeCell ref="A1:A127"/>
    <mergeCell ref="B1:U1"/>
    <mergeCell ref="V1:V127"/>
  </mergeCell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AA51"/>
  <sheetViews>
    <sheetView rightToLeft="1" workbookViewId="0">
      <selection sqref="A1:A51"/>
    </sheetView>
  </sheetViews>
  <sheetFormatPr defaultColWidth="12.625" defaultRowHeight="15" customHeight="1"/>
  <cols>
    <col min="1" max="1" width="3.125" customWidth="1"/>
    <col min="2" max="2" width="11.25" bestFit="1" customWidth="1"/>
    <col min="3" max="3" width="9.25" bestFit="1" customWidth="1"/>
    <col min="4" max="4" width="14.75" bestFit="1" customWidth="1"/>
    <col min="5" max="5" width="67.125" bestFit="1" customWidth="1"/>
    <col min="6" max="6" width="11.375" bestFit="1" customWidth="1"/>
    <col min="7" max="7" width="9.375" bestFit="1" customWidth="1"/>
    <col min="8" max="8" width="41.125" bestFit="1" customWidth="1"/>
    <col min="9" max="9" width="9.875" bestFit="1" customWidth="1"/>
    <col min="10" max="10" width="12.125" bestFit="1" customWidth="1"/>
    <col min="11" max="11" width="9.875" bestFit="1" customWidth="1"/>
    <col min="12" max="14" width="11.625" customWidth="1"/>
    <col min="15" max="15" width="12" bestFit="1" customWidth="1"/>
    <col min="16" max="16" width="10.875" bestFit="1" customWidth="1"/>
    <col min="17" max="17" width="9.5" bestFit="1" customWidth="1"/>
    <col min="18" max="18" width="10.75" bestFit="1" customWidth="1"/>
    <col min="19" max="19" width="3.125" customWidth="1"/>
    <col min="20" max="27" width="11.625" customWidth="1"/>
  </cols>
  <sheetData>
    <row r="1" spans="1:27" ht="15" customHeight="1">
      <c r="A1" s="106" t="s">
        <v>3764</v>
      </c>
      <c r="B1" s="109" t="s">
        <v>3765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6" t="s">
        <v>3766</v>
      </c>
    </row>
    <row r="2" spans="1:27" ht="66.75" customHeight="1">
      <c r="A2" s="106"/>
      <c r="B2" s="21" t="s">
        <v>49</v>
      </c>
      <c r="C2" s="21" t="s">
        <v>50</v>
      </c>
      <c r="D2" s="21" t="s">
        <v>54</v>
      </c>
      <c r="E2" s="21" t="s">
        <v>108</v>
      </c>
      <c r="F2" s="21" t="s">
        <v>109</v>
      </c>
      <c r="G2" s="21" t="s">
        <v>110</v>
      </c>
      <c r="H2" s="21" t="s">
        <v>111</v>
      </c>
      <c r="I2" s="21" t="s">
        <v>112</v>
      </c>
      <c r="J2" s="21" t="s">
        <v>113</v>
      </c>
      <c r="K2" s="21" t="s">
        <v>59</v>
      </c>
      <c r="L2" s="21" t="s">
        <v>191</v>
      </c>
      <c r="M2" s="21" t="s">
        <v>192</v>
      </c>
      <c r="N2" s="21" t="s">
        <v>193</v>
      </c>
      <c r="O2" s="21" t="s">
        <v>194</v>
      </c>
      <c r="P2" s="21" t="s">
        <v>195</v>
      </c>
      <c r="Q2" s="21" t="s">
        <v>196</v>
      </c>
      <c r="R2" s="21" t="s">
        <v>197</v>
      </c>
      <c r="S2" s="106"/>
      <c r="T2" s="10"/>
      <c r="U2" s="10"/>
      <c r="V2" s="10"/>
      <c r="W2" s="10"/>
      <c r="X2" s="10"/>
      <c r="Y2" s="10"/>
      <c r="Z2" s="10"/>
      <c r="AA2" s="10"/>
    </row>
    <row r="3" spans="1:27" ht="15" customHeight="1">
      <c r="A3" s="106"/>
      <c r="B3" s="96">
        <v>286</v>
      </c>
      <c r="C3" s="96">
        <v>286</v>
      </c>
      <c r="D3" s="96" t="s">
        <v>1069</v>
      </c>
      <c r="E3" s="96" t="s">
        <v>3590</v>
      </c>
      <c r="F3" s="96" t="s">
        <v>3769</v>
      </c>
      <c r="G3" s="96" t="s">
        <v>310</v>
      </c>
      <c r="H3" s="96" t="s">
        <v>3591</v>
      </c>
      <c r="I3" s="96">
        <v>291231003</v>
      </c>
      <c r="J3" s="96" t="s">
        <v>311</v>
      </c>
      <c r="K3" s="96" t="s">
        <v>1201</v>
      </c>
      <c r="L3" s="100">
        <v>44377</v>
      </c>
      <c r="M3" s="97">
        <v>1156343</v>
      </c>
      <c r="N3" s="97">
        <v>4346.6933370000006</v>
      </c>
      <c r="O3" s="97">
        <v>425649.25</v>
      </c>
      <c r="P3" s="97">
        <v>1600.0155307500099</v>
      </c>
      <c r="Q3" s="98">
        <v>0.3680994739450168</v>
      </c>
      <c r="R3" s="100">
        <v>45657</v>
      </c>
      <c r="S3" s="106"/>
    </row>
    <row r="4" spans="1:27" ht="15" customHeight="1">
      <c r="A4" s="106"/>
      <c r="B4" s="96">
        <v>286</v>
      </c>
      <c r="C4" s="96">
        <v>286</v>
      </c>
      <c r="D4" s="96" t="s">
        <v>1069</v>
      </c>
      <c r="E4" s="96" t="s">
        <v>3596</v>
      </c>
      <c r="F4" s="96">
        <v>94544</v>
      </c>
      <c r="G4" s="96" t="s">
        <v>310</v>
      </c>
      <c r="H4" s="96" t="s">
        <v>3597</v>
      </c>
      <c r="I4" s="96">
        <v>291231004</v>
      </c>
      <c r="J4" s="96" t="s">
        <v>311</v>
      </c>
      <c r="K4" s="96" t="s">
        <v>1201</v>
      </c>
      <c r="L4" s="100">
        <v>43830</v>
      </c>
      <c r="M4" s="97">
        <v>1156343</v>
      </c>
      <c r="N4" s="97">
        <v>4346.6933370000006</v>
      </c>
      <c r="O4" s="97">
        <v>304946.12</v>
      </c>
      <c r="P4" s="97">
        <v>1146.2924650800001</v>
      </c>
      <c r="Q4" s="98">
        <v>0.26371597354764109</v>
      </c>
      <c r="R4" s="100">
        <v>46172</v>
      </c>
      <c r="S4" s="106"/>
    </row>
    <row r="5" spans="1:27" ht="15" customHeight="1">
      <c r="A5" s="106"/>
      <c r="B5" s="96">
        <v>286</v>
      </c>
      <c r="C5" s="96">
        <v>286</v>
      </c>
      <c r="D5" s="96" t="s">
        <v>1069</v>
      </c>
      <c r="E5" s="96" t="s">
        <v>3605</v>
      </c>
      <c r="F5" s="96">
        <v>540298221</v>
      </c>
      <c r="G5" s="96" t="s">
        <v>309</v>
      </c>
      <c r="H5" s="96" t="s">
        <v>3606</v>
      </c>
      <c r="I5" s="96">
        <v>291231005</v>
      </c>
      <c r="J5" s="96" t="s">
        <v>311</v>
      </c>
      <c r="K5" s="96" t="s">
        <v>1202</v>
      </c>
      <c r="L5" s="100">
        <v>43677</v>
      </c>
      <c r="M5" s="97">
        <v>516374</v>
      </c>
      <c r="N5" s="97">
        <v>2075.9267547999998</v>
      </c>
      <c r="O5" s="97">
        <v>104518.27</v>
      </c>
      <c r="P5" s="97">
        <v>420.18434905399999</v>
      </c>
      <c r="Q5" s="98">
        <v>0.20240808018993986</v>
      </c>
      <c r="R5" s="100">
        <v>46203</v>
      </c>
      <c r="S5" s="106"/>
    </row>
    <row r="6" spans="1:27" ht="15" customHeight="1">
      <c r="A6" s="106"/>
      <c r="B6" s="96">
        <v>286</v>
      </c>
      <c r="C6" s="96">
        <v>286</v>
      </c>
      <c r="D6" s="96" t="s">
        <v>1069</v>
      </c>
      <c r="E6" s="96" t="s">
        <v>3556</v>
      </c>
      <c r="F6" s="96">
        <v>6022004</v>
      </c>
      <c r="G6" s="96" t="s">
        <v>310</v>
      </c>
      <c r="H6" s="96" t="s">
        <v>3557</v>
      </c>
      <c r="I6" s="96">
        <v>291231006</v>
      </c>
      <c r="J6" s="96" t="s">
        <v>311</v>
      </c>
      <c r="K6" s="96" t="s">
        <v>1201</v>
      </c>
      <c r="L6" s="100">
        <v>37411</v>
      </c>
      <c r="M6" s="97">
        <v>400000</v>
      </c>
      <c r="N6" s="97">
        <v>1503.6</v>
      </c>
      <c r="O6" s="97">
        <v>7012.4700000000903</v>
      </c>
      <c r="P6" s="97">
        <v>26.359874729999998</v>
      </c>
      <c r="Q6" s="98">
        <v>1.7531175E-2</v>
      </c>
      <c r="R6" s="100">
        <v>45503</v>
      </c>
      <c r="S6" s="106"/>
    </row>
    <row r="7" spans="1:27" ht="15" customHeight="1">
      <c r="A7" s="106"/>
      <c r="B7" s="96">
        <v>286</v>
      </c>
      <c r="C7" s="96">
        <v>286</v>
      </c>
      <c r="D7" s="96" t="s">
        <v>1069</v>
      </c>
      <c r="E7" s="96" t="s">
        <v>3624</v>
      </c>
      <c r="F7" s="96" t="s">
        <v>3770</v>
      </c>
      <c r="G7" s="96" t="s">
        <v>310</v>
      </c>
      <c r="H7" s="96" t="s">
        <v>3625</v>
      </c>
      <c r="I7" s="96">
        <v>291231008</v>
      </c>
      <c r="J7" s="96" t="s">
        <v>311</v>
      </c>
      <c r="K7" s="96" t="s">
        <v>1201</v>
      </c>
      <c r="L7" s="100">
        <v>44302</v>
      </c>
      <c r="M7" s="97">
        <v>590495</v>
      </c>
      <c r="N7" s="97">
        <v>2219.670705</v>
      </c>
      <c r="O7" s="97">
        <v>94246.4200000001</v>
      </c>
      <c r="P7" s="97">
        <v>354.27229278000004</v>
      </c>
      <c r="Q7" s="98">
        <v>0.15960578836399972</v>
      </c>
      <c r="R7" s="100">
        <v>46752</v>
      </c>
      <c r="S7" s="106"/>
    </row>
    <row r="8" spans="1:27" ht="15" customHeight="1">
      <c r="A8" s="106"/>
      <c r="B8" s="96">
        <v>286</v>
      </c>
      <c r="C8" s="96">
        <v>286</v>
      </c>
      <c r="D8" s="96" t="s">
        <v>1069</v>
      </c>
      <c r="E8" s="96" t="s">
        <v>3577</v>
      </c>
      <c r="F8" s="96" t="s">
        <v>3771</v>
      </c>
      <c r="G8" s="96" t="s">
        <v>310</v>
      </c>
      <c r="H8" s="96" t="s">
        <v>3589</v>
      </c>
      <c r="I8" s="96">
        <v>291231011</v>
      </c>
      <c r="J8" s="96" t="s">
        <v>311</v>
      </c>
      <c r="K8" s="96" t="s">
        <v>1201</v>
      </c>
      <c r="L8" s="100">
        <v>44490</v>
      </c>
      <c r="M8" s="97">
        <v>1737904</v>
      </c>
      <c r="N8" s="97">
        <v>6532.7811359999996</v>
      </c>
      <c r="O8" s="97">
        <v>1813129.39</v>
      </c>
      <c r="P8" s="97">
        <v>6815.5533770100001</v>
      </c>
      <c r="Q8" s="98">
        <v>1.0432851239193881</v>
      </c>
      <c r="R8" s="100">
        <v>47848</v>
      </c>
      <c r="S8" s="106"/>
    </row>
    <row r="9" spans="1:27" ht="15" customHeight="1">
      <c r="A9" s="106"/>
      <c r="B9" s="96">
        <v>286</v>
      </c>
      <c r="C9" s="96">
        <v>286</v>
      </c>
      <c r="D9" s="96" t="s">
        <v>1069</v>
      </c>
      <c r="E9" s="96" t="s">
        <v>3558</v>
      </c>
      <c r="F9" s="96">
        <v>550270912</v>
      </c>
      <c r="G9" s="96" t="s">
        <v>309</v>
      </c>
      <c r="H9" s="96" t="s">
        <v>3559</v>
      </c>
      <c r="I9" s="96">
        <v>291231012</v>
      </c>
      <c r="J9" s="96" t="s">
        <v>311</v>
      </c>
      <c r="K9" s="96" t="s">
        <v>1200</v>
      </c>
      <c r="L9" s="100">
        <v>44220</v>
      </c>
      <c r="M9" s="97">
        <v>2537500</v>
      </c>
      <c r="N9" s="97">
        <v>2537.5</v>
      </c>
      <c r="O9" s="97">
        <v>1987295.97</v>
      </c>
      <c r="P9" s="97">
        <v>1987.2959699999999</v>
      </c>
      <c r="Q9" s="98">
        <v>0.78317082561576346</v>
      </c>
      <c r="R9" s="100">
        <v>47118</v>
      </c>
      <c r="S9" s="106"/>
    </row>
    <row r="10" spans="1:27" ht="15" customHeight="1">
      <c r="A10" s="106"/>
      <c r="B10" s="96">
        <v>286</v>
      </c>
      <c r="C10" s="96">
        <v>286</v>
      </c>
      <c r="D10" s="96" t="s">
        <v>1069</v>
      </c>
      <c r="E10" s="96" t="s">
        <v>3594</v>
      </c>
      <c r="F10" s="96">
        <v>1883725</v>
      </c>
      <c r="G10" s="96" t="s">
        <v>310</v>
      </c>
      <c r="H10" s="96" t="s">
        <v>3595</v>
      </c>
      <c r="I10" s="96">
        <v>291231013</v>
      </c>
      <c r="J10" s="96" t="s">
        <v>311</v>
      </c>
      <c r="K10" s="96" t="s">
        <v>1201</v>
      </c>
      <c r="L10" s="100">
        <v>43583</v>
      </c>
      <c r="M10" s="97">
        <v>528134.34</v>
      </c>
      <c r="N10" s="97">
        <v>1985.2569840599999</v>
      </c>
      <c r="O10" s="97">
        <v>83201.640000000407</v>
      </c>
      <c r="P10" s="97">
        <v>312.75496476000001</v>
      </c>
      <c r="Q10" s="98">
        <v>0.15753878075794125</v>
      </c>
      <c r="R10" s="100">
        <v>46020</v>
      </c>
      <c r="S10" s="106"/>
    </row>
    <row r="11" spans="1:27" ht="15" customHeight="1">
      <c r="A11" s="106"/>
      <c r="B11" s="96">
        <v>286</v>
      </c>
      <c r="C11" s="96">
        <v>286</v>
      </c>
      <c r="D11" s="96" t="s">
        <v>1069</v>
      </c>
      <c r="E11" s="96" t="s">
        <v>3590</v>
      </c>
      <c r="F11" s="96" t="s">
        <v>3769</v>
      </c>
      <c r="G11" s="96" t="s">
        <v>310</v>
      </c>
      <c r="H11" s="96" t="s">
        <v>3600</v>
      </c>
      <c r="I11" s="96">
        <v>291231014</v>
      </c>
      <c r="J11" s="96" t="s">
        <v>311</v>
      </c>
      <c r="K11" s="96" t="s">
        <v>1201</v>
      </c>
      <c r="L11" s="100">
        <v>44689</v>
      </c>
      <c r="M11" s="97">
        <v>586816</v>
      </c>
      <c r="N11" s="97">
        <v>2205.8413439999999</v>
      </c>
      <c r="O11" s="97">
        <v>119605.66</v>
      </c>
      <c r="P11" s="97">
        <v>449.59767593999999</v>
      </c>
      <c r="Q11" s="98">
        <v>0.20382140227941978</v>
      </c>
      <c r="R11" s="100">
        <v>45657</v>
      </c>
      <c r="S11" s="106"/>
    </row>
    <row r="12" spans="1:27" ht="15" customHeight="1">
      <c r="A12" s="106"/>
      <c r="B12" s="96">
        <v>286</v>
      </c>
      <c r="C12" s="96">
        <v>286</v>
      </c>
      <c r="D12" s="96" t="s">
        <v>1069</v>
      </c>
      <c r="E12" s="96" t="s">
        <v>3603</v>
      </c>
      <c r="F12" s="96" t="s">
        <v>3772</v>
      </c>
      <c r="G12" s="96" t="s">
        <v>310</v>
      </c>
      <c r="H12" s="96" t="s">
        <v>3604</v>
      </c>
      <c r="I12" s="96">
        <v>291231015</v>
      </c>
      <c r="J12" s="96" t="s">
        <v>311</v>
      </c>
      <c r="K12" s="96" t="s">
        <v>1201</v>
      </c>
      <c r="L12" s="100">
        <v>38191</v>
      </c>
      <c r="M12" s="97">
        <v>459783</v>
      </c>
      <c r="N12" s="97">
        <v>1728.3242970000001</v>
      </c>
      <c r="O12" s="97">
        <v>60099.49</v>
      </c>
      <c r="P12" s="97">
        <v>225.91398290999999</v>
      </c>
      <c r="Q12" s="98">
        <v>0.13071272752581106</v>
      </c>
      <c r="R12" s="100">
        <v>46568</v>
      </c>
      <c r="S12" s="106"/>
    </row>
    <row r="13" spans="1:27" ht="15" customHeight="1">
      <c r="A13" s="106"/>
      <c r="B13" s="96">
        <v>286</v>
      </c>
      <c r="C13" s="96">
        <v>286</v>
      </c>
      <c r="D13" s="96" t="s">
        <v>1069</v>
      </c>
      <c r="E13" s="96" t="s">
        <v>3601</v>
      </c>
      <c r="F13" s="96" t="s">
        <v>3773</v>
      </c>
      <c r="G13" s="96" t="s">
        <v>310</v>
      </c>
      <c r="H13" s="96" t="s">
        <v>3602</v>
      </c>
      <c r="I13" s="96">
        <v>291231016</v>
      </c>
      <c r="J13" s="96" t="s">
        <v>311</v>
      </c>
      <c r="K13" s="96" t="s">
        <v>1201</v>
      </c>
      <c r="L13" s="100">
        <v>44948</v>
      </c>
      <c r="M13" s="97">
        <v>608087</v>
      </c>
      <c r="N13" s="97">
        <v>2285.7990329999998</v>
      </c>
      <c r="O13" s="97">
        <v>346945.76</v>
      </c>
      <c r="P13" s="97">
        <v>1304.1691118399999</v>
      </c>
      <c r="Q13" s="98">
        <v>0.57055283207830465</v>
      </c>
      <c r="R13" s="100">
        <v>45838</v>
      </c>
      <c r="S13" s="106"/>
    </row>
    <row r="14" spans="1:27" ht="15" customHeight="1">
      <c r="A14" s="106"/>
      <c r="B14" s="96">
        <v>286</v>
      </c>
      <c r="C14" s="96">
        <v>286</v>
      </c>
      <c r="D14" s="96" t="s">
        <v>1069</v>
      </c>
      <c r="E14" s="96" t="s">
        <v>3622</v>
      </c>
      <c r="F14" s="96">
        <v>7797761</v>
      </c>
      <c r="G14" s="96" t="s">
        <v>310</v>
      </c>
      <c r="H14" s="96" t="s">
        <v>3623</v>
      </c>
      <c r="I14" s="96">
        <v>291231017</v>
      </c>
      <c r="J14" s="96" t="s">
        <v>311</v>
      </c>
      <c r="K14" s="96" t="s">
        <v>1202</v>
      </c>
      <c r="L14" s="100">
        <v>44265</v>
      </c>
      <c r="M14" s="97">
        <v>511155</v>
      </c>
      <c r="N14" s="97">
        <v>2054.9453309999999</v>
      </c>
      <c r="O14" s="97">
        <v>28501.78</v>
      </c>
      <c r="P14" s="97">
        <v>114.582855956</v>
      </c>
      <c r="Q14" s="98">
        <v>5.5759564124384979E-2</v>
      </c>
      <c r="R14" s="100">
        <v>46538</v>
      </c>
      <c r="S14" s="106"/>
    </row>
    <row r="15" spans="1:27" ht="15" customHeight="1">
      <c r="A15" s="106"/>
      <c r="B15" s="96">
        <v>286</v>
      </c>
      <c r="C15" s="96">
        <v>286</v>
      </c>
      <c r="D15" s="96" t="s">
        <v>1069</v>
      </c>
      <c r="E15" s="96" t="s">
        <v>3617</v>
      </c>
      <c r="F15" s="96" t="s">
        <v>3774</v>
      </c>
      <c r="G15" s="96" t="s">
        <v>310</v>
      </c>
      <c r="H15" s="96" t="s">
        <v>3618</v>
      </c>
      <c r="I15" s="96">
        <v>291231018</v>
      </c>
      <c r="J15" s="96" t="s">
        <v>311</v>
      </c>
      <c r="K15" s="96" t="s">
        <v>1201</v>
      </c>
      <c r="L15" s="100">
        <v>44327</v>
      </c>
      <c r="M15" s="97">
        <v>494905</v>
      </c>
      <c r="N15" s="97">
        <v>1860.3478950000001</v>
      </c>
      <c r="O15" s="97">
        <v>136282.20000000001</v>
      </c>
      <c r="P15" s="97">
        <v>512.28478980000102</v>
      </c>
      <c r="Q15" s="98">
        <v>0.27537042462694916</v>
      </c>
      <c r="R15" s="100">
        <v>46522</v>
      </c>
      <c r="S15" s="106"/>
    </row>
    <row r="16" spans="1:27" ht="15" customHeight="1">
      <c r="A16" s="106"/>
      <c r="B16" s="96">
        <v>286</v>
      </c>
      <c r="C16" s="96">
        <v>286</v>
      </c>
      <c r="D16" s="96" t="s">
        <v>1069</v>
      </c>
      <c r="E16" s="96" t="s">
        <v>3607</v>
      </c>
      <c r="F16" s="96">
        <v>6560021</v>
      </c>
      <c r="G16" s="96" t="s">
        <v>310</v>
      </c>
      <c r="H16" s="96" t="s">
        <v>3608</v>
      </c>
      <c r="I16" s="96">
        <v>291231019</v>
      </c>
      <c r="J16" s="96" t="s">
        <v>311</v>
      </c>
      <c r="K16" s="96" t="s">
        <v>1202</v>
      </c>
      <c r="L16" s="100">
        <v>44843</v>
      </c>
      <c r="M16" s="97">
        <v>545225</v>
      </c>
      <c r="N16" s="97">
        <v>2191.9135449999999</v>
      </c>
      <c r="O16" s="97">
        <v>17484.009999999998</v>
      </c>
      <c r="P16" s="97">
        <v>70.289217001999702</v>
      </c>
      <c r="Q16" s="98">
        <v>3.2067513411894039E-2</v>
      </c>
      <c r="R16" s="100">
        <v>45808</v>
      </c>
      <c r="S16" s="106"/>
    </row>
    <row r="17" spans="1:19" ht="15" customHeight="1">
      <c r="A17" s="106"/>
      <c r="B17" s="96">
        <v>286</v>
      </c>
      <c r="C17" s="96">
        <v>286</v>
      </c>
      <c r="D17" s="96" t="s">
        <v>1069</v>
      </c>
      <c r="E17" s="96" t="s">
        <v>3571</v>
      </c>
      <c r="F17" s="96" t="s">
        <v>3775</v>
      </c>
      <c r="G17" s="96" t="s">
        <v>310</v>
      </c>
      <c r="H17" s="96" t="s">
        <v>3572</v>
      </c>
      <c r="I17" s="96">
        <v>291231020</v>
      </c>
      <c r="J17" s="96" t="s">
        <v>311</v>
      </c>
      <c r="K17" s="96" t="s">
        <v>1201</v>
      </c>
      <c r="L17" s="100">
        <v>43951</v>
      </c>
      <c r="M17" s="97">
        <v>622068</v>
      </c>
      <c r="N17" s="97">
        <v>2338.3536120000003</v>
      </c>
      <c r="O17" s="97">
        <v>186659.39</v>
      </c>
      <c r="P17" s="97">
        <v>701.65264701000001</v>
      </c>
      <c r="Q17" s="98">
        <v>0.3000626780351987</v>
      </c>
      <c r="R17" s="100">
        <v>46568</v>
      </c>
      <c r="S17" s="106"/>
    </row>
    <row r="18" spans="1:19" ht="15" customHeight="1">
      <c r="A18" s="106"/>
      <c r="B18" s="96">
        <v>286</v>
      </c>
      <c r="C18" s="96">
        <v>286</v>
      </c>
      <c r="D18" s="96" t="s">
        <v>1069</v>
      </c>
      <c r="E18" s="96" t="s">
        <v>3535</v>
      </c>
      <c r="F18" s="96">
        <v>550232953</v>
      </c>
      <c r="G18" s="96" t="s">
        <v>309</v>
      </c>
      <c r="H18" s="96" t="s">
        <v>3569</v>
      </c>
      <c r="I18" s="96">
        <v>291231021</v>
      </c>
      <c r="J18" s="96" t="s">
        <v>311</v>
      </c>
      <c r="K18" s="96" t="s">
        <v>1200</v>
      </c>
      <c r="L18" s="100">
        <v>43555</v>
      </c>
      <c r="M18" s="97">
        <v>2137500</v>
      </c>
      <c r="N18" s="97">
        <v>2137.5</v>
      </c>
      <c r="O18" s="97">
        <v>127138.16</v>
      </c>
      <c r="P18" s="97">
        <v>127.13816</v>
      </c>
      <c r="Q18" s="98">
        <v>5.9479840935672511E-2</v>
      </c>
      <c r="R18" s="100">
        <v>47848</v>
      </c>
      <c r="S18" s="106"/>
    </row>
    <row r="19" spans="1:19" ht="15" customHeight="1">
      <c r="A19" s="106"/>
      <c r="B19" s="96">
        <v>286</v>
      </c>
      <c r="C19" s="96">
        <v>286</v>
      </c>
      <c r="D19" s="96" t="s">
        <v>1069</v>
      </c>
      <c r="E19" s="96" t="s">
        <v>3567</v>
      </c>
      <c r="F19" s="96">
        <v>516190006</v>
      </c>
      <c r="G19" s="96" t="s">
        <v>308</v>
      </c>
      <c r="H19" s="96" t="s">
        <v>3568</v>
      </c>
      <c r="I19" s="96">
        <v>291231022</v>
      </c>
      <c r="J19" s="96" t="s">
        <v>311</v>
      </c>
      <c r="K19" s="96" t="s">
        <v>1200</v>
      </c>
      <c r="L19" s="100">
        <v>43990</v>
      </c>
      <c r="M19" s="97">
        <v>976862</v>
      </c>
      <c r="N19" s="97">
        <v>976.86199999999997</v>
      </c>
      <c r="O19" s="97">
        <v>73283.639999999898</v>
      </c>
      <c r="P19" s="97">
        <v>73.283639999999892</v>
      </c>
      <c r="Q19" s="98">
        <v>7.5019439798047108E-2</v>
      </c>
      <c r="R19" s="100">
        <v>45508</v>
      </c>
      <c r="S19" s="106"/>
    </row>
    <row r="20" spans="1:19" ht="15" customHeight="1">
      <c r="A20" s="106"/>
      <c r="B20" s="96">
        <v>286</v>
      </c>
      <c r="C20" s="96">
        <v>286</v>
      </c>
      <c r="D20" s="96" t="s">
        <v>1069</v>
      </c>
      <c r="E20" s="96" t="s">
        <v>3546</v>
      </c>
      <c r="F20" s="96">
        <v>515194785</v>
      </c>
      <c r="G20" s="96" t="s">
        <v>308</v>
      </c>
      <c r="H20" s="96" t="s">
        <v>3547</v>
      </c>
      <c r="I20" s="96">
        <v>291231024</v>
      </c>
      <c r="J20" s="96" t="s">
        <v>311</v>
      </c>
      <c r="K20" s="96" t="s">
        <v>1201</v>
      </c>
      <c r="L20" s="100">
        <v>45200</v>
      </c>
      <c r="M20" s="97">
        <v>319178</v>
      </c>
      <c r="N20" s="97">
        <v>1199.7901019999999</v>
      </c>
      <c r="O20" s="97">
        <v>54898.589999999902</v>
      </c>
      <c r="P20" s="97">
        <v>206.36379980999999</v>
      </c>
      <c r="Q20" s="98">
        <v>0.17199991854075156</v>
      </c>
      <c r="R20" s="100">
        <v>46602</v>
      </c>
      <c r="S20" s="106"/>
    </row>
    <row r="21" spans="1:19" ht="15" customHeight="1">
      <c r="A21" s="106"/>
      <c r="B21" s="96">
        <v>286</v>
      </c>
      <c r="C21" s="96">
        <v>286</v>
      </c>
      <c r="D21" s="96" t="s">
        <v>1069</v>
      </c>
      <c r="E21" s="96" t="s">
        <v>3563</v>
      </c>
      <c r="F21" s="96">
        <v>540297413</v>
      </c>
      <c r="G21" s="96" t="s">
        <v>309</v>
      </c>
      <c r="H21" s="96" t="s">
        <v>3564</v>
      </c>
      <c r="I21" s="96">
        <v>291231025</v>
      </c>
      <c r="J21" s="96" t="s">
        <v>311</v>
      </c>
      <c r="K21" s="96" t="s">
        <v>1201</v>
      </c>
      <c r="L21" s="100">
        <v>44329</v>
      </c>
      <c r="M21" s="97">
        <v>576152</v>
      </c>
      <c r="N21" s="97">
        <v>2165.7553679999996</v>
      </c>
      <c r="O21" s="97">
        <v>142944.70000000001</v>
      </c>
      <c r="P21" s="97">
        <v>537.3291273000001</v>
      </c>
      <c r="Q21" s="98">
        <v>0.24810241047501363</v>
      </c>
      <c r="R21" s="100">
        <v>46630</v>
      </c>
      <c r="S21" s="106"/>
    </row>
    <row r="22" spans="1:19" ht="15" customHeight="1">
      <c r="A22" s="106"/>
      <c r="B22" s="96">
        <v>286</v>
      </c>
      <c r="C22" s="96">
        <v>286</v>
      </c>
      <c r="D22" s="96" t="s">
        <v>1069</v>
      </c>
      <c r="E22" s="96" t="s">
        <v>3598</v>
      </c>
      <c r="F22" s="96" t="s">
        <v>3776</v>
      </c>
      <c r="G22" s="96" t="s">
        <v>310</v>
      </c>
      <c r="H22" s="96" t="s">
        <v>3599</v>
      </c>
      <c r="I22" s="96">
        <v>291231026</v>
      </c>
      <c r="J22" s="96" t="s">
        <v>311</v>
      </c>
      <c r="K22" s="96" t="s">
        <v>1201</v>
      </c>
      <c r="L22" s="100">
        <v>44690</v>
      </c>
      <c r="M22" s="97">
        <v>317353</v>
      </c>
      <c r="N22" s="97">
        <v>1192.9299269999999</v>
      </c>
      <c r="O22" s="97">
        <v>35516.770000000099</v>
      </c>
      <c r="P22" s="97">
        <v>133.50753843000101</v>
      </c>
      <c r="Q22" s="98">
        <v>0.11191565858838666</v>
      </c>
      <c r="R22" s="100">
        <v>45563</v>
      </c>
      <c r="S22" s="106"/>
    </row>
    <row r="23" spans="1:19" ht="15" customHeight="1">
      <c r="A23" s="106"/>
      <c r="B23" s="96">
        <v>286</v>
      </c>
      <c r="C23" s="96">
        <v>286</v>
      </c>
      <c r="D23" s="96" t="s">
        <v>1069</v>
      </c>
      <c r="E23" s="96" t="s">
        <v>3611</v>
      </c>
      <c r="F23" s="96">
        <v>20233857098</v>
      </c>
      <c r="G23" s="96" t="s">
        <v>310</v>
      </c>
      <c r="H23" s="96" t="s">
        <v>3612</v>
      </c>
      <c r="I23" s="96">
        <v>291231028</v>
      </c>
      <c r="J23" s="96" t="s">
        <v>311</v>
      </c>
      <c r="K23" s="96" t="s">
        <v>1201</v>
      </c>
      <c r="L23" s="100">
        <v>44377</v>
      </c>
      <c r="M23" s="97">
        <v>124414</v>
      </c>
      <c r="N23" s="97">
        <v>467.67222600000002</v>
      </c>
      <c r="O23" s="97">
        <v>115364.94</v>
      </c>
      <c r="P23" s="97">
        <v>433.65680946000003</v>
      </c>
      <c r="Q23" s="98">
        <v>0.92726654556561161</v>
      </c>
      <c r="R23" s="100">
        <v>46568</v>
      </c>
      <c r="S23" s="106"/>
    </row>
    <row r="24" spans="1:19" ht="15" customHeight="1">
      <c r="A24" s="106"/>
      <c r="B24" s="96">
        <v>286</v>
      </c>
      <c r="C24" s="96">
        <v>286</v>
      </c>
      <c r="D24" s="96" t="s">
        <v>1069</v>
      </c>
      <c r="E24" s="96" t="s">
        <v>3581</v>
      </c>
      <c r="F24" s="96">
        <v>540301413</v>
      </c>
      <c r="G24" s="96" t="s">
        <v>309</v>
      </c>
      <c r="H24" s="96" t="s">
        <v>3582</v>
      </c>
      <c r="I24" s="96">
        <v>291231029</v>
      </c>
      <c r="J24" s="96" t="s">
        <v>311</v>
      </c>
      <c r="K24" s="96" t="s">
        <v>1202</v>
      </c>
      <c r="L24" s="100">
        <v>43842</v>
      </c>
      <c r="M24" s="97">
        <v>498342</v>
      </c>
      <c r="N24" s="97">
        <v>2003.4345083999999</v>
      </c>
      <c r="O24" s="97">
        <v>33320.379999999903</v>
      </c>
      <c r="P24" s="97">
        <v>133.95459167600001</v>
      </c>
      <c r="Q24" s="98">
        <v>6.6862475970317581E-2</v>
      </c>
      <c r="R24" s="100">
        <v>45681</v>
      </c>
      <c r="S24" s="106"/>
    </row>
    <row r="25" spans="1:19" ht="15" customHeight="1">
      <c r="A25" s="106"/>
      <c r="B25" s="96">
        <v>286</v>
      </c>
      <c r="C25" s="96">
        <v>286</v>
      </c>
      <c r="D25" s="96" t="s">
        <v>1069</v>
      </c>
      <c r="E25" s="96" t="s">
        <v>3579</v>
      </c>
      <c r="F25" s="96" t="s">
        <v>3777</v>
      </c>
      <c r="G25" s="96" t="s">
        <v>310</v>
      </c>
      <c r="H25" s="96" t="s">
        <v>3580</v>
      </c>
      <c r="I25" s="96">
        <v>291231030</v>
      </c>
      <c r="J25" s="96" t="s">
        <v>311</v>
      </c>
      <c r="K25" s="96" t="s">
        <v>1201</v>
      </c>
      <c r="L25" s="100">
        <v>44867</v>
      </c>
      <c r="M25" s="97">
        <v>115231.96</v>
      </c>
      <c r="N25" s="97">
        <v>433.15693764000002</v>
      </c>
      <c r="O25" s="97">
        <v>82877.47</v>
      </c>
      <c r="P25" s="97">
        <v>311.53640973</v>
      </c>
      <c r="Q25" s="98">
        <v>0.71922294821679678</v>
      </c>
      <c r="R25" s="100">
        <v>45657</v>
      </c>
      <c r="S25" s="106"/>
    </row>
    <row r="26" spans="1:19" ht="15" customHeight="1">
      <c r="A26" s="106"/>
      <c r="B26" s="96">
        <v>286</v>
      </c>
      <c r="C26" s="96">
        <v>286</v>
      </c>
      <c r="D26" s="96" t="s">
        <v>1069</v>
      </c>
      <c r="E26" s="96" t="s">
        <v>3620</v>
      </c>
      <c r="F26" s="96">
        <v>520025586</v>
      </c>
      <c r="G26" s="96" t="s">
        <v>308</v>
      </c>
      <c r="H26" s="96" t="s">
        <v>3621</v>
      </c>
      <c r="I26" s="96">
        <v>291231033</v>
      </c>
      <c r="J26" s="96" t="s">
        <v>311</v>
      </c>
      <c r="K26" s="96" t="s">
        <v>1201</v>
      </c>
      <c r="L26" s="100">
        <v>44123</v>
      </c>
      <c r="M26" s="97">
        <v>498342</v>
      </c>
      <c r="N26" s="97">
        <v>1873.267578</v>
      </c>
      <c r="O26" s="97">
        <v>24917.11</v>
      </c>
      <c r="P26" s="97">
        <v>93.663416490000202</v>
      </c>
      <c r="Q26" s="98">
        <v>5.0000020066540758E-2</v>
      </c>
      <c r="R26" s="100">
        <v>45962</v>
      </c>
      <c r="S26" s="106"/>
    </row>
    <row r="27" spans="1:19" ht="15" customHeight="1">
      <c r="A27" s="106"/>
      <c r="B27" s="96">
        <v>286</v>
      </c>
      <c r="C27" s="96">
        <v>286</v>
      </c>
      <c r="D27" s="96" t="s">
        <v>1069</v>
      </c>
      <c r="E27" s="96" t="s">
        <v>3540</v>
      </c>
      <c r="F27" s="96" t="s">
        <v>3778</v>
      </c>
      <c r="G27" s="96" t="s">
        <v>310</v>
      </c>
      <c r="H27" s="96" t="s">
        <v>3541</v>
      </c>
      <c r="I27" s="96">
        <v>691239661</v>
      </c>
      <c r="J27" s="96" t="s">
        <v>311</v>
      </c>
      <c r="K27" s="96" t="s">
        <v>1201</v>
      </c>
      <c r="L27" s="100">
        <v>44340</v>
      </c>
      <c r="M27" s="97">
        <v>3000000</v>
      </c>
      <c r="N27" s="97">
        <v>11277</v>
      </c>
      <c r="O27" s="97">
        <v>90000</v>
      </c>
      <c r="P27" s="97">
        <v>338.31</v>
      </c>
      <c r="Q27" s="98">
        <v>0.03</v>
      </c>
      <c r="R27" s="100">
        <v>45565</v>
      </c>
      <c r="S27" s="106"/>
    </row>
    <row r="28" spans="1:19" ht="15" customHeight="1">
      <c r="A28" s="106"/>
      <c r="B28" s="96">
        <v>286</v>
      </c>
      <c r="C28" s="96">
        <v>286</v>
      </c>
      <c r="D28" s="96" t="s">
        <v>1069</v>
      </c>
      <c r="E28" s="96" t="s">
        <v>3544</v>
      </c>
      <c r="F28" s="96">
        <v>540285145</v>
      </c>
      <c r="G28" s="96" t="s">
        <v>309</v>
      </c>
      <c r="H28" s="96" t="s">
        <v>3545</v>
      </c>
      <c r="I28" s="96">
        <v>691239662</v>
      </c>
      <c r="J28" s="96" t="s">
        <v>311</v>
      </c>
      <c r="K28" s="96" t="s">
        <v>1201</v>
      </c>
      <c r="L28" s="100">
        <v>44523</v>
      </c>
      <c r="M28" s="97">
        <v>1250000</v>
      </c>
      <c r="N28" s="97">
        <v>4698.75</v>
      </c>
      <c r="O28" s="97">
        <v>274107.59999999998</v>
      </c>
      <c r="P28" s="97">
        <v>1030.3704683999999</v>
      </c>
      <c r="Q28" s="98">
        <v>0.21928607999999999</v>
      </c>
      <c r="R28" s="100">
        <v>46142</v>
      </c>
      <c r="S28" s="106"/>
    </row>
    <row r="29" spans="1:19" ht="15" customHeight="1">
      <c r="A29" s="106"/>
      <c r="B29" s="96">
        <v>286</v>
      </c>
      <c r="C29" s="96">
        <v>286</v>
      </c>
      <c r="D29" s="96" t="s">
        <v>1069</v>
      </c>
      <c r="E29" s="96" t="s">
        <v>3548</v>
      </c>
      <c r="F29" s="96">
        <v>68808</v>
      </c>
      <c r="G29" s="96" t="s">
        <v>310</v>
      </c>
      <c r="H29" s="96" t="s">
        <v>3549</v>
      </c>
      <c r="I29" s="96">
        <v>691239667</v>
      </c>
      <c r="J29" s="96" t="s">
        <v>311</v>
      </c>
      <c r="K29" s="96" t="s">
        <v>1201</v>
      </c>
      <c r="L29" s="100">
        <v>44020</v>
      </c>
      <c r="M29" s="97">
        <v>3000000</v>
      </c>
      <c r="N29" s="97">
        <v>11277</v>
      </c>
      <c r="O29" s="97">
        <v>209998.2</v>
      </c>
      <c r="P29" s="97">
        <v>789.38323380000008</v>
      </c>
      <c r="Q29" s="98">
        <v>6.9999400000000003E-2</v>
      </c>
      <c r="R29" s="100">
        <v>45869</v>
      </c>
      <c r="S29" s="106"/>
    </row>
    <row r="30" spans="1:19" ht="15" customHeight="1">
      <c r="A30" s="106"/>
      <c r="B30" s="96">
        <v>286</v>
      </c>
      <c r="C30" s="96">
        <v>286</v>
      </c>
      <c r="D30" s="96" t="s">
        <v>1069</v>
      </c>
      <c r="E30" s="96" t="s">
        <v>3531</v>
      </c>
      <c r="F30" s="96" t="s">
        <v>3779</v>
      </c>
      <c r="G30" s="96" t="s">
        <v>310</v>
      </c>
      <c r="H30" s="96" t="s">
        <v>3532</v>
      </c>
      <c r="I30" s="96">
        <v>691239670</v>
      </c>
      <c r="J30" s="96" t="s">
        <v>311</v>
      </c>
      <c r="K30" s="96" t="s">
        <v>1201</v>
      </c>
      <c r="L30" s="100">
        <v>38191</v>
      </c>
      <c r="M30" s="97">
        <v>1500000</v>
      </c>
      <c r="N30" s="97">
        <v>5638.5</v>
      </c>
      <c r="O30" s="97">
        <v>135426.72</v>
      </c>
      <c r="P30" s="97">
        <v>509.06904047999899</v>
      </c>
      <c r="Q30" s="98">
        <v>9.028447999999982E-2</v>
      </c>
      <c r="R30" s="100">
        <v>46022</v>
      </c>
      <c r="S30" s="106"/>
    </row>
    <row r="31" spans="1:19" ht="15" customHeight="1">
      <c r="A31" s="106"/>
      <c r="B31" s="96">
        <v>286</v>
      </c>
      <c r="C31" s="96">
        <v>286</v>
      </c>
      <c r="D31" s="96" t="s">
        <v>1069</v>
      </c>
      <c r="E31" s="96" t="s">
        <v>3615</v>
      </c>
      <c r="F31" s="96" t="s">
        <v>3780</v>
      </c>
      <c r="G31" s="96" t="s">
        <v>310</v>
      </c>
      <c r="H31" s="96" t="s">
        <v>3616</v>
      </c>
      <c r="I31" s="96">
        <v>691239741</v>
      </c>
      <c r="J31" s="96" t="s">
        <v>311</v>
      </c>
      <c r="K31" s="96" t="s">
        <v>1201</v>
      </c>
      <c r="L31" s="100">
        <v>43555</v>
      </c>
      <c r="M31" s="97">
        <v>491692.01</v>
      </c>
      <c r="N31" s="97">
        <v>1848.27026559</v>
      </c>
      <c r="O31" s="97">
        <v>39223.280000000101</v>
      </c>
      <c r="P31" s="97">
        <v>147.44030952</v>
      </c>
      <c r="Q31" s="98">
        <v>7.9772050800662797E-2</v>
      </c>
      <c r="R31" s="100">
        <v>45596</v>
      </c>
      <c r="S31" s="106"/>
    </row>
    <row r="32" spans="1:19" ht="15" customHeight="1">
      <c r="A32" s="106"/>
      <c r="B32" s="96">
        <v>286</v>
      </c>
      <c r="C32" s="96">
        <v>286</v>
      </c>
      <c r="D32" s="96" t="s">
        <v>1069</v>
      </c>
      <c r="E32" s="96" t="s">
        <v>3535</v>
      </c>
      <c r="F32" s="96">
        <v>550232953</v>
      </c>
      <c r="G32" s="96" t="s">
        <v>309</v>
      </c>
      <c r="H32" s="96" t="s">
        <v>3562</v>
      </c>
      <c r="I32" s="96">
        <v>691239743</v>
      </c>
      <c r="J32" s="96" t="s">
        <v>311</v>
      </c>
      <c r="K32" s="96" t="s">
        <v>1200</v>
      </c>
      <c r="L32" s="100">
        <v>44865</v>
      </c>
      <c r="M32" s="97">
        <v>3755978</v>
      </c>
      <c r="N32" s="97">
        <v>3755.9780000000001</v>
      </c>
      <c r="O32" s="97">
        <v>439638.18000000098</v>
      </c>
      <c r="P32" s="97">
        <v>439.638180000001</v>
      </c>
      <c r="Q32" s="98">
        <v>0.11705025428796467</v>
      </c>
      <c r="R32" s="100">
        <v>45657</v>
      </c>
      <c r="S32" s="106"/>
    </row>
    <row r="33" spans="1:19" ht="15" customHeight="1">
      <c r="A33" s="106"/>
      <c r="B33" s="96">
        <v>286</v>
      </c>
      <c r="C33" s="96">
        <v>286</v>
      </c>
      <c r="D33" s="96" t="s">
        <v>1069</v>
      </c>
      <c r="E33" s="96" t="s">
        <v>3535</v>
      </c>
      <c r="F33" s="96">
        <v>550232953</v>
      </c>
      <c r="G33" s="96" t="s">
        <v>309</v>
      </c>
      <c r="H33" s="96" t="s">
        <v>3583</v>
      </c>
      <c r="I33" s="96">
        <v>691239759</v>
      </c>
      <c r="J33" s="96" t="s">
        <v>311</v>
      </c>
      <c r="K33" s="96" t="s">
        <v>1205</v>
      </c>
      <c r="L33" s="100">
        <v>44497</v>
      </c>
      <c r="M33" s="97">
        <v>157500</v>
      </c>
      <c r="N33" s="97">
        <v>748.20375000000001</v>
      </c>
      <c r="O33" s="97">
        <v>1203.9199999999801</v>
      </c>
      <c r="P33" s="97">
        <v>5.7192219599999996</v>
      </c>
      <c r="Q33" s="98">
        <v>7.6439365079365076E-3</v>
      </c>
      <c r="R33" s="100">
        <v>47649</v>
      </c>
      <c r="S33" s="106"/>
    </row>
    <row r="34" spans="1:19" ht="15" customHeight="1">
      <c r="A34" s="106"/>
      <c r="B34" s="96">
        <v>286</v>
      </c>
      <c r="C34" s="96">
        <v>286</v>
      </c>
      <c r="D34" s="96" t="s">
        <v>1069</v>
      </c>
      <c r="E34" s="96" t="s">
        <v>3577</v>
      </c>
      <c r="F34" s="96" t="s">
        <v>3771</v>
      </c>
      <c r="G34" s="96" t="s">
        <v>310</v>
      </c>
      <c r="H34" s="96" t="s">
        <v>3578</v>
      </c>
      <c r="I34" s="96">
        <v>691239764</v>
      </c>
      <c r="J34" s="96" t="s">
        <v>311</v>
      </c>
      <c r="K34" s="96" t="s">
        <v>1201</v>
      </c>
      <c r="L34" s="100">
        <v>43531</v>
      </c>
      <c r="M34" s="97">
        <v>1020000</v>
      </c>
      <c r="N34" s="97">
        <v>3834.18</v>
      </c>
      <c r="O34" s="97">
        <v>672155.23</v>
      </c>
      <c r="P34" s="97">
        <v>2526.6315095700002</v>
      </c>
      <c r="Q34" s="98">
        <v>0.65897571568627455</v>
      </c>
      <c r="R34" s="100">
        <v>45596</v>
      </c>
      <c r="S34" s="106"/>
    </row>
    <row r="35" spans="1:19" ht="15" customHeight="1">
      <c r="A35" s="106"/>
      <c r="B35" s="96">
        <v>286</v>
      </c>
      <c r="C35" s="96">
        <v>286</v>
      </c>
      <c r="D35" s="96" t="s">
        <v>1069</v>
      </c>
      <c r="E35" s="96" t="s">
        <v>3565</v>
      </c>
      <c r="F35" s="96" t="s">
        <v>3781</v>
      </c>
      <c r="G35" s="96" t="s">
        <v>310</v>
      </c>
      <c r="H35" s="96" t="s">
        <v>3566</v>
      </c>
      <c r="I35" s="96">
        <v>691239766</v>
      </c>
      <c r="J35" s="96" t="s">
        <v>311</v>
      </c>
      <c r="K35" s="96" t="s">
        <v>1200</v>
      </c>
      <c r="L35" s="100">
        <v>44021</v>
      </c>
      <c r="M35" s="97">
        <v>24563138.559999999</v>
      </c>
      <c r="N35" s="97">
        <v>24563.138559999999</v>
      </c>
      <c r="O35" s="97">
        <v>5701683.4499999899</v>
      </c>
      <c r="P35" s="97">
        <v>5701.6834499999895</v>
      </c>
      <c r="Q35" s="98">
        <v>0.23212357150828161</v>
      </c>
      <c r="R35" s="100">
        <v>47318</v>
      </c>
      <c r="S35" s="106"/>
    </row>
    <row r="36" spans="1:19" ht="15" customHeight="1">
      <c r="A36" s="106"/>
      <c r="B36" s="96">
        <v>286</v>
      </c>
      <c r="C36" s="96">
        <v>286</v>
      </c>
      <c r="D36" s="96" t="s">
        <v>1069</v>
      </c>
      <c r="E36" s="96" t="s">
        <v>3535</v>
      </c>
      <c r="F36" s="96">
        <v>550232953</v>
      </c>
      <c r="G36" s="96" t="s">
        <v>309</v>
      </c>
      <c r="H36" s="96" t="s">
        <v>3619</v>
      </c>
      <c r="I36" s="96">
        <v>691239767</v>
      </c>
      <c r="J36" s="96" t="s">
        <v>311</v>
      </c>
      <c r="K36" s="96" t="s">
        <v>1205</v>
      </c>
      <c r="L36" s="100">
        <v>44522</v>
      </c>
      <c r="M36" s="97">
        <v>123750</v>
      </c>
      <c r="N36" s="97">
        <v>587.87437499999999</v>
      </c>
      <c r="O36" s="97">
        <v>47.880000000004699</v>
      </c>
      <c r="P36" s="97">
        <v>0.22745394000003599</v>
      </c>
      <c r="Q36" s="98">
        <v>3.8690909090915212E-4</v>
      </c>
      <c r="R36" s="100">
        <v>47817</v>
      </c>
      <c r="S36" s="106"/>
    </row>
    <row r="37" spans="1:19" ht="15" customHeight="1">
      <c r="A37" s="106"/>
      <c r="B37" s="96">
        <v>286</v>
      </c>
      <c r="C37" s="96">
        <v>286</v>
      </c>
      <c r="D37" s="96" t="s">
        <v>1069</v>
      </c>
      <c r="E37" s="96" t="s">
        <v>3609</v>
      </c>
      <c r="F37" s="96" t="s">
        <v>3782</v>
      </c>
      <c r="G37" s="96" t="s">
        <v>310</v>
      </c>
      <c r="H37" s="96" t="s">
        <v>3610</v>
      </c>
      <c r="I37" s="96">
        <v>691239770</v>
      </c>
      <c r="J37" s="96" t="s">
        <v>311</v>
      </c>
      <c r="K37" s="96" t="s">
        <v>1201</v>
      </c>
      <c r="L37" s="100">
        <v>37411</v>
      </c>
      <c r="M37" s="97">
        <v>1500000</v>
      </c>
      <c r="N37" s="97">
        <v>5638.5</v>
      </c>
      <c r="O37" s="97">
        <v>334261.21999999997</v>
      </c>
      <c r="P37" s="97">
        <v>1256.48792598</v>
      </c>
      <c r="Q37" s="98">
        <v>0.22284081333333333</v>
      </c>
      <c r="R37" s="100">
        <v>45657</v>
      </c>
      <c r="S37" s="106"/>
    </row>
    <row r="38" spans="1:19" ht="15" customHeight="1">
      <c r="A38" s="106"/>
      <c r="B38" s="96">
        <v>286</v>
      </c>
      <c r="C38" s="96">
        <v>286</v>
      </c>
      <c r="D38" s="96" t="s">
        <v>1069</v>
      </c>
      <c r="E38" s="96" t="s">
        <v>3533</v>
      </c>
      <c r="F38" s="96" t="s">
        <v>3783</v>
      </c>
      <c r="G38" s="96" t="s">
        <v>310</v>
      </c>
      <c r="H38" s="96" t="s">
        <v>3534</v>
      </c>
      <c r="I38" s="96">
        <v>691239771</v>
      </c>
      <c r="J38" s="96" t="s">
        <v>311</v>
      </c>
      <c r="K38" s="96" t="s">
        <v>1200</v>
      </c>
      <c r="L38" s="100">
        <v>44196</v>
      </c>
      <c r="M38" s="97">
        <v>3116589</v>
      </c>
      <c r="N38" s="97">
        <v>3116.5889999999999</v>
      </c>
      <c r="O38" s="97">
        <v>1378097.13</v>
      </c>
      <c r="P38" s="97">
        <v>1378.0971299999999</v>
      </c>
      <c r="Q38" s="98">
        <v>0.44218122120048547</v>
      </c>
      <c r="R38" s="100">
        <v>46751</v>
      </c>
      <c r="S38" s="106"/>
    </row>
    <row r="39" spans="1:19" ht="15" customHeight="1">
      <c r="A39" s="106"/>
      <c r="B39" s="96">
        <v>286</v>
      </c>
      <c r="C39" s="96">
        <v>286</v>
      </c>
      <c r="D39" s="96" t="s">
        <v>1069</v>
      </c>
      <c r="E39" s="96" t="s">
        <v>3613</v>
      </c>
      <c r="F39" s="96" t="s">
        <v>3784</v>
      </c>
      <c r="G39" s="96" t="s">
        <v>312</v>
      </c>
      <c r="H39" s="96" t="s">
        <v>3614</v>
      </c>
      <c r="I39" s="96">
        <v>691239775</v>
      </c>
      <c r="J39" s="96" t="s">
        <v>311</v>
      </c>
      <c r="K39" s="96" t="s">
        <v>1201</v>
      </c>
      <c r="L39" s="100">
        <v>44620</v>
      </c>
      <c r="M39" s="97">
        <v>1700000</v>
      </c>
      <c r="N39" s="97">
        <v>6390.3</v>
      </c>
      <c r="O39" s="97">
        <v>821883.41</v>
      </c>
      <c r="P39" s="97">
        <v>3089.4597381899998</v>
      </c>
      <c r="Q39" s="98">
        <v>0.48346082941176466</v>
      </c>
      <c r="R39" s="100">
        <v>47484</v>
      </c>
      <c r="S39" s="106"/>
    </row>
    <row r="40" spans="1:19" ht="15" customHeight="1">
      <c r="A40" s="106"/>
      <c r="B40" s="96">
        <v>286</v>
      </c>
      <c r="C40" s="96">
        <v>286</v>
      </c>
      <c r="D40" s="96" t="s">
        <v>1069</v>
      </c>
      <c r="E40" s="96" t="s">
        <v>3552</v>
      </c>
      <c r="F40" s="96" t="s">
        <v>3785</v>
      </c>
      <c r="G40" s="96" t="s">
        <v>310</v>
      </c>
      <c r="H40" s="96" t="s">
        <v>3553</v>
      </c>
      <c r="I40" s="96">
        <v>691239777</v>
      </c>
      <c r="J40" s="96" t="s">
        <v>311</v>
      </c>
      <c r="K40" s="96" t="s">
        <v>1201</v>
      </c>
      <c r="L40" s="100">
        <v>44326</v>
      </c>
      <c r="M40" s="97">
        <v>3125000</v>
      </c>
      <c r="N40" s="97">
        <v>11746.875</v>
      </c>
      <c r="O40" s="97">
        <v>146689</v>
      </c>
      <c r="P40" s="97">
        <v>551.40395099999898</v>
      </c>
      <c r="Q40" s="98">
        <v>4.6940479999999916E-2</v>
      </c>
      <c r="R40" s="100">
        <v>45657</v>
      </c>
      <c r="S40" s="106"/>
    </row>
    <row r="41" spans="1:19" ht="15" customHeight="1">
      <c r="A41" s="106"/>
      <c r="B41" s="96">
        <v>286</v>
      </c>
      <c r="C41" s="96">
        <v>286</v>
      </c>
      <c r="D41" s="96" t="s">
        <v>1069</v>
      </c>
      <c r="E41" s="96" t="s">
        <v>3537</v>
      </c>
      <c r="F41" s="96">
        <v>550242820</v>
      </c>
      <c r="G41" s="96" t="s">
        <v>309</v>
      </c>
      <c r="H41" s="96" t="s">
        <v>3538</v>
      </c>
      <c r="I41" s="96">
        <v>691239778</v>
      </c>
      <c r="J41" s="96" t="s">
        <v>311</v>
      </c>
      <c r="K41" s="96" t="s">
        <v>1201</v>
      </c>
      <c r="L41" s="100">
        <v>44601</v>
      </c>
      <c r="M41" s="97">
        <v>1500000</v>
      </c>
      <c r="N41" s="97">
        <v>5638.5</v>
      </c>
      <c r="O41" s="97">
        <v>185549.39</v>
      </c>
      <c r="P41" s="97">
        <v>697.48015700999997</v>
      </c>
      <c r="Q41" s="98">
        <v>0.12369959333333333</v>
      </c>
      <c r="R41" s="100">
        <v>46387</v>
      </c>
      <c r="S41" s="106"/>
    </row>
    <row r="42" spans="1:19" ht="15" customHeight="1">
      <c r="A42" s="106"/>
      <c r="B42" s="96">
        <v>286</v>
      </c>
      <c r="C42" s="96">
        <v>286</v>
      </c>
      <c r="D42" s="96" t="s">
        <v>1069</v>
      </c>
      <c r="E42" s="96" t="s">
        <v>3550</v>
      </c>
      <c r="F42" s="96">
        <v>560024143</v>
      </c>
      <c r="G42" s="96" t="s">
        <v>308</v>
      </c>
      <c r="H42" s="96" t="s">
        <v>3551</v>
      </c>
      <c r="I42" s="96">
        <v>291231023</v>
      </c>
      <c r="J42" s="96" t="s">
        <v>311</v>
      </c>
      <c r="K42" s="96" t="s">
        <v>1201</v>
      </c>
      <c r="L42" s="100">
        <v>43646</v>
      </c>
      <c r="M42" s="97">
        <v>618631</v>
      </c>
      <c r="N42" s="97">
        <v>2325.4339289999998</v>
      </c>
      <c r="O42" s="97">
        <v>107061.28</v>
      </c>
      <c r="P42" s="97">
        <v>402.44335152000099</v>
      </c>
      <c r="Q42" s="98">
        <v>0.17306161508233547</v>
      </c>
      <c r="R42" s="100">
        <v>46601</v>
      </c>
      <c r="S42" s="106"/>
    </row>
    <row r="43" spans="1:19" ht="15" customHeight="1">
      <c r="A43" s="106"/>
      <c r="B43" s="96">
        <v>286</v>
      </c>
      <c r="C43" s="96">
        <v>286</v>
      </c>
      <c r="D43" s="96" t="s">
        <v>1069</v>
      </c>
      <c r="E43" s="96" t="s">
        <v>3535</v>
      </c>
      <c r="F43" s="96">
        <v>550232953</v>
      </c>
      <c r="G43" s="96" t="s">
        <v>309</v>
      </c>
      <c r="H43" s="96" t="s">
        <v>3539</v>
      </c>
      <c r="I43" s="96">
        <v>691239784</v>
      </c>
      <c r="J43" s="96" t="s">
        <v>311</v>
      </c>
      <c r="K43" s="96" t="s">
        <v>1200</v>
      </c>
      <c r="L43" s="100">
        <v>43804</v>
      </c>
      <c r="M43" s="97">
        <v>20000000</v>
      </c>
      <c r="N43" s="97">
        <v>20000</v>
      </c>
      <c r="O43" s="97">
        <v>809313</v>
      </c>
      <c r="P43" s="97">
        <v>809.31299999999999</v>
      </c>
      <c r="Q43" s="98">
        <v>4.0465649999999999E-2</v>
      </c>
      <c r="R43" s="100">
        <v>45657</v>
      </c>
      <c r="S43" s="106"/>
    </row>
    <row r="44" spans="1:19" ht="15" customHeight="1">
      <c r="A44" s="106"/>
      <c r="B44" s="96">
        <v>286</v>
      </c>
      <c r="C44" s="96">
        <v>286</v>
      </c>
      <c r="D44" s="96" t="s">
        <v>1069</v>
      </c>
      <c r="E44" s="96" t="s">
        <v>3560</v>
      </c>
      <c r="F44" s="96">
        <v>6560019</v>
      </c>
      <c r="G44" s="96" t="s">
        <v>310</v>
      </c>
      <c r="H44" s="96" t="s">
        <v>3561</v>
      </c>
      <c r="I44" s="96">
        <v>291231143</v>
      </c>
      <c r="J44" s="96" t="s">
        <v>311</v>
      </c>
      <c r="K44" s="96" t="s">
        <v>1200</v>
      </c>
      <c r="L44" s="100">
        <v>44451</v>
      </c>
      <c r="M44" s="97">
        <v>675000</v>
      </c>
      <c r="N44" s="97">
        <v>675</v>
      </c>
      <c r="O44" s="97">
        <v>251920.59</v>
      </c>
      <c r="P44" s="97">
        <v>251.92059</v>
      </c>
      <c r="Q44" s="98">
        <v>0.3732156888888889</v>
      </c>
      <c r="R44" s="100">
        <v>47300</v>
      </c>
      <c r="S44" s="106"/>
    </row>
    <row r="45" spans="1:19" ht="15" customHeight="1">
      <c r="A45" s="106"/>
      <c r="B45" s="96">
        <v>286</v>
      </c>
      <c r="C45" s="96">
        <v>286</v>
      </c>
      <c r="D45" s="96" t="s">
        <v>1069</v>
      </c>
      <c r="E45" s="96" t="s">
        <v>3542</v>
      </c>
      <c r="F45" s="96" t="s">
        <v>3786</v>
      </c>
      <c r="G45" s="96" t="s">
        <v>310</v>
      </c>
      <c r="H45" s="96" t="s">
        <v>3543</v>
      </c>
      <c r="I45" s="96">
        <v>291231152</v>
      </c>
      <c r="J45" s="96" t="s">
        <v>311</v>
      </c>
      <c r="K45" s="96" t="s">
        <v>1200</v>
      </c>
      <c r="L45" s="100">
        <v>44690</v>
      </c>
      <c r="M45" s="97">
        <v>750000</v>
      </c>
      <c r="N45" s="97">
        <v>750</v>
      </c>
      <c r="O45" s="97">
        <v>471063.2</v>
      </c>
      <c r="P45" s="97">
        <v>471.06319999999999</v>
      </c>
      <c r="Q45" s="98">
        <v>0.62808426666666661</v>
      </c>
      <c r="R45" s="100">
        <v>48110</v>
      </c>
      <c r="S45" s="106"/>
    </row>
    <row r="46" spans="1:19" ht="15" customHeight="1">
      <c r="A46" s="106"/>
      <c r="B46" s="96">
        <v>286</v>
      </c>
      <c r="C46" s="96">
        <v>286</v>
      </c>
      <c r="D46" s="96" t="s">
        <v>1069</v>
      </c>
      <c r="E46" s="96" t="s">
        <v>3592</v>
      </c>
      <c r="F46" s="96" t="s">
        <v>3787</v>
      </c>
      <c r="G46" s="96" t="s">
        <v>310</v>
      </c>
      <c r="H46" s="96" t="s">
        <v>3593</v>
      </c>
      <c r="I46" s="96">
        <v>291231194</v>
      </c>
      <c r="J46" s="96" t="s">
        <v>311</v>
      </c>
      <c r="K46" s="96" t="s">
        <v>1202</v>
      </c>
      <c r="L46" s="100">
        <v>44451</v>
      </c>
      <c r="M46" s="97">
        <v>468000</v>
      </c>
      <c r="N46" s="97">
        <v>1881.4536000000001</v>
      </c>
      <c r="O46" s="97">
        <v>66918.530000000101</v>
      </c>
      <c r="P46" s="97">
        <v>269.02587430599999</v>
      </c>
      <c r="Q46" s="98">
        <v>0.14298831196581197</v>
      </c>
      <c r="R46" s="100">
        <v>48318</v>
      </c>
      <c r="S46" s="106"/>
    </row>
    <row r="47" spans="1:19" ht="15" customHeight="1">
      <c r="A47" s="106"/>
      <c r="B47" s="96">
        <v>286</v>
      </c>
      <c r="C47" s="96">
        <v>14418</v>
      </c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100" t="s">
        <v>409</v>
      </c>
      <c r="S47" s="106"/>
    </row>
    <row r="48" spans="1:19" ht="15" customHeight="1">
      <c r="A48" s="106"/>
      <c r="B48" s="96">
        <v>286</v>
      </c>
      <c r="C48" s="96">
        <v>1445</v>
      </c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100" t="s">
        <v>409</v>
      </c>
      <c r="S48" s="106"/>
    </row>
    <row r="49" spans="1:19" ht="15" customHeight="1">
      <c r="A49" s="106"/>
      <c r="B49" s="96">
        <v>286</v>
      </c>
      <c r="C49" s="96">
        <v>1446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100" t="s">
        <v>409</v>
      </c>
      <c r="S49" s="106"/>
    </row>
    <row r="50" spans="1:19" ht="15" customHeight="1">
      <c r="A50" s="106"/>
      <c r="B50" s="96">
        <v>286</v>
      </c>
      <c r="C50" s="96">
        <v>9803</v>
      </c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100" t="s">
        <v>409</v>
      </c>
      <c r="S50" s="106"/>
    </row>
    <row r="51" spans="1:19" ht="15" customHeight="1">
      <c r="A51" s="106"/>
      <c r="B51" s="105" t="s">
        <v>3767</v>
      </c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6"/>
    </row>
  </sheetData>
  <mergeCells count="4">
    <mergeCell ref="B51:R51"/>
    <mergeCell ref="A1:A51"/>
    <mergeCell ref="B1:R1"/>
    <mergeCell ref="S1:S51"/>
  </mergeCells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B1316"/>
  <sheetViews>
    <sheetView showGridLines="0" rightToLeft="1" workbookViewId="0">
      <pane ySplit="2" topLeftCell="A3" activePane="bottomLeft" state="frozen"/>
      <selection activeCell="A2" sqref="A2"/>
      <selection pane="bottomLeft" sqref="A1:A1039"/>
    </sheetView>
  </sheetViews>
  <sheetFormatPr defaultColWidth="12.625" defaultRowHeight="15" customHeight="1"/>
  <cols>
    <col min="1" max="1" width="3.125" customWidth="1"/>
    <col min="2" max="2" width="29.5" customWidth="1"/>
    <col min="3" max="3" width="30.375" customWidth="1"/>
    <col min="4" max="4" width="36.375" customWidth="1"/>
    <col min="5" max="5" width="3.125" customWidth="1"/>
    <col min="6" max="6" width="63.125" customWidth="1"/>
    <col min="7" max="7" width="59.5" customWidth="1"/>
    <col min="8" max="8" width="59.625" customWidth="1"/>
    <col min="9" max="9" width="63.5" customWidth="1"/>
    <col min="10" max="10" width="38.75" customWidth="1"/>
    <col min="11" max="28" width="9" customWidth="1"/>
  </cols>
  <sheetData>
    <row r="1" spans="1:28" ht="15" customHeight="1">
      <c r="A1" s="106" t="s">
        <v>3764</v>
      </c>
      <c r="B1" s="113" t="s">
        <v>3765</v>
      </c>
      <c r="C1" s="113"/>
      <c r="D1" s="113"/>
      <c r="E1" s="106" t="s">
        <v>3766</v>
      </c>
    </row>
    <row r="2" spans="1:28" ht="14.25" customHeight="1">
      <c r="A2" s="106"/>
      <c r="B2" s="25" t="s">
        <v>198</v>
      </c>
      <c r="C2" s="25" t="s">
        <v>199</v>
      </c>
      <c r="D2" s="25" t="s">
        <v>200</v>
      </c>
      <c r="E2" s="106"/>
      <c r="F2" s="25" t="s">
        <v>201</v>
      </c>
      <c r="G2" s="10"/>
      <c r="H2" s="10"/>
      <c r="I2" s="10"/>
      <c r="J2" s="10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14.25" customHeight="1">
      <c r="A3" s="106"/>
      <c r="B3" s="27"/>
      <c r="C3" s="27" t="s">
        <v>202</v>
      </c>
      <c r="D3" s="28" t="s">
        <v>203</v>
      </c>
      <c r="E3" s="106"/>
      <c r="F3" s="2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4.25" customHeight="1">
      <c r="A4" s="106"/>
      <c r="B4" s="29"/>
      <c r="C4" s="29"/>
      <c r="D4" s="28" t="s">
        <v>204</v>
      </c>
      <c r="E4" s="106"/>
      <c r="F4" s="28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14.25" customHeight="1">
      <c r="A5" s="106"/>
      <c r="B5" s="30"/>
      <c r="C5" s="31" t="s">
        <v>205</v>
      </c>
      <c r="D5" s="32" t="s">
        <v>203</v>
      </c>
      <c r="E5" s="106"/>
      <c r="F5" s="32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4.25" customHeight="1">
      <c r="A6" s="106"/>
      <c r="B6" s="33"/>
      <c r="C6" s="34"/>
      <c r="D6" s="32" t="s">
        <v>206</v>
      </c>
      <c r="E6" s="106"/>
      <c r="F6" s="32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14.25" customHeight="1">
      <c r="A7" s="106"/>
      <c r="B7" s="33"/>
      <c r="C7" s="34"/>
      <c r="D7" s="32" t="s">
        <v>207</v>
      </c>
      <c r="E7" s="106"/>
      <c r="F7" s="32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14.25" customHeight="1">
      <c r="A8" s="106"/>
      <c r="B8" s="33"/>
      <c r="C8" s="34"/>
      <c r="D8" s="32" t="s">
        <v>208</v>
      </c>
      <c r="E8" s="106"/>
      <c r="F8" s="32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4.25" customHeight="1">
      <c r="A9" s="106"/>
      <c r="B9" s="33"/>
      <c r="C9" s="34"/>
      <c r="D9" s="32" t="s">
        <v>209</v>
      </c>
      <c r="E9" s="106"/>
      <c r="F9" s="32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14.25" customHeight="1">
      <c r="A10" s="106"/>
      <c r="B10" s="33"/>
      <c r="C10" s="34"/>
      <c r="D10" s="32" t="s">
        <v>210</v>
      </c>
      <c r="E10" s="106"/>
      <c r="F10" s="32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14.25" customHeight="1">
      <c r="A11" s="106"/>
      <c r="B11" s="33"/>
      <c r="C11" s="34"/>
      <c r="D11" s="32" t="s">
        <v>211</v>
      </c>
      <c r="E11" s="106"/>
      <c r="F11" s="32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14.25" customHeight="1">
      <c r="A12" s="106"/>
      <c r="B12" s="33"/>
      <c r="C12" s="34"/>
      <c r="D12" s="32" t="s">
        <v>212</v>
      </c>
      <c r="E12" s="106"/>
      <c r="F12" s="32"/>
      <c r="G12" s="10" t="s">
        <v>213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14.25" customHeight="1">
      <c r="A13" s="106"/>
      <c r="B13" s="33"/>
      <c r="C13" s="34"/>
      <c r="D13" s="32" t="s">
        <v>214</v>
      </c>
      <c r="E13" s="106"/>
      <c r="F13" s="32"/>
      <c r="G13" s="10" t="s">
        <v>213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14.25" customHeight="1">
      <c r="A14" s="106"/>
      <c r="B14" s="33"/>
      <c r="C14" s="34"/>
      <c r="D14" s="32" t="s">
        <v>215</v>
      </c>
      <c r="E14" s="106"/>
      <c r="F14" s="32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14.25" customHeight="1">
      <c r="A15" s="106"/>
      <c r="B15" s="33"/>
      <c r="C15" s="34"/>
      <c r="D15" s="32" t="s">
        <v>216</v>
      </c>
      <c r="E15" s="106"/>
      <c r="F15" s="32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14.25" customHeight="1">
      <c r="A16" s="106"/>
      <c r="B16" s="33"/>
      <c r="C16" s="34"/>
      <c r="D16" s="32" t="s">
        <v>217</v>
      </c>
      <c r="E16" s="106"/>
      <c r="F16" s="32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14.25" customHeight="1">
      <c r="A17" s="106"/>
      <c r="B17" s="33"/>
      <c r="C17" s="34"/>
      <c r="D17" s="32" t="s">
        <v>218</v>
      </c>
      <c r="E17" s="106"/>
      <c r="F17" s="32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14.25" customHeight="1">
      <c r="A18" s="106"/>
      <c r="B18" s="33"/>
      <c r="C18" s="34"/>
      <c r="D18" s="32" t="s">
        <v>219</v>
      </c>
      <c r="E18" s="106"/>
      <c r="F18" s="32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14.25" customHeight="1">
      <c r="A19" s="106"/>
      <c r="B19" s="33"/>
      <c r="C19" s="34"/>
      <c r="D19" s="32" t="s">
        <v>220</v>
      </c>
      <c r="E19" s="106"/>
      <c r="F19" s="32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14.25" customHeight="1">
      <c r="A20" s="106"/>
      <c r="B20" s="33"/>
      <c r="C20" s="34"/>
      <c r="D20" s="32" t="s">
        <v>221</v>
      </c>
      <c r="E20" s="106"/>
      <c r="F20" s="32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14.25" customHeight="1">
      <c r="A21" s="106"/>
      <c r="B21" s="33"/>
      <c r="C21" s="34"/>
      <c r="D21" s="32" t="s">
        <v>222</v>
      </c>
      <c r="E21" s="106"/>
      <c r="F21" s="32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14.25" customHeight="1">
      <c r="A22" s="106"/>
      <c r="B22" s="33"/>
      <c r="C22" s="34"/>
      <c r="D22" s="32" t="s">
        <v>223</v>
      </c>
      <c r="E22" s="106"/>
      <c r="F22" s="32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14.25" customHeight="1">
      <c r="A23" s="106"/>
      <c r="B23" s="33"/>
      <c r="C23" s="34"/>
      <c r="D23" s="32" t="s">
        <v>224</v>
      </c>
      <c r="E23" s="106"/>
      <c r="F23" s="32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14.25" customHeight="1">
      <c r="A24" s="106"/>
      <c r="B24" s="33"/>
      <c r="C24" s="34"/>
      <c r="D24" s="32" t="s">
        <v>225</v>
      </c>
      <c r="E24" s="106"/>
      <c r="F24" s="32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14.25" customHeight="1">
      <c r="A25" s="106"/>
      <c r="B25" s="33"/>
      <c r="C25" s="34"/>
      <c r="D25" s="32" t="s">
        <v>226</v>
      </c>
      <c r="E25" s="106"/>
      <c r="F25" s="32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14.25" customHeight="1">
      <c r="A26" s="106"/>
      <c r="B26" s="33"/>
      <c r="C26" s="34"/>
      <c r="D26" s="32" t="s">
        <v>227</v>
      </c>
      <c r="E26" s="106"/>
      <c r="F26" s="32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14.25" customHeight="1">
      <c r="A27" s="106"/>
      <c r="B27" s="33"/>
      <c r="C27" s="34"/>
      <c r="D27" s="32" t="s">
        <v>228</v>
      </c>
      <c r="E27" s="106"/>
      <c r="F27" s="32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14.25" customHeight="1">
      <c r="A28" s="106"/>
      <c r="B28" s="33"/>
      <c r="C28" s="34"/>
      <c r="D28" s="32" t="s">
        <v>229</v>
      </c>
      <c r="E28" s="106"/>
      <c r="F28" s="32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14.25" customHeight="1">
      <c r="A29" s="106"/>
      <c r="B29" s="33"/>
      <c r="C29" s="34"/>
      <c r="D29" s="32" t="s">
        <v>230</v>
      </c>
      <c r="E29" s="106"/>
      <c r="F29" s="32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14.25" customHeight="1">
      <c r="A30" s="106"/>
      <c r="B30" s="33"/>
      <c r="C30" s="34"/>
      <c r="D30" s="32" t="s">
        <v>231</v>
      </c>
      <c r="E30" s="106"/>
      <c r="F30" s="32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14.25" customHeight="1">
      <c r="A31" s="106"/>
      <c r="B31" s="33"/>
      <c r="C31" s="34"/>
      <c r="D31" s="32" t="s">
        <v>232</v>
      </c>
      <c r="E31" s="106"/>
      <c r="F31" s="32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14.25" customHeight="1">
      <c r="A32" s="106"/>
      <c r="B32" s="33"/>
      <c r="C32" s="34"/>
      <c r="D32" s="32" t="s">
        <v>233</v>
      </c>
      <c r="E32" s="106"/>
      <c r="F32" s="32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14.25" customHeight="1">
      <c r="A33" s="106"/>
      <c r="B33" s="33"/>
      <c r="C33" s="34"/>
      <c r="D33" s="32" t="s">
        <v>234</v>
      </c>
      <c r="E33" s="106"/>
      <c r="F33" s="32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14.25" customHeight="1">
      <c r="A34" s="106"/>
      <c r="B34" s="33"/>
      <c r="C34" s="34"/>
      <c r="D34" s="32" t="s">
        <v>235</v>
      </c>
      <c r="E34" s="106"/>
      <c r="F34" s="32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14.25" customHeight="1">
      <c r="A35" s="106"/>
      <c r="B35" s="33"/>
      <c r="C35" s="34"/>
      <c r="D35" s="32" t="s">
        <v>236</v>
      </c>
      <c r="E35" s="106"/>
      <c r="F35" s="32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4.25" customHeight="1">
      <c r="A36" s="106"/>
      <c r="B36" s="33"/>
      <c r="C36" s="34"/>
      <c r="D36" s="32" t="s">
        <v>237</v>
      </c>
      <c r="E36" s="106"/>
      <c r="F36" s="32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14.25" customHeight="1">
      <c r="A37" s="106"/>
      <c r="B37" s="33"/>
      <c r="C37" s="34"/>
      <c r="D37" s="32" t="s">
        <v>238</v>
      </c>
      <c r="E37" s="106"/>
      <c r="F37" s="32"/>
      <c r="G37" s="10" t="s">
        <v>213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14.25" customHeight="1">
      <c r="A38" s="106"/>
      <c r="B38" s="33"/>
      <c r="C38" s="34"/>
      <c r="D38" s="10" t="s">
        <v>239</v>
      </c>
      <c r="E38" s="106"/>
      <c r="F38" s="32"/>
      <c r="G38" s="10" t="s">
        <v>213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4.25" customHeight="1">
      <c r="A39" s="106"/>
      <c r="B39" s="33"/>
      <c r="C39" s="34"/>
      <c r="D39" s="32" t="s">
        <v>240</v>
      </c>
      <c r="E39" s="106"/>
      <c r="F39" s="32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4.25" customHeight="1">
      <c r="A40" s="106"/>
      <c r="B40" s="33"/>
      <c r="C40" s="34"/>
      <c r="D40" s="32" t="s">
        <v>241</v>
      </c>
      <c r="E40" s="106"/>
      <c r="F40" s="32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4.25" customHeight="1">
      <c r="A41" s="106"/>
      <c r="B41" s="33"/>
      <c r="C41" s="34"/>
      <c r="D41" s="32" t="s">
        <v>242</v>
      </c>
      <c r="E41" s="106"/>
      <c r="F41" s="32"/>
      <c r="G41" s="10" t="s">
        <v>213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4.25" customHeight="1">
      <c r="A42" s="106"/>
      <c r="B42" s="33"/>
      <c r="C42" s="34"/>
      <c r="D42" s="32" t="s">
        <v>243</v>
      </c>
      <c r="E42" s="106"/>
      <c r="F42" s="32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4.25" customHeight="1">
      <c r="A43" s="106"/>
      <c r="B43" s="33"/>
      <c r="C43" s="34"/>
      <c r="D43" s="32" t="s">
        <v>244</v>
      </c>
      <c r="E43" s="106"/>
      <c r="F43" s="32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4.25" customHeight="1">
      <c r="A44" s="106"/>
      <c r="B44" s="33"/>
      <c r="C44" s="34"/>
      <c r="D44" s="32" t="s">
        <v>245</v>
      </c>
      <c r="E44" s="106"/>
      <c r="F44" s="32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4.25" customHeight="1">
      <c r="A45" s="106"/>
      <c r="B45" s="33"/>
      <c r="C45" s="34"/>
      <c r="D45" s="32" t="s">
        <v>246</v>
      </c>
      <c r="E45" s="106"/>
      <c r="F45" s="32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4.25" customHeight="1">
      <c r="A46" s="106"/>
      <c r="B46" s="33"/>
      <c r="C46" s="34"/>
      <c r="D46" s="32" t="s">
        <v>247</v>
      </c>
      <c r="E46" s="106"/>
      <c r="F46" s="32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14.25" customHeight="1">
      <c r="A47" s="106"/>
      <c r="B47" s="33"/>
      <c r="C47" s="34"/>
      <c r="D47" s="32" t="s">
        <v>248</v>
      </c>
      <c r="E47" s="106"/>
      <c r="F47" s="32"/>
      <c r="G47" s="10" t="s">
        <v>213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4.25" customHeight="1">
      <c r="A48" s="106"/>
      <c r="B48" s="33"/>
      <c r="C48" s="34"/>
      <c r="D48" s="32" t="s">
        <v>249</v>
      </c>
      <c r="E48" s="106"/>
      <c r="F48" s="32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4.25" customHeight="1">
      <c r="A49" s="106"/>
      <c r="B49" s="33"/>
      <c r="C49" s="34"/>
      <c r="D49" s="32" t="s">
        <v>250</v>
      </c>
      <c r="E49" s="106"/>
      <c r="F49" s="32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4.25" customHeight="1">
      <c r="A50" s="106"/>
      <c r="B50" s="33"/>
      <c r="C50" s="34"/>
      <c r="D50" s="32" t="s">
        <v>251</v>
      </c>
      <c r="E50" s="106"/>
      <c r="F50" s="32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4.25" customHeight="1">
      <c r="A51" s="106"/>
      <c r="B51" s="33"/>
      <c r="C51" s="34"/>
      <c r="D51" s="32" t="s">
        <v>252</v>
      </c>
      <c r="E51" s="106"/>
      <c r="F51" s="32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4.25" customHeight="1">
      <c r="A52" s="106"/>
      <c r="B52" s="33"/>
      <c r="C52" s="34"/>
      <c r="D52" s="32" t="s">
        <v>253</v>
      </c>
      <c r="E52" s="106"/>
      <c r="F52" s="32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4.25" customHeight="1">
      <c r="A53" s="106"/>
      <c r="B53" s="33"/>
      <c r="C53" s="34"/>
      <c r="D53" s="32" t="s">
        <v>254</v>
      </c>
      <c r="E53" s="106"/>
      <c r="F53" s="32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4.25" customHeight="1">
      <c r="A54" s="106"/>
      <c r="B54" s="33"/>
      <c r="C54" s="34"/>
      <c r="D54" s="32" t="s">
        <v>255</v>
      </c>
      <c r="E54" s="106"/>
      <c r="F54" s="32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4.25" customHeight="1">
      <c r="A55" s="106"/>
      <c r="B55" s="33"/>
      <c r="C55" s="34"/>
      <c r="D55" s="32" t="s">
        <v>256</v>
      </c>
      <c r="E55" s="106"/>
      <c r="F55" s="32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14.25" customHeight="1">
      <c r="A56" s="106"/>
      <c r="B56" s="33"/>
      <c r="C56" s="34"/>
      <c r="D56" s="32" t="s">
        <v>257</v>
      </c>
      <c r="E56" s="106"/>
      <c r="F56" s="32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14.25" customHeight="1">
      <c r="A57" s="106"/>
      <c r="B57" s="33"/>
      <c r="C57" s="34"/>
      <c r="D57" s="32" t="s">
        <v>258</v>
      </c>
      <c r="E57" s="106"/>
      <c r="F57" s="32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4.25" customHeight="1">
      <c r="A58" s="106"/>
      <c r="B58" s="33"/>
      <c r="C58" s="34"/>
      <c r="D58" s="32" t="s">
        <v>259</v>
      </c>
      <c r="E58" s="106"/>
      <c r="F58" s="32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14.25" customHeight="1">
      <c r="A59" s="106"/>
      <c r="B59" s="33"/>
      <c r="C59" s="34"/>
      <c r="D59" s="32" t="s">
        <v>260</v>
      </c>
      <c r="E59" s="106"/>
      <c r="F59" s="32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4.25" customHeight="1">
      <c r="A60" s="106"/>
      <c r="B60" s="33"/>
      <c r="C60" s="34"/>
      <c r="D60" s="32" t="s">
        <v>261</v>
      </c>
      <c r="E60" s="106"/>
      <c r="F60" s="32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14.25" customHeight="1">
      <c r="A61" s="106"/>
      <c r="B61" s="33"/>
      <c r="C61" s="34"/>
      <c r="D61" s="32" t="s">
        <v>262</v>
      </c>
      <c r="E61" s="106"/>
      <c r="F61" s="32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4.25" customHeight="1">
      <c r="A62" s="106"/>
      <c r="B62" s="33"/>
      <c r="C62" s="34"/>
      <c r="D62" s="32" t="s">
        <v>263</v>
      </c>
      <c r="E62" s="106"/>
      <c r="F62" s="32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4.25" customHeight="1">
      <c r="A63" s="106"/>
      <c r="B63" s="33"/>
      <c r="C63" s="34"/>
      <c r="D63" s="32" t="s">
        <v>264</v>
      </c>
      <c r="E63" s="106"/>
      <c r="F63" s="32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4.25" customHeight="1">
      <c r="A64" s="106"/>
      <c r="B64" s="33"/>
      <c r="C64" s="34"/>
      <c r="D64" s="32" t="s">
        <v>265</v>
      </c>
      <c r="E64" s="106"/>
      <c r="F64" s="32"/>
      <c r="G64" s="10" t="s">
        <v>213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4.25" customHeight="1">
      <c r="A65" s="106"/>
      <c r="B65" s="33"/>
      <c r="C65" s="34"/>
      <c r="D65" s="32" t="s">
        <v>266</v>
      </c>
      <c r="E65" s="106"/>
      <c r="F65" s="32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4.25" customHeight="1">
      <c r="A66" s="106"/>
      <c r="B66" s="33"/>
      <c r="C66" s="34"/>
      <c r="D66" s="32" t="s">
        <v>267</v>
      </c>
      <c r="E66" s="106"/>
      <c r="F66" s="32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4.25" customHeight="1">
      <c r="A67" s="106"/>
      <c r="B67" s="33"/>
      <c r="C67" s="34"/>
      <c r="D67" s="32" t="s">
        <v>268</v>
      </c>
      <c r="E67" s="106"/>
      <c r="F67" s="32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4.25" customHeight="1">
      <c r="A68" s="106"/>
      <c r="B68" s="33"/>
      <c r="C68" s="34"/>
      <c r="D68" s="32" t="s">
        <v>269</v>
      </c>
      <c r="E68" s="106"/>
      <c r="F68" s="32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4.25" customHeight="1">
      <c r="A69" s="106"/>
      <c r="B69" s="33"/>
      <c r="C69" s="34"/>
      <c r="D69" s="32" t="s">
        <v>270</v>
      </c>
      <c r="E69" s="106"/>
      <c r="F69" s="32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4.25" customHeight="1">
      <c r="A70" s="106"/>
      <c r="B70" s="33"/>
      <c r="C70" s="34"/>
      <c r="D70" s="32" t="s">
        <v>271</v>
      </c>
      <c r="E70" s="106"/>
      <c r="F70" s="32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4.25" customHeight="1">
      <c r="A71" s="106"/>
      <c r="B71" s="33"/>
      <c r="C71" s="34"/>
      <c r="D71" s="32" t="s">
        <v>272</v>
      </c>
      <c r="E71" s="106"/>
      <c r="F71" s="32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14.25" customHeight="1">
      <c r="A72" s="106"/>
      <c r="B72" s="33"/>
      <c r="C72" s="34"/>
      <c r="D72" s="32" t="s">
        <v>273</v>
      </c>
      <c r="E72" s="106"/>
      <c r="F72" s="32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14.25" customHeight="1">
      <c r="A73" s="106"/>
      <c r="B73" s="33"/>
      <c r="C73" s="34"/>
      <c r="D73" s="32" t="s">
        <v>274</v>
      </c>
      <c r="E73" s="106"/>
      <c r="F73" s="32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14.25" customHeight="1">
      <c r="A74" s="106"/>
      <c r="B74" s="33"/>
      <c r="C74" s="34"/>
      <c r="D74" s="32" t="s">
        <v>275</v>
      </c>
      <c r="E74" s="106"/>
      <c r="F74" s="32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14.25" customHeight="1">
      <c r="A75" s="106"/>
      <c r="B75" s="33"/>
      <c r="C75" s="34"/>
      <c r="D75" s="32" t="s">
        <v>276</v>
      </c>
      <c r="E75" s="106"/>
      <c r="F75" s="32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4.25" customHeight="1">
      <c r="A76" s="106"/>
      <c r="B76" s="33"/>
      <c r="C76" s="34"/>
      <c r="D76" s="32" t="s">
        <v>277</v>
      </c>
      <c r="E76" s="106"/>
      <c r="F76" s="32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14.25" customHeight="1">
      <c r="A77" s="106"/>
      <c r="B77" s="33"/>
      <c r="C77" s="34"/>
      <c r="D77" s="32" t="s">
        <v>278</v>
      </c>
      <c r="E77" s="106"/>
      <c r="F77" s="32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14.25" customHeight="1">
      <c r="A78" s="106"/>
      <c r="B78" s="33"/>
      <c r="C78" s="34"/>
      <c r="D78" s="32" t="s">
        <v>279</v>
      </c>
      <c r="E78" s="106"/>
      <c r="F78" s="32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14.25" customHeight="1">
      <c r="A79" s="106"/>
      <c r="B79" s="33"/>
      <c r="C79" s="34"/>
      <c r="D79" s="32" t="s">
        <v>280</v>
      </c>
      <c r="E79" s="106"/>
      <c r="F79" s="32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14.25" customHeight="1">
      <c r="A80" s="106"/>
      <c r="B80" s="33"/>
      <c r="C80" s="34"/>
      <c r="D80" s="32" t="s">
        <v>281</v>
      </c>
      <c r="E80" s="106"/>
      <c r="F80" s="32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14.25" customHeight="1">
      <c r="A81" s="106"/>
      <c r="B81" s="33"/>
      <c r="C81" s="34"/>
      <c r="D81" s="32" t="s">
        <v>282</v>
      </c>
      <c r="E81" s="106"/>
      <c r="F81" s="32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4.25" customHeight="1">
      <c r="A82" s="106"/>
      <c r="B82" s="33"/>
      <c r="C82" s="34"/>
      <c r="D82" s="32" t="s">
        <v>283</v>
      </c>
      <c r="E82" s="106"/>
      <c r="F82" s="32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14.25" customHeight="1">
      <c r="A83" s="106"/>
      <c r="B83" s="33"/>
      <c r="C83" s="34"/>
      <c r="D83" s="32" t="s">
        <v>284</v>
      </c>
      <c r="E83" s="106"/>
      <c r="F83" s="32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14.25" customHeight="1">
      <c r="A84" s="106"/>
      <c r="B84" s="33"/>
      <c r="C84" s="34"/>
      <c r="D84" s="32" t="s">
        <v>285</v>
      </c>
      <c r="E84" s="106"/>
      <c r="F84" s="32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14.25" customHeight="1">
      <c r="A85" s="106"/>
      <c r="B85" s="33"/>
      <c r="C85" s="34"/>
      <c r="D85" s="32" t="s">
        <v>286</v>
      </c>
      <c r="E85" s="106"/>
      <c r="F85" s="32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14.25" customHeight="1">
      <c r="A86" s="106"/>
      <c r="B86" s="33"/>
      <c r="C86" s="34"/>
      <c r="D86" s="32" t="s">
        <v>287</v>
      </c>
      <c r="E86" s="106"/>
      <c r="F86" s="32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14.25" customHeight="1">
      <c r="A87" s="106"/>
      <c r="B87" s="33"/>
      <c r="C87" s="34"/>
      <c r="D87" s="32" t="s">
        <v>288</v>
      </c>
      <c r="E87" s="106"/>
      <c r="F87" s="32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4.25" customHeight="1">
      <c r="A88" s="106"/>
      <c r="B88" s="33"/>
      <c r="C88" s="34"/>
      <c r="D88" s="32" t="s">
        <v>289</v>
      </c>
      <c r="E88" s="106"/>
      <c r="F88" s="32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14.25" customHeight="1">
      <c r="A89" s="106"/>
      <c r="B89" s="33"/>
      <c r="C89" s="34"/>
      <c r="D89" s="32" t="s">
        <v>290</v>
      </c>
      <c r="E89" s="106"/>
      <c r="F89" s="32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14.25" customHeight="1">
      <c r="A90" s="106"/>
      <c r="B90" s="33"/>
      <c r="C90" s="34"/>
      <c r="D90" s="32" t="s">
        <v>291</v>
      </c>
      <c r="E90" s="106"/>
      <c r="F90" s="32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14.25" customHeight="1">
      <c r="A91" s="106"/>
      <c r="B91" s="33"/>
      <c r="C91" s="34"/>
      <c r="D91" s="32" t="s">
        <v>292</v>
      </c>
      <c r="E91" s="106"/>
      <c r="F91" s="32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14.25" customHeight="1">
      <c r="A92" s="106"/>
      <c r="B92" s="33"/>
      <c r="C92" s="34"/>
      <c r="D92" s="32" t="s">
        <v>293</v>
      </c>
      <c r="E92" s="106"/>
      <c r="F92" s="32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14.25" customHeight="1">
      <c r="A93" s="106"/>
      <c r="B93" s="33"/>
      <c r="C93" s="34"/>
      <c r="D93" s="32" t="s">
        <v>294</v>
      </c>
      <c r="E93" s="106"/>
      <c r="F93" s="32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14.25" customHeight="1">
      <c r="A94" s="106"/>
      <c r="B94" s="33"/>
      <c r="C94" s="34"/>
      <c r="D94" s="32" t="s">
        <v>295</v>
      </c>
      <c r="E94" s="106"/>
      <c r="F94" s="32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14.25" customHeight="1">
      <c r="A95" s="106"/>
      <c r="B95" s="33"/>
      <c r="C95" s="34"/>
      <c r="D95" s="32" t="s">
        <v>296</v>
      </c>
      <c r="E95" s="106"/>
      <c r="F95" s="32" t="s">
        <v>297</v>
      </c>
      <c r="G95" s="10" t="s">
        <v>213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14.25" customHeight="1">
      <c r="A96" s="106"/>
      <c r="B96" s="33"/>
      <c r="C96" s="34"/>
      <c r="D96" s="32" t="s">
        <v>298</v>
      </c>
      <c r="E96" s="106"/>
      <c r="F96" s="32" t="s">
        <v>299</v>
      </c>
      <c r="G96" s="10" t="s">
        <v>213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14.25" customHeight="1">
      <c r="A97" s="106"/>
      <c r="B97" s="33"/>
      <c r="C97" s="34"/>
      <c r="D97" s="32" t="s">
        <v>300</v>
      </c>
      <c r="E97" s="106"/>
      <c r="F97" s="32" t="s">
        <v>299</v>
      </c>
      <c r="G97" s="10" t="s">
        <v>213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4.25" customHeight="1">
      <c r="A98" s="106"/>
      <c r="B98" s="33"/>
      <c r="C98" s="34"/>
      <c r="D98" s="32" t="s">
        <v>301</v>
      </c>
      <c r="E98" s="106"/>
      <c r="F98" s="32" t="s">
        <v>299</v>
      </c>
      <c r="G98" s="10" t="s">
        <v>213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14.25" customHeight="1">
      <c r="A99" s="106"/>
      <c r="B99" s="33"/>
      <c r="C99" s="34"/>
      <c r="D99" s="32" t="s">
        <v>302</v>
      </c>
      <c r="E99" s="106"/>
      <c r="F99" s="32" t="s">
        <v>299</v>
      </c>
      <c r="G99" s="10" t="s">
        <v>213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4.25" customHeight="1">
      <c r="A100" s="106"/>
      <c r="B100" s="33"/>
      <c r="C100" s="34"/>
      <c r="D100" s="32" t="s">
        <v>303</v>
      </c>
      <c r="E100" s="106"/>
      <c r="F100" s="32" t="s">
        <v>299</v>
      </c>
      <c r="G100" s="10" t="s">
        <v>213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14.25" customHeight="1">
      <c r="A101" s="106"/>
      <c r="B101" s="33"/>
      <c r="C101" s="34"/>
      <c r="D101" s="32" t="s">
        <v>304</v>
      </c>
      <c r="E101" s="106"/>
      <c r="F101" s="32" t="s">
        <v>299</v>
      </c>
      <c r="G101" s="10" t="s">
        <v>213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14.25" customHeight="1">
      <c r="A102" s="106"/>
      <c r="B102" s="33"/>
      <c r="C102" s="34"/>
      <c r="D102" s="32" t="s">
        <v>305</v>
      </c>
      <c r="E102" s="106"/>
      <c r="F102" s="32" t="s">
        <v>299</v>
      </c>
      <c r="G102" s="10" t="s">
        <v>213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14.25" customHeight="1">
      <c r="A103" s="106"/>
      <c r="B103" s="33"/>
      <c r="C103" s="34"/>
      <c r="D103" s="32" t="s">
        <v>306</v>
      </c>
      <c r="E103" s="106"/>
      <c r="F103" s="32" t="s">
        <v>299</v>
      </c>
      <c r="G103" s="10" t="s">
        <v>213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14.25" customHeight="1">
      <c r="A104" s="106"/>
      <c r="B104" s="33"/>
      <c r="C104" s="34"/>
      <c r="D104" s="32" t="s">
        <v>307</v>
      </c>
      <c r="E104" s="106"/>
      <c r="F104" s="32" t="s">
        <v>299</v>
      </c>
      <c r="G104" s="10" t="s">
        <v>213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14.25" customHeight="1">
      <c r="A105" s="106"/>
      <c r="B105" s="35"/>
      <c r="C105" s="35" t="s">
        <v>81</v>
      </c>
      <c r="D105" s="28" t="s">
        <v>308</v>
      </c>
      <c r="E105" s="106"/>
      <c r="F105" s="28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14.25" customHeight="1">
      <c r="A106" s="106"/>
      <c r="B106" s="36"/>
      <c r="C106" s="36"/>
      <c r="D106" s="28" t="s">
        <v>80</v>
      </c>
      <c r="E106" s="106"/>
      <c r="F106" s="28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14.25" customHeight="1">
      <c r="A107" s="106"/>
      <c r="B107" s="36"/>
      <c r="C107" s="36"/>
      <c r="D107" s="28" t="s">
        <v>309</v>
      </c>
      <c r="E107" s="106"/>
      <c r="F107" s="28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4.25" customHeight="1">
      <c r="A108" s="106"/>
      <c r="B108" s="36"/>
      <c r="C108" s="36"/>
      <c r="D108" s="28" t="s">
        <v>310</v>
      </c>
      <c r="E108" s="106"/>
      <c r="F108" s="28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14.25" customHeight="1">
      <c r="A109" s="106"/>
      <c r="B109" s="36"/>
      <c r="C109" s="36"/>
      <c r="D109" s="28" t="s">
        <v>311</v>
      </c>
      <c r="E109" s="106"/>
      <c r="F109" s="28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4.25" customHeight="1">
      <c r="A110" s="106"/>
      <c r="B110" s="36"/>
      <c r="C110" s="36"/>
      <c r="D110" s="28" t="s">
        <v>312</v>
      </c>
      <c r="E110" s="106"/>
      <c r="F110" s="28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14.25" customHeight="1">
      <c r="A111" s="106"/>
      <c r="B111" s="37"/>
      <c r="C111" s="37"/>
      <c r="D111" s="28" t="s">
        <v>313</v>
      </c>
      <c r="E111" s="106"/>
      <c r="F111" s="28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4.25" customHeight="1">
      <c r="A112" s="106"/>
      <c r="B112" s="33"/>
      <c r="C112" s="38" t="s">
        <v>53</v>
      </c>
      <c r="D112" s="32" t="s">
        <v>308</v>
      </c>
      <c r="E112" s="106"/>
      <c r="F112" s="32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14.25" customHeight="1">
      <c r="A113" s="106"/>
      <c r="B113" s="33"/>
      <c r="C113" s="39"/>
      <c r="D113" s="32" t="s">
        <v>314</v>
      </c>
      <c r="E113" s="106"/>
      <c r="F113" s="32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14.25" customHeight="1">
      <c r="A114" s="106"/>
      <c r="B114" s="33"/>
      <c r="C114" s="40"/>
      <c r="D114" s="32" t="s">
        <v>315</v>
      </c>
      <c r="E114" s="106"/>
      <c r="F114" s="32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14.25" customHeight="1">
      <c r="A115" s="106"/>
      <c r="B115" s="41"/>
      <c r="C115" s="41" t="s">
        <v>316</v>
      </c>
      <c r="D115" s="28" t="s">
        <v>308</v>
      </c>
      <c r="E115" s="106"/>
      <c r="F115" s="28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14.25" customHeight="1">
      <c r="A116" s="106"/>
      <c r="B116" s="41"/>
      <c r="C116" s="41"/>
      <c r="D116" s="28" t="s">
        <v>309</v>
      </c>
      <c r="E116" s="106"/>
      <c r="F116" s="28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14.25" customHeight="1">
      <c r="A117" s="106"/>
      <c r="B117" s="41"/>
      <c r="C117" s="41"/>
      <c r="D117" s="28" t="s">
        <v>310</v>
      </c>
      <c r="E117" s="106"/>
      <c r="F117" s="28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14.25" customHeight="1">
      <c r="A118" s="106"/>
      <c r="B118" s="41"/>
      <c r="C118" s="41"/>
      <c r="D118" s="28" t="s">
        <v>312</v>
      </c>
      <c r="E118" s="106"/>
      <c r="F118" s="28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14.25" customHeight="1">
      <c r="A119" s="106"/>
      <c r="B119" s="30"/>
      <c r="C119" s="38" t="s">
        <v>151</v>
      </c>
      <c r="D119" s="32" t="s">
        <v>308</v>
      </c>
      <c r="E119" s="106"/>
      <c r="F119" s="32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4.25" customHeight="1">
      <c r="A120" s="106"/>
      <c r="B120" s="13"/>
      <c r="C120" s="42"/>
      <c r="D120" s="32" t="s">
        <v>317</v>
      </c>
      <c r="E120" s="106"/>
      <c r="F120" s="32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14.25" customHeight="1">
      <c r="A121" s="106"/>
      <c r="B121" s="13"/>
      <c r="C121" s="42"/>
      <c r="D121" s="32" t="s">
        <v>310</v>
      </c>
      <c r="E121" s="106"/>
      <c r="F121" s="32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14.25" customHeight="1">
      <c r="A122" s="106"/>
      <c r="B122" s="13"/>
      <c r="C122" s="42"/>
      <c r="D122" s="32" t="s">
        <v>311</v>
      </c>
      <c r="E122" s="106"/>
      <c r="F122" s="32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14.25" customHeight="1">
      <c r="A123" s="106"/>
      <c r="B123" s="13"/>
      <c r="C123" s="42"/>
      <c r="D123" s="32" t="s">
        <v>309</v>
      </c>
      <c r="E123" s="106"/>
      <c r="F123" s="32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14.25" customHeight="1">
      <c r="A124" s="106"/>
      <c r="B124" s="13"/>
      <c r="C124" s="42"/>
      <c r="D124" s="32" t="s">
        <v>318</v>
      </c>
      <c r="E124" s="106"/>
      <c r="F124" s="32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14.25" customHeight="1">
      <c r="A125" s="106"/>
      <c r="B125" s="13"/>
      <c r="C125" s="42"/>
      <c r="D125" s="32" t="s">
        <v>319</v>
      </c>
      <c r="E125" s="106"/>
      <c r="F125" s="32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14.25" customHeight="1">
      <c r="A126" s="106"/>
      <c r="B126" s="13"/>
      <c r="C126" s="42"/>
      <c r="D126" s="32" t="s">
        <v>312</v>
      </c>
      <c r="E126" s="106"/>
      <c r="F126" s="32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14.25" customHeight="1">
      <c r="A127" s="106"/>
      <c r="B127" s="33"/>
      <c r="C127" s="40"/>
      <c r="D127" s="32" t="s">
        <v>313</v>
      </c>
      <c r="E127" s="106"/>
      <c r="F127" s="32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14.25" customHeight="1">
      <c r="A128" s="106"/>
      <c r="B128" s="35"/>
      <c r="C128" s="35" t="s">
        <v>82</v>
      </c>
      <c r="D128" s="28" t="s">
        <v>320</v>
      </c>
      <c r="E128" s="106"/>
      <c r="F128" s="28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14.25" customHeight="1">
      <c r="A129" s="106"/>
      <c r="B129" s="36"/>
      <c r="C129" s="36"/>
      <c r="D129" s="28" t="s">
        <v>321</v>
      </c>
      <c r="E129" s="106"/>
      <c r="F129" s="28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14.25" customHeight="1">
      <c r="A130" s="106"/>
      <c r="B130" s="36"/>
      <c r="C130" s="36"/>
      <c r="D130" s="28" t="s">
        <v>322</v>
      </c>
      <c r="E130" s="106"/>
      <c r="F130" s="28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14.25" customHeight="1">
      <c r="A131" s="106"/>
      <c r="B131" s="36"/>
      <c r="C131" s="36"/>
      <c r="D131" s="28" t="s">
        <v>136</v>
      </c>
      <c r="E131" s="106"/>
      <c r="F131" s="28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14.25" customHeight="1">
      <c r="A132" s="106"/>
      <c r="B132" s="36"/>
      <c r="C132" s="36"/>
      <c r="D132" s="28" t="s">
        <v>311</v>
      </c>
      <c r="E132" s="106"/>
      <c r="F132" s="28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14.25" customHeight="1">
      <c r="A133" s="106"/>
      <c r="B133" s="33"/>
      <c r="C133" s="39" t="s">
        <v>323</v>
      </c>
      <c r="D133" s="32" t="s">
        <v>320</v>
      </c>
      <c r="E133" s="106"/>
      <c r="F133" s="32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14.25" customHeight="1">
      <c r="A134" s="106"/>
      <c r="B134" s="33"/>
      <c r="C134" s="39"/>
      <c r="D134" s="32" t="s">
        <v>311</v>
      </c>
      <c r="E134" s="106"/>
      <c r="F134" s="32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14.25" customHeight="1">
      <c r="A135" s="106"/>
      <c r="B135" s="43"/>
      <c r="C135" s="40"/>
      <c r="D135" s="32" t="s">
        <v>313</v>
      </c>
      <c r="E135" s="106"/>
      <c r="F135" s="32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14.25" customHeight="1">
      <c r="A136" s="106"/>
      <c r="B136" s="44"/>
      <c r="C136" s="44" t="s">
        <v>89</v>
      </c>
      <c r="D136" s="28" t="s">
        <v>324</v>
      </c>
      <c r="E136" s="106"/>
      <c r="F136" s="28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14.25" customHeight="1">
      <c r="A137" s="106"/>
      <c r="B137" s="41"/>
      <c r="C137" s="41"/>
      <c r="D137" s="28" t="s">
        <v>325</v>
      </c>
      <c r="E137" s="106"/>
      <c r="F137" s="28"/>
      <c r="G137" s="10" t="s">
        <v>213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14.25" customHeight="1">
      <c r="A138" s="106"/>
      <c r="B138" s="41"/>
      <c r="C138" s="41"/>
      <c r="D138" s="28" t="s">
        <v>326</v>
      </c>
      <c r="E138" s="106"/>
      <c r="F138" s="28" t="s">
        <v>327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14.25" customHeight="1">
      <c r="A139" s="106"/>
      <c r="B139" s="41"/>
      <c r="C139" s="41"/>
      <c r="D139" s="28" t="s">
        <v>328</v>
      </c>
      <c r="E139" s="106"/>
      <c r="F139" s="28" t="s">
        <v>329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14.25" customHeight="1">
      <c r="A140" s="106"/>
      <c r="B140" s="41"/>
      <c r="C140" s="41"/>
      <c r="D140" s="28" t="s">
        <v>330</v>
      </c>
      <c r="E140" s="106"/>
      <c r="F140" s="28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14.25" customHeight="1">
      <c r="A141" s="106"/>
      <c r="B141" s="41"/>
      <c r="C141" s="41"/>
      <c r="D141" s="28" t="s">
        <v>331</v>
      </c>
      <c r="E141" s="106"/>
      <c r="F141" s="28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14.25" customHeight="1">
      <c r="A142" s="106"/>
      <c r="B142" s="41"/>
      <c r="C142" s="41"/>
      <c r="D142" s="28" t="s">
        <v>332</v>
      </c>
      <c r="E142" s="106"/>
      <c r="F142" s="28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14.25" customHeight="1">
      <c r="A143" s="106"/>
      <c r="B143" s="41"/>
      <c r="C143" s="41"/>
      <c r="D143" s="28" t="s">
        <v>333</v>
      </c>
      <c r="E143" s="106"/>
      <c r="F143" s="28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14.25" customHeight="1">
      <c r="A144" s="106"/>
      <c r="B144" s="41"/>
      <c r="C144" s="41"/>
      <c r="D144" s="28" t="s">
        <v>334</v>
      </c>
      <c r="E144" s="106"/>
      <c r="F144" s="28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14.25" customHeight="1">
      <c r="A145" s="106"/>
      <c r="B145" s="41"/>
      <c r="C145" s="41"/>
      <c r="D145" s="28" t="s">
        <v>335</v>
      </c>
      <c r="E145" s="106"/>
      <c r="F145" s="28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14.25" customHeight="1">
      <c r="A146" s="106"/>
      <c r="B146" s="41"/>
      <c r="C146" s="41"/>
      <c r="D146" s="28" t="s">
        <v>313</v>
      </c>
      <c r="E146" s="106"/>
      <c r="F146" s="28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14.25" customHeight="1">
      <c r="A147" s="106"/>
      <c r="B147" s="30"/>
      <c r="C147" s="45" t="s">
        <v>336</v>
      </c>
      <c r="D147" s="32" t="s">
        <v>337</v>
      </c>
      <c r="E147" s="106"/>
      <c r="F147" s="32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14.25" customHeight="1">
      <c r="A148" s="106"/>
      <c r="B148" s="43"/>
      <c r="C148" s="46"/>
      <c r="D148" s="32" t="s">
        <v>338</v>
      </c>
      <c r="E148" s="106"/>
      <c r="F148" s="32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14.25" customHeight="1">
      <c r="A149" s="106"/>
      <c r="B149" s="47"/>
      <c r="C149" s="48" t="s">
        <v>70</v>
      </c>
      <c r="D149" s="28" t="s">
        <v>339</v>
      </c>
      <c r="E149" s="106"/>
      <c r="F149" s="28" t="s">
        <v>340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14.25" customHeight="1">
      <c r="A150" s="106"/>
      <c r="B150" s="49"/>
      <c r="C150" s="49"/>
      <c r="D150" s="28" t="s">
        <v>341</v>
      </c>
      <c r="E150" s="106"/>
      <c r="F150" s="28" t="s">
        <v>342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14.25" customHeight="1">
      <c r="A151" s="106"/>
      <c r="B151" s="49"/>
      <c r="C151" s="49"/>
      <c r="D151" s="28" t="s">
        <v>343</v>
      </c>
      <c r="E151" s="106"/>
      <c r="F151" s="28" t="s">
        <v>344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14.25" customHeight="1">
      <c r="A152" s="106"/>
      <c r="B152" s="49"/>
      <c r="C152" s="49"/>
      <c r="D152" s="28" t="s">
        <v>345</v>
      </c>
      <c r="E152" s="106"/>
      <c r="F152" s="28" t="s">
        <v>346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14.25" customHeight="1">
      <c r="A153" s="106"/>
      <c r="B153" s="49"/>
      <c r="C153" s="49"/>
      <c r="D153" s="28" t="s">
        <v>347</v>
      </c>
      <c r="E153" s="106"/>
      <c r="F153" s="28" t="s">
        <v>348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14.25" customHeight="1">
      <c r="A154" s="106"/>
      <c r="B154" s="49"/>
      <c r="C154" s="49"/>
      <c r="D154" s="28" t="s">
        <v>349</v>
      </c>
      <c r="E154" s="106"/>
      <c r="F154" s="28" t="s">
        <v>350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14.25" customHeight="1">
      <c r="A155" s="106"/>
      <c r="B155" s="49"/>
      <c r="C155" s="49"/>
      <c r="D155" s="28" t="s">
        <v>351</v>
      </c>
      <c r="E155" s="106"/>
      <c r="F155" s="28" t="s">
        <v>352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14.25" customHeight="1">
      <c r="A156" s="106"/>
      <c r="B156" s="49"/>
      <c r="C156" s="49"/>
      <c r="D156" s="28" t="s">
        <v>353</v>
      </c>
      <c r="E156" s="106"/>
      <c r="F156" s="28" t="s">
        <v>354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4.25" customHeight="1">
      <c r="A157" s="106"/>
      <c r="B157" s="49"/>
      <c r="C157" s="49"/>
      <c r="D157" s="28" t="s">
        <v>355</v>
      </c>
      <c r="E157" s="106"/>
      <c r="F157" s="28" t="s">
        <v>356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4.25" customHeight="1">
      <c r="A158" s="106"/>
      <c r="B158" s="49"/>
      <c r="C158" s="49"/>
      <c r="D158" s="28" t="s">
        <v>357</v>
      </c>
      <c r="E158" s="106"/>
      <c r="F158" s="28" t="s">
        <v>358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4.25" customHeight="1">
      <c r="A159" s="106"/>
      <c r="B159" s="49"/>
      <c r="C159" s="49"/>
      <c r="D159" s="28" t="s">
        <v>359</v>
      </c>
      <c r="E159" s="106"/>
      <c r="F159" s="28" t="s">
        <v>360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4.25" customHeight="1">
      <c r="A160" s="106"/>
      <c r="B160" s="49"/>
      <c r="C160" s="49"/>
      <c r="D160" s="28" t="s">
        <v>361</v>
      </c>
      <c r="E160" s="106"/>
      <c r="F160" s="28" t="s">
        <v>362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4.25" customHeight="1">
      <c r="A161" s="106"/>
      <c r="B161" s="49"/>
      <c r="C161" s="49"/>
      <c r="D161" s="28" t="s">
        <v>363</v>
      </c>
      <c r="E161" s="106"/>
      <c r="F161" s="28" t="s">
        <v>364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4.25" customHeight="1">
      <c r="A162" s="106"/>
      <c r="B162" s="49"/>
      <c r="C162" s="49"/>
      <c r="D162" s="28" t="s">
        <v>365</v>
      </c>
      <c r="E162" s="106"/>
      <c r="F162" s="28" t="s">
        <v>366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4.25" customHeight="1">
      <c r="A163" s="106"/>
      <c r="B163" s="49"/>
      <c r="C163" s="49"/>
      <c r="D163" s="28" t="s">
        <v>367</v>
      </c>
      <c r="E163" s="106"/>
      <c r="F163" s="28" t="s">
        <v>368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4.25" customHeight="1">
      <c r="A164" s="106"/>
      <c r="B164" s="49"/>
      <c r="C164" s="49"/>
      <c r="D164" s="28" t="s">
        <v>369</v>
      </c>
      <c r="E164" s="106"/>
      <c r="F164" s="28" t="s">
        <v>370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4.25" customHeight="1">
      <c r="A165" s="106"/>
      <c r="B165" s="49"/>
      <c r="C165" s="49"/>
      <c r="D165" s="28" t="s">
        <v>371</v>
      </c>
      <c r="E165" s="106"/>
      <c r="F165" s="28" t="s">
        <v>372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4.25" customHeight="1">
      <c r="A166" s="106"/>
      <c r="B166" s="49"/>
      <c r="C166" s="49"/>
      <c r="D166" s="28" t="s">
        <v>373</v>
      </c>
      <c r="E166" s="106"/>
      <c r="F166" s="28" t="s">
        <v>374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4.25" customHeight="1">
      <c r="A167" s="106"/>
      <c r="B167" s="49"/>
      <c r="C167" s="49"/>
      <c r="D167" s="28" t="s">
        <v>375</v>
      </c>
      <c r="E167" s="106"/>
      <c r="F167" s="28" t="s">
        <v>376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4.25" customHeight="1">
      <c r="A168" s="106"/>
      <c r="B168" s="49"/>
      <c r="C168" s="49"/>
      <c r="D168" s="28" t="s">
        <v>377</v>
      </c>
      <c r="E168" s="106"/>
      <c r="F168" s="28" t="s">
        <v>378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4.25" customHeight="1">
      <c r="A169" s="106"/>
      <c r="B169" s="49"/>
      <c r="C169" s="49"/>
      <c r="D169" s="28" t="s">
        <v>379</v>
      </c>
      <c r="E169" s="106"/>
      <c r="F169" s="28" t="s">
        <v>380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4.25" customHeight="1">
      <c r="A170" s="106"/>
      <c r="B170" s="49"/>
      <c r="C170" s="49"/>
      <c r="D170" s="28" t="s">
        <v>381</v>
      </c>
      <c r="E170" s="106"/>
      <c r="F170" s="28" t="s">
        <v>382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4.25" customHeight="1">
      <c r="A171" s="106"/>
      <c r="B171" s="49"/>
      <c r="C171" s="49"/>
      <c r="D171" s="28" t="s">
        <v>383</v>
      </c>
      <c r="E171" s="106"/>
      <c r="F171" s="28" t="s">
        <v>384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4.25" customHeight="1">
      <c r="A172" s="106"/>
      <c r="B172" s="49"/>
      <c r="C172" s="49"/>
      <c r="D172" s="28" t="s">
        <v>385</v>
      </c>
      <c r="E172" s="106"/>
      <c r="F172" s="28" t="s">
        <v>386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4.25" customHeight="1">
      <c r="A173" s="106"/>
      <c r="B173" s="49"/>
      <c r="C173" s="49"/>
      <c r="D173" s="28" t="s">
        <v>387</v>
      </c>
      <c r="E173" s="106"/>
      <c r="F173" s="28" t="s">
        <v>388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4.25" customHeight="1">
      <c r="A174" s="106"/>
      <c r="B174" s="49"/>
      <c r="C174" s="49"/>
      <c r="D174" s="28" t="s">
        <v>389</v>
      </c>
      <c r="E174" s="106"/>
      <c r="F174" s="28" t="s">
        <v>390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4.25" customHeight="1">
      <c r="A175" s="106"/>
      <c r="B175" s="49"/>
      <c r="C175" s="49"/>
      <c r="D175" s="28" t="s">
        <v>391</v>
      </c>
      <c r="E175" s="106"/>
      <c r="F175" s="28" t="s">
        <v>392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4.25" customHeight="1">
      <c r="A176" s="106"/>
      <c r="B176" s="49"/>
      <c r="C176" s="49"/>
      <c r="D176" s="28" t="s">
        <v>393</v>
      </c>
      <c r="E176" s="106"/>
      <c r="F176" s="28" t="s">
        <v>394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4.25" customHeight="1">
      <c r="A177" s="106"/>
      <c r="B177" s="49"/>
      <c r="C177" s="49"/>
      <c r="D177" s="28" t="s">
        <v>395</v>
      </c>
      <c r="E177" s="106"/>
      <c r="F177" s="28" t="s">
        <v>396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4.25" customHeight="1">
      <c r="A178" s="106"/>
      <c r="B178" s="49"/>
      <c r="C178" s="49"/>
      <c r="D178" s="28" t="s">
        <v>397</v>
      </c>
      <c r="E178" s="106"/>
      <c r="F178" s="28" t="s">
        <v>398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4.25" customHeight="1">
      <c r="A179" s="106"/>
      <c r="B179" s="49"/>
      <c r="C179" s="49"/>
      <c r="D179" s="28" t="s">
        <v>399</v>
      </c>
      <c r="E179" s="106"/>
      <c r="F179" s="28" t="s">
        <v>400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4.25" customHeight="1">
      <c r="A180" s="106"/>
      <c r="B180" s="49"/>
      <c r="C180" s="49"/>
      <c r="D180" s="28" t="s">
        <v>401</v>
      </c>
      <c r="E180" s="106"/>
      <c r="F180" s="28" t="s">
        <v>402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4.25" customHeight="1">
      <c r="A181" s="106"/>
      <c r="B181" s="49"/>
      <c r="C181" s="49"/>
      <c r="D181" s="28" t="s">
        <v>403</v>
      </c>
      <c r="E181" s="106"/>
      <c r="F181" s="28" t="s">
        <v>404</v>
      </c>
      <c r="G181" s="10" t="s">
        <v>213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4.25" customHeight="1">
      <c r="A182" s="106"/>
      <c r="B182" s="49"/>
      <c r="C182" s="49"/>
      <c r="D182" s="28" t="s">
        <v>313</v>
      </c>
      <c r="E182" s="106"/>
      <c r="F182" s="28" t="s">
        <v>313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4.25" customHeight="1">
      <c r="A183" s="106"/>
      <c r="B183" s="30"/>
      <c r="C183" s="45" t="s">
        <v>405</v>
      </c>
      <c r="D183" s="50" t="s">
        <v>406</v>
      </c>
      <c r="E183" s="106"/>
      <c r="F183" s="5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4.25" customHeight="1">
      <c r="A184" s="106"/>
      <c r="B184" s="33"/>
      <c r="C184" s="51"/>
      <c r="D184" s="50" t="s">
        <v>407</v>
      </c>
      <c r="E184" s="106"/>
      <c r="F184" s="5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4.25" customHeight="1">
      <c r="A185" s="106"/>
      <c r="B185" s="33"/>
      <c r="C185" s="51"/>
      <c r="D185" s="50" t="s">
        <v>408</v>
      </c>
      <c r="E185" s="106"/>
      <c r="F185" s="5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4.25" customHeight="1">
      <c r="A186" s="106"/>
      <c r="B186" s="43"/>
      <c r="C186" s="46"/>
      <c r="D186" s="32" t="s">
        <v>409</v>
      </c>
      <c r="E186" s="106"/>
      <c r="F186" s="32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4.25" customHeight="1">
      <c r="A187" s="106"/>
      <c r="B187" s="35"/>
      <c r="C187" s="35" t="s">
        <v>86</v>
      </c>
      <c r="D187" s="28" t="s">
        <v>410</v>
      </c>
      <c r="E187" s="106"/>
      <c r="F187" s="28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4.25" customHeight="1">
      <c r="A188" s="106"/>
      <c r="B188" s="36"/>
      <c r="C188" s="36"/>
      <c r="D188" s="28" t="s">
        <v>411</v>
      </c>
      <c r="E188" s="106"/>
      <c r="F188" s="28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4.25" customHeight="1">
      <c r="A189" s="106"/>
      <c r="B189" s="30"/>
      <c r="C189" s="45" t="s">
        <v>58</v>
      </c>
      <c r="D189" s="32" t="s">
        <v>412</v>
      </c>
      <c r="E189" s="106"/>
      <c r="F189" s="32" t="s">
        <v>413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4.25" customHeight="1">
      <c r="A190" s="106"/>
      <c r="B190" s="33"/>
      <c r="C190" s="51"/>
      <c r="D190" s="32" t="s">
        <v>414</v>
      </c>
      <c r="E190" s="106"/>
      <c r="F190" s="32" t="s">
        <v>415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4.25" customHeight="1">
      <c r="A191" s="106"/>
      <c r="B191" s="33"/>
      <c r="C191" s="51"/>
      <c r="D191" s="32" t="s">
        <v>311</v>
      </c>
      <c r="E191" s="106"/>
      <c r="F191" s="32" t="s">
        <v>311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4.25" customHeight="1">
      <c r="A192" s="106"/>
      <c r="B192" s="33"/>
      <c r="C192" s="51"/>
      <c r="D192" s="32" t="s">
        <v>416</v>
      </c>
      <c r="E192" s="106"/>
      <c r="F192" s="32" t="s">
        <v>417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4.25" customHeight="1">
      <c r="A193" s="106"/>
      <c r="B193" s="33"/>
      <c r="C193" s="51"/>
      <c r="D193" s="32" t="s">
        <v>418</v>
      </c>
      <c r="E193" s="106"/>
      <c r="F193" s="32" t="s">
        <v>419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4.25" customHeight="1">
      <c r="A194" s="106"/>
      <c r="B194" s="33"/>
      <c r="C194" s="51"/>
      <c r="D194" s="32" t="s">
        <v>420</v>
      </c>
      <c r="E194" s="106"/>
      <c r="F194" s="32" t="s">
        <v>421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4.25" customHeight="1">
      <c r="A195" s="106"/>
      <c r="B195" s="33"/>
      <c r="C195" s="51"/>
      <c r="D195" s="32" t="s">
        <v>422</v>
      </c>
      <c r="E195" s="106"/>
      <c r="F195" s="32" t="s">
        <v>423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4.25" customHeight="1">
      <c r="A196" s="106"/>
      <c r="B196" s="33"/>
      <c r="C196" s="51"/>
      <c r="D196" s="32" t="s">
        <v>424</v>
      </c>
      <c r="E196" s="106"/>
      <c r="F196" s="32" t="s">
        <v>425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4.25" customHeight="1">
      <c r="A197" s="106"/>
      <c r="B197" s="33"/>
      <c r="C197" s="51"/>
      <c r="D197" s="32" t="s">
        <v>426</v>
      </c>
      <c r="E197" s="106"/>
      <c r="F197" s="32" t="s">
        <v>427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4.25" customHeight="1">
      <c r="A198" s="106"/>
      <c r="B198" s="33"/>
      <c r="C198" s="51"/>
      <c r="D198" s="32" t="s">
        <v>428</v>
      </c>
      <c r="E198" s="106"/>
      <c r="F198" s="32" t="s">
        <v>429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4.25" customHeight="1">
      <c r="A199" s="106"/>
      <c r="B199" s="33"/>
      <c r="C199" s="51"/>
      <c r="D199" s="32" t="s">
        <v>430</v>
      </c>
      <c r="E199" s="106"/>
      <c r="F199" s="32" t="s">
        <v>431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4.25" customHeight="1">
      <c r="A200" s="106"/>
      <c r="B200" s="33"/>
      <c r="C200" s="51"/>
      <c r="D200" s="32" t="s">
        <v>432</v>
      </c>
      <c r="E200" s="106"/>
      <c r="F200" s="32" t="s">
        <v>433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4.25" customHeight="1">
      <c r="A201" s="106"/>
      <c r="B201" s="33"/>
      <c r="C201" s="51"/>
      <c r="D201" s="32" t="s">
        <v>313</v>
      </c>
      <c r="E201" s="106"/>
      <c r="F201" s="32" t="s">
        <v>313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4.25" customHeight="1">
      <c r="A202" s="106"/>
      <c r="B202" s="43"/>
      <c r="C202" s="46"/>
      <c r="D202" s="32" t="s">
        <v>409</v>
      </c>
      <c r="E202" s="106"/>
      <c r="F202" s="32" t="s">
        <v>434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4.25" customHeight="1">
      <c r="A203" s="106"/>
      <c r="B203" s="48"/>
      <c r="C203" s="48" t="s">
        <v>83</v>
      </c>
      <c r="D203" s="28" t="s">
        <v>435</v>
      </c>
      <c r="E203" s="106"/>
      <c r="F203" s="28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4.25" customHeight="1">
      <c r="A204" s="106"/>
      <c r="B204" s="49"/>
      <c r="C204" s="49"/>
      <c r="D204" s="28" t="s">
        <v>436</v>
      </c>
      <c r="E204" s="106"/>
      <c r="F204" s="28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14.25" customHeight="1">
      <c r="A205" s="106"/>
      <c r="B205" s="49"/>
      <c r="C205" s="49"/>
      <c r="D205" s="28" t="s">
        <v>437</v>
      </c>
      <c r="E205" s="106"/>
      <c r="F205" s="28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14.25" customHeight="1">
      <c r="A206" s="106"/>
      <c r="B206" s="49"/>
      <c r="C206" s="49"/>
      <c r="D206" s="28" t="s">
        <v>438</v>
      </c>
      <c r="E206" s="106"/>
      <c r="F206" s="28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14.25" customHeight="1">
      <c r="A207" s="106"/>
      <c r="B207" s="49"/>
      <c r="C207" s="49"/>
      <c r="D207" s="28" t="s">
        <v>439</v>
      </c>
      <c r="E207" s="106"/>
      <c r="F207" s="28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14.25" customHeight="1">
      <c r="A208" s="106"/>
      <c r="B208" s="49"/>
      <c r="C208" s="49"/>
      <c r="D208" s="28" t="s">
        <v>440</v>
      </c>
      <c r="E208" s="106"/>
      <c r="F208" s="28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14.25" customHeight="1">
      <c r="A209" s="106"/>
      <c r="B209" s="49"/>
      <c r="C209" s="49"/>
      <c r="D209" s="28" t="s">
        <v>441</v>
      </c>
      <c r="E209" s="106"/>
      <c r="F209" s="28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4.25" customHeight="1">
      <c r="A210" s="106"/>
      <c r="B210" s="49"/>
      <c r="C210" s="49"/>
      <c r="D210" s="28" t="s">
        <v>442</v>
      </c>
      <c r="E210" s="106"/>
      <c r="F210" s="28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14.25" customHeight="1">
      <c r="A211" s="106"/>
      <c r="B211" s="49"/>
      <c r="C211" s="49"/>
      <c r="D211" s="28" t="s">
        <v>443</v>
      </c>
      <c r="E211" s="106"/>
      <c r="F211" s="28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4.25" customHeight="1">
      <c r="A212" s="106"/>
      <c r="B212" s="49"/>
      <c r="C212" s="49"/>
      <c r="D212" s="28" t="s">
        <v>444</v>
      </c>
      <c r="E212" s="106"/>
      <c r="F212" s="28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4.25" customHeight="1">
      <c r="A213" s="106"/>
      <c r="B213" s="49"/>
      <c r="C213" s="49"/>
      <c r="D213" s="28" t="s">
        <v>445</v>
      </c>
      <c r="E213" s="106"/>
      <c r="F213" s="28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4.25" customHeight="1">
      <c r="A214" s="106"/>
      <c r="B214" s="49"/>
      <c r="C214" s="49"/>
      <c r="D214" s="28" t="s">
        <v>446</v>
      </c>
      <c r="E214" s="106"/>
      <c r="F214" s="28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4.25" customHeight="1">
      <c r="A215" s="106"/>
      <c r="B215" s="49"/>
      <c r="C215" s="49"/>
      <c r="D215" s="28" t="s">
        <v>447</v>
      </c>
      <c r="E215" s="106"/>
      <c r="F215" s="28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4.25" customHeight="1">
      <c r="A216" s="106"/>
      <c r="B216" s="49"/>
      <c r="C216" s="49"/>
      <c r="D216" s="28" t="s">
        <v>448</v>
      </c>
      <c r="E216" s="106"/>
      <c r="F216" s="28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4.25" customHeight="1">
      <c r="A217" s="106"/>
      <c r="B217" s="49"/>
      <c r="C217" s="49"/>
      <c r="D217" s="28" t="s">
        <v>449</v>
      </c>
      <c r="E217" s="106"/>
      <c r="F217" s="28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4.25" customHeight="1">
      <c r="A218" s="106"/>
      <c r="B218" s="49"/>
      <c r="C218" s="49"/>
      <c r="D218" s="28" t="s">
        <v>450</v>
      </c>
      <c r="E218" s="106"/>
      <c r="F218" s="28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4.25" customHeight="1">
      <c r="A219" s="106"/>
      <c r="B219" s="49"/>
      <c r="C219" s="49"/>
      <c r="D219" s="28" t="s">
        <v>451</v>
      </c>
      <c r="E219" s="106"/>
      <c r="F219" s="28" t="s">
        <v>452</v>
      </c>
      <c r="G219" s="10" t="s">
        <v>213</v>
      </c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4.25" customHeight="1">
      <c r="A220" s="106"/>
      <c r="B220" s="49"/>
      <c r="C220" s="49"/>
      <c r="D220" s="28" t="s">
        <v>453</v>
      </c>
      <c r="E220" s="106"/>
      <c r="F220" s="28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4.25" customHeight="1">
      <c r="A221" s="106"/>
      <c r="B221" s="49"/>
      <c r="C221" s="49"/>
      <c r="D221" s="28" t="s">
        <v>454</v>
      </c>
      <c r="E221" s="106"/>
      <c r="F221" s="28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14.25" customHeight="1">
      <c r="A222" s="106"/>
      <c r="B222" s="49"/>
      <c r="C222" s="49"/>
      <c r="D222" s="28" t="s">
        <v>455</v>
      </c>
      <c r="E222" s="106"/>
      <c r="F222" s="28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14.25" customHeight="1">
      <c r="A223" s="106"/>
      <c r="B223" s="49"/>
      <c r="C223" s="49"/>
      <c r="D223" s="28" t="s">
        <v>456</v>
      </c>
      <c r="E223" s="106"/>
      <c r="F223" s="28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14.25" customHeight="1">
      <c r="A224" s="106"/>
      <c r="B224" s="49"/>
      <c r="C224" s="49"/>
      <c r="D224" s="28" t="s">
        <v>457</v>
      </c>
      <c r="E224" s="106"/>
      <c r="F224" s="28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14.25" customHeight="1">
      <c r="A225" s="106"/>
      <c r="B225" s="49"/>
      <c r="C225" s="49"/>
      <c r="D225" s="28" t="s">
        <v>458</v>
      </c>
      <c r="E225" s="106"/>
      <c r="F225" s="28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14.25" customHeight="1">
      <c r="A226" s="106"/>
      <c r="B226" s="49"/>
      <c r="C226" s="49"/>
      <c r="D226" s="28" t="s">
        <v>459</v>
      </c>
      <c r="E226" s="106"/>
      <c r="F226" s="28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14.25" customHeight="1">
      <c r="A227" s="106"/>
      <c r="B227" s="49"/>
      <c r="C227" s="49"/>
      <c r="D227" s="28" t="s">
        <v>460</v>
      </c>
      <c r="E227" s="106"/>
      <c r="F227" s="28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14.25" customHeight="1">
      <c r="A228" s="106"/>
      <c r="B228" s="49"/>
      <c r="C228" s="49"/>
      <c r="D228" s="28" t="s">
        <v>461</v>
      </c>
      <c r="E228" s="106"/>
      <c r="F228" s="28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14.25" customHeight="1">
      <c r="A229" s="106"/>
      <c r="B229" s="49"/>
      <c r="C229" s="49"/>
      <c r="D229" s="28" t="s">
        <v>462</v>
      </c>
      <c r="E229" s="106"/>
      <c r="F229" s="28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14.25" customHeight="1">
      <c r="A230" s="106"/>
      <c r="B230" s="49"/>
      <c r="C230" s="49"/>
      <c r="D230" s="28" t="s">
        <v>463</v>
      </c>
      <c r="E230" s="106"/>
      <c r="F230" s="28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14.25" customHeight="1">
      <c r="A231" s="106"/>
      <c r="B231" s="49"/>
      <c r="C231" s="49"/>
      <c r="D231" s="28" t="s">
        <v>464</v>
      </c>
      <c r="E231" s="106"/>
      <c r="F231" s="28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14.25" customHeight="1">
      <c r="A232" s="106"/>
      <c r="B232" s="49"/>
      <c r="C232" s="49"/>
      <c r="D232" s="28" t="s">
        <v>465</v>
      </c>
      <c r="E232" s="106"/>
      <c r="F232" s="28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14.25" customHeight="1">
      <c r="A233" s="106"/>
      <c r="B233" s="49"/>
      <c r="C233" s="49"/>
      <c r="D233" s="28" t="s">
        <v>466</v>
      </c>
      <c r="E233" s="106"/>
      <c r="F233" s="28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4.25" customHeight="1">
      <c r="A234" s="106"/>
      <c r="B234" s="49"/>
      <c r="C234" s="49"/>
      <c r="D234" s="28" t="s">
        <v>467</v>
      </c>
      <c r="E234" s="106"/>
      <c r="F234" s="28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4.25" customHeight="1">
      <c r="A235" s="106"/>
      <c r="B235" s="49"/>
      <c r="C235" s="49"/>
      <c r="D235" s="28" t="s">
        <v>468</v>
      </c>
      <c r="E235" s="106"/>
      <c r="F235" s="28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4.25" customHeight="1">
      <c r="A236" s="106"/>
      <c r="B236" s="49"/>
      <c r="C236" s="49"/>
      <c r="D236" s="28" t="s">
        <v>469</v>
      </c>
      <c r="E236" s="106"/>
      <c r="F236" s="28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4.25" customHeight="1">
      <c r="A237" s="106"/>
      <c r="B237" s="49"/>
      <c r="C237" s="49"/>
      <c r="D237" s="28" t="s">
        <v>470</v>
      </c>
      <c r="E237" s="106"/>
      <c r="F237" s="28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4.25" customHeight="1">
      <c r="A238" s="106"/>
      <c r="B238" s="49"/>
      <c r="C238" s="49"/>
      <c r="D238" s="28" t="s">
        <v>471</v>
      </c>
      <c r="E238" s="106"/>
      <c r="F238" s="28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4.25" customHeight="1">
      <c r="A239" s="106"/>
      <c r="B239" s="49"/>
      <c r="C239" s="49"/>
      <c r="D239" s="28" t="s">
        <v>24</v>
      </c>
      <c r="E239" s="106"/>
      <c r="F239" s="28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4.25" customHeight="1">
      <c r="A240" s="106"/>
      <c r="B240" s="49"/>
      <c r="C240" s="49"/>
      <c r="D240" s="28" t="s">
        <v>472</v>
      </c>
      <c r="E240" s="106"/>
      <c r="F240" s="28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4.25" customHeight="1">
      <c r="A241" s="106"/>
      <c r="B241" s="49"/>
      <c r="C241" s="49"/>
      <c r="D241" s="28" t="s">
        <v>473</v>
      </c>
      <c r="E241" s="106"/>
      <c r="F241" s="28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4.25" customHeight="1">
      <c r="A242" s="106"/>
      <c r="B242" s="49"/>
      <c r="C242" s="49"/>
      <c r="D242" s="28" t="s">
        <v>474</v>
      </c>
      <c r="E242" s="106"/>
      <c r="F242" s="28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4.25" customHeight="1">
      <c r="A243" s="106"/>
      <c r="B243" s="49"/>
      <c r="C243" s="49"/>
      <c r="D243" s="28" t="s">
        <v>475</v>
      </c>
      <c r="E243" s="106"/>
      <c r="F243" s="28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4.25" customHeight="1">
      <c r="A244" s="106"/>
      <c r="B244" s="49"/>
      <c r="C244" s="49"/>
      <c r="D244" s="28" t="s">
        <v>476</v>
      </c>
      <c r="E244" s="106"/>
      <c r="F244" s="28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4.25" customHeight="1">
      <c r="A245" s="106"/>
      <c r="B245" s="49"/>
      <c r="C245" s="49"/>
      <c r="D245" s="28" t="s">
        <v>477</v>
      </c>
      <c r="E245" s="106"/>
      <c r="F245" s="28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4.25" customHeight="1">
      <c r="A246" s="106"/>
      <c r="B246" s="49"/>
      <c r="C246" s="49"/>
      <c r="D246" s="28" t="s">
        <v>478</v>
      </c>
      <c r="E246" s="106"/>
      <c r="F246" s="28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4.25" customHeight="1">
      <c r="A247" s="106"/>
      <c r="B247" s="49"/>
      <c r="C247" s="49"/>
      <c r="D247" s="28" t="s">
        <v>479</v>
      </c>
      <c r="E247" s="106"/>
      <c r="F247" s="28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4.25" customHeight="1">
      <c r="A248" s="106"/>
      <c r="B248" s="49"/>
      <c r="C248" s="49"/>
      <c r="D248" s="28" t="s">
        <v>480</v>
      </c>
      <c r="E248" s="106"/>
      <c r="F248" s="28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4.25" customHeight="1">
      <c r="A249" s="106"/>
      <c r="B249" s="49"/>
      <c r="C249" s="49"/>
      <c r="D249" s="28" t="s">
        <v>481</v>
      </c>
      <c r="E249" s="106"/>
      <c r="F249" s="28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4.25" customHeight="1">
      <c r="A250" s="106"/>
      <c r="B250" s="49"/>
      <c r="C250" s="49"/>
      <c r="D250" s="28" t="s">
        <v>482</v>
      </c>
      <c r="E250" s="106"/>
      <c r="F250" s="28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4.25" customHeight="1">
      <c r="A251" s="106"/>
      <c r="B251" s="49"/>
      <c r="C251" s="49"/>
      <c r="D251" s="28" t="s">
        <v>483</v>
      </c>
      <c r="E251" s="106"/>
      <c r="F251" s="28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4.25" customHeight="1">
      <c r="A252" s="106"/>
      <c r="B252" s="49"/>
      <c r="C252" s="49"/>
      <c r="D252" s="28" t="s">
        <v>484</v>
      </c>
      <c r="E252" s="106"/>
      <c r="F252" s="28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4.25" customHeight="1">
      <c r="A253" s="106"/>
      <c r="B253" s="49"/>
      <c r="C253" s="49"/>
      <c r="D253" s="28" t="s">
        <v>313</v>
      </c>
      <c r="E253" s="106"/>
      <c r="F253" s="28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4.25" customHeight="1">
      <c r="A254" s="106"/>
      <c r="B254" s="49"/>
      <c r="C254" s="49"/>
      <c r="D254" s="28" t="s">
        <v>485</v>
      </c>
      <c r="E254" s="106"/>
      <c r="F254" s="28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4.25" customHeight="1">
      <c r="A255" s="106"/>
      <c r="B255" s="49"/>
      <c r="C255" s="49"/>
      <c r="D255" s="28" t="s">
        <v>486</v>
      </c>
      <c r="E255" s="106"/>
      <c r="F255" s="28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4.25" customHeight="1">
      <c r="A256" s="106"/>
      <c r="B256" s="49"/>
      <c r="C256" s="49"/>
      <c r="D256" s="28" t="s">
        <v>487</v>
      </c>
      <c r="E256" s="106"/>
      <c r="F256" s="28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4.25" customHeight="1">
      <c r="A257" s="106"/>
      <c r="B257" s="49"/>
      <c r="C257" s="49"/>
      <c r="D257" s="28" t="s">
        <v>488</v>
      </c>
      <c r="E257" s="106"/>
      <c r="F257" s="28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4.25" customHeight="1">
      <c r="A258" s="106"/>
      <c r="B258" s="49"/>
      <c r="C258" s="49"/>
      <c r="D258" s="28" t="s">
        <v>489</v>
      </c>
      <c r="E258" s="106"/>
      <c r="F258" s="28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4.25" customHeight="1">
      <c r="A259" s="106"/>
      <c r="B259" s="49"/>
      <c r="C259" s="49"/>
      <c r="D259" s="28" t="s">
        <v>490</v>
      </c>
      <c r="E259" s="106"/>
      <c r="F259" s="28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4.25" customHeight="1">
      <c r="A260" s="106"/>
      <c r="B260" s="49"/>
      <c r="C260" s="49"/>
      <c r="D260" s="28" t="s">
        <v>491</v>
      </c>
      <c r="E260" s="106"/>
      <c r="F260" s="28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4.25" customHeight="1">
      <c r="A261" s="106"/>
      <c r="B261" s="49"/>
      <c r="C261" s="49"/>
      <c r="D261" s="28" t="s">
        <v>492</v>
      </c>
      <c r="E261" s="106"/>
      <c r="F261" s="28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4.25" customHeight="1">
      <c r="A262" s="106"/>
      <c r="B262" s="49"/>
      <c r="C262" s="49"/>
      <c r="D262" s="28" t="s">
        <v>493</v>
      </c>
      <c r="E262" s="106"/>
      <c r="F262" s="28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4.25" customHeight="1">
      <c r="A263" s="106"/>
      <c r="B263" s="49"/>
      <c r="C263" s="49"/>
      <c r="D263" s="28" t="s">
        <v>494</v>
      </c>
      <c r="E263" s="106"/>
      <c r="F263" s="28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4.25" customHeight="1">
      <c r="A264" s="106"/>
      <c r="B264" s="49"/>
      <c r="C264" s="49"/>
      <c r="D264" s="28" t="s">
        <v>495</v>
      </c>
      <c r="E264" s="106"/>
      <c r="F264" s="28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4.25" customHeight="1">
      <c r="A265" s="106"/>
      <c r="B265" s="49"/>
      <c r="C265" s="49"/>
      <c r="D265" s="28" t="s">
        <v>496</v>
      </c>
      <c r="E265" s="106"/>
      <c r="F265" s="28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4.25" customHeight="1">
      <c r="A266" s="106"/>
      <c r="B266" s="49"/>
      <c r="C266" s="49"/>
      <c r="D266" s="28" t="s">
        <v>497</v>
      </c>
      <c r="E266" s="106"/>
      <c r="F266" s="28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4.25" customHeight="1">
      <c r="A267" s="106"/>
      <c r="B267" s="49"/>
      <c r="C267" s="49"/>
      <c r="D267" s="28" t="s">
        <v>498</v>
      </c>
      <c r="E267" s="106"/>
      <c r="F267" s="28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4.25" customHeight="1">
      <c r="A268" s="106"/>
      <c r="B268" s="49"/>
      <c r="C268" s="49"/>
      <c r="D268" s="28" t="s">
        <v>499</v>
      </c>
      <c r="E268" s="106"/>
      <c r="F268" s="28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4.25" customHeight="1">
      <c r="A269" s="106"/>
      <c r="B269" s="49"/>
      <c r="C269" s="49"/>
      <c r="D269" s="28" t="s">
        <v>500</v>
      </c>
      <c r="E269" s="106"/>
      <c r="F269" s="28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4.25" customHeight="1">
      <c r="A270" s="106"/>
      <c r="B270" s="49"/>
      <c r="C270" s="49"/>
      <c r="D270" s="28" t="s">
        <v>501</v>
      </c>
      <c r="E270" s="106"/>
      <c r="F270" s="28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4.25" customHeight="1">
      <c r="A271" s="106"/>
      <c r="B271" s="49"/>
      <c r="C271" s="49"/>
      <c r="D271" s="28" t="s">
        <v>502</v>
      </c>
      <c r="E271" s="106"/>
      <c r="F271" s="28" t="s">
        <v>503</v>
      </c>
      <c r="G271" s="10" t="s">
        <v>213</v>
      </c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4.25" customHeight="1">
      <c r="A272" s="106"/>
      <c r="B272" s="49"/>
      <c r="C272" s="49"/>
      <c r="D272" s="28" t="s">
        <v>504</v>
      </c>
      <c r="E272" s="106"/>
      <c r="F272" s="28" t="s">
        <v>505</v>
      </c>
      <c r="G272" s="10" t="s">
        <v>213</v>
      </c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4.25" customHeight="1">
      <c r="A273" s="106"/>
      <c r="B273" s="49"/>
      <c r="C273" s="49"/>
      <c r="D273" s="28" t="s">
        <v>506</v>
      </c>
      <c r="E273" s="106"/>
      <c r="F273" s="28" t="s">
        <v>507</v>
      </c>
      <c r="G273" s="10" t="s">
        <v>213</v>
      </c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4.25" customHeight="1">
      <c r="A274" s="106"/>
      <c r="B274" s="49"/>
      <c r="C274" s="49"/>
      <c r="D274" s="28" t="s">
        <v>508</v>
      </c>
      <c r="E274" s="106"/>
      <c r="F274" s="28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4.25" customHeight="1">
      <c r="A275" s="106"/>
      <c r="B275" s="49"/>
      <c r="C275" s="49"/>
      <c r="D275" s="28" t="s">
        <v>509</v>
      </c>
      <c r="E275" s="106"/>
      <c r="F275" s="28" t="s">
        <v>510</v>
      </c>
      <c r="G275" s="10" t="s">
        <v>213</v>
      </c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4.25" customHeight="1">
      <c r="A276" s="106"/>
      <c r="B276" s="49"/>
      <c r="C276" s="49"/>
      <c r="D276" s="28" t="s">
        <v>511</v>
      </c>
      <c r="E276" s="106"/>
      <c r="F276" s="28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4.25" customHeight="1">
      <c r="A277" s="106"/>
      <c r="B277" s="49"/>
      <c r="C277" s="49"/>
      <c r="D277" s="28" t="s">
        <v>512</v>
      </c>
      <c r="E277" s="106"/>
      <c r="F277" s="28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4.25" customHeight="1">
      <c r="A278" s="106"/>
      <c r="B278" s="49"/>
      <c r="C278" s="49"/>
      <c r="D278" s="28" t="s">
        <v>513</v>
      </c>
      <c r="E278" s="106"/>
      <c r="F278" s="28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4.25" customHeight="1">
      <c r="A279" s="106"/>
      <c r="B279" s="49"/>
      <c r="C279" s="49"/>
      <c r="D279" s="28" t="s">
        <v>514</v>
      </c>
      <c r="E279" s="106"/>
      <c r="F279" s="28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4.25" customHeight="1">
      <c r="A280" s="106"/>
      <c r="B280" s="49"/>
      <c r="C280" s="49"/>
      <c r="D280" s="28" t="s">
        <v>515</v>
      </c>
      <c r="E280" s="106"/>
      <c r="F280" s="28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4.25" customHeight="1">
      <c r="A281" s="106"/>
      <c r="B281" s="49"/>
      <c r="C281" s="49"/>
      <c r="D281" s="28" t="s">
        <v>516</v>
      </c>
      <c r="E281" s="106"/>
      <c r="F281" s="28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4.25" customHeight="1">
      <c r="A282" s="106"/>
      <c r="B282" s="49"/>
      <c r="C282" s="49"/>
      <c r="D282" s="28" t="s">
        <v>517</v>
      </c>
      <c r="E282" s="106"/>
      <c r="F282" s="28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4.25" customHeight="1">
      <c r="A283" s="106"/>
      <c r="B283" s="49"/>
      <c r="C283" s="49"/>
      <c r="D283" s="28" t="s">
        <v>518</v>
      </c>
      <c r="E283" s="106"/>
      <c r="F283" s="28" t="s">
        <v>519</v>
      </c>
      <c r="G283" s="10" t="s">
        <v>213</v>
      </c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4.25" customHeight="1">
      <c r="A284" s="106"/>
      <c r="B284" s="49"/>
      <c r="C284" s="49"/>
      <c r="D284" s="28" t="s">
        <v>520</v>
      </c>
      <c r="E284" s="106"/>
      <c r="F284" s="28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4.25" customHeight="1">
      <c r="A285" s="106"/>
      <c r="B285" s="49"/>
      <c r="C285" s="49"/>
      <c r="D285" s="28" t="s">
        <v>521</v>
      </c>
      <c r="E285" s="106"/>
      <c r="F285" s="28" t="s">
        <v>522</v>
      </c>
      <c r="G285" s="10" t="s">
        <v>213</v>
      </c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4.25" customHeight="1">
      <c r="A286" s="106"/>
      <c r="B286" s="49"/>
      <c r="C286" s="49"/>
      <c r="D286" s="28" t="s">
        <v>523</v>
      </c>
      <c r="E286" s="106"/>
      <c r="F286" s="28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4.25" customHeight="1">
      <c r="A287" s="106"/>
      <c r="B287" s="49"/>
      <c r="C287" s="49"/>
      <c r="D287" s="28" t="s">
        <v>524</v>
      </c>
      <c r="E287" s="106"/>
      <c r="F287" s="28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4.25" customHeight="1">
      <c r="A288" s="106"/>
      <c r="B288" s="49"/>
      <c r="C288" s="49"/>
      <c r="D288" s="28" t="s">
        <v>525</v>
      </c>
      <c r="E288" s="106"/>
      <c r="F288" s="28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4.25" customHeight="1">
      <c r="A289" s="106"/>
      <c r="B289" s="49"/>
      <c r="C289" s="49"/>
      <c r="D289" s="28" t="s">
        <v>526</v>
      </c>
      <c r="E289" s="106"/>
      <c r="F289" s="28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4.25" customHeight="1">
      <c r="A290" s="106"/>
      <c r="B290" s="49"/>
      <c r="C290" s="49"/>
      <c r="D290" s="28" t="s">
        <v>527</v>
      </c>
      <c r="E290" s="106"/>
      <c r="F290" s="28" t="s">
        <v>528</v>
      </c>
      <c r="G290" s="10" t="s">
        <v>213</v>
      </c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4.25" customHeight="1">
      <c r="A291" s="106"/>
      <c r="B291" s="49"/>
      <c r="C291" s="49"/>
      <c r="D291" s="28" t="s">
        <v>529</v>
      </c>
      <c r="E291" s="106"/>
      <c r="F291" s="28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4.25" customHeight="1">
      <c r="A292" s="106"/>
      <c r="B292" s="49"/>
      <c r="C292" s="49"/>
      <c r="D292" s="28" t="s">
        <v>530</v>
      </c>
      <c r="E292" s="106"/>
      <c r="F292" s="28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4.25" customHeight="1">
      <c r="A293" s="106"/>
      <c r="B293" s="49"/>
      <c r="C293" s="49"/>
      <c r="D293" s="28" t="s">
        <v>531</v>
      </c>
      <c r="E293" s="106"/>
      <c r="F293" s="28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4.25" customHeight="1">
      <c r="A294" s="106"/>
      <c r="B294" s="49"/>
      <c r="C294" s="49"/>
      <c r="D294" s="28" t="s">
        <v>532</v>
      </c>
      <c r="E294" s="106"/>
      <c r="F294" s="28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4.25" customHeight="1">
      <c r="A295" s="106"/>
      <c r="B295" s="49"/>
      <c r="C295" s="49"/>
      <c r="D295" s="28" t="s">
        <v>533</v>
      </c>
      <c r="E295" s="106"/>
      <c r="F295" s="28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4.25" customHeight="1">
      <c r="A296" s="106"/>
      <c r="B296" s="49"/>
      <c r="C296" s="49"/>
      <c r="D296" s="28" t="s">
        <v>534</v>
      </c>
      <c r="E296" s="106"/>
      <c r="F296" s="28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4.25" customHeight="1">
      <c r="A297" s="106"/>
      <c r="B297" s="49"/>
      <c r="C297" s="49"/>
      <c r="D297" s="28" t="s">
        <v>535</v>
      </c>
      <c r="E297" s="106"/>
      <c r="F297" s="28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4.25" customHeight="1">
      <c r="A298" s="106"/>
      <c r="B298" s="49"/>
      <c r="C298" s="49"/>
      <c r="D298" s="28" t="s">
        <v>536</v>
      </c>
      <c r="E298" s="106"/>
      <c r="F298" s="28" t="s">
        <v>537</v>
      </c>
      <c r="G298" s="10" t="s">
        <v>213</v>
      </c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4.25" customHeight="1">
      <c r="A299" s="106"/>
      <c r="B299" s="49"/>
      <c r="C299" s="49"/>
      <c r="D299" s="28" t="s">
        <v>538</v>
      </c>
      <c r="E299" s="106"/>
      <c r="F299" s="28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4.25" customHeight="1">
      <c r="A300" s="106"/>
      <c r="B300" s="49"/>
      <c r="C300" s="49"/>
      <c r="D300" s="28" t="s">
        <v>539</v>
      </c>
      <c r="E300" s="106"/>
      <c r="F300" s="28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4.25" customHeight="1">
      <c r="A301" s="106"/>
      <c r="B301" s="49"/>
      <c r="C301" s="49"/>
      <c r="D301" s="28" t="s">
        <v>540</v>
      </c>
      <c r="E301" s="106"/>
      <c r="F301" s="28"/>
      <c r="G301" s="10" t="s">
        <v>213</v>
      </c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4.25" customHeight="1">
      <c r="A302" s="106"/>
      <c r="B302" s="49"/>
      <c r="C302" s="49"/>
      <c r="D302" s="28" t="s">
        <v>541</v>
      </c>
      <c r="E302" s="106"/>
      <c r="F302" s="28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4.25" customHeight="1">
      <c r="A303" s="106"/>
      <c r="B303" s="49"/>
      <c r="C303" s="49"/>
      <c r="D303" s="28" t="s">
        <v>542</v>
      </c>
      <c r="E303" s="106"/>
      <c r="F303" s="28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4.25" customHeight="1">
      <c r="A304" s="106"/>
      <c r="B304" s="49"/>
      <c r="C304" s="49"/>
      <c r="D304" s="28" t="s">
        <v>543</v>
      </c>
      <c r="E304" s="106"/>
      <c r="F304" s="28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4.25" customHeight="1">
      <c r="A305" s="106"/>
      <c r="B305" s="49"/>
      <c r="C305" s="49"/>
      <c r="D305" s="28" t="s">
        <v>544</v>
      </c>
      <c r="E305" s="106"/>
      <c r="F305" s="28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4.25" customHeight="1">
      <c r="A306" s="106"/>
      <c r="B306" s="49"/>
      <c r="C306" s="49"/>
      <c r="D306" s="28" t="s">
        <v>545</v>
      </c>
      <c r="E306" s="106"/>
      <c r="F306" s="28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4.25" customHeight="1">
      <c r="A307" s="106"/>
      <c r="B307" s="49"/>
      <c r="C307" s="49"/>
      <c r="D307" s="28" t="s">
        <v>546</v>
      </c>
      <c r="E307" s="106"/>
      <c r="F307" s="28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4.25" customHeight="1">
      <c r="A308" s="106"/>
      <c r="B308" s="49"/>
      <c r="C308" s="49"/>
      <c r="D308" s="28" t="s">
        <v>547</v>
      </c>
      <c r="E308" s="106"/>
      <c r="F308" s="28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4.25" customHeight="1">
      <c r="A309" s="106"/>
      <c r="B309" s="49"/>
      <c r="C309" s="49"/>
      <c r="D309" s="28" t="s">
        <v>548</v>
      </c>
      <c r="E309" s="106"/>
      <c r="F309" s="28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4.25" customHeight="1">
      <c r="A310" s="106"/>
      <c r="B310" s="49"/>
      <c r="C310" s="49"/>
      <c r="D310" s="28" t="s">
        <v>549</v>
      </c>
      <c r="E310" s="106"/>
      <c r="F310" s="28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4.25" customHeight="1">
      <c r="A311" s="106"/>
      <c r="B311" s="49"/>
      <c r="C311" s="49"/>
      <c r="D311" s="28" t="s">
        <v>550</v>
      </c>
      <c r="E311" s="106"/>
      <c r="F311" s="28"/>
      <c r="G311" s="10" t="s">
        <v>213</v>
      </c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4.25" customHeight="1">
      <c r="A312" s="106"/>
      <c r="B312" s="49"/>
      <c r="C312" s="49"/>
      <c r="D312" s="28" t="s">
        <v>551</v>
      </c>
      <c r="E312" s="106"/>
      <c r="F312" s="28"/>
      <c r="G312" s="10" t="s">
        <v>213</v>
      </c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4.25" customHeight="1">
      <c r="A313" s="106"/>
      <c r="B313" s="49"/>
      <c r="C313" s="49"/>
      <c r="D313" s="28" t="s">
        <v>552</v>
      </c>
      <c r="E313" s="106"/>
      <c r="F313" s="28"/>
      <c r="G313" s="10" t="s">
        <v>213</v>
      </c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4.25" customHeight="1">
      <c r="A314" s="106"/>
      <c r="B314" s="49"/>
      <c r="C314" s="49"/>
      <c r="D314" s="28" t="s">
        <v>553</v>
      </c>
      <c r="E314" s="106"/>
      <c r="F314" s="28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4.25" customHeight="1">
      <c r="A315" s="106"/>
      <c r="B315" s="49"/>
      <c r="C315" s="49"/>
      <c r="D315" s="28" t="s">
        <v>554</v>
      </c>
      <c r="E315" s="106"/>
      <c r="F315" s="28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4.25" customHeight="1">
      <c r="A316" s="106"/>
      <c r="B316" s="49"/>
      <c r="C316" s="49"/>
      <c r="D316" s="28" t="s">
        <v>555</v>
      </c>
      <c r="E316" s="106"/>
      <c r="F316" s="28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4.25" customHeight="1">
      <c r="A317" s="106"/>
      <c r="B317" s="49"/>
      <c r="C317" s="49"/>
      <c r="D317" s="28" t="s">
        <v>556</v>
      </c>
      <c r="E317" s="106"/>
      <c r="F317" s="28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4.25" customHeight="1">
      <c r="A318" s="106"/>
      <c r="B318" s="49"/>
      <c r="C318" s="49"/>
      <c r="D318" s="28" t="s">
        <v>557</v>
      </c>
      <c r="E318" s="106"/>
      <c r="F318" s="28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4.25" customHeight="1">
      <c r="A319" s="106"/>
      <c r="B319" s="49"/>
      <c r="C319" s="49"/>
      <c r="D319" s="28" t="s">
        <v>558</v>
      </c>
      <c r="E319" s="106"/>
      <c r="F319" s="52" t="s">
        <v>559</v>
      </c>
      <c r="G319" s="10" t="s">
        <v>213</v>
      </c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4.25" customHeight="1">
      <c r="A320" s="106"/>
      <c r="B320" s="49"/>
      <c r="C320" s="49"/>
      <c r="D320" s="28" t="s">
        <v>560</v>
      </c>
      <c r="E320" s="106"/>
      <c r="F320" s="28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4.25" customHeight="1">
      <c r="A321" s="106"/>
      <c r="B321" s="49"/>
      <c r="C321" s="49"/>
      <c r="D321" s="28" t="s">
        <v>561</v>
      </c>
      <c r="E321" s="106"/>
      <c r="F321" s="28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4.25" customHeight="1">
      <c r="A322" s="106"/>
      <c r="B322" s="49"/>
      <c r="C322" s="49"/>
      <c r="D322" s="28" t="s">
        <v>562</v>
      </c>
      <c r="E322" s="106"/>
      <c r="F322" s="28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4.25" customHeight="1">
      <c r="A323" s="106"/>
      <c r="B323" s="49"/>
      <c r="C323" s="49"/>
      <c r="D323" s="28" t="s">
        <v>563</v>
      </c>
      <c r="E323" s="106"/>
      <c r="F323" s="28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4.25" customHeight="1">
      <c r="A324" s="106"/>
      <c r="B324" s="49"/>
      <c r="C324" s="49"/>
      <c r="D324" s="28" t="s">
        <v>564</v>
      </c>
      <c r="E324" s="106"/>
      <c r="F324" s="28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4.25" customHeight="1">
      <c r="A325" s="106"/>
      <c r="B325" s="49"/>
      <c r="C325" s="49"/>
      <c r="D325" s="28" t="s">
        <v>565</v>
      </c>
      <c r="E325" s="106"/>
      <c r="F325" s="28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4.25" customHeight="1">
      <c r="A326" s="106"/>
      <c r="B326" s="49"/>
      <c r="C326" s="49"/>
      <c r="D326" s="28" t="s">
        <v>566</v>
      </c>
      <c r="E326" s="106"/>
      <c r="F326" s="28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4.25" customHeight="1">
      <c r="A327" s="106"/>
      <c r="B327" s="49"/>
      <c r="C327" s="49"/>
      <c r="D327" s="28" t="s">
        <v>567</v>
      </c>
      <c r="E327" s="106"/>
      <c r="F327" s="28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4.25" customHeight="1">
      <c r="A328" s="106"/>
      <c r="B328" s="49"/>
      <c r="C328" s="49"/>
      <c r="D328" s="28" t="s">
        <v>568</v>
      </c>
      <c r="E328" s="106"/>
      <c r="F328" s="28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4.25" customHeight="1">
      <c r="A329" s="106"/>
      <c r="B329" s="30"/>
      <c r="C329" s="38" t="s">
        <v>90</v>
      </c>
      <c r="D329" s="32" t="s">
        <v>569</v>
      </c>
      <c r="E329" s="106"/>
      <c r="F329" s="32"/>
      <c r="G329" s="10" t="s">
        <v>213</v>
      </c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4.25" customHeight="1">
      <c r="A330" s="106"/>
      <c r="B330" s="33"/>
      <c r="C330" s="39"/>
      <c r="D330" s="32" t="s">
        <v>570</v>
      </c>
      <c r="E330" s="106"/>
      <c r="F330" s="32"/>
      <c r="G330" s="10" t="s">
        <v>213</v>
      </c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4.25" customHeight="1">
      <c r="A331" s="106"/>
      <c r="B331" s="33"/>
      <c r="C331" s="39"/>
      <c r="D331" s="53" t="s">
        <v>571</v>
      </c>
      <c r="E331" s="106"/>
      <c r="F331" s="32"/>
      <c r="G331" s="10" t="s">
        <v>213</v>
      </c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4.25" customHeight="1">
      <c r="A332" s="106"/>
      <c r="B332" s="33"/>
      <c r="C332" s="39"/>
      <c r="D332" s="54" t="s">
        <v>572</v>
      </c>
      <c r="E332" s="106"/>
      <c r="F332" s="32"/>
      <c r="G332" s="10" t="s">
        <v>213</v>
      </c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4.25" customHeight="1">
      <c r="A333" s="106"/>
      <c r="B333" s="33"/>
      <c r="C333" s="39"/>
      <c r="D333" s="54" t="s">
        <v>573</v>
      </c>
      <c r="E333" s="106"/>
      <c r="F333" s="32"/>
      <c r="G333" s="10" t="s">
        <v>213</v>
      </c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4.25" customHeight="1">
      <c r="A334" s="106"/>
      <c r="B334" s="33"/>
      <c r="C334" s="39"/>
      <c r="D334" s="54" t="s">
        <v>574</v>
      </c>
      <c r="E334" s="106"/>
      <c r="F334" s="32"/>
      <c r="G334" s="10" t="s">
        <v>213</v>
      </c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4.25" customHeight="1">
      <c r="A335" s="106"/>
      <c r="B335" s="33"/>
      <c r="C335" s="39"/>
      <c r="D335" s="54" t="s">
        <v>575</v>
      </c>
      <c r="E335" s="106"/>
      <c r="F335" s="32"/>
      <c r="G335" s="10" t="s">
        <v>213</v>
      </c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4.25" customHeight="1">
      <c r="A336" s="106"/>
      <c r="B336" s="33"/>
      <c r="C336" s="39"/>
      <c r="D336" s="32" t="s">
        <v>576</v>
      </c>
      <c r="E336" s="106"/>
      <c r="F336" s="32"/>
      <c r="G336" s="10" t="s">
        <v>213</v>
      </c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4.25" customHeight="1">
      <c r="A337" s="106"/>
      <c r="B337" s="33"/>
      <c r="C337" s="39"/>
      <c r="D337" s="32" t="s">
        <v>577</v>
      </c>
      <c r="E337" s="106"/>
      <c r="F337" s="32"/>
      <c r="G337" s="10" t="s">
        <v>213</v>
      </c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4.25" customHeight="1">
      <c r="A338" s="106"/>
      <c r="B338" s="33"/>
      <c r="C338" s="39"/>
      <c r="D338" s="32" t="s">
        <v>578</v>
      </c>
      <c r="E338" s="106"/>
      <c r="F338" s="32"/>
      <c r="G338" s="10" t="s">
        <v>213</v>
      </c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4.25" customHeight="1">
      <c r="A339" s="106"/>
      <c r="B339" s="33"/>
      <c r="C339" s="39"/>
      <c r="D339" s="32" t="s">
        <v>579</v>
      </c>
      <c r="E339" s="106"/>
      <c r="F339" s="32"/>
      <c r="G339" s="10" t="s">
        <v>213</v>
      </c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4.25" customHeight="1">
      <c r="A340" s="106"/>
      <c r="B340" s="33"/>
      <c r="C340" s="39"/>
      <c r="D340" s="32" t="s">
        <v>580</v>
      </c>
      <c r="E340" s="106"/>
      <c r="F340" s="32"/>
      <c r="G340" s="10" t="s">
        <v>213</v>
      </c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4.25" customHeight="1">
      <c r="A341" s="106"/>
      <c r="B341" s="33"/>
      <c r="C341" s="39"/>
      <c r="D341" s="32" t="s">
        <v>581</v>
      </c>
      <c r="E341" s="106"/>
      <c r="F341" s="32"/>
      <c r="G341" s="10" t="s">
        <v>213</v>
      </c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4.25" customHeight="1">
      <c r="A342" s="106"/>
      <c r="B342" s="33"/>
      <c r="C342" s="39"/>
      <c r="D342" s="32" t="s">
        <v>582</v>
      </c>
      <c r="E342" s="106"/>
      <c r="F342" s="32"/>
      <c r="G342" s="10" t="s">
        <v>213</v>
      </c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4.25" customHeight="1">
      <c r="A343" s="106"/>
      <c r="B343" s="33"/>
      <c r="C343" s="39"/>
      <c r="D343" s="32" t="s">
        <v>583</v>
      </c>
      <c r="E343" s="106"/>
      <c r="F343" s="32"/>
      <c r="G343" s="10" t="s">
        <v>213</v>
      </c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4.25" customHeight="1">
      <c r="A344" s="106"/>
      <c r="B344" s="33"/>
      <c r="C344" s="39"/>
      <c r="D344" s="32" t="s">
        <v>584</v>
      </c>
      <c r="E344" s="106"/>
      <c r="F344" s="32"/>
      <c r="G344" s="10" t="s">
        <v>213</v>
      </c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4.25" customHeight="1">
      <c r="A345" s="106"/>
      <c r="B345" s="33"/>
      <c r="C345" s="39"/>
      <c r="D345" s="32" t="s">
        <v>585</v>
      </c>
      <c r="E345" s="106"/>
      <c r="F345" s="32"/>
      <c r="G345" s="10" t="s">
        <v>213</v>
      </c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4.25" customHeight="1">
      <c r="A346" s="106"/>
      <c r="B346" s="33"/>
      <c r="C346" s="39"/>
      <c r="D346" s="32" t="s">
        <v>586</v>
      </c>
      <c r="E346" s="106"/>
      <c r="F346" s="32"/>
      <c r="G346" s="10" t="s">
        <v>213</v>
      </c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4.25" customHeight="1">
      <c r="A347" s="106"/>
      <c r="B347" s="33"/>
      <c r="C347" s="39"/>
      <c r="D347" s="32" t="s">
        <v>587</v>
      </c>
      <c r="E347" s="106"/>
      <c r="F347" s="32"/>
      <c r="G347" s="10" t="s">
        <v>213</v>
      </c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4.25" customHeight="1">
      <c r="A348" s="106"/>
      <c r="B348" s="33"/>
      <c r="C348" s="39"/>
      <c r="D348" s="32" t="s">
        <v>588</v>
      </c>
      <c r="E348" s="106"/>
      <c r="F348" s="32"/>
      <c r="G348" s="10" t="s">
        <v>213</v>
      </c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4.25" customHeight="1">
      <c r="A349" s="106"/>
      <c r="B349" s="33"/>
      <c r="C349" s="39"/>
      <c r="D349" s="32" t="s">
        <v>589</v>
      </c>
      <c r="E349" s="106"/>
      <c r="F349" s="32"/>
      <c r="G349" s="10" t="s">
        <v>213</v>
      </c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4.25" customHeight="1">
      <c r="A350" s="106"/>
      <c r="B350" s="33"/>
      <c r="C350" s="39"/>
      <c r="D350" s="32" t="s">
        <v>590</v>
      </c>
      <c r="E350" s="106"/>
      <c r="F350" s="32"/>
      <c r="G350" s="10" t="s">
        <v>213</v>
      </c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4.25" customHeight="1">
      <c r="A351" s="106"/>
      <c r="B351" s="33"/>
      <c r="C351" s="39"/>
      <c r="D351" s="32" t="s">
        <v>591</v>
      </c>
      <c r="E351" s="106"/>
      <c r="F351" s="32"/>
      <c r="G351" s="10" t="s">
        <v>213</v>
      </c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4.25" customHeight="1">
      <c r="A352" s="106"/>
      <c r="B352" s="33"/>
      <c r="C352" s="39"/>
      <c r="D352" s="32" t="s">
        <v>592</v>
      </c>
      <c r="E352" s="106"/>
      <c r="F352" s="32"/>
      <c r="G352" s="10" t="s">
        <v>213</v>
      </c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4.25" customHeight="1">
      <c r="A353" s="106"/>
      <c r="B353" s="33"/>
      <c r="C353" s="39"/>
      <c r="D353" s="32" t="s">
        <v>593</v>
      </c>
      <c r="E353" s="106"/>
      <c r="F353" s="32"/>
      <c r="G353" s="10" t="s">
        <v>213</v>
      </c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4.25" customHeight="1">
      <c r="A354" s="106"/>
      <c r="B354" s="33"/>
      <c r="C354" s="39"/>
      <c r="D354" s="32" t="s">
        <v>594</v>
      </c>
      <c r="E354" s="106"/>
      <c r="F354" s="32"/>
      <c r="G354" s="10" t="s">
        <v>213</v>
      </c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4.25" customHeight="1">
      <c r="A355" s="106"/>
      <c r="B355" s="33"/>
      <c r="C355" s="39"/>
      <c r="D355" s="32" t="s">
        <v>595</v>
      </c>
      <c r="E355" s="106"/>
      <c r="F355" s="32"/>
      <c r="G355" s="10" t="s">
        <v>213</v>
      </c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4.25" customHeight="1">
      <c r="A356" s="106"/>
      <c r="B356" s="33"/>
      <c r="C356" s="39"/>
      <c r="D356" s="32" t="s">
        <v>596</v>
      </c>
      <c r="E356" s="106"/>
      <c r="F356" s="32"/>
      <c r="G356" s="10" t="s">
        <v>213</v>
      </c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4.25" customHeight="1">
      <c r="A357" s="106"/>
      <c r="B357" s="33"/>
      <c r="C357" s="39"/>
      <c r="D357" s="32" t="s">
        <v>597</v>
      </c>
      <c r="E357" s="106"/>
      <c r="F357" s="32"/>
      <c r="G357" s="10" t="s">
        <v>213</v>
      </c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4.25" customHeight="1">
      <c r="A358" s="106"/>
      <c r="B358" s="33"/>
      <c r="C358" s="39"/>
      <c r="D358" s="32" t="s">
        <v>598</v>
      </c>
      <c r="E358" s="106"/>
      <c r="F358" s="32"/>
      <c r="G358" s="10" t="s">
        <v>213</v>
      </c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4.25" customHeight="1">
      <c r="A359" s="106"/>
      <c r="B359" s="33"/>
      <c r="C359" s="39"/>
      <c r="D359" s="32" t="s">
        <v>599</v>
      </c>
      <c r="E359" s="106"/>
      <c r="F359" s="32"/>
      <c r="G359" s="10" t="s">
        <v>213</v>
      </c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4.25" customHeight="1">
      <c r="A360" s="106"/>
      <c r="B360" s="33"/>
      <c r="C360" s="39"/>
      <c r="D360" s="32" t="s">
        <v>600</v>
      </c>
      <c r="E360" s="106"/>
      <c r="F360" s="32"/>
      <c r="G360" s="10" t="s">
        <v>213</v>
      </c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4.25" customHeight="1">
      <c r="A361" s="106"/>
      <c r="B361" s="33"/>
      <c r="C361" s="39"/>
      <c r="D361" s="32" t="s">
        <v>601</v>
      </c>
      <c r="E361" s="106"/>
      <c r="F361" s="32"/>
      <c r="G361" s="10" t="s">
        <v>213</v>
      </c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4.25" customHeight="1">
      <c r="A362" s="106"/>
      <c r="B362" s="33"/>
      <c r="C362" s="39"/>
      <c r="D362" s="32" t="s">
        <v>602</v>
      </c>
      <c r="E362" s="106"/>
      <c r="F362" s="32"/>
      <c r="G362" s="10" t="s">
        <v>213</v>
      </c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4.25" customHeight="1">
      <c r="A363" s="106"/>
      <c r="B363" s="33"/>
      <c r="C363" s="39"/>
      <c r="D363" s="32" t="s">
        <v>603</v>
      </c>
      <c r="E363" s="106"/>
      <c r="F363" s="32"/>
      <c r="G363" s="10" t="s">
        <v>213</v>
      </c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4.25" customHeight="1">
      <c r="A364" s="106"/>
      <c r="B364" s="33"/>
      <c r="C364" s="39"/>
      <c r="D364" s="32" t="s">
        <v>604</v>
      </c>
      <c r="E364" s="106"/>
      <c r="F364" s="32"/>
      <c r="G364" s="10" t="s">
        <v>213</v>
      </c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4.25" customHeight="1">
      <c r="A365" s="106"/>
      <c r="B365" s="33"/>
      <c r="C365" s="39"/>
      <c r="D365" s="32" t="s">
        <v>605</v>
      </c>
      <c r="E365" s="106"/>
      <c r="F365" s="32"/>
      <c r="G365" s="10" t="s">
        <v>213</v>
      </c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4.25" customHeight="1">
      <c r="A366" s="106"/>
      <c r="B366" s="33"/>
      <c r="C366" s="39"/>
      <c r="D366" s="32" t="s">
        <v>606</v>
      </c>
      <c r="E366" s="106"/>
      <c r="F366" s="32"/>
      <c r="G366" s="10" t="s">
        <v>213</v>
      </c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4.25" customHeight="1">
      <c r="A367" s="106"/>
      <c r="B367" s="33"/>
      <c r="C367" s="39"/>
      <c r="D367" s="32" t="s">
        <v>607</v>
      </c>
      <c r="E367" s="106"/>
      <c r="F367" s="32"/>
      <c r="G367" s="10" t="s">
        <v>213</v>
      </c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4.25" customHeight="1">
      <c r="A368" s="106"/>
      <c r="B368" s="33"/>
      <c r="C368" s="39"/>
      <c r="D368" s="32" t="s">
        <v>608</v>
      </c>
      <c r="E368" s="106"/>
      <c r="F368" s="32"/>
      <c r="G368" s="10" t="s">
        <v>213</v>
      </c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4.25" customHeight="1">
      <c r="A369" s="106"/>
      <c r="B369" s="33"/>
      <c r="C369" s="39"/>
      <c r="D369" s="32" t="s">
        <v>609</v>
      </c>
      <c r="E369" s="106"/>
      <c r="F369" s="32"/>
      <c r="G369" s="10" t="s">
        <v>213</v>
      </c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4.25" customHeight="1">
      <c r="A370" s="106"/>
      <c r="B370" s="33"/>
      <c r="C370" s="39"/>
      <c r="D370" s="32" t="s">
        <v>610</v>
      </c>
      <c r="E370" s="106"/>
      <c r="F370" s="32"/>
      <c r="G370" s="10" t="s">
        <v>213</v>
      </c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4.25" customHeight="1">
      <c r="A371" s="106"/>
      <c r="B371" s="33"/>
      <c r="C371" s="39"/>
      <c r="D371" s="32" t="s">
        <v>611</v>
      </c>
      <c r="E371" s="106"/>
      <c r="F371" s="32"/>
      <c r="G371" s="10" t="s">
        <v>213</v>
      </c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4.25" customHeight="1">
      <c r="A372" s="106"/>
      <c r="B372" s="33"/>
      <c r="C372" s="39"/>
      <c r="D372" s="32" t="s">
        <v>612</v>
      </c>
      <c r="E372" s="106"/>
      <c r="F372" s="32"/>
      <c r="G372" s="10" t="s">
        <v>213</v>
      </c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4.25" customHeight="1">
      <c r="A373" s="106"/>
      <c r="B373" s="33"/>
      <c r="C373" s="39"/>
      <c r="D373" s="32" t="s">
        <v>613</v>
      </c>
      <c r="E373" s="106"/>
      <c r="F373" s="32"/>
      <c r="G373" s="10" t="s">
        <v>213</v>
      </c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4.25" customHeight="1">
      <c r="A374" s="106"/>
      <c r="B374" s="33"/>
      <c r="C374" s="39"/>
      <c r="D374" s="32" t="s">
        <v>614</v>
      </c>
      <c r="E374" s="106"/>
      <c r="F374" s="32"/>
      <c r="G374" s="10" t="s">
        <v>213</v>
      </c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4.25" customHeight="1">
      <c r="A375" s="106"/>
      <c r="B375" s="33"/>
      <c r="C375" s="39"/>
      <c r="D375" s="32" t="s">
        <v>615</v>
      </c>
      <c r="E375" s="106"/>
      <c r="F375" s="32"/>
      <c r="G375" s="10" t="s">
        <v>213</v>
      </c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4.25" customHeight="1">
      <c r="A376" s="106"/>
      <c r="B376" s="33"/>
      <c r="C376" s="39"/>
      <c r="D376" s="32" t="s">
        <v>616</v>
      </c>
      <c r="E376" s="106"/>
      <c r="F376" s="32"/>
      <c r="G376" s="10" t="s">
        <v>213</v>
      </c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4.25" customHeight="1">
      <c r="A377" s="106"/>
      <c r="B377" s="33"/>
      <c r="C377" s="39"/>
      <c r="D377" s="32" t="s">
        <v>617</v>
      </c>
      <c r="E377" s="106"/>
      <c r="F377" s="32"/>
      <c r="G377" s="10" t="s">
        <v>213</v>
      </c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4.25" customHeight="1">
      <c r="A378" s="106"/>
      <c r="B378" s="33"/>
      <c r="C378" s="39"/>
      <c r="D378" s="32" t="s">
        <v>618</v>
      </c>
      <c r="E378" s="106"/>
      <c r="F378" s="32"/>
      <c r="G378" s="10" t="s">
        <v>213</v>
      </c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4.25" customHeight="1">
      <c r="A379" s="106"/>
      <c r="B379" s="33"/>
      <c r="C379" s="39"/>
      <c r="D379" s="32" t="s">
        <v>619</v>
      </c>
      <c r="E379" s="106"/>
      <c r="F379" s="32"/>
      <c r="G379" s="10" t="s">
        <v>213</v>
      </c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4.25" customHeight="1">
      <c r="A380" s="106"/>
      <c r="B380" s="33"/>
      <c r="C380" s="39"/>
      <c r="D380" s="32" t="s">
        <v>620</v>
      </c>
      <c r="E380" s="106"/>
      <c r="F380" s="32"/>
      <c r="G380" s="10" t="s">
        <v>213</v>
      </c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4.25" customHeight="1">
      <c r="A381" s="106"/>
      <c r="B381" s="33"/>
      <c r="C381" s="39"/>
      <c r="D381" s="32" t="s">
        <v>621</v>
      </c>
      <c r="E381" s="106"/>
      <c r="F381" s="32"/>
      <c r="G381" s="10" t="s">
        <v>213</v>
      </c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4.25" customHeight="1">
      <c r="A382" s="106"/>
      <c r="B382" s="33"/>
      <c r="C382" s="39"/>
      <c r="D382" s="32" t="s">
        <v>622</v>
      </c>
      <c r="E382" s="106"/>
      <c r="F382" s="32"/>
      <c r="G382" s="10" t="s">
        <v>213</v>
      </c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4.25" customHeight="1">
      <c r="A383" s="106"/>
      <c r="B383" s="33"/>
      <c r="C383" s="39"/>
      <c r="D383" s="32" t="s">
        <v>623</v>
      </c>
      <c r="E383" s="106"/>
      <c r="F383" s="32"/>
      <c r="G383" s="10" t="s">
        <v>213</v>
      </c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4.25" customHeight="1">
      <c r="A384" s="106"/>
      <c r="B384" s="33"/>
      <c r="C384" s="39"/>
      <c r="D384" s="32" t="s">
        <v>624</v>
      </c>
      <c r="E384" s="106"/>
      <c r="F384" s="32"/>
      <c r="G384" s="10" t="s">
        <v>213</v>
      </c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4.25" customHeight="1">
      <c r="A385" s="106"/>
      <c r="B385" s="33"/>
      <c r="C385" s="39"/>
      <c r="D385" s="32" t="s">
        <v>625</v>
      </c>
      <c r="E385" s="106"/>
      <c r="F385" s="32"/>
      <c r="G385" s="10" t="s">
        <v>213</v>
      </c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4.25" customHeight="1">
      <c r="A386" s="106"/>
      <c r="B386" s="33"/>
      <c r="C386" s="39"/>
      <c r="D386" s="32" t="s">
        <v>626</v>
      </c>
      <c r="E386" s="106"/>
      <c r="F386" s="32"/>
      <c r="G386" s="10" t="s">
        <v>213</v>
      </c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4.25" customHeight="1">
      <c r="A387" s="106"/>
      <c r="B387" s="33"/>
      <c r="C387" s="39"/>
      <c r="D387" s="32" t="s">
        <v>627</v>
      </c>
      <c r="E387" s="106"/>
      <c r="F387" s="32"/>
      <c r="G387" s="10" t="s">
        <v>213</v>
      </c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4.25" customHeight="1">
      <c r="A388" s="106"/>
      <c r="B388" s="33"/>
      <c r="C388" s="39"/>
      <c r="D388" s="32" t="s">
        <v>628</v>
      </c>
      <c r="E388" s="106"/>
      <c r="F388" s="32"/>
      <c r="G388" s="10" t="s">
        <v>213</v>
      </c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4.25" customHeight="1">
      <c r="A389" s="106"/>
      <c r="B389" s="33"/>
      <c r="C389" s="39"/>
      <c r="D389" s="32" t="s">
        <v>629</v>
      </c>
      <c r="E389" s="106"/>
      <c r="F389" s="32"/>
      <c r="G389" s="10" t="s">
        <v>213</v>
      </c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4.25" customHeight="1">
      <c r="A390" s="106"/>
      <c r="B390" s="33"/>
      <c r="C390" s="39"/>
      <c r="D390" s="32" t="s">
        <v>630</v>
      </c>
      <c r="E390" s="106"/>
      <c r="F390" s="32"/>
      <c r="G390" s="10" t="s">
        <v>213</v>
      </c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4.25" customHeight="1">
      <c r="A391" s="106"/>
      <c r="B391" s="33"/>
      <c r="C391" s="39"/>
      <c r="D391" s="32" t="s">
        <v>631</v>
      </c>
      <c r="E391" s="106"/>
      <c r="F391" s="32"/>
      <c r="G391" s="10" t="s">
        <v>213</v>
      </c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4.25" customHeight="1">
      <c r="A392" s="106"/>
      <c r="B392" s="33"/>
      <c r="C392" s="39"/>
      <c r="D392" s="32" t="s">
        <v>632</v>
      </c>
      <c r="E392" s="106"/>
      <c r="F392" s="32"/>
      <c r="G392" s="10" t="s">
        <v>213</v>
      </c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4.25" customHeight="1">
      <c r="A393" s="106"/>
      <c r="B393" s="33"/>
      <c r="C393" s="39"/>
      <c r="D393" s="32" t="s">
        <v>633</v>
      </c>
      <c r="E393" s="106"/>
      <c r="F393" s="32"/>
      <c r="G393" s="10" t="s">
        <v>213</v>
      </c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4.25" customHeight="1">
      <c r="A394" s="106"/>
      <c r="B394" s="33"/>
      <c r="C394" s="39"/>
      <c r="D394" s="32" t="s">
        <v>634</v>
      </c>
      <c r="E394" s="106"/>
      <c r="F394" s="32"/>
      <c r="G394" s="10" t="s">
        <v>213</v>
      </c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4.25" customHeight="1">
      <c r="A395" s="106"/>
      <c r="B395" s="33"/>
      <c r="C395" s="39"/>
      <c r="D395" s="32" t="s">
        <v>635</v>
      </c>
      <c r="E395" s="106"/>
      <c r="F395" s="32"/>
      <c r="G395" s="10" t="s">
        <v>213</v>
      </c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4.25" customHeight="1">
      <c r="A396" s="106"/>
      <c r="B396" s="33"/>
      <c r="C396" s="39"/>
      <c r="D396" s="32" t="s">
        <v>636</v>
      </c>
      <c r="E396" s="106"/>
      <c r="F396" s="32"/>
      <c r="G396" s="10" t="s">
        <v>213</v>
      </c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4.25" customHeight="1">
      <c r="A397" s="106"/>
      <c r="B397" s="33"/>
      <c r="C397" s="39"/>
      <c r="D397" s="32" t="s">
        <v>637</v>
      </c>
      <c r="E397" s="106"/>
      <c r="F397" s="32"/>
      <c r="G397" s="10" t="s">
        <v>213</v>
      </c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4.25" customHeight="1">
      <c r="A398" s="106"/>
      <c r="B398" s="33"/>
      <c r="C398" s="39"/>
      <c r="D398" s="32" t="s">
        <v>638</v>
      </c>
      <c r="E398" s="106"/>
      <c r="F398" s="32"/>
      <c r="G398" s="10" t="s">
        <v>213</v>
      </c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4.25" customHeight="1">
      <c r="A399" s="106"/>
      <c r="B399" s="33"/>
      <c r="C399" s="39"/>
      <c r="D399" s="32" t="s">
        <v>639</v>
      </c>
      <c r="E399" s="106"/>
      <c r="F399" s="32"/>
      <c r="G399" s="10" t="s">
        <v>213</v>
      </c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4.25" customHeight="1">
      <c r="A400" s="106"/>
      <c r="B400" s="33"/>
      <c r="C400" s="39"/>
      <c r="D400" s="32" t="s">
        <v>640</v>
      </c>
      <c r="E400" s="106"/>
      <c r="F400" s="32"/>
      <c r="G400" s="10" t="s">
        <v>213</v>
      </c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4.25" customHeight="1">
      <c r="A401" s="106"/>
      <c r="B401" s="33"/>
      <c r="C401" s="39"/>
      <c r="D401" s="32" t="s">
        <v>641</v>
      </c>
      <c r="E401" s="106"/>
      <c r="F401" s="32"/>
      <c r="G401" s="10" t="s">
        <v>213</v>
      </c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4.25" customHeight="1">
      <c r="A402" s="106"/>
      <c r="B402" s="33"/>
      <c r="C402" s="39"/>
      <c r="D402" s="32" t="s">
        <v>642</v>
      </c>
      <c r="E402" s="106"/>
      <c r="F402" s="32"/>
      <c r="G402" s="10" t="s">
        <v>213</v>
      </c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4.25" customHeight="1">
      <c r="A403" s="106"/>
      <c r="B403" s="33"/>
      <c r="C403" s="39"/>
      <c r="D403" s="32" t="s">
        <v>643</v>
      </c>
      <c r="E403" s="106"/>
      <c r="F403" s="32"/>
      <c r="G403" s="10" t="s">
        <v>213</v>
      </c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4.25" customHeight="1">
      <c r="A404" s="106"/>
      <c r="B404" s="33"/>
      <c r="C404" s="39"/>
      <c r="D404" s="32" t="s">
        <v>644</v>
      </c>
      <c r="E404" s="106"/>
      <c r="F404" s="32"/>
      <c r="G404" s="10" t="s">
        <v>213</v>
      </c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4.25" customHeight="1">
      <c r="A405" s="106"/>
      <c r="B405" s="33"/>
      <c r="C405" s="39"/>
      <c r="D405" s="32" t="s">
        <v>645</v>
      </c>
      <c r="E405" s="106"/>
      <c r="F405" s="32"/>
      <c r="G405" s="10" t="s">
        <v>213</v>
      </c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4.25" customHeight="1">
      <c r="A406" s="106"/>
      <c r="B406" s="33"/>
      <c r="C406" s="39"/>
      <c r="D406" s="32" t="s">
        <v>646</v>
      </c>
      <c r="E406" s="106"/>
      <c r="F406" s="32"/>
      <c r="G406" s="10" t="s">
        <v>213</v>
      </c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4.25" customHeight="1">
      <c r="A407" s="106"/>
      <c r="B407" s="33"/>
      <c r="C407" s="39"/>
      <c r="D407" s="32" t="s">
        <v>647</v>
      </c>
      <c r="E407" s="106"/>
      <c r="F407" s="32"/>
      <c r="G407" s="10" t="s">
        <v>213</v>
      </c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4.25" customHeight="1">
      <c r="A408" s="106"/>
      <c r="B408" s="33"/>
      <c r="C408" s="39"/>
      <c r="D408" s="32" t="s">
        <v>648</v>
      </c>
      <c r="E408" s="106"/>
      <c r="F408" s="32"/>
      <c r="G408" s="10" t="s">
        <v>213</v>
      </c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4.25" customHeight="1">
      <c r="A409" s="106"/>
      <c r="B409" s="33"/>
      <c r="C409" s="39"/>
      <c r="D409" s="32" t="s">
        <v>649</v>
      </c>
      <c r="E409" s="106"/>
      <c r="F409" s="32"/>
      <c r="G409" s="10" t="s">
        <v>213</v>
      </c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4.25" customHeight="1">
      <c r="A410" s="106"/>
      <c r="B410" s="33"/>
      <c r="C410" s="39"/>
      <c r="D410" s="32" t="s">
        <v>650</v>
      </c>
      <c r="E410" s="106"/>
      <c r="F410" s="32"/>
      <c r="G410" s="10" t="s">
        <v>213</v>
      </c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4.25" customHeight="1">
      <c r="A411" s="106"/>
      <c r="B411" s="33"/>
      <c r="C411" s="39"/>
      <c r="D411" s="32" t="s">
        <v>651</v>
      </c>
      <c r="E411" s="106"/>
      <c r="F411" s="32"/>
      <c r="G411" s="10" t="s">
        <v>213</v>
      </c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4.25" customHeight="1">
      <c r="A412" s="106"/>
      <c r="B412" s="33"/>
      <c r="C412" s="39"/>
      <c r="D412" s="32" t="s">
        <v>652</v>
      </c>
      <c r="E412" s="106"/>
      <c r="F412" s="32"/>
      <c r="G412" s="10" t="s">
        <v>213</v>
      </c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4.25" customHeight="1">
      <c r="A413" s="106"/>
      <c r="B413" s="33"/>
      <c r="C413" s="39"/>
      <c r="D413" s="32" t="s">
        <v>653</v>
      </c>
      <c r="E413" s="106"/>
      <c r="F413" s="32"/>
      <c r="G413" s="10" t="s">
        <v>213</v>
      </c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4.25" customHeight="1">
      <c r="A414" s="106"/>
      <c r="B414" s="33"/>
      <c r="C414" s="39"/>
      <c r="D414" s="32" t="s">
        <v>654</v>
      </c>
      <c r="E414" s="106"/>
      <c r="F414" s="32"/>
      <c r="G414" s="10" t="s">
        <v>213</v>
      </c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4.25" customHeight="1">
      <c r="A415" s="106"/>
      <c r="B415" s="33"/>
      <c r="C415" s="39"/>
      <c r="D415" s="32" t="s">
        <v>655</v>
      </c>
      <c r="E415" s="106"/>
      <c r="F415" s="32"/>
      <c r="G415" s="10" t="s">
        <v>213</v>
      </c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4.25" customHeight="1">
      <c r="A416" s="106"/>
      <c r="B416" s="33"/>
      <c r="C416" s="39"/>
      <c r="D416" s="32" t="s">
        <v>656</v>
      </c>
      <c r="E416" s="106"/>
      <c r="F416" s="32"/>
      <c r="G416" s="10" t="s">
        <v>213</v>
      </c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4.25" customHeight="1">
      <c r="A417" s="106"/>
      <c r="B417" s="33"/>
      <c r="C417" s="39"/>
      <c r="D417" s="32" t="s">
        <v>657</v>
      </c>
      <c r="E417" s="106"/>
      <c r="F417" s="32"/>
      <c r="G417" s="10" t="s">
        <v>213</v>
      </c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4.25" customHeight="1">
      <c r="A418" s="106"/>
      <c r="B418" s="33"/>
      <c r="C418" s="39"/>
      <c r="D418" s="32" t="s">
        <v>658</v>
      </c>
      <c r="E418" s="106"/>
      <c r="F418" s="32"/>
      <c r="G418" s="10" t="s">
        <v>213</v>
      </c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4.25" customHeight="1">
      <c r="A419" s="106"/>
      <c r="B419" s="33"/>
      <c r="C419" s="39"/>
      <c r="D419" s="32" t="s">
        <v>659</v>
      </c>
      <c r="E419" s="106"/>
      <c r="F419" s="32"/>
      <c r="G419" s="10" t="s">
        <v>213</v>
      </c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4.25" customHeight="1">
      <c r="A420" s="106"/>
      <c r="B420" s="33"/>
      <c r="C420" s="39"/>
      <c r="D420" s="32" t="s">
        <v>660</v>
      </c>
      <c r="E420" s="106"/>
      <c r="F420" s="32"/>
      <c r="G420" s="10" t="s">
        <v>213</v>
      </c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4.25" customHeight="1">
      <c r="A421" s="106"/>
      <c r="B421" s="33"/>
      <c r="C421" s="39"/>
      <c r="D421" s="32" t="s">
        <v>661</v>
      </c>
      <c r="E421" s="106"/>
      <c r="F421" s="32"/>
      <c r="G421" s="10" t="s">
        <v>213</v>
      </c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4.25" customHeight="1">
      <c r="A422" s="106"/>
      <c r="B422" s="33"/>
      <c r="C422" s="39"/>
      <c r="D422" s="32" t="s">
        <v>662</v>
      </c>
      <c r="E422" s="106"/>
      <c r="F422" s="32"/>
      <c r="G422" s="10" t="s">
        <v>213</v>
      </c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4.25" customHeight="1">
      <c r="A423" s="106"/>
      <c r="B423" s="33"/>
      <c r="C423" s="39"/>
      <c r="D423" s="32" t="s">
        <v>663</v>
      </c>
      <c r="E423" s="106"/>
      <c r="F423" s="32"/>
      <c r="G423" s="10" t="s">
        <v>213</v>
      </c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4.25" customHeight="1">
      <c r="A424" s="106"/>
      <c r="B424" s="33"/>
      <c r="C424" s="39"/>
      <c r="D424" s="32" t="s">
        <v>664</v>
      </c>
      <c r="E424" s="106"/>
      <c r="F424" s="32"/>
      <c r="G424" s="10" t="s">
        <v>213</v>
      </c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4.25" customHeight="1">
      <c r="A425" s="106"/>
      <c r="B425" s="33"/>
      <c r="C425" s="39"/>
      <c r="D425" s="32" t="s">
        <v>665</v>
      </c>
      <c r="E425" s="106"/>
      <c r="F425" s="32"/>
      <c r="G425" s="10" t="s">
        <v>213</v>
      </c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4.25" customHeight="1">
      <c r="A426" s="106"/>
      <c r="B426" s="33"/>
      <c r="C426" s="39"/>
      <c r="D426" s="32" t="s">
        <v>666</v>
      </c>
      <c r="E426" s="106"/>
      <c r="F426" s="32"/>
      <c r="G426" s="10" t="s">
        <v>213</v>
      </c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4.25" customHeight="1">
      <c r="A427" s="106"/>
      <c r="B427" s="33"/>
      <c r="C427" s="39"/>
      <c r="D427" s="32" t="s">
        <v>667</v>
      </c>
      <c r="E427" s="106"/>
      <c r="F427" s="32"/>
      <c r="G427" s="10" t="s">
        <v>213</v>
      </c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4.25" customHeight="1">
      <c r="A428" s="106"/>
      <c r="B428" s="33"/>
      <c r="C428" s="39"/>
      <c r="D428" s="32" t="s">
        <v>668</v>
      </c>
      <c r="E428" s="106"/>
      <c r="F428" s="32"/>
      <c r="G428" s="10" t="s">
        <v>213</v>
      </c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4.25" customHeight="1">
      <c r="A429" s="106"/>
      <c r="B429" s="33"/>
      <c r="C429" s="39"/>
      <c r="D429" s="32" t="s">
        <v>669</v>
      </c>
      <c r="E429" s="106"/>
      <c r="F429" s="32"/>
      <c r="G429" s="10" t="s">
        <v>213</v>
      </c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4.25" customHeight="1">
      <c r="A430" s="106"/>
      <c r="B430" s="33"/>
      <c r="C430" s="39"/>
      <c r="D430" s="32" t="s">
        <v>670</v>
      </c>
      <c r="E430" s="106"/>
      <c r="F430" s="32"/>
      <c r="G430" s="10" t="s">
        <v>213</v>
      </c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4.25" customHeight="1">
      <c r="A431" s="106"/>
      <c r="B431" s="33"/>
      <c r="C431" s="39"/>
      <c r="D431" s="32" t="s">
        <v>671</v>
      </c>
      <c r="E431" s="106"/>
      <c r="F431" s="32"/>
      <c r="G431" s="10" t="s">
        <v>213</v>
      </c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4.25" customHeight="1">
      <c r="A432" s="106"/>
      <c r="B432" s="33"/>
      <c r="C432" s="39"/>
      <c r="D432" s="32" t="s">
        <v>672</v>
      </c>
      <c r="E432" s="106"/>
      <c r="F432" s="32"/>
      <c r="G432" s="10" t="s">
        <v>213</v>
      </c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4.25" customHeight="1">
      <c r="A433" s="106"/>
      <c r="B433" s="33"/>
      <c r="C433" s="39"/>
      <c r="D433" s="32" t="s">
        <v>673</v>
      </c>
      <c r="E433" s="106"/>
      <c r="F433" s="32"/>
      <c r="G433" s="10" t="s">
        <v>213</v>
      </c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4.25" customHeight="1">
      <c r="A434" s="106"/>
      <c r="B434" s="33"/>
      <c r="C434" s="39"/>
      <c r="D434" s="32" t="s">
        <v>674</v>
      </c>
      <c r="E434" s="106"/>
      <c r="F434" s="32"/>
      <c r="G434" s="10" t="s">
        <v>213</v>
      </c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4.25" customHeight="1">
      <c r="A435" s="106"/>
      <c r="B435" s="33"/>
      <c r="C435" s="39"/>
      <c r="D435" s="32" t="s">
        <v>675</v>
      </c>
      <c r="E435" s="106"/>
      <c r="F435" s="32"/>
      <c r="G435" s="10" t="s">
        <v>213</v>
      </c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4.25" customHeight="1">
      <c r="A436" s="106"/>
      <c r="B436" s="33"/>
      <c r="C436" s="39"/>
      <c r="D436" s="32" t="s">
        <v>676</v>
      </c>
      <c r="E436" s="106"/>
      <c r="F436" s="32"/>
      <c r="G436" s="10" t="s">
        <v>213</v>
      </c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4.25" customHeight="1">
      <c r="A437" s="106"/>
      <c r="B437" s="33"/>
      <c r="C437" s="39"/>
      <c r="D437" s="32" t="s">
        <v>677</v>
      </c>
      <c r="E437" s="106"/>
      <c r="F437" s="32"/>
      <c r="G437" s="10" t="s">
        <v>213</v>
      </c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4.25" customHeight="1">
      <c r="A438" s="106"/>
      <c r="B438" s="33"/>
      <c r="C438" s="39"/>
      <c r="D438" s="32" t="s">
        <v>678</v>
      </c>
      <c r="E438" s="106"/>
      <c r="F438" s="32"/>
      <c r="G438" s="10" t="s">
        <v>213</v>
      </c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4.25" customHeight="1">
      <c r="A439" s="106"/>
      <c r="B439" s="33"/>
      <c r="C439" s="39"/>
      <c r="D439" s="32" t="s">
        <v>679</v>
      </c>
      <c r="E439" s="106"/>
      <c r="F439" s="32"/>
      <c r="G439" s="10" t="s">
        <v>213</v>
      </c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4.25" customHeight="1">
      <c r="A440" s="106"/>
      <c r="B440" s="33"/>
      <c r="C440" s="39"/>
      <c r="D440" s="32" t="s">
        <v>680</v>
      </c>
      <c r="E440" s="106"/>
      <c r="F440" s="32"/>
      <c r="G440" s="10" t="s">
        <v>213</v>
      </c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4.25" customHeight="1">
      <c r="A441" s="106"/>
      <c r="B441" s="33"/>
      <c r="C441" s="39"/>
      <c r="D441" s="32" t="s">
        <v>681</v>
      </c>
      <c r="E441" s="106"/>
      <c r="F441" s="32"/>
      <c r="G441" s="10" t="s">
        <v>213</v>
      </c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4.25" customHeight="1">
      <c r="A442" s="106"/>
      <c r="B442" s="33"/>
      <c r="C442" s="39"/>
      <c r="D442" s="32" t="s">
        <v>682</v>
      </c>
      <c r="E442" s="106"/>
      <c r="F442" s="32"/>
      <c r="G442" s="10" t="s">
        <v>213</v>
      </c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4.25" customHeight="1">
      <c r="A443" s="106"/>
      <c r="B443" s="33"/>
      <c r="C443" s="39"/>
      <c r="D443" s="32" t="s">
        <v>683</v>
      </c>
      <c r="E443" s="106"/>
      <c r="F443" s="32"/>
      <c r="G443" s="10" t="s">
        <v>213</v>
      </c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4.25" customHeight="1">
      <c r="A444" s="106"/>
      <c r="B444" s="33"/>
      <c r="C444" s="39"/>
      <c r="D444" s="32" t="s">
        <v>684</v>
      </c>
      <c r="E444" s="106"/>
      <c r="F444" s="32"/>
      <c r="G444" s="10" t="s">
        <v>213</v>
      </c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4.25" customHeight="1">
      <c r="A445" s="106"/>
      <c r="B445" s="33"/>
      <c r="C445" s="39"/>
      <c r="D445" s="32" t="s">
        <v>685</v>
      </c>
      <c r="E445" s="106"/>
      <c r="F445" s="32"/>
      <c r="G445" s="10" t="s">
        <v>213</v>
      </c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4.25" customHeight="1">
      <c r="A446" s="106"/>
      <c r="B446" s="33"/>
      <c r="C446" s="39"/>
      <c r="D446" s="32" t="s">
        <v>686</v>
      </c>
      <c r="E446" s="106"/>
      <c r="F446" s="32"/>
      <c r="G446" s="10" t="s">
        <v>213</v>
      </c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4.25" customHeight="1">
      <c r="A447" s="106"/>
      <c r="B447" s="33"/>
      <c r="C447" s="39"/>
      <c r="D447" s="32" t="s">
        <v>687</v>
      </c>
      <c r="E447" s="106"/>
      <c r="F447" s="32"/>
      <c r="G447" s="10" t="s">
        <v>213</v>
      </c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4.25" customHeight="1">
      <c r="A448" s="106"/>
      <c r="B448" s="33"/>
      <c r="C448" s="39"/>
      <c r="D448" s="32" t="s">
        <v>688</v>
      </c>
      <c r="E448" s="106"/>
      <c r="F448" s="32"/>
      <c r="G448" s="10" t="s">
        <v>213</v>
      </c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4.25" customHeight="1">
      <c r="A449" s="106"/>
      <c r="B449" s="33"/>
      <c r="C449" s="39"/>
      <c r="D449" s="32" t="s">
        <v>689</v>
      </c>
      <c r="E449" s="106"/>
      <c r="F449" s="32"/>
      <c r="G449" s="10" t="s">
        <v>213</v>
      </c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4.25" customHeight="1">
      <c r="A450" s="106"/>
      <c r="B450" s="33"/>
      <c r="C450" s="39"/>
      <c r="D450" s="32" t="s">
        <v>690</v>
      </c>
      <c r="E450" s="106"/>
      <c r="F450" s="32"/>
      <c r="G450" s="10" t="s">
        <v>213</v>
      </c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4.25" customHeight="1">
      <c r="A451" s="106"/>
      <c r="B451" s="33"/>
      <c r="C451" s="39"/>
      <c r="D451" s="32" t="s">
        <v>691</v>
      </c>
      <c r="E451" s="106"/>
      <c r="F451" s="32"/>
      <c r="G451" s="10" t="s">
        <v>213</v>
      </c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4.25" customHeight="1">
      <c r="A452" s="106"/>
      <c r="B452" s="33"/>
      <c r="C452" s="39"/>
      <c r="D452" s="32" t="s">
        <v>692</v>
      </c>
      <c r="E452" s="106"/>
      <c r="F452" s="32"/>
      <c r="G452" s="10" t="s">
        <v>213</v>
      </c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4.25" customHeight="1">
      <c r="A453" s="106"/>
      <c r="B453" s="33"/>
      <c r="C453" s="39"/>
      <c r="D453" s="32" t="s">
        <v>693</v>
      </c>
      <c r="E453" s="106"/>
      <c r="F453" s="32"/>
      <c r="G453" s="10" t="s">
        <v>213</v>
      </c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4.25" customHeight="1">
      <c r="A454" s="106"/>
      <c r="B454" s="33"/>
      <c r="C454" s="39"/>
      <c r="D454" s="32" t="s">
        <v>694</v>
      </c>
      <c r="E454" s="106"/>
      <c r="F454" s="32"/>
      <c r="G454" s="10" t="s">
        <v>213</v>
      </c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4.25" customHeight="1">
      <c r="A455" s="106"/>
      <c r="B455" s="33"/>
      <c r="C455" s="39"/>
      <c r="D455" s="32" t="s">
        <v>695</v>
      </c>
      <c r="E455" s="106"/>
      <c r="F455" s="32"/>
      <c r="G455" s="10" t="s">
        <v>213</v>
      </c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4.25" customHeight="1">
      <c r="A456" s="106"/>
      <c r="B456" s="33"/>
      <c r="C456" s="39"/>
      <c r="D456" s="32" t="s">
        <v>696</v>
      </c>
      <c r="E456" s="106"/>
      <c r="F456" s="32"/>
      <c r="G456" s="10" t="s">
        <v>213</v>
      </c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4.25" customHeight="1">
      <c r="A457" s="106"/>
      <c r="B457" s="33"/>
      <c r="C457" s="39"/>
      <c r="D457" s="32" t="s">
        <v>697</v>
      </c>
      <c r="E457" s="106"/>
      <c r="F457" s="32"/>
      <c r="G457" s="10" t="s">
        <v>213</v>
      </c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4.25" customHeight="1">
      <c r="A458" s="106"/>
      <c r="B458" s="33"/>
      <c r="C458" s="39"/>
      <c r="D458" s="32" t="s">
        <v>698</v>
      </c>
      <c r="E458" s="106"/>
      <c r="F458" s="32"/>
      <c r="G458" s="10" t="s">
        <v>213</v>
      </c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4.25" customHeight="1">
      <c r="A459" s="106"/>
      <c r="B459" s="33"/>
      <c r="C459" s="39"/>
      <c r="D459" s="32" t="s">
        <v>699</v>
      </c>
      <c r="E459" s="106"/>
      <c r="F459" s="32"/>
      <c r="G459" s="10" t="s">
        <v>213</v>
      </c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4.25" customHeight="1">
      <c r="A460" s="106"/>
      <c r="B460" s="33"/>
      <c r="C460" s="39"/>
      <c r="D460" s="32" t="s">
        <v>700</v>
      </c>
      <c r="E460" s="106"/>
      <c r="F460" s="32"/>
      <c r="G460" s="10" t="s">
        <v>213</v>
      </c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4.25" customHeight="1">
      <c r="A461" s="106"/>
      <c r="B461" s="33"/>
      <c r="C461" s="39"/>
      <c r="D461" s="32" t="s">
        <v>701</v>
      </c>
      <c r="E461" s="106"/>
      <c r="F461" s="32"/>
      <c r="G461" s="10" t="s">
        <v>213</v>
      </c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4.25" customHeight="1">
      <c r="A462" s="106"/>
      <c r="B462" s="33"/>
      <c r="C462" s="39"/>
      <c r="D462" s="32" t="s">
        <v>702</v>
      </c>
      <c r="E462" s="106"/>
      <c r="F462" s="32"/>
      <c r="G462" s="10" t="s">
        <v>213</v>
      </c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4.25" customHeight="1">
      <c r="A463" s="106"/>
      <c r="B463" s="33"/>
      <c r="C463" s="39"/>
      <c r="D463" s="32" t="s">
        <v>703</v>
      </c>
      <c r="E463" s="106"/>
      <c r="F463" s="32"/>
      <c r="G463" s="10" t="s">
        <v>213</v>
      </c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4.25" customHeight="1">
      <c r="A464" s="106"/>
      <c r="B464" s="33"/>
      <c r="C464" s="39"/>
      <c r="D464" s="32" t="s">
        <v>704</v>
      </c>
      <c r="E464" s="106"/>
      <c r="F464" s="32"/>
      <c r="G464" s="10" t="s">
        <v>213</v>
      </c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4.25" customHeight="1">
      <c r="A465" s="106"/>
      <c r="B465" s="33"/>
      <c r="C465" s="39"/>
      <c r="D465" s="32" t="s">
        <v>705</v>
      </c>
      <c r="E465" s="106"/>
      <c r="F465" s="32"/>
      <c r="G465" s="10" t="s">
        <v>213</v>
      </c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4.25" customHeight="1">
      <c r="A466" s="106"/>
      <c r="B466" s="33"/>
      <c r="C466" s="39"/>
      <c r="D466" s="32" t="s">
        <v>706</v>
      </c>
      <c r="E466" s="106"/>
      <c r="F466" s="32"/>
      <c r="G466" s="10" t="s">
        <v>213</v>
      </c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4.25" customHeight="1">
      <c r="A467" s="106"/>
      <c r="B467" s="33"/>
      <c r="C467" s="39"/>
      <c r="D467" s="32" t="s">
        <v>707</v>
      </c>
      <c r="E467" s="106"/>
      <c r="F467" s="32"/>
      <c r="G467" s="10" t="s">
        <v>213</v>
      </c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4.25" customHeight="1">
      <c r="A468" s="106"/>
      <c r="B468" s="33"/>
      <c r="C468" s="39"/>
      <c r="D468" s="32" t="s">
        <v>708</v>
      </c>
      <c r="E468" s="106"/>
      <c r="F468" s="32"/>
      <c r="G468" s="10" t="s">
        <v>213</v>
      </c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4.25" customHeight="1">
      <c r="A469" s="106"/>
      <c r="B469" s="33"/>
      <c r="C469" s="39"/>
      <c r="D469" s="32" t="s">
        <v>709</v>
      </c>
      <c r="E469" s="106"/>
      <c r="F469" s="32"/>
      <c r="G469" s="10" t="s">
        <v>213</v>
      </c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4.25" customHeight="1">
      <c r="A470" s="106"/>
      <c r="B470" s="33"/>
      <c r="C470" s="39"/>
      <c r="D470" s="32" t="s">
        <v>710</v>
      </c>
      <c r="E470" s="106"/>
      <c r="F470" s="32"/>
      <c r="G470" s="10" t="s">
        <v>213</v>
      </c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4.25" customHeight="1">
      <c r="A471" s="106"/>
      <c r="B471" s="33"/>
      <c r="C471" s="39"/>
      <c r="D471" s="32" t="s">
        <v>711</v>
      </c>
      <c r="E471" s="106"/>
      <c r="F471" s="32"/>
      <c r="G471" s="10" t="s">
        <v>213</v>
      </c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4.25" customHeight="1">
      <c r="A472" s="106"/>
      <c r="B472" s="33"/>
      <c r="C472" s="39"/>
      <c r="D472" s="32" t="s">
        <v>712</v>
      </c>
      <c r="E472" s="106"/>
      <c r="F472" s="32"/>
      <c r="G472" s="10" t="s">
        <v>213</v>
      </c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4.25" customHeight="1">
      <c r="A473" s="106"/>
      <c r="B473" s="33"/>
      <c r="C473" s="39"/>
      <c r="D473" s="32" t="s">
        <v>713</v>
      </c>
      <c r="E473" s="106"/>
      <c r="F473" s="32"/>
      <c r="G473" s="10" t="s">
        <v>213</v>
      </c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4.25" customHeight="1">
      <c r="A474" s="106"/>
      <c r="B474" s="33"/>
      <c r="C474" s="39"/>
      <c r="D474" s="32" t="s">
        <v>714</v>
      </c>
      <c r="E474" s="106"/>
      <c r="F474" s="32"/>
      <c r="G474" s="10" t="s">
        <v>213</v>
      </c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4.25" customHeight="1">
      <c r="A475" s="106"/>
      <c r="B475" s="33"/>
      <c r="C475" s="39"/>
      <c r="D475" s="32" t="s">
        <v>715</v>
      </c>
      <c r="E475" s="106"/>
      <c r="F475" s="32"/>
      <c r="G475" s="10" t="s">
        <v>213</v>
      </c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4.25" customHeight="1">
      <c r="A476" s="106"/>
      <c r="B476" s="33"/>
      <c r="C476" s="39"/>
      <c r="D476" s="32" t="s">
        <v>716</v>
      </c>
      <c r="E476" s="106"/>
      <c r="F476" s="32"/>
      <c r="G476" s="10" t="s">
        <v>213</v>
      </c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4.25" customHeight="1">
      <c r="A477" s="106"/>
      <c r="B477" s="33"/>
      <c r="C477" s="39"/>
      <c r="D477" s="32" t="s">
        <v>717</v>
      </c>
      <c r="E477" s="106"/>
      <c r="F477" s="32"/>
      <c r="G477" s="10" t="s">
        <v>213</v>
      </c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4.25" customHeight="1">
      <c r="A478" s="106"/>
      <c r="B478" s="33"/>
      <c r="C478" s="39"/>
      <c r="D478" s="32" t="s">
        <v>718</v>
      </c>
      <c r="E478" s="106"/>
      <c r="F478" s="32"/>
      <c r="G478" s="10" t="s">
        <v>213</v>
      </c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4.25" customHeight="1">
      <c r="A479" s="106"/>
      <c r="B479" s="33"/>
      <c r="C479" s="39"/>
      <c r="D479" s="32" t="s">
        <v>719</v>
      </c>
      <c r="E479" s="106"/>
      <c r="F479" s="32"/>
      <c r="G479" s="10" t="s">
        <v>213</v>
      </c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4.25" customHeight="1">
      <c r="A480" s="106"/>
      <c r="B480" s="33"/>
      <c r="C480" s="39"/>
      <c r="D480" s="32" t="s">
        <v>720</v>
      </c>
      <c r="E480" s="106"/>
      <c r="F480" s="32"/>
      <c r="G480" s="10" t="s">
        <v>213</v>
      </c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4.25" customHeight="1">
      <c r="A481" s="106"/>
      <c r="B481" s="33"/>
      <c r="C481" s="39"/>
      <c r="D481" s="32" t="s">
        <v>721</v>
      </c>
      <c r="E481" s="106"/>
      <c r="F481" s="32"/>
      <c r="G481" s="10" t="s">
        <v>213</v>
      </c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4.25" customHeight="1">
      <c r="A482" s="106"/>
      <c r="B482" s="33"/>
      <c r="C482" s="39"/>
      <c r="D482" s="32" t="s">
        <v>722</v>
      </c>
      <c r="E482" s="106"/>
      <c r="F482" s="32"/>
      <c r="G482" s="10" t="s">
        <v>213</v>
      </c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4.25" customHeight="1">
      <c r="A483" s="106"/>
      <c r="B483" s="33"/>
      <c r="C483" s="39"/>
      <c r="D483" s="32" t="s">
        <v>723</v>
      </c>
      <c r="E483" s="106"/>
      <c r="F483" s="32"/>
      <c r="G483" s="10" t="s">
        <v>213</v>
      </c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4.25" customHeight="1">
      <c r="A484" s="106"/>
      <c r="B484" s="33"/>
      <c r="C484" s="39"/>
      <c r="D484" s="32" t="s">
        <v>724</v>
      </c>
      <c r="E484" s="106"/>
      <c r="F484" s="32"/>
      <c r="G484" s="10" t="s">
        <v>213</v>
      </c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4.25" customHeight="1">
      <c r="A485" s="106"/>
      <c r="B485" s="33"/>
      <c r="C485" s="39"/>
      <c r="D485" s="32" t="s">
        <v>725</v>
      </c>
      <c r="E485" s="106"/>
      <c r="F485" s="32"/>
      <c r="G485" s="10" t="s">
        <v>213</v>
      </c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4.25" customHeight="1">
      <c r="A486" s="106"/>
      <c r="B486" s="33"/>
      <c r="C486" s="39"/>
      <c r="D486" s="32" t="s">
        <v>726</v>
      </c>
      <c r="E486" s="106"/>
      <c r="F486" s="32"/>
      <c r="G486" s="10" t="s">
        <v>213</v>
      </c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4.25" customHeight="1">
      <c r="A487" s="106"/>
      <c r="B487" s="33"/>
      <c r="C487" s="39"/>
      <c r="D487" s="32" t="s">
        <v>727</v>
      </c>
      <c r="E487" s="106"/>
      <c r="F487" s="32"/>
      <c r="G487" s="10" t="s">
        <v>213</v>
      </c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4.25" customHeight="1">
      <c r="A488" s="106"/>
      <c r="B488" s="33"/>
      <c r="C488" s="39"/>
      <c r="D488" s="32" t="s">
        <v>728</v>
      </c>
      <c r="E488" s="106"/>
      <c r="F488" s="32"/>
      <c r="G488" s="10" t="s">
        <v>213</v>
      </c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4.25" customHeight="1">
      <c r="A489" s="106"/>
      <c r="B489" s="33"/>
      <c r="C489" s="39"/>
      <c r="D489" s="32" t="s">
        <v>729</v>
      </c>
      <c r="E489" s="106"/>
      <c r="F489" s="32"/>
      <c r="G489" s="10" t="s">
        <v>213</v>
      </c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4.25" customHeight="1">
      <c r="A490" s="106"/>
      <c r="B490" s="33"/>
      <c r="C490" s="39"/>
      <c r="D490" s="32" t="s">
        <v>313</v>
      </c>
      <c r="E490" s="106"/>
      <c r="F490" s="32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4.25" customHeight="1">
      <c r="A491" s="106"/>
      <c r="B491" s="33"/>
      <c r="C491" s="39"/>
      <c r="D491" s="32" t="s">
        <v>730</v>
      </c>
      <c r="E491" s="106"/>
      <c r="F491" s="32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4.25" customHeight="1">
      <c r="A492" s="106"/>
      <c r="B492" s="33"/>
      <c r="C492" s="39"/>
      <c r="D492" s="32" t="s">
        <v>731</v>
      </c>
      <c r="E492" s="106"/>
      <c r="F492" s="32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4.25" customHeight="1">
      <c r="A493" s="106"/>
      <c r="B493" s="33"/>
      <c r="C493" s="39"/>
      <c r="D493" s="32" t="s">
        <v>732</v>
      </c>
      <c r="E493" s="106"/>
      <c r="F493" s="32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4.25" customHeight="1">
      <c r="A494" s="106"/>
      <c r="B494" s="33"/>
      <c r="C494" s="39"/>
      <c r="D494" s="32" t="s">
        <v>733</v>
      </c>
      <c r="E494" s="106"/>
      <c r="F494" s="32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4.25" customHeight="1">
      <c r="A495" s="106"/>
      <c r="B495" s="33"/>
      <c r="C495" s="39"/>
      <c r="D495" s="32" t="s">
        <v>734</v>
      </c>
      <c r="E495" s="106"/>
      <c r="F495" s="32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4.25" customHeight="1">
      <c r="A496" s="106"/>
      <c r="B496" s="33"/>
      <c r="C496" s="39"/>
      <c r="D496" s="32" t="s">
        <v>735</v>
      </c>
      <c r="E496" s="106"/>
      <c r="F496" s="32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4.25" customHeight="1">
      <c r="A497" s="106"/>
      <c r="B497" s="33"/>
      <c r="C497" s="39"/>
      <c r="D497" s="32" t="s">
        <v>736</v>
      </c>
      <c r="E497" s="106"/>
      <c r="F497" s="32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4.25" customHeight="1">
      <c r="A498" s="106"/>
      <c r="B498" s="33"/>
      <c r="C498" s="39"/>
      <c r="D498" s="32" t="s">
        <v>737</v>
      </c>
      <c r="E498" s="106"/>
      <c r="F498" s="32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4.25" customHeight="1">
      <c r="A499" s="106"/>
      <c r="B499" s="43"/>
      <c r="C499" s="40"/>
      <c r="D499" s="32" t="s">
        <v>568</v>
      </c>
      <c r="E499" s="106"/>
      <c r="F499" s="32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4.25" customHeight="1">
      <c r="A500" s="106"/>
      <c r="B500" s="48"/>
      <c r="C500" s="55" t="s">
        <v>738</v>
      </c>
      <c r="D500" s="28" t="s">
        <v>439</v>
      </c>
      <c r="E500" s="106"/>
      <c r="F500" s="28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4.25" customHeight="1">
      <c r="A501" s="106"/>
      <c r="B501" s="49"/>
      <c r="C501" s="55"/>
      <c r="D501" s="28" t="s">
        <v>739</v>
      </c>
      <c r="E501" s="106"/>
      <c r="F501" s="28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4.25" customHeight="1">
      <c r="A502" s="106"/>
      <c r="B502" s="49"/>
      <c r="C502" s="55"/>
      <c r="D502" s="28" t="s">
        <v>740</v>
      </c>
      <c r="E502" s="106"/>
      <c r="F502" s="28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4.25" customHeight="1">
      <c r="A503" s="106"/>
      <c r="B503" s="49"/>
      <c r="C503" s="55"/>
      <c r="D503" s="28" t="s">
        <v>741</v>
      </c>
      <c r="E503" s="106"/>
      <c r="F503" s="28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4.25" customHeight="1">
      <c r="A504" s="106"/>
      <c r="B504" s="49"/>
      <c r="C504" s="55"/>
      <c r="D504" s="28" t="s">
        <v>742</v>
      </c>
      <c r="E504" s="106"/>
      <c r="F504" s="28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4.25" customHeight="1">
      <c r="A505" s="106"/>
      <c r="B505" s="49"/>
      <c r="C505" s="55"/>
      <c r="D505" s="28" t="s">
        <v>743</v>
      </c>
      <c r="E505" s="106"/>
      <c r="F505" s="28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4.25" customHeight="1">
      <c r="A506" s="106"/>
      <c r="B506" s="49"/>
      <c r="C506" s="55"/>
      <c r="D506" s="28" t="s">
        <v>744</v>
      </c>
      <c r="E506" s="106"/>
      <c r="F506" s="28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4.25" customHeight="1">
      <c r="A507" s="106"/>
      <c r="B507" s="49"/>
      <c r="C507" s="55"/>
      <c r="D507" s="28" t="s">
        <v>745</v>
      </c>
      <c r="E507" s="106"/>
      <c r="F507" s="28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4.25" customHeight="1">
      <c r="A508" s="106"/>
      <c r="B508" s="49"/>
      <c r="C508" s="55"/>
      <c r="D508" s="28" t="s">
        <v>746</v>
      </c>
      <c r="E508" s="106"/>
      <c r="F508" s="28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4.25" customHeight="1">
      <c r="A509" s="106"/>
      <c r="B509" s="49"/>
      <c r="C509" s="55"/>
      <c r="D509" s="28" t="s">
        <v>747</v>
      </c>
      <c r="E509" s="106"/>
      <c r="F509" s="28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4.25" customHeight="1">
      <c r="A510" s="106"/>
      <c r="B510" s="49"/>
      <c r="C510" s="55"/>
      <c r="D510" s="28" t="s">
        <v>748</v>
      </c>
      <c r="E510" s="106"/>
      <c r="F510" s="28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4.25" customHeight="1">
      <c r="A511" s="106"/>
      <c r="B511" s="49"/>
      <c r="C511" s="55"/>
      <c r="D511" s="28" t="s">
        <v>749</v>
      </c>
      <c r="E511" s="106"/>
      <c r="F511" s="28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4.25" customHeight="1">
      <c r="A512" s="106"/>
      <c r="B512" s="49"/>
      <c r="C512" s="55"/>
      <c r="D512" s="28" t="s">
        <v>750</v>
      </c>
      <c r="E512" s="106"/>
      <c r="F512" s="28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4.25" customHeight="1">
      <c r="A513" s="106"/>
      <c r="B513" s="49"/>
      <c r="C513" s="55"/>
      <c r="D513" s="28" t="s">
        <v>484</v>
      </c>
      <c r="E513" s="106"/>
      <c r="F513" s="28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4.25" customHeight="1">
      <c r="A514" s="106"/>
      <c r="B514" s="49"/>
      <c r="C514" s="55"/>
      <c r="D514" s="28" t="s">
        <v>313</v>
      </c>
      <c r="E514" s="106"/>
      <c r="F514" s="28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4.25" customHeight="1">
      <c r="A515" s="106"/>
      <c r="B515" s="33"/>
      <c r="C515" s="38" t="s">
        <v>751</v>
      </c>
      <c r="D515" s="32" t="s">
        <v>337</v>
      </c>
      <c r="E515" s="106"/>
      <c r="F515" s="32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4.25" customHeight="1">
      <c r="A516" s="106"/>
      <c r="B516" s="43"/>
      <c r="C516" s="40"/>
      <c r="D516" s="32" t="s">
        <v>338</v>
      </c>
      <c r="E516" s="106"/>
      <c r="F516" s="32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4.25" customHeight="1">
      <c r="A517" s="106"/>
      <c r="B517" s="49"/>
      <c r="C517" s="55" t="s">
        <v>98</v>
      </c>
      <c r="D517" s="28" t="s">
        <v>752</v>
      </c>
      <c r="E517" s="106"/>
      <c r="F517" s="28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4.25" customHeight="1">
      <c r="A518" s="106"/>
      <c r="B518" s="49"/>
      <c r="C518" s="55"/>
      <c r="D518" s="28" t="s">
        <v>753</v>
      </c>
      <c r="E518" s="106"/>
      <c r="F518" s="28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4.25" customHeight="1">
      <c r="A519" s="106"/>
      <c r="B519" s="49"/>
      <c r="C519" s="55"/>
      <c r="D519" s="28" t="s">
        <v>754</v>
      </c>
      <c r="E519" s="106"/>
      <c r="F519" s="28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4.25" customHeight="1">
      <c r="A520" s="106"/>
      <c r="B520" s="49"/>
      <c r="C520" s="55"/>
      <c r="D520" s="28" t="s">
        <v>755</v>
      </c>
      <c r="E520" s="106"/>
      <c r="F520" s="28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4.25" customHeight="1">
      <c r="A521" s="106"/>
      <c r="B521" s="30"/>
      <c r="C521" s="38" t="s">
        <v>161</v>
      </c>
      <c r="D521" s="32" t="s">
        <v>756</v>
      </c>
      <c r="E521" s="106"/>
      <c r="F521" s="32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4.25" customHeight="1">
      <c r="A522" s="106"/>
      <c r="B522" s="33"/>
      <c r="C522" s="39"/>
      <c r="D522" s="32" t="s">
        <v>757</v>
      </c>
      <c r="E522" s="106"/>
      <c r="F522" s="32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4.25" customHeight="1">
      <c r="A523" s="106"/>
      <c r="B523" s="33"/>
      <c r="C523" s="39"/>
      <c r="D523" s="32" t="s">
        <v>758</v>
      </c>
      <c r="E523" s="106"/>
      <c r="F523" s="32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4.25" customHeight="1">
      <c r="A524" s="106"/>
      <c r="B524" s="33"/>
      <c r="C524" s="39"/>
      <c r="D524" s="32" t="s">
        <v>759</v>
      </c>
      <c r="E524" s="106"/>
      <c r="F524" s="32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4.25" customHeight="1">
      <c r="A525" s="106"/>
      <c r="B525" s="33"/>
      <c r="C525" s="39"/>
      <c r="D525" s="32" t="s">
        <v>760</v>
      </c>
      <c r="E525" s="106"/>
      <c r="F525" s="32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4.25" customHeight="1">
      <c r="A526" s="106"/>
      <c r="B526" s="33"/>
      <c r="C526" s="39"/>
      <c r="D526" s="32" t="s">
        <v>761</v>
      </c>
      <c r="E526" s="106"/>
      <c r="F526" s="32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4.25" customHeight="1">
      <c r="A527" s="106"/>
      <c r="B527" s="33"/>
      <c r="C527" s="39"/>
      <c r="D527" s="32" t="s">
        <v>762</v>
      </c>
      <c r="E527" s="106"/>
      <c r="F527" s="32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4.25" customHeight="1">
      <c r="A528" s="106"/>
      <c r="B528" s="33"/>
      <c r="C528" s="39"/>
      <c r="D528" s="32" t="s">
        <v>763</v>
      </c>
      <c r="E528" s="106"/>
      <c r="F528" s="32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4.25" customHeight="1">
      <c r="A529" s="106"/>
      <c r="B529" s="33"/>
      <c r="C529" s="39"/>
      <c r="D529" s="32" t="s">
        <v>764</v>
      </c>
      <c r="E529" s="106"/>
      <c r="F529" s="32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4.25" customHeight="1">
      <c r="A530" s="106"/>
      <c r="B530" s="33"/>
      <c r="C530" s="39"/>
      <c r="D530" s="32" t="s">
        <v>747</v>
      </c>
      <c r="E530" s="106"/>
      <c r="F530" s="32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4.25" customHeight="1">
      <c r="A531" s="106"/>
      <c r="B531" s="10"/>
      <c r="C531" s="39"/>
      <c r="D531" s="32" t="s">
        <v>765</v>
      </c>
      <c r="E531" s="106"/>
      <c r="F531" s="32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4.25" customHeight="1">
      <c r="A532" s="106"/>
      <c r="B532" s="33"/>
      <c r="C532" s="39"/>
      <c r="D532" s="32" t="s">
        <v>766</v>
      </c>
      <c r="E532" s="106"/>
      <c r="F532" s="32" t="s">
        <v>767</v>
      </c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4.25" customHeight="1">
      <c r="A533" s="106"/>
      <c r="B533" s="33"/>
      <c r="C533" s="39"/>
      <c r="D533" s="32" t="s">
        <v>768</v>
      </c>
      <c r="E533" s="106"/>
      <c r="F533" s="32" t="s">
        <v>769</v>
      </c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4.25" customHeight="1">
      <c r="A534" s="106"/>
      <c r="B534" s="33"/>
      <c r="C534" s="39"/>
      <c r="D534" s="32" t="s">
        <v>770</v>
      </c>
      <c r="E534" s="106"/>
      <c r="F534" s="32" t="s">
        <v>771</v>
      </c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4.25" customHeight="1">
      <c r="A535" s="106"/>
      <c r="B535" s="33"/>
      <c r="C535" s="39"/>
      <c r="D535" s="32" t="s">
        <v>772</v>
      </c>
      <c r="E535" s="106"/>
      <c r="F535" s="32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4.25" customHeight="1">
      <c r="A536" s="106"/>
      <c r="B536" s="33"/>
      <c r="C536" s="39"/>
      <c r="D536" s="32" t="s">
        <v>773</v>
      </c>
      <c r="E536" s="106"/>
      <c r="F536" s="32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4.25" customHeight="1">
      <c r="A537" s="106"/>
      <c r="B537" s="33"/>
      <c r="C537" s="39"/>
      <c r="D537" s="32" t="s">
        <v>36</v>
      </c>
      <c r="E537" s="106"/>
      <c r="F537" s="32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4.25" customHeight="1">
      <c r="A538" s="106"/>
      <c r="B538" s="33"/>
      <c r="C538" s="39"/>
      <c r="D538" s="32" t="s">
        <v>774</v>
      </c>
      <c r="E538" s="106"/>
      <c r="F538" s="32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4.25" customHeight="1">
      <c r="A539" s="106"/>
      <c r="B539" s="33"/>
      <c r="C539" s="39"/>
      <c r="D539" s="32" t="s">
        <v>775</v>
      </c>
      <c r="E539" s="106"/>
      <c r="F539" s="32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4.25" customHeight="1">
      <c r="A540" s="106"/>
      <c r="B540" s="33"/>
      <c r="C540" s="39"/>
      <c r="D540" s="32" t="s">
        <v>776</v>
      </c>
      <c r="E540" s="106"/>
      <c r="F540" s="32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4.25" customHeight="1">
      <c r="A541" s="106"/>
      <c r="B541" s="33"/>
      <c r="C541" s="39"/>
      <c r="D541" s="32" t="s">
        <v>777</v>
      </c>
      <c r="E541" s="106"/>
      <c r="F541" s="32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4.25" customHeight="1">
      <c r="A542" s="106"/>
      <c r="B542" s="33"/>
      <c r="C542" s="39"/>
      <c r="D542" s="32" t="s">
        <v>778</v>
      </c>
      <c r="E542" s="106"/>
      <c r="F542" s="32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4.25" customHeight="1">
      <c r="A543" s="106"/>
      <c r="B543" s="33"/>
      <c r="C543" s="39"/>
      <c r="D543" s="32" t="s">
        <v>484</v>
      </c>
      <c r="E543" s="106"/>
      <c r="F543" s="32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4.25" customHeight="1">
      <c r="A544" s="106"/>
      <c r="B544" s="33"/>
      <c r="C544" s="39"/>
      <c r="D544" s="32" t="s">
        <v>313</v>
      </c>
      <c r="E544" s="106"/>
      <c r="F544" s="56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4.25" customHeight="1">
      <c r="A545" s="106"/>
      <c r="B545" s="47"/>
      <c r="C545" s="48" t="s">
        <v>165</v>
      </c>
      <c r="D545" s="28" t="s">
        <v>337</v>
      </c>
      <c r="E545" s="106"/>
      <c r="F545" s="28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4.25" customHeight="1">
      <c r="A546" s="106"/>
      <c r="B546" s="49"/>
      <c r="C546" s="55"/>
      <c r="D546" s="28" t="s">
        <v>338</v>
      </c>
      <c r="E546" s="106"/>
      <c r="F546" s="28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4.25" customHeight="1">
      <c r="A547" s="106"/>
      <c r="B547" s="33"/>
      <c r="C547" s="38" t="s">
        <v>166</v>
      </c>
      <c r="D547" s="32" t="s">
        <v>779</v>
      </c>
      <c r="E547" s="106"/>
      <c r="F547" s="32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4.25" customHeight="1">
      <c r="A548" s="106"/>
      <c r="B548" s="33"/>
      <c r="C548" s="39"/>
      <c r="D548" s="32" t="s">
        <v>780</v>
      </c>
      <c r="E548" s="106"/>
      <c r="F548" s="32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4.25" customHeight="1">
      <c r="A549" s="106"/>
      <c r="B549" s="33"/>
      <c r="C549" s="39"/>
      <c r="D549" s="32" t="s">
        <v>781</v>
      </c>
      <c r="E549" s="106"/>
      <c r="F549" s="32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4.25" customHeight="1">
      <c r="A550" s="106"/>
      <c r="B550" s="33"/>
      <c r="C550" s="39"/>
      <c r="D550" s="32" t="s">
        <v>782</v>
      </c>
      <c r="E550" s="106"/>
      <c r="F550" s="32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4.25" customHeight="1">
      <c r="A551" s="106"/>
      <c r="B551" s="33"/>
      <c r="C551" s="39"/>
      <c r="D551" s="32" t="s">
        <v>783</v>
      </c>
      <c r="E551" s="106"/>
      <c r="F551" s="32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4.25" customHeight="1">
      <c r="A552" s="106"/>
      <c r="B552" s="47"/>
      <c r="C552" s="48" t="s">
        <v>168</v>
      </c>
      <c r="D552" s="28" t="s">
        <v>337</v>
      </c>
      <c r="E552" s="106"/>
      <c r="F552" s="28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4.25" customHeight="1">
      <c r="A553" s="106"/>
      <c r="B553" s="49"/>
      <c r="C553" s="55"/>
      <c r="D553" s="28" t="s">
        <v>338</v>
      </c>
      <c r="E553" s="106"/>
      <c r="F553" s="28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4.25" customHeight="1">
      <c r="A554" s="106"/>
      <c r="B554" s="57"/>
      <c r="C554" s="38" t="s">
        <v>784</v>
      </c>
      <c r="D554" s="32" t="s">
        <v>785</v>
      </c>
      <c r="E554" s="106"/>
      <c r="F554" s="32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4.25" customHeight="1">
      <c r="A555" s="106"/>
      <c r="B555" s="58"/>
      <c r="C555" s="58"/>
      <c r="D555" s="32" t="s">
        <v>786</v>
      </c>
      <c r="E555" s="106"/>
      <c r="F555" s="32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4.25" customHeight="1">
      <c r="A556" s="106"/>
      <c r="B556" s="58"/>
      <c r="C556" s="58"/>
      <c r="D556" s="32" t="s">
        <v>787</v>
      </c>
      <c r="E556" s="106"/>
      <c r="F556" s="32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4.25" customHeight="1">
      <c r="A557" s="106"/>
      <c r="B557" s="58"/>
      <c r="C557" s="58"/>
      <c r="D557" s="32" t="s">
        <v>788</v>
      </c>
      <c r="E557" s="106"/>
      <c r="F557" s="32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4.25" customHeight="1">
      <c r="A558" s="106"/>
      <c r="B558" s="58"/>
      <c r="C558" s="58"/>
      <c r="D558" s="32" t="s">
        <v>789</v>
      </c>
      <c r="E558" s="106"/>
      <c r="F558" s="32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4.25" customHeight="1">
      <c r="A559" s="106"/>
      <c r="B559" s="58"/>
      <c r="C559" s="58"/>
      <c r="D559" s="32" t="s">
        <v>790</v>
      </c>
      <c r="E559" s="106"/>
      <c r="F559" s="32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4.25" customHeight="1">
      <c r="A560" s="106"/>
      <c r="B560" s="58"/>
      <c r="C560" s="58"/>
      <c r="D560" s="32" t="s">
        <v>791</v>
      </c>
      <c r="E560" s="106"/>
      <c r="F560" s="32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4.25" customHeight="1">
      <c r="A561" s="106"/>
      <c r="B561" s="58"/>
      <c r="C561" s="58"/>
      <c r="D561" s="32" t="s">
        <v>792</v>
      </c>
      <c r="E561" s="106"/>
      <c r="F561" s="32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4.25" customHeight="1">
      <c r="A562" s="106"/>
      <c r="B562" s="58"/>
      <c r="C562" s="58"/>
      <c r="D562" s="32" t="s">
        <v>793</v>
      </c>
      <c r="E562" s="106"/>
      <c r="F562" s="32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4.25" customHeight="1">
      <c r="A563" s="106"/>
      <c r="B563" s="58"/>
      <c r="C563" s="58"/>
      <c r="D563" s="32" t="s">
        <v>794</v>
      </c>
      <c r="E563" s="106"/>
      <c r="F563" s="32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4.25" customHeight="1">
      <c r="A564" s="106"/>
      <c r="B564" s="58"/>
      <c r="C564" s="58"/>
      <c r="D564" s="32" t="s">
        <v>795</v>
      </c>
      <c r="E564" s="106"/>
      <c r="F564" s="32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4.25" customHeight="1">
      <c r="A565" s="106"/>
      <c r="B565" s="58"/>
      <c r="C565" s="58"/>
      <c r="D565" s="32" t="s">
        <v>796</v>
      </c>
      <c r="E565" s="106"/>
      <c r="F565" s="32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4.25" customHeight="1">
      <c r="A566" s="106"/>
      <c r="B566" s="58"/>
      <c r="C566" s="58"/>
      <c r="D566" s="32" t="s">
        <v>797</v>
      </c>
      <c r="E566" s="106"/>
      <c r="F566" s="32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4.25" customHeight="1">
      <c r="A567" s="106"/>
      <c r="B567" s="58"/>
      <c r="C567" s="58"/>
      <c r="D567" s="32" t="s">
        <v>798</v>
      </c>
      <c r="E567" s="106"/>
      <c r="F567" s="32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4.25" customHeight="1">
      <c r="A568" s="106"/>
      <c r="B568" s="58"/>
      <c r="C568" s="58"/>
      <c r="D568" s="32" t="s">
        <v>799</v>
      </c>
      <c r="E568" s="106"/>
      <c r="F568" s="32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4.25" customHeight="1">
      <c r="A569" s="106"/>
      <c r="B569" s="58"/>
      <c r="C569" s="58"/>
      <c r="D569" s="32" t="s">
        <v>800</v>
      </c>
      <c r="E569" s="106"/>
      <c r="F569" s="32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4.25" customHeight="1">
      <c r="A570" s="106"/>
      <c r="B570" s="58"/>
      <c r="C570" s="58"/>
      <c r="D570" s="32" t="s">
        <v>801</v>
      </c>
      <c r="E570" s="106"/>
      <c r="F570" s="32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4.25" customHeight="1">
      <c r="A571" s="106"/>
      <c r="B571" s="58"/>
      <c r="C571" s="58"/>
      <c r="D571" s="32" t="s">
        <v>802</v>
      </c>
      <c r="E571" s="106"/>
      <c r="F571" s="32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4.25" customHeight="1">
      <c r="A572" s="106"/>
      <c r="B572" s="58"/>
      <c r="C572" s="58"/>
      <c r="D572" s="32" t="s">
        <v>803</v>
      </c>
      <c r="E572" s="106"/>
      <c r="F572" s="32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4.25" customHeight="1">
      <c r="A573" s="106"/>
      <c r="B573" s="58"/>
      <c r="C573" s="58"/>
      <c r="D573" s="32" t="s">
        <v>804</v>
      </c>
      <c r="E573" s="106"/>
      <c r="F573" s="32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4.25" customHeight="1">
      <c r="A574" s="106"/>
      <c r="B574" s="58"/>
      <c r="C574" s="58"/>
      <c r="D574" s="32" t="s">
        <v>805</v>
      </c>
      <c r="E574" s="106"/>
      <c r="F574" s="32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4.25" customHeight="1">
      <c r="A575" s="106"/>
      <c r="B575" s="58"/>
      <c r="C575" s="58"/>
      <c r="D575" s="32" t="s">
        <v>806</v>
      </c>
      <c r="E575" s="106"/>
      <c r="F575" s="32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4.25" customHeight="1">
      <c r="A576" s="106"/>
      <c r="B576" s="58"/>
      <c r="C576" s="58"/>
      <c r="D576" s="32" t="s">
        <v>807</v>
      </c>
      <c r="E576" s="106"/>
      <c r="F576" s="32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4.25" customHeight="1">
      <c r="A577" s="106"/>
      <c r="B577" s="58"/>
      <c r="C577" s="58"/>
      <c r="D577" s="32" t="s">
        <v>808</v>
      </c>
      <c r="E577" s="106"/>
      <c r="F577" s="32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4.25" customHeight="1">
      <c r="A578" s="106"/>
      <c r="B578" s="58"/>
      <c r="C578" s="58"/>
      <c r="D578" s="32" t="s">
        <v>809</v>
      </c>
      <c r="E578" s="106"/>
      <c r="F578" s="32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4.25" customHeight="1">
      <c r="A579" s="106"/>
      <c r="B579" s="58"/>
      <c r="C579" s="58"/>
      <c r="D579" s="32" t="s">
        <v>810</v>
      </c>
      <c r="E579" s="106"/>
      <c r="F579" s="32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4.25" customHeight="1">
      <c r="A580" s="106"/>
      <c r="B580" s="58"/>
      <c r="C580" s="58"/>
      <c r="D580" s="32" t="s">
        <v>811</v>
      </c>
      <c r="E580" s="106"/>
      <c r="F580" s="32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4.25" customHeight="1">
      <c r="A581" s="106"/>
      <c r="B581" s="58"/>
      <c r="C581" s="58"/>
      <c r="D581" s="32" t="s">
        <v>812</v>
      </c>
      <c r="E581" s="106"/>
      <c r="F581" s="32"/>
      <c r="G581" s="10" t="s">
        <v>213</v>
      </c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4.25" customHeight="1">
      <c r="A582" s="106"/>
      <c r="B582" s="58"/>
      <c r="C582" s="58"/>
      <c r="D582" s="32" t="s">
        <v>813</v>
      </c>
      <c r="E582" s="106"/>
      <c r="F582" s="32"/>
      <c r="G582" s="10" t="s">
        <v>213</v>
      </c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4.25" customHeight="1">
      <c r="A583" s="106"/>
      <c r="B583" s="58"/>
      <c r="C583" s="58"/>
      <c r="D583" s="32" t="s">
        <v>814</v>
      </c>
      <c r="E583" s="106"/>
      <c r="F583" s="32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4.25" customHeight="1">
      <c r="A584" s="106"/>
      <c r="B584" s="58"/>
      <c r="C584" s="58"/>
      <c r="D584" s="32" t="s">
        <v>815</v>
      </c>
      <c r="E584" s="106"/>
      <c r="F584" s="32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4.25" customHeight="1">
      <c r="A585" s="106"/>
      <c r="B585" s="58"/>
      <c r="C585" s="58"/>
      <c r="D585" s="32" t="s">
        <v>816</v>
      </c>
      <c r="E585" s="106"/>
      <c r="F585" s="32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4.25" customHeight="1">
      <c r="A586" s="106"/>
      <c r="B586" s="58"/>
      <c r="C586" s="58"/>
      <c r="D586" s="32" t="s">
        <v>817</v>
      </c>
      <c r="E586" s="106"/>
      <c r="F586" s="32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4.25" customHeight="1">
      <c r="A587" s="106"/>
      <c r="B587" s="58"/>
      <c r="C587" s="58"/>
      <c r="D587" s="32" t="s">
        <v>818</v>
      </c>
      <c r="E587" s="106"/>
      <c r="F587" s="32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4.25" customHeight="1">
      <c r="A588" s="106"/>
      <c r="B588" s="58"/>
      <c r="C588" s="58"/>
      <c r="D588" s="32" t="s">
        <v>819</v>
      </c>
      <c r="E588" s="106"/>
      <c r="F588" s="32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4.25" customHeight="1">
      <c r="A589" s="106"/>
      <c r="B589" s="58"/>
      <c r="C589" s="58"/>
      <c r="D589" s="32" t="s">
        <v>820</v>
      </c>
      <c r="E589" s="106"/>
      <c r="F589" s="32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4.25" customHeight="1">
      <c r="A590" s="106"/>
      <c r="B590" s="58"/>
      <c r="C590" s="58"/>
      <c r="D590" s="32" t="s">
        <v>821</v>
      </c>
      <c r="E590" s="106"/>
      <c r="F590" s="32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4.25" customHeight="1">
      <c r="A591" s="106"/>
      <c r="B591" s="58"/>
      <c r="C591" s="58"/>
      <c r="D591" s="32" t="s">
        <v>822</v>
      </c>
      <c r="E591" s="106"/>
      <c r="F591" s="32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4.25" customHeight="1">
      <c r="A592" s="106"/>
      <c r="B592" s="59"/>
      <c r="C592" s="59"/>
      <c r="D592" s="32" t="s">
        <v>823</v>
      </c>
      <c r="E592" s="106"/>
      <c r="F592" s="32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4.25" customHeight="1">
      <c r="A593" s="106"/>
      <c r="B593" s="49"/>
      <c r="C593" s="55" t="s">
        <v>159</v>
      </c>
      <c r="D593" s="28" t="s">
        <v>824</v>
      </c>
      <c r="E593" s="106"/>
      <c r="F593" s="28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4.25" customHeight="1">
      <c r="A594" s="106"/>
      <c r="B594" s="49"/>
      <c r="C594" s="55"/>
      <c r="D594" s="28" t="s">
        <v>825</v>
      </c>
      <c r="E594" s="106"/>
      <c r="F594" s="28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4.25" customHeight="1">
      <c r="A595" s="106"/>
      <c r="B595" s="49"/>
      <c r="C595" s="55"/>
      <c r="D595" s="28" t="s">
        <v>313</v>
      </c>
      <c r="E595" s="106"/>
      <c r="F595" s="28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4.25" customHeight="1">
      <c r="A596" s="106"/>
      <c r="B596" s="38"/>
      <c r="C596" s="45" t="s">
        <v>87</v>
      </c>
      <c r="D596" s="32" t="s">
        <v>337</v>
      </c>
      <c r="E596" s="106"/>
      <c r="F596" s="32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4.25" customHeight="1">
      <c r="A597" s="106"/>
      <c r="B597" s="60"/>
      <c r="C597" s="61"/>
      <c r="D597" s="62" t="s">
        <v>338</v>
      </c>
      <c r="E597" s="106"/>
      <c r="F597" s="32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4.25" customHeight="1">
      <c r="A598" s="106"/>
      <c r="B598" s="48"/>
      <c r="C598" s="48" t="s">
        <v>114</v>
      </c>
      <c r="D598" s="28" t="s">
        <v>826</v>
      </c>
      <c r="E598" s="106"/>
      <c r="F598" s="28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4.25" customHeight="1">
      <c r="A599" s="106"/>
      <c r="B599" s="49"/>
      <c r="C599" s="49"/>
      <c r="D599" s="28" t="s">
        <v>827</v>
      </c>
      <c r="E599" s="106"/>
      <c r="F599" s="28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4.25" customHeight="1">
      <c r="A600" s="106"/>
      <c r="B600" s="49"/>
      <c r="C600" s="49"/>
      <c r="D600" s="28" t="s">
        <v>828</v>
      </c>
      <c r="E600" s="106"/>
      <c r="F600" s="28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4.25" customHeight="1">
      <c r="A601" s="106"/>
      <c r="B601" s="49"/>
      <c r="C601" s="49"/>
      <c r="D601" s="28" t="s">
        <v>829</v>
      </c>
      <c r="E601" s="106"/>
      <c r="F601" s="28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4.25" customHeight="1">
      <c r="A602" s="106"/>
      <c r="B602" s="49"/>
      <c r="C602" s="49"/>
      <c r="D602" s="28" t="s">
        <v>830</v>
      </c>
      <c r="E602" s="106"/>
      <c r="F602" s="28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4.25" customHeight="1">
      <c r="A603" s="106"/>
      <c r="B603" s="49"/>
      <c r="C603" s="49"/>
      <c r="D603" s="28" t="s">
        <v>831</v>
      </c>
      <c r="E603" s="106"/>
      <c r="F603" s="28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4.25" customHeight="1">
      <c r="A604" s="106"/>
      <c r="B604" s="49"/>
      <c r="C604" s="49"/>
      <c r="D604" s="28" t="s">
        <v>832</v>
      </c>
      <c r="E604" s="106"/>
      <c r="F604" s="28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4.25" customHeight="1">
      <c r="A605" s="106"/>
      <c r="B605" s="49"/>
      <c r="C605" s="49"/>
      <c r="D605" s="28" t="s">
        <v>833</v>
      </c>
      <c r="E605" s="106"/>
      <c r="F605" s="28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4.25" customHeight="1">
      <c r="A606" s="106"/>
      <c r="B606" s="49"/>
      <c r="C606" s="49"/>
      <c r="D606" s="28" t="s">
        <v>834</v>
      </c>
      <c r="E606" s="106"/>
      <c r="F606" s="28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4.25" customHeight="1">
      <c r="A607" s="106"/>
      <c r="B607" s="49"/>
      <c r="C607" s="49"/>
      <c r="D607" s="28" t="s">
        <v>835</v>
      </c>
      <c r="E607" s="106"/>
      <c r="F607" s="28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4.25" customHeight="1">
      <c r="A608" s="106"/>
      <c r="B608" s="49"/>
      <c r="C608" s="49"/>
      <c r="D608" s="28" t="s">
        <v>836</v>
      </c>
      <c r="E608" s="106"/>
      <c r="F608" s="28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4.25" customHeight="1">
      <c r="A609" s="106"/>
      <c r="B609" s="49"/>
      <c r="C609" s="49"/>
      <c r="D609" s="28" t="s">
        <v>837</v>
      </c>
      <c r="E609" s="106"/>
      <c r="F609" s="28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4.25" customHeight="1">
      <c r="A610" s="106"/>
      <c r="B610" s="49"/>
      <c r="C610" s="49"/>
      <c r="D610" s="28" t="s">
        <v>838</v>
      </c>
      <c r="E610" s="106"/>
      <c r="F610" s="28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4.25" customHeight="1">
      <c r="A611" s="106"/>
      <c r="B611" s="49"/>
      <c r="C611" s="49"/>
      <c r="D611" s="28" t="s">
        <v>839</v>
      </c>
      <c r="E611" s="106"/>
      <c r="F611" s="28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4.25" customHeight="1">
      <c r="A612" s="106"/>
      <c r="B612" s="49"/>
      <c r="C612" s="49"/>
      <c r="D612" s="28" t="s">
        <v>840</v>
      </c>
      <c r="E612" s="106"/>
      <c r="F612" s="28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4.25" customHeight="1">
      <c r="A613" s="106"/>
      <c r="B613" s="49"/>
      <c r="C613" s="49"/>
      <c r="D613" s="28" t="s">
        <v>841</v>
      </c>
      <c r="E613" s="106"/>
      <c r="F613" s="28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4.25" customHeight="1">
      <c r="A614" s="106"/>
      <c r="B614" s="49"/>
      <c r="C614" s="49"/>
      <c r="D614" s="28" t="s">
        <v>842</v>
      </c>
      <c r="E614" s="106"/>
      <c r="F614" s="28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4.25" customHeight="1">
      <c r="A615" s="106"/>
      <c r="B615" s="49"/>
      <c r="C615" s="49"/>
      <c r="D615" s="28" t="s">
        <v>843</v>
      </c>
      <c r="E615" s="106"/>
      <c r="F615" s="28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4.25" customHeight="1">
      <c r="A616" s="106"/>
      <c r="B616" s="49"/>
      <c r="C616" s="49"/>
      <c r="D616" s="28" t="s">
        <v>844</v>
      </c>
      <c r="E616" s="106"/>
      <c r="F616" s="28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4.25" customHeight="1">
      <c r="A617" s="106"/>
      <c r="B617" s="49"/>
      <c r="C617" s="49"/>
      <c r="D617" s="28" t="s">
        <v>845</v>
      </c>
      <c r="E617" s="106"/>
      <c r="F617" s="28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4.25" customHeight="1">
      <c r="A618" s="106"/>
      <c r="B618" s="49"/>
      <c r="C618" s="49"/>
      <c r="D618" s="28" t="s">
        <v>846</v>
      </c>
      <c r="E618" s="106"/>
      <c r="F618" s="28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4.25" customHeight="1">
      <c r="A619" s="106"/>
      <c r="B619" s="49"/>
      <c r="C619" s="49"/>
      <c r="D619" s="28" t="s">
        <v>847</v>
      </c>
      <c r="E619" s="106"/>
      <c r="F619" s="28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4.25" customHeight="1">
      <c r="A620" s="106"/>
      <c r="B620" s="49"/>
      <c r="C620" s="49"/>
      <c r="D620" s="28" t="s">
        <v>848</v>
      </c>
      <c r="E620" s="106"/>
      <c r="F620" s="28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4.25" customHeight="1">
      <c r="A621" s="106"/>
      <c r="B621" s="49"/>
      <c r="C621" s="49"/>
      <c r="D621" s="28" t="s">
        <v>568</v>
      </c>
      <c r="E621" s="106"/>
      <c r="F621" s="28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4.25" customHeight="1">
      <c r="A622" s="106"/>
      <c r="B622" s="49"/>
      <c r="C622" s="49"/>
      <c r="D622" s="28" t="s">
        <v>849</v>
      </c>
      <c r="E622" s="106"/>
      <c r="F622" s="28"/>
      <c r="G622" s="10" t="s">
        <v>213</v>
      </c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4.25" customHeight="1">
      <c r="A623" s="106"/>
      <c r="B623" s="38"/>
      <c r="C623" s="38" t="s">
        <v>177</v>
      </c>
      <c r="D623" s="32" t="s">
        <v>850</v>
      </c>
      <c r="E623" s="106"/>
      <c r="F623" s="32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4.25" customHeight="1">
      <c r="A624" s="106"/>
      <c r="B624" s="39"/>
      <c r="C624" s="39"/>
      <c r="D624" s="32" t="s">
        <v>851</v>
      </c>
      <c r="E624" s="106"/>
      <c r="F624" s="32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4.25" customHeight="1">
      <c r="A625" s="106"/>
      <c r="B625" s="39"/>
      <c r="C625" s="39"/>
      <c r="D625" s="32" t="s">
        <v>852</v>
      </c>
      <c r="E625" s="106"/>
      <c r="F625" s="32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4.25" customHeight="1">
      <c r="A626" s="106"/>
      <c r="B626" s="39"/>
      <c r="C626" s="39"/>
      <c r="D626" s="32" t="s">
        <v>853</v>
      </c>
      <c r="E626" s="106"/>
      <c r="F626" s="32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4.25" customHeight="1">
      <c r="A627" s="106"/>
      <c r="B627" s="39"/>
      <c r="C627" s="39"/>
      <c r="D627" s="32" t="s">
        <v>854</v>
      </c>
      <c r="E627" s="106"/>
      <c r="F627" s="32"/>
      <c r="G627" s="10" t="s">
        <v>213</v>
      </c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4.25" customHeight="1">
      <c r="A628" s="106"/>
      <c r="B628" s="39"/>
      <c r="C628" s="39"/>
      <c r="D628" s="32" t="s">
        <v>855</v>
      </c>
      <c r="E628" s="106"/>
      <c r="F628" s="32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4.25" customHeight="1">
      <c r="A629" s="106"/>
      <c r="B629" s="39"/>
      <c r="C629" s="39"/>
      <c r="D629" s="32" t="s">
        <v>856</v>
      </c>
      <c r="E629" s="106"/>
      <c r="F629" s="32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4.25" customHeight="1">
      <c r="A630" s="106"/>
      <c r="B630" s="39"/>
      <c r="C630" s="39"/>
      <c r="D630" s="32" t="s">
        <v>461</v>
      </c>
      <c r="E630" s="106"/>
      <c r="F630" s="32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4.25" customHeight="1">
      <c r="A631" s="106"/>
      <c r="B631" s="39"/>
      <c r="C631" s="39"/>
      <c r="D631" s="32" t="s">
        <v>857</v>
      </c>
      <c r="E631" s="106"/>
      <c r="F631" s="32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4.25" customHeight="1">
      <c r="A632" s="106"/>
      <c r="B632" s="39"/>
      <c r="C632" s="39"/>
      <c r="D632" s="32" t="s">
        <v>858</v>
      </c>
      <c r="E632" s="106"/>
      <c r="F632" s="32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4.25" customHeight="1">
      <c r="A633" s="106"/>
      <c r="B633" s="39"/>
      <c r="C633" s="39"/>
      <c r="D633" s="32" t="s">
        <v>859</v>
      </c>
      <c r="E633" s="106"/>
      <c r="F633" s="32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4.25" customHeight="1">
      <c r="A634" s="106"/>
      <c r="B634" s="40"/>
      <c r="C634" s="40"/>
      <c r="D634" s="32" t="s">
        <v>313</v>
      </c>
      <c r="E634" s="106"/>
      <c r="F634" s="32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4.25" customHeight="1">
      <c r="A635" s="106"/>
      <c r="B635" s="49"/>
      <c r="C635" s="55" t="s">
        <v>178</v>
      </c>
      <c r="D635" s="28" t="s">
        <v>860</v>
      </c>
      <c r="E635" s="106"/>
      <c r="F635" s="28" t="s">
        <v>861</v>
      </c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4.25" customHeight="1">
      <c r="A636" s="106"/>
      <c r="B636" s="49"/>
      <c r="C636" s="55"/>
      <c r="D636" s="28" t="s">
        <v>862</v>
      </c>
      <c r="E636" s="106"/>
      <c r="F636" s="28" t="s">
        <v>863</v>
      </c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4.25" customHeight="1">
      <c r="A637" s="106"/>
      <c r="B637" s="49"/>
      <c r="C637" s="55"/>
      <c r="D637" s="28" t="s">
        <v>864</v>
      </c>
      <c r="E637" s="106"/>
      <c r="F637" s="28" t="s">
        <v>865</v>
      </c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4.25" customHeight="1">
      <c r="A638" s="106"/>
      <c r="B638" s="49"/>
      <c r="C638" s="55"/>
      <c r="D638" s="28" t="s">
        <v>866</v>
      </c>
      <c r="E638" s="106"/>
      <c r="F638" s="28" t="s">
        <v>867</v>
      </c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4.25" customHeight="1">
      <c r="A639" s="106"/>
      <c r="B639" s="49"/>
      <c r="C639" s="55"/>
      <c r="D639" s="28" t="s">
        <v>868</v>
      </c>
      <c r="E639" s="106"/>
      <c r="F639" s="28" t="s">
        <v>869</v>
      </c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4.25" customHeight="1">
      <c r="A640" s="106"/>
      <c r="B640" s="49"/>
      <c r="C640" s="55"/>
      <c r="D640" s="28" t="s">
        <v>870</v>
      </c>
      <c r="E640" s="106"/>
      <c r="F640" s="28" t="s">
        <v>871</v>
      </c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4.25" customHeight="1">
      <c r="A641" s="106"/>
      <c r="B641" s="49"/>
      <c r="C641" s="55"/>
      <c r="D641" s="28" t="s">
        <v>872</v>
      </c>
      <c r="E641" s="106"/>
      <c r="F641" s="28" t="s">
        <v>873</v>
      </c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4.25" customHeight="1">
      <c r="A642" s="106"/>
      <c r="B642" s="49"/>
      <c r="C642" s="55"/>
      <c r="D642" s="28" t="s">
        <v>874</v>
      </c>
      <c r="E642" s="106"/>
      <c r="F642" s="28" t="s">
        <v>874</v>
      </c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4.25" customHeight="1">
      <c r="A643" s="106"/>
      <c r="B643" s="49"/>
      <c r="C643" s="55"/>
      <c r="D643" s="28" t="s">
        <v>313</v>
      </c>
      <c r="E643" s="106"/>
      <c r="F643" s="28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4.25" customHeight="1">
      <c r="A644" s="106"/>
      <c r="B644" s="38"/>
      <c r="C644" s="38" t="s">
        <v>875</v>
      </c>
      <c r="D644" s="32" t="s">
        <v>876</v>
      </c>
      <c r="E644" s="106"/>
      <c r="F644" s="32" t="s">
        <v>877</v>
      </c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4.25" customHeight="1">
      <c r="A645" s="106"/>
      <c r="B645" s="39"/>
      <c r="C645" s="39"/>
      <c r="D645" s="32" t="s">
        <v>878</v>
      </c>
      <c r="E645" s="106"/>
      <c r="F645" s="32" t="s">
        <v>879</v>
      </c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4.25" customHeight="1">
      <c r="A646" s="106"/>
      <c r="B646" s="39"/>
      <c r="C646" s="39"/>
      <c r="D646" s="32" t="s">
        <v>880</v>
      </c>
      <c r="E646" s="106"/>
      <c r="F646" s="32" t="s">
        <v>881</v>
      </c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4.25" customHeight="1">
      <c r="A647" s="106"/>
      <c r="B647" s="39"/>
      <c r="C647" s="39"/>
      <c r="D647" s="32" t="s">
        <v>882</v>
      </c>
      <c r="E647" s="106"/>
      <c r="F647" s="32" t="s">
        <v>883</v>
      </c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4.25" customHeight="1">
      <c r="A648" s="106"/>
      <c r="B648" s="39"/>
      <c r="C648" s="39"/>
      <c r="D648" s="32" t="s">
        <v>884</v>
      </c>
      <c r="E648" s="106"/>
      <c r="F648" s="32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4.25" customHeight="1">
      <c r="A649" s="106"/>
      <c r="B649" s="40"/>
      <c r="C649" s="40"/>
      <c r="D649" s="32" t="s">
        <v>313</v>
      </c>
      <c r="E649" s="106"/>
      <c r="F649" s="32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4.25" customHeight="1">
      <c r="A650" s="106"/>
      <c r="B650" s="49"/>
      <c r="C650" s="55" t="s">
        <v>103</v>
      </c>
      <c r="D650" s="28" t="s">
        <v>885</v>
      </c>
      <c r="E650" s="106"/>
      <c r="F650" s="28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4.25" customHeight="1">
      <c r="A651" s="106"/>
      <c r="B651" s="49"/>
      <c r="C651" s="55"/>
      <c r="D651" s="28" t="s">
        <v>886</v>
      </c>
      <c r="E651" s="106"/>
      <c r="F651" s="28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4.25" customHeight="1">
      <c r="A652" s="106"/>
      <c r="B652" s="49"/>
      <c r="C652" s="55"/>
      <c r="D652" s="28" t="s">
        <v>887</v>
      </c>
      <c r="E652" s="106"/>
      <c r="F652" s="28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4.25" customHeight="1">
      <c r="A653" s="106"/>
      <c r="B653" s="49"/>
      <c r="C653" s="55"/>
      <c r="D653" s="28" t="s">
        <v>888</v>
      </c>
      <c r="E653" s="106"/>
      <c r="F653" s="28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4.25" customHeight="1">
      <c r="A654" s="106"/>
      <c r="B654" s="49"/>
      <c r="C654" s="55"/>
      <c r="D654" s="28" t="s">
        <v>313</v>
      </c>
      <c r="E654" s="106"/>
      <c r="F654" s="28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4.25" customHeight="1">
      <c r="A655" s="106"/>
      <c r="B655" s="38"/>
      <c r="C655" s="38" t="s">
        <v>104</v>
      </c>
      <c r="D655" s="32" t="s">
        <v>889</v>
      </c>
      <c r="E655" s="106"/>
      <c r="F655" s="32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4.25" customHeight="1">
      <c r="A656" s="106"/>
      <c r="B656" s="39"/>
      <c r="C656" s="39"/>
      <c r="D656" s="32" t="s">
        <v>890</v>
      </c>
      <c r="E656" s="106"/>
      <c r="F656" s="32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4.25" customHeight="1">
      <c r="A657" s="106"/>
      <c r="B657" s="49"/>
      <c r="C657" s="55" t="s">
        <v>17</v>
      </c>
      <c r="D657" s="28" t="s">
        <v>15</v>
      </c>
      <c r="E657" s="106"/>
      <c r="F657" s="28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4.25" customHeight="1">
      <c r="A658" s="106"/>
      <c r="B658" s="49"/>
      <c r="C658" s="55"/>
      <c r="D658" s="28" t="s">
        <v>16</v>
      </c>
      <c r="E658" s="106"/>
      <c r="F658" s="28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4.25" customHeight="1">
      <c r="A659" s="106"/>
      <c r="B659" s="38"/>
      <c r="C659" s="38" t="s">
        <v>139</v>
      </c>
      <c r="D659" s="32" t="s">
        <v>891</v>
      </c>
      <c r="E659" s="106"/>
      <c r="F659" s="32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4.25" customHeight="1">
      <c r="A660" s="106"/>
      <c r="B660" s="39"/>
      <c r="C660" s="39"/>
      <c r="D660" s="32" t="s">
        <v>892</v>
      </c>
      <c r="E660" s="106"/>
      <c r="F660" s="32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4.25" customHeight="1">
      <c r="A661" s="106"/>
      <c r="B661" s="39"/>
      <c r="C661" s="39"/>
      <c r="D661" s="32" t="s">
        <v>893</v>
      </c>
      <c r="E661" s="106"/>
      <c r="F661" s="32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4.25" customHeight="1">
      <c r="A662" s="106"/>
      <c r="B662" s="39"/>
      <c r="C662" s="39"/>
      <c r="D662" s="32" t="s">
        <v>894</v>
      </c>
      <c r="E662" s="106"/>
      <c r="F662" s="32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4.25" customHeight="1">
      <c r="A663" s="106"/>
      <c r="B663" s="39"/>
      <c r="C663" s="39"/>
      <c r="D663" s="32" t="s">
        <v>895</v>
      </c>
      <c r="E663" s="106"/>
      <c r="F663" s="32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4.25" customHeight="1">
      <c r="A664" s="106"/>
      <c r="B664" s="39"/>
      <c r="C664" s="39"/>
      <c r="D664" s="32" t="s">
        <v>896</v>
      </c>
      <c r="E664" s="106"/>
      <c r="F664" s="32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4.25" customHeight="1">
      <c r="A665" s="106"/>
      <c r="B665" s="39"/>
      <c r="C665" s="39"/>
      <c r="D665" s="32" t="s">
        <v>313</v>
      </c>
      <c r="E665" s="106"/>
      <c r="F665" s="32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4.25" customHeight="1">
      <c r="A666" s="106"/>
      <c r="B666" s="40"/>
      <c r="C666" s="40"/>
      <c r="D666" s="32" t="s">
        <v>897</v>
      </c>
      <c r="E666" s="106"/>
      <c r="F666" s="32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4.25" customHeight="1">
      <c r="A667" s="106"/>
      <c r="B667" s="49"/>
      <c r="C667" s="55" t="s">
        <v>140</v>
      </c>
      <c r="D667" s="28" t="s">
        <v>898</v>
      </c>
      <c r="E667" s="106"/>
      <c r="F667" s="28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4.25" customHeight="1">
      <c r="A668" s="106"/>
      <c r="B668" s="49"/>
      <c r="C668" s="55"/>
      <c r="D668" s="28" t="s">
        <v>899</v>
      </c>
      <c r="E668" s="106"/>
      <c r="F668" s="28"/>
      <c r="G668" s="10"/>
      <c r="H668" s="63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4.25" customHeight="1">
      <c r="A669" s="106"/>
      <c r="B669" s="38"/>
      <c r="C669" s="38" t="s">
        <v>85</v>
      </c>
      <c r="D669" s="32" t="s">
        <v>900</v>
      </c>
      <c r="E669" s="106"/>
      <c r="F669" s="32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4.25" customHeight="1">
      <c r="A670" s="106"/>
      <c r="B670" s="39"/>
      <c r="C670" s="39"/>
      <c r="D670" s="32" t="s">
        <v>901</v>
      </c>
      <c r="E670" s="106"/>
      <c r="F670" s="32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4.25" customHeight="1">
      <c r="A671" s="106"/>
      <c r="B671" s="39"/>
      <c r="C671" s="39"/>
      <c r="D671" s="32" t="s">
        <v>902</v>
      </c>
      <c r="E671" s="106"/>
      <c r="F671" s="32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4.25" customHeight="1">
      <c r="A672" s="106"/>
      <c r="B672" s="39"/>
      <c r="C672" s="39"/>
      <c r="D672" s="32" t="s">
        <v>903</v>
      </c>
      <c r="E672" s="106"/>
      <c r="F672" s="32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4.25" customHeight="1">
      <c r="A673" s="106"/>
      <c r="B673" s="39"/>
      <c r="C673" s="39"/>
      <c r="D673" s="32" t="s">
        <v>904</v>
      </c>
      <c r="E673" s="106"/>
      <c r="F673" s="32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4.25" customHeight="1">
      <c r="A674" s="106"/>
      <c r="B674" s="39"/>
      <c r="C674" s="39"/>
      <c r="D674" s="32" t="s">
        <v>905</v>
      </c>
      <c r="E674" s="106"/>
      <c r="F674" s="32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4.25" customHeight="1">
      <c r="A675" s="106"/>
      <c r="B675" s="39"/>
      <c r="C675" s="39"/>
      <c r="D675" s="32" t="s">
        <v>906</v>
      </c>
      <c r="E675" s="106"/>
      <c r="F675" s="32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4.25" customHeight="1">
      <c r="A676" s="106"/>
      <c r="B676" s="39"/>
      <c r="C676" s="39"/>
      <c r="D676" s="32" t="s">
        <v>907</v>
      </c>
      <c r="E676" s="106"/>
      <c r="F676" s="32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4.25" customHeight="1">
      <c r="A677" s="106"/>
      <c r="B677" s="39"/>
      <c r="C677" s="39"/>
      <c r="D677" s="32" t="s">
        <v>908</v>
      </c>
      <c r="E677" s="106"/>
      <c r="F677" s="32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4.25" customHeight="1">
      <c r="A678" s="106"/>
      <c r="B678" s="39"/>
      <c r="C678" s="39"/>
      <c r="D678" s="32" t="s">
        <v>909</v>
      </c>
      <c r="E678" s="106"/>
      <c r="F678" s="32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4.25" customHeight="1">
      <c r="A679" s="106"/>
      <c r="B679" s="39"/>
      <c r="C679" s="39"/>
      <c r="D679" s="32" t="s">
        <v>568</v>
      </c>
      <c r="E679" s="106"/>
      <c r="F679" s="32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4.25" customHeight="1">
      <c r="A680" s="106"/>
      <c r="B680" s="40"/>
      <c r="C680" s="40"/>
      <c r="D680" s="32" t="s">
        <v>897</v>
      </c>
      <c r="E680" s="106"/>
      <c r="F680" s="32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4.25" customHeight="1">
      <c r="A681" s="106"/>
      <c r="B681" s="44"/>
      <c r="C681" s="44" t="s">
        <v>143</v>
      </c>
      <c r="D681" s="28" t="s">
        <v>891</v>
      </c>
      <c r="E681" s="106"/>
      <c r="F681" s="28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4.25" customHeight="1">
      <c r="A682" s="106"/>
      <c r="B682" s="41"/>
      <c r="C682" s="41"/>
      <c r="D682" s="28" t="s">
        <v>892</v>
      </c>
      <c r="E682" s="106"/>
      <c r="F682" s="28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4.25" customHeight="1">
      <c r="A683" s="106"/>
      <c r="B683" s="41"/>
      <c r="C683" s="41"/>
      <c r="D683" s="28" t="s">
        <v>893</v>
      </c>
      <c r="E683" s="106"/>
      <c r="F683" s="28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4.25" customHeight="1">
      <c r="A684" s="106"/>
      <c r="B684" s="41"/>
      <c r="C684" s="41"/>
      <c r="D684" s="28" t="s">
        <v>894</v>
      </c>
      <c r="E684" s="106"/>
      <c r="F684" s="28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4.25" customHeight="1">
      <c r="A685" s="106"/>
      <c r="B685" s="41"/>
      <c r="C685" s="41"/>
      <c r="D685" s="28" t="s">
        <v>895</v>
      </c>
      <c r="E685" s="106"/>
      <c r="F685" s="28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4.25" customHeight="1">
      <c r="A686" s="106"/>
      <c r="B686" s="41"/>
      <c r="C686" s="41"/>
      <c r="D686" s="28" t="s">
        <v>896</v>
      </c>
      <c r="E686" s="106"/>
      <c r="F686" s="28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4.25" customHeight="1">
      <c r="A687" s="106"/>
      <c r="B687" s="41"/>
      <c r="C687" s="41"/>
      <c r="D687" s="28" t="s">
        <v>313</v>
      </c>
      <c r="E687" s="106"/>
      <c r="F687" s="28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4.25" customHeight="1">
      <c r="A688" s="106"/>
      <c r="B688" s="41"/>
      <c r="C688" s="41"/>
      <c r="D688" s="28" t="s">
        <v>897</v>
      </c>
      <c r="E688" s="106"/>
      <c r="F688" s="28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4.25" customHeight="1">
      <c r="A689" s="106"/>
      <c r="B689" s="38"/>
      <c r="C689" s="38" t="s">
        <v>910</v>
      </c>
      <c r="D689" s="32" t="s">
        <v>911</v>
      </c>
      <c r="E689" s="106"/>
      <c r="F689" s="32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4.25" customHeight="1">
      <c r="A690" s="106"/>
      <c r="B690" s="39"/>
      <c r="C690" s="40"/>
      <c r="D690" s="32" t="s">
        <v>912</v>
      </c>
      <c r="E690" s="106"/>
      <c r="F690" s="32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4.25" customHeight="1">
      <c r="A691" s="106"/>
      <c r="B691" s="44"/>
      <c r="C691" s="44" t="s">
        <v>142</v>
      </c>
      <c r="D691" s="28" t="s">
        <v>913</v>
      </c>
      <c r="E691" s="106"/>
      <c r="F691" s="28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4.25" customHeight="1">
      <c r="A692" s="106"/>
      <c r="B692" s="41"/>
      <c r="C692" s="41"/>
      <c r="D692" s="28" t="s">
        <v>914</v>
      </c>
      <c r="E692" s="106"/>
      <c r="F692" s="28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4.25" customHeight="1">
      <c r="A693" s="106"/>
      <c r="B693" s="38"/>
      <c r="C693" s="38" t="s">
        <v>134</v>
      </c>
      <c r="D693" s="32" t="s">
        <v>915</v>
      </c>
      <c r="E693" s="106"/>
      <c r="F693" s="32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4.25" customHeight="1">
      <c r="A694" s="106"/>
      <c r="B694" s="39"/>
      <c r="C694" s="39"/>
      <c r="D694" s="32" t="s">
        <v>744</v>
      </c>
      <c r="E694" s="106"/>
      <c r="F694" s="32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4.25" customHeight="1">
      <c r="A695" s="106"/>
      <c r="B695" s="39"/>
      <c r="C695" s="39"/>
      <c r="D695" s="32" t="s">
        <v>916</v>
      </c>
      <c r="E695" s="106"/>
      <c r="F695" s="32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4.25" customHeight="1">
      <c r="A696" s="106"/>
      <c r="B696" s="39"/>
      <c r="C696" s="39"/>
      <c r="D696" s="32" t="s">
        <v>917</v>
      </c>
      <c r="E696" s="106"/>
      <c r="F696" s="32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4.25" customHeight="1">
      <c r="A697" s="106"/>
      <c r="B697" s="39"/>
      <c r="C697" s="39"/>
      <c r="D697" s="32" t="s">
        <v>918</v>
      </c>
      <c r="E697" s="106"/>
      <c r="F697" s="32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4.25" customHeight="1">
      <c r="A698" s="106"/>
      <c r="B698" s="39"/>
      <c r="C698" s="39"/>
      <c r="D698" s="32" t="s">
        <v>83</v>
      </c>
      <c r="E698" s="106"/>
      <c r="F698" s="32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4.25" customHeight="1">
      <c r="A699" s="106"/>
      <c r="B699" s="39"/>
      <c r="C699" s="39"/>
      <c r="D699" s="32" t="s">
        <v>919</v>
      </c>
      <c r="E699" s="106"/>
      <c r="F699" s="32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4.25" customHeight="1">
      <c r="A700" s="106"/>
      <c r="B700" s="39"/>
      <c r="C700" s="39"/>
      <c r="D700" s="32" t="s">
        <v>920</v>
      </c>
      <c r="E700" s="106"/>
      <c r="F700" s="32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4.25" customHeight="1">
      <c r="A701" s="106"/>
      <c r="B701" s="39"/>
      <c r="C701" s="39"/>
      <c r="D701" s="32" t="s">
        <v>313</v>
      </c>
      <c r="E701" s="106"/>
      <c r="F701" s="32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4.25" customHeight="1">
      <c r="A702" s="106"/>
      <c r="B702" s="44"/>
      <c r="C702" s="44" t="s">
        <v>135</v>
      </c>
      <c r="D702" s="28" t="s">
        <v>435</v>
      </c>
      <c r="E702" s="106"/>
      <c r="F702" s="28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4.25" customHeight="1">
      <c r="A703" s="106"/>
      <c r="B703" s="41"/>
      <c r="C703" s="41"/>
      <c r="D703" s="28" t="s">
        <v>436</v>
      </c>
      <c r="E703" s="106"/>
      <c r="F703" s="28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4.25" customHeight="1">
      <c r="A704" s="106"/>
      <c r="B704" s="41"/>
      <c r="C704" s="41"/>
      <c r="D704" s="28" t="s">
        <v>437</v>
      </c>
      <c r="E704" s="106"/>
      <c r="F704" s="28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4.25" customHeight="1">
      <c r="A705" s="106"/>
      <c r="B705" s="41"/>
      <c r="C705" s="41"/>
      <c r="D705" s="28" t="s">
        <v>438</v>
      </c>
      <c r="E705" s="106"/>
      <c r="F705" s="28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4.25" customHeight="1">
      <c r="A706" s="106"/>
      <c r="B706" s="41"/>
      <c r="C706" s="41"/>
      <c r="D706" s="28" t="s">
        <v>439</v>
      </c>
      <c r="E706" s="106"/>
      <c r="F706" s="28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4.25" customHeight="1">
      <c r="A707" s="106"/>
      <c r="B707" s="41"/>
      <c r="C707" s="41"/>
      <c r="D707" s="28" t="s">
        <v>440</v>
      </c>
      <c r="E707" s="106"/>
      <c r="F707" s="28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4.25" customHeight="1">
      <c r="A708" s="106"/>
      <c r="B708" s="41"/>
      <c r="C708" s="41"/>
      <c r="D708" s="28" t="s">
        <v>442</v>
      </c>
      <c r="E708" s="106"/>
      <c r="F708" s="28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4.25" customHeight="1">
      <c r="A709" s="106"/>
      <c r="B709" s="41"/>
      <c r="C709" s="41"/>
      <c r="D709" s="28" t="s">
        <v>443</v>
      </c>
      <c r="E709" s="106"/>
      <c r="F709" s="28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4.25" customHeight="1">
      <c r="A710" s="106"/>
      <c r="B710" s="41"/>
      <c r="C710" s="41"/>
      <c r="D710" s="28" t="s">
        <v>444</v>
      </c>
      <c r="E710" s="106"/>
      <c r="F710" s="28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4.25" customHeight="1">
      <c r="A711" s="106"/>
      <c r="B711" s="41"/>
      <c r="C711" s="41"/>
      <c r="D711" s="28" t="s">
        <v>445</v>
      </c>
      <c r="E711" s="106"/>
      <c r="F711" s="28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4.25" customHeight="1">
      <c r="A712" s="106"/>
      <c r="B712" s="41"/>
      <c r="C712" s="41"/>
      <c r="D712" s="28" t="s">
        <v>446</v>
      </c>
      <c r="E712" s="106"/>
      <c r="F712" s="28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4.25" customHeight="1">
      <c r="A713" s="106"/>
      <c r="B713" s="41"/>
      <c r="C713" s="41"/>
      <c r="D713" s="28" t="s">
        <v>447</v>
      </c>
      <c r="E713" s="106"/>
      <c r="F713" s="28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4.25" customHeight="1">
      <c r="A714" s="106"/>
      <c r="B714" s="41"/>
      <c r="C714" s="41"/>
      <c r="D714" s="28" t="s">
        <v>448</v>
      </c>
      <c r="E714" s="106"/>
      <c r="F714" s="28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4.25" customHeight="1">
      <c r="A715" s="106"/>
      <c r="B715" s="41"/>
      <c r="C715" s="41"/>
      <c r="D715" s="28" t="s">
        <v>449</v>
      </c>
      <c r="E715" s="106"/>
      <c r="F715" s="28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4.25" customHeight="1">
      <c r="A716" s="106"/>
      <c r="B716" s="41"/>
      <c r="C716" s="41"/>
      <c r="D716" s="28" t="s">
        <v>450</v>
      </c>
      <c r="E716" s="106"/>
      <c r="F716" s="28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4.25" customHeight="1">
      <c r="A717" s="106"/>
      <c r="B717" s="41"/>
      <c r="C717" s="41"/>
      <c r="D717" s="28" t="s">
        <v>451</v>
      </c>
      <c r="E717" s="106"/>
      <c r="F717" s="28" t="s">
        <v>452</v>
      </c>
      <c r="G717" s="10" t="s">
        <v>213</v>
      </c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4.25" customHeight="1">
      <c r="A718" s="106"/>
      <c r="B718" s="41"/>
      <c r="C718" s="41"/>
      <c r="D718" s="28" t="s">
        <v>453</v>
      </c>
      <c r="E718" s="106"/>
      <c r="F718" s="28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4.25" customHeight="1">
      <c r="A719" s="106"/>
      <c r="B719" s="41"/>
      <c r="C719" s="41"/>
      <c r="D719" s="28" t="s">
        <v>454</v>
      </c>
      <c r="E719" s="106"/>
      <c r="F719" s="28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4.25" customHeight="1">
      <c r="A720" s="106"/>
      <c r="B720" s="41"/>
      <c r="C720" s="41"/>
      <c r="D720" s="28" t="s">
        <v>455</v>
      </c>
      <c r="E720" s="106"/>
      <c r="F720" s="28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4.25" customHeight="1">
      <c r="A721" s="106"/>
      <c r="B721" s="41"/>
      <c r="C721" s="41"/>
      <c r="D721" s="28" t="s">
        <v>456</v>
      </c>
      <c r="E721" s="106"/>
      <c r="F721" s="28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4.25" customHeight="1">
      <c r="A722" s="106"/>
      <c r="B722" s="41"/>
      <c r="C722" s="41"/>
      <c r="D722" s="28" t="s">
        <v>457</v>
      </c>
      <c r="E722" s="106"/>
      <c r="F722" s="28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4.25" customHeight="1">
      <c r="A723" s="106"/>
      <c r="B723" s="41"/>
      <c r="C723" s="41"/>
      <c r="D723" s="28" t="s">
        <v>458</v>
      </c>
      <c r="E723" s="106"/>
      <c r="F723" s="28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4.25" customHeight="1">
      <c r="A724" s="106"/>
      <c r="B724" s="41"/>
      <c r="C724" s="41"/>
      <c r="D724" s="28" t="s">
        <v>459</v>
      </c>
      <c r="E724" s="106"/>
      <c r="F724" s="28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4.25" customHeight="1">
      <c r="A725" s="106"/>
      <c r="B725" s="41"/>
      <c r="C725" s="41"/>
      <c r="D725" s="28" t="s">
        <v>460</v>
      </c>
      <c r="E725" s="106"/>
      <c r="F725" s="28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4.25" customHeight="1">
      <c r="A726" s="106"/>
      <c r="B726" s="41"/>
      <c r="C726" s="41"/>
      <c r="D726" s="28" t="s">
        <v>461</v>
      </c>
      <c r="E726" s="106"/>
      <c r="F726" s="28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4.25" customHeight="1">
      <c r="A727" s="106"/>
      <c r="B727" s="41"/>
      <c r="C727" s="41"/>
      <c r="D727" s="28" t="s">
        <v>462</v>
      </c>
      <c r="E727" s="106"/>
      <c r="F727" s="28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4.25" customHeight="1">
      <c r="A728" s="106"/>
      <c r="B728" s="41"/>
      <c r="C728" s="41"/>
      <c r="D728" s="28" t="s">
        <v>463</v>
      </c>
      <c r="E728" s="106"/>
      <c r="F728" s="28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4.25" customHeight="1">
      <c r="A729" s="106"/>
      <c r="B729" s="41"/>
      <c r="C729" s="41"/>
      <c r="D729" s="28" t="s">
        <v>464</v>
      </c>
      <c r="E729" s="106"/>
      <c r="F729" s="28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4.25" customHeight="1">
      <c r="A730" s="106"/>
      <c r="B730" s="41"/>
      <c r="C730" s="41"/>
      <c r="D730" s="28" t="s">
        <v>465</v>
      </c>
      <c r="E730" s="106"/>
      <c r="F730" s="28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4.25" customHeight="1">
      <c r="A731" s="106"/>
      <c r="B731" s="41"/>
      <c r="C731" s="41"/>
      <c r="D731" s="28" t="s">
        <v>466</v>
      </c>
      <c r="E731" s="106"/>
      <c r="F731" s="28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4.25" customHeight="1">
      <c r="A732" s="106"/>
      <c r="B732" s="41"/>
      <c r="C732" s="41"/>
      <c r="D732" s="28" t="s">
        <v>467</v>
      </c>
      <c r="E732" s="106"/>
      <c r="F732" s="28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4.25" customHeight="1">
      <c r="A733" s="106"/>
      <c r="B733" s="41"/>
      <c r="C733" s="41"/>
      <c r="D733" s="28" t="s">
        <v>468</v>
      </c>
      <c r="E733" s="106"/>
      <c r="F733" s="28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4.25" customHeight="1">
      <c r="A734" s="106"/>
      <c r="B734" s="41"/>
      <c r="C734" s="41"/>
      <c r="D734" s="28" t="s">
        <v>469</v>
      </c>
      <c r="E734" s="106"/>
      <c r="F734" s="28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4.25" customHeight="1">
      <c r="A735" s="106"/>
      <c r="B735" s="41"/>
      <c r="C735" s="41"/>
      <c r="D735" s="28" t="s">
        <v>470</v>
      </c>
      <c r="E735" s="106"/>
      <c r="F735" s="28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4.25" customHeight="1">
      <c r="A736" s="106"/>
      <c r="B736" s="41"/>
      <c r="C736" s="41"/>
      <c r="D736" s="28" t="s">
        <v>471</v>
      </c>
      <c r="E736" s="106"/>
      <c r="F736" s="28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4.25" customHeight="1">
      <c r="A737" s="106"/>
      <c r="B737" s="41"/>
      <c r="C737" s="41"/>
      <c r="D737" s="28" t="s">
        <v>24</v>
      </c>
      <c r="E737" s="106"/>
      <c r="F737" s="28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4.25" customHeight="1">
      <c r="A738" s="106"/>
      <c r="B738" s="41"/>
      <c r="C738" s="41"/>
      <c r="D738" s="28" t="s">
        <v>472</v>
      </c>
      <c r="E738" s="106"/>
      <c r="F738" s="28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4.25" customHeight="1">
      <c r="A739" s="106"/>
      <c r="B739" s="41"/>
      <c r="C739" s="41"/>
      <c r="D739" s="28" t="s">
        <v>473</v>
      </c>
      <c r="E739" s="106"/>
      <c r="F739" s="28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4.25" customHeight="1">
      <c r="A740" s="106"/>
      <c r="B740" s="41"/>
      <c r="C740" s="41"/>
      <c r="D740" s="28" t="s">
        <v>474</v>
      </c>
      <c r="E740" s="106"/>
      <c r="F740" s="28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4.25" customHeight="1">
      <c r="A741" s="106"/>
      <c r="B741" s="41"/>
      <c r="C741" s="41"/>
      <c r="D741" s="28" t="s">
        <v>475</v>
      </c>
      <c r="E741" s="106"/>
      <c r="F741" s="28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4.25" customHeight="1">
      <c r="A742" s="106"/>
      <c r="B742" s="41"/>
      <c r="C742" s="41"/>
      <c r="D742" s="28" t="s">
        <v>476</v>
      </c>
      <c r="E742" s="106"/>
      <c r="F742" s="28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4.25" customHeight="1">
      <c r="A743" s="106"/>
      <c r="B743" s="41"/>
      <c r="C743" s="41"/>
      <c r="D743" s="28" t="s">
        <v>477</v>
      </c>
      <c r="E743" s="106"/>
      <c r="F743" s="28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4.25" customHeight="1">
      <c r="A744" s="106"/>
      <c r="B744" s="41"/>
      <c r="C744" s="41"/>
      <c r="D744" s="28" t="s">
        <v>478</v>
      </c>
      <c r="E744" s="106"/>
      <c r="F744" s="28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4.25" customHeight="1">
      <c r="A745" s="106"/>
      <c r="B745" s="41"/>
      <c r="C745" s="41"/>
      <c r="D745" s="28" t="s">
        <v>479</v>
      </c>
      <c r="E745" s="106"/>
      <c r="F745" s="28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4.25" customHeight="1">
      <c r="A746" s="106"/>
      <c r="B746" s="41"/>
      <c r="C746" s="41"/>
      <c r="D746" s="28" t="s">
        <v>480</v>
      </c>
      <c r="E746" s="106"/>
      <c r="F746" s="28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4.25" customHeight="1">
      <c r="A747" s="106"/>
      <c r="B747" s="41"/>
      <c r="C747" s="41"/>
      <c r="D747" s="28" t="s">
        <v>481</v>
      </c>
      <c r="E747" s="106"/>
      <c r="F747" s="28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4.25" customHeight="1">
      <c r="A748" s="106"/>
      <c r="B748" s="41"/>
      <c r="C748" s="41"/>
      <c r="D748" s="28" t="s">
        <v>482</v>
      </c>
      <c r="E748" s="106"/>
      <c r="F748" s="28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4.25" customHeight="1">
      <c r="A749" s="106"/>
      <c r="B749" s="41"/>
      <c r="C749" s="41"/>
      <c r="D749" s="28" t="s">
        <v>483</v>
      </c>
      <c r="E749" s="106"/>
      <c r="F749" s="28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4.25" customHeight="1">
      <c r="A750" s="106"/>
      <c r="B750" s="41"/>
      <c r="C750" s="41"/>
      <c r="D750" s="28" t="s">
        <v>484</v>
      </c>
      <c r="E750" s="106"/>
      <c r="F750" s="28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4.25" customHeight="1">
      <c r="A751" s="106"/>
      <c r="B751" s="41"/>
      <c r="C751" s="41"/>
      <c r="D751" s="28" t="s">
        <v>203</v>
      </c>
      <c r="E751" s="106"/>
      <c r="F751" s="28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4.25" customHeight="1">
      <c r="A752" s="106"/>
      <c r="B752" s="41"/>
      <c r="C752" s="41"/>
      <c r="D752" s="28" t="s">
        <v>206</v>
      </c>
      <c r="E752" s="106"/>
      <c r="F752" s="28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4.25" customHeight="1">
      <c r="A753" s="106"/>
      <c r="B753" s="41"/>
      <c r="C753" s="41"/>
      <c r="D753" s="28" t="s">
        <v>207</v>
      </c>
      <c r="E753" s="106"/>
      <c r="F753" s="28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4.25" customHeight="1">
      <c r="A754" s="106"/>
      <c r="B754" s="41"/>
      <c r="C754" s="41"/>
      <c r="D754" s="28" t="s">
        <v>208</v>
      </c>
      <c r="E754" s="106"/>
      <c r="F754" s="28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4.25" customHeight="1">
      <c r="A755" s="106"/>
      <c r="B755" s="41"/>
      <c r="C755" s="41"/>
      <c r="D755" s="28" t="s">
        <v>209</v>
      </c>
      <c r="E755" s="106"/>
      <c r="F755" s="28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4.25" customHeight="1">
      <c r="A756" s="106"/>
      <c r="B756" s="41"/>
      <c r="C756" s="41"/>
      <c r="D756" s="28" t="s">
        <v>210</v>
      </c>
      <c r="E756" s="106"/>
      <c r="F756" s="28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4.25" customHeight="1">
      <c r="A757" s="106"/>
      <c r="B757" s="41"/>
      <c r="C757" s="41"/>
      <c r="D757" s="28" t="s">
        <v>211</v>
      </c>
      <c r="E757" s="106"/>
      <c r="F757" s="28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4.25" customHeight="1">
      <c r="A758" s="106"/>
      <c r="B758" s="41"/>
      <c r="C758" s="41"/>
      <c r="D758" s="28" t="s">
        <v>212</v>
      </c>
      <c r="E758" s="106"/>
      <c r="F758" s="28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4.25" customHeight="1">
      <c r="A759" s="106"/>
      <c r="B759" s="41"/>
      <c r="C759" s="41"/>
      <c r="D759" s="28" t="s">
        <v>214</v>
      </c>
      <c r="E759" s="106"/>
      <c r="F759" s="28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4.25" customHeight="1">
      <c r="A760" s="106"/>
      <c r="B760" s="41"/>
      <c r="C760" s="41"/>
      <c r="D760" s="28" t="s">
        <v>215</v>
      </c>
      <c r="E760" s="106"/>
      <c r="F760" s="28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4.25" customHeight="1">
      <c r="A761" s="106"/>
      <c r="B761" s="41"/>
      <c r="C761" s="41"/>
      <c r="D761" s="28" t="s">
        <v>216</v>
      </c>
      <c r="E761" s="106"/>
      <c r="F761" s="28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4.25" customHeight="1">
      <c r="A762" s="106"/>
      <c r="B762" s="41"/>
      <c r="C762" s="41"/>
      <c r="D762" s="28" t="s">
        <v>217</v>
      </c>
      <c r="E762" s="106"/>
      <c r="F762" s="28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4.25" customHeight="1">
      <c r="A763" s="106"/>
      <c r="B763" s="41"/>
      <c r="C763" s="41"/>
      <c r="D763" s="28" t="s">
        <v>218</v>
      </c>
      <c r="E763" s="106"/>
      <c r="F763" s="28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4.25" customHeight="1">
      <c r="A764" s="106"/>
      <c r="B764" s="41"/>
      <c r="C764" s="41"/>
      <c r="D764" s="28" t="s">
        <v>219</v>
      </c>
      <c r="E764" s="106"/>
      <c r="F764" s="28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4.25" customHeight="1">
      <c r="A765" s="106"/>
      <c r="B765" s="41"/>
      <c r="C765" s="41"/>
      <c r="D765" s="28" t="s">
        <v>220</v>
      </c>
      <c r="E765" s="106"/>
      <c r="F765" s="28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4.25" customHeight="1">
      <c r="A766" s="106"/>
      <c r="B766" s="41"/>
      <c r="C766" s="41"/>
      <c r="D766" s="28" t="s">
        <v>221</v>
      </c>
      <c r="E766" s="106"/>
      <c r="F766" s="28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4.25" customHeight="1">
      <c r="A767" s="106"/>
      <c r="B767" s="41"/>
      <c r="C767" s="41"/>
      <c r="D767" s="28" t="s">
        <v>222</v>
      </c>
      <c r="E767" s="106"/>
      <c r="F767" s="28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4.25" customHeight="1">
      <c r="A768" s="106"/>
      <c r="B768" s="41"/>
      <c r="C768" s="41"/>
      <c r="D768" s="28" t="s">
        <v>223</v>
      </c>
      <c r="E768" s="106"/>
      <c r="F768" s="28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4.25" customHeight="1">
      <c r="A769" s="106"/>
      <c r="B769" s="41"/>
      <c r="C769" s="41"/>
      <c r="D769" s="28" t="s">
        <v>224</v>
      </c>
      <c r="E769" s="106"/>
      <c r="F769" s="28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4.25" customHeight="1">
      <c r="A770" s="106"/>
      <c r="B770" s="41"/>
      <c r="C770" s="41"/>
      <c r="D770" s="28" t="s">
        <v>225</v>
      </c>
      <c r="E770" s="106"/>
      <c r="F770" s="28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4.25" customHeight="1">
      <c r="A771" s="106"/>
      <c r="B771" s="41"/>
      <c r="C771" s="41"/>
      <c r="D771" s="28" t="s">
        <v>226</v>
      </c>
      <c r="E771" s="106"/>
      <c r="F771" s="28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4.25" customHeight="1">
      <c r="A772" s="106"/>
      <c r="B772" s="41"/>
      <c r="C772" s="41"/>
      <c r="D772" s="28" t="s">
        <v>227</v>
      </c>
      <c r="E772" s="106"/>
      <c r="F772" s="28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4.25" customHeight="1">
      <c r="A773" s="106"/>
      <c r="B773" s="41"/>
      <c r="C773" s="41"/>
      <c r="D773" s="28" t="s">
        <v>228</v>
      </c>
      <c r="E773" s="106"/>
      <c r="F773" s="28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4.25" customHeight="1">
      <c r="A774" s="106"/>
      <c r="B774" s="41"/>
      <c r="C774" s="41"/>
      <c r="D774" s="28" t="s">
        <v>229</v>
      </c>
      <c r="E774" s="106"/>
      <c r="F774" s="28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4.25" customHeight="1">
      <c r="A775" s="106"/>
      <c r="B775" s="41"/>
      <c r="C775" s="41"/>
      <c r="D775" s="28" t="s">
        <v>230</v>
      </c>
      <c r="E775" s="106"/>
      <c r="F775" s="28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4.25" customHeight="1">
      <c r="A776" s="106"/>
      <c r="B776" s="41"/>
      <c r="C776" s="41"/>
      <c r="D776" s="28" t="s">
        <v>231</v>
      </c>
      <c r="E776" s="106"/>
      <c r="F776" s="28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4.25" customHeight="1">
      <c r="A777" s="106"/>
      <c r="B777" s="41"/>
      <c r="C777" s="41"/>
      <c r="D777" s="28" t="s">
        <v>232</v>
      </c>
      <c r="E777" s="106"/>
      <c r="F777" s="28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4.25" customHeight="1">
      <c r="A778" s="106"/>
      <c r="B778" s="41"/>
      <c r="C778" s="41"/>
      <c r="D778" s="28" t="s">
        <v>233</v>
      </c>
      <c r="E778" s="106"/>
      <c r="F778" s="28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4.25" customHeight="1">
      <c r="A779" s="106"/>
      <c r="B779" s="41"/>
      <c r="C779" s="41"/>
      <c r="D779" s="28" t="s">
        <v>234</v>
      </c>
      <c r="E779" s="106"/>
      <c r="F779" s="28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4.25" customHeight="1">
      <c r="A780" s="106"/>
      <c r="B780" s="41"/>
      <c r="C780" s="41"/>
      <c r="D780" s="28" t="s">
        <v>235</v>
      </c>
      <c r="E780" s="106"/>
      <c r="F780" s="28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4.25" customHeight="1">
      <c r="A781" s="106"/>
      <c r="B781" s="41"/>
      <c r="C781" s="41"/>
      <c r="D781" s="28" t="s">
        <v>236</v>
      </c>
      <c r="E781" s="106"/>
      <c r="F781" s="28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4.25" customHeight="1">
      <c r="A782" s="106"/>
      <c r="B782" s="41"/>
      <c r="C782" s="41"/>
      <c r="D782" s="28" t="s">
        <v>237</v>
      </c>
      <c r="E782" s="106"/>
      <c r="F782" s="28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4.25" customHeight="1">
      <c r="A783" s="106"/>
      <c r="B783" s="41"/>
      <c r="C783" s="41"/>
      <c r="D783" s="28" t="s">
        <v>238</v>
      </c>
      <c r="E783" s="106"/>
      <c r="F783" s="28"/>
      <c r="G783" s="10" t="s">
        <v>213</v>
      </c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4.25" customHeight="1">
      <c r="A784" s="106"/>
      <c r="B784" s="41"/>
      <c r="C784" s="41"/>
      <c r="D784" s="28" t="s">
        <v>239</v>
      </c>
      <c r="E784" s="106"/>
      <c r="F784" s="28"/>
      <c r="G784" s="10" t="s">
        <v>213</v>
      </c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4.25" customHeight="1">
      <c r="A785" s="106"/>
      <c r="B785" s="41"/>
      <c r="C785" s="41"/>
      <c r="D785" s="28" t="s">
        <v>242</v>
      </c>
      <c r="E785" s="106"/>
      <c r="F785" s="28"/>
      <c r="G785" s="10" t="s">
        <v>213</v>
      </c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4.25" customHeight="1">
      <c r="A786" s="106"/>
      <c r="B786" s="41"/>
      <c r="C786" s="41"/>
      <c r="D786" s="28" t="s">
        <v>243</v>
      </c>
      <c r="E786" s="106"/>
      <c r="F786" s="28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4.25" customHeight="1">
      <c r="A787" s="106"/>
      <c r="B787" s="41"/>
      <c r="C787" s="41"/>
      <c r="D787" s="28" t="s">
        <v>244</v>
      </c>
      <c r="E787" s="106"/>
      <c r="F787" s="28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4.25" customHeight="1">
      <c r="A788" s="106"/>
      <c r="B788" s="41"/>
      <c r="C788" s="41"/>
      <c r="D788" s="28" t="s">
        <v>245</v>
      </c>
      <c r="E788" s="106"/>
      <c r="F788" s="28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4.25" customHeight="1">
      <c r="A789" s="106"/>
      <c r="B789" s="41"/>
      <c r="C789" s="41"/>
      <c r="D789" s="28" t="s">
        <v>246</v>
      </c>
      <c r="E789" s="106"/>
      <c r="F789" s="28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4.25" customHeight="1">
      <c r="A790" s="106"/>
      <c r="B790" s="41"/>
      <c r="C790" s="41"/>
      <c r="D790" s="28" t="s">
        <v>247</v>
      </c>
      <c r="E790" s="106"/>
      <c r="F790" s="28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4.25" customHeight="1">
      <c r="A791" s="106"/>
      <c r="B791" s="41"/>
      <c r="C791" s="41"/>
      <c r="D791" s="28" t="s">
        <v>248</v>
      </c>
      <c r="E791" s="106"/>
      <c r="F791" s="28"/>
      <c r="G791" s="10" t="s">
        <v>213</v>
      </c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4.25" customHeight="1">
      <c r="A792" s="106"/>
      <c r="B792" s="41"/>
      <c r="C792" s="41"/>
      <c r="D792" s="28" t="s">
        <v>249</v>
      </c>
      <c r="E792" s="106"/>
      <c r="F792" s="28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4.25" customHeight="1">
      <c r="A793" s="106"/>
      <c r="B793" s="41"/>
      <c r="C793" s="41"/>
      <c r="D793" s="28" t="s">
        <v>250</v>
      </c>
      <c r="E793" s="106"/>
      <c r="F793" s="28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4.25" customHeight="1">
      <c r="A794" s="106"/>
      <c r="B794" s="41"/>
      <c r="C794" s="41"/>
      <c r="D794" s="28" t="s">
        <v>251</v>
      </c>
      <c r="E794" s="106"/>
      <c r="F794" s="28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4.25" customHeight="1">
      <c r="A795" s="106"/>
      <c r="B795" s="41"/>
      <c r="C795" s="41"/>
      <c r="D795" s="28" t="s">
        <v>921</v>
      </c>
      <c r="E795" s="106"/>
      <c r="F795" s="28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4.25" customHeight="1">
      <c r="A796" s="106"/>
      <c r="B796" s="41"/>
      <c r="C796" s="41"/>
      <c r="D796" s="28" t="s">
        <v>252</v>
      </c>
      <c r="E796" s="106"/>
      <c r="F796" s="28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4.25" customHeight="1">
      <c r="A797" s="106"/>
      <c r="B797" s="41"/>
      <c r="C797" s="41"/>
      <c r="D797" s="28" t="s">
        <v>253</v>
      </c>
      <c r="E797" s="106"/>
      <c r="F797" s="28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4.25" customHeight="1">
      <c r="A798" s="106"/>
      <c r="B798" s="41"/>
      <c r="C798" s="41"/>
      <c r="D798" s="28" t="s">
        <v>254</v>
      </c>
      <c r="E798" s="106"/>
      <c r="F798" s="28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4.25" customHeight="1">
      <c r="A799" s="106"/>
      <c r="B799" s="41"/>
      <c r="C799" s="41"/>
      <c r="D799" s="28" t="s">
        <v>255</v>
      </c>
      <c r="E799" s="106"/>
      <c r="F799" s="28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4.25" customHeight="1">
      <c r="A800" s="106"/>
      <c r="B800" s="41"/>
      <c r="C800" s="41"/>
      <c r="D800" s="28" t="s">
        <v>256</v>
      </c>
      <c r="E800" s="106"/>
      <c r="F800" s="28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4.25" customHeight="1">
      <c r="A801" s="106"/>
      <c r="B801" s="41"/>
      <c r="C801" s="41"/>
      <c r="D801" s="28" t="s">
        <v>257</v>
      </c>
      <c r="E801" s="106"/>
      <c r="F801" s="28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4.25" customHeight="1">
      <c r="A802" s="106"/>
      <c r="B802" s="41"/>
      <c r="C802" s="41"/>
      <c r="D802" s="28" t="s">
        <v>258</v>
      </c>
      <c r="E802" s="106"/>
      <c r="F802" s="28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4.25" customHeight="1">
      <c r="A803" s="106"/>
      <c r="B803" s="41"/>
      <c r="C803" s="41"/>
      <c r="D803" s="28" t="s">
        <v>259</v>
      </c>
      <c r="E803" s="106"/>
      <c r="F803" s="28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4.25" customHeight="1">
      <c r="A804" s="106"/>
      <c r="B804" s="41"/>
      <c r="C804" s="41"/>
      <c r="D804" s="28" t="s">
        <v>260</v>
      </c>
      <c r="E804" s="106"/>
      <c r="F804" s="28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4.25" customHeight="1">
      <c r="A805" s="106"/>
      <c r="B805" s="41"/>
      <c r="C805" s="41"/>
      <c r="D805" s="28" t="s">
        <v>261</v>
      </c>
      <c r="E805" s="106"/>
      <c r="F805" s="28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4.25" customHeight="1">
      <c r="A806" s="106"/>
      <c r="B806" s="41"/>
      <c r="C806" s="41"/>
      <c r="D806" s="28" t="s">
        <v>262</v>
      </c>
      <c r="E806" s="106"/>
      <c r="F806" s="28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4.25" customHeight="1">
      <c r="A807" s="106"/>
      <c r="B807" s="41"/>
      <c r="C807" s="41"/>
      <c r="D807" s="28" t="s">
        <v>263</v>
      </c>
      <c r="E807" s="106"/>
      <c r="F807" s="28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4.25" customHeight="1">
      <c r="A808" s="106"/>
      <c r="B808" s="41"/>
      <c r="C808" s="41"/>
      <c r="D808" s="28" t="s">
        <v>264</v>
      </c>
      <c r="E808" s="106"/>
      <c r="F808" s="28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4.25" customHeight="1">
      <c r="A809" s="106"/>
      <c r="B809" s="41"/>
      <c r="C809" s="41"/>
      <c r="D809" s="28" t="s">
        <v>266</v>
      </c>
      <c r="E809" s="106"/>
      <c r="F809" s="28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4.25" customHeight="1">
      <c r="A810" s="106"/>
      <c r="B810" s="41"/>
      <c r="C810" s="41"/>
      <c r="D810" s="28" t="s">
        <v>265</v>
      </c>
      <c r="E810" s="106"/>
      <c r="F810" s="28"/>
      <c r="G810" s="10" t="s">
        <v>213</v>
      </c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4.25" customHeight="1">
      <c r="A811" s="106"/>
      <c r="B811" s="41"/>
      <c r="C811" s="41"/>
      <c r="D811" s="28" t="s">
        <v>267</v>
      </c>
      <c r="E811" s="106"/>
      <c r="F811" s="28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4.25" customHeight="1">
      <c r="A812" s="106"/>
      <c r="B812" s="41"/>
      <c r="C812" s="41"/>
      <c r="D812" s="28" t="s">
        <v>268</v>
      </c>
      <c r="E812" s="106"/>
      <c r="F812" s="28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4.25" customHeight="1">
      <c r="A813" s="106"/>
      <c r="B813" s="41"/>
      <c r="C813" s="41"/>
      <c r="D813" s="28" t="s">
        <v>269</v>
      </c>
      <c r="E813" s="106"/>
      <c r="F813" s="28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4.25" customHeight="1">
      <c r="A814" s="106"/>
      <c r="B814" s="41"/>
      <c r="C814" s="41"/>
      <c r="D814" s="28" t="s">
        <v>270</v>
      </c>
      <c r="E814" s="106"/>
      <c r="F814" s="28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4.25" customHeight="1">
      <c r="A815" s="106"/>
      <c r="B815" s="41"/>
      <c r="C815" s="41"/>
      <c r="D815" s="28" t="s">
        <v>271</v>
      </c>
      <c r="E815" s="106"/>
      <c r="F815" s="28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4.25" customHeight="1">
      <c r="A816" s="106"/>
      <c r="B816" s="41"/>
      <c r="C816" s="41"/>
      <c r="D816" s="28" t="s">
        <v>272</v>
      </c>
      <c r="E816" s="106"/>
      <c r="F816" s="28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4.25" customHeight="1">
      <c r="A817" s="106"/>
      <c r="B817" s="41"/>
      <c r="C817" s="41"/>
      <c r="D817" s="28" t="s">
        <v>273</v>
      </c>
      <c r="E817" s="106"/>
      <c r="F817" s="28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4.25" customHeight="1">
      <c r="A818" s="106"/>
      <c r="B818" s="41"/>
      <c r="C818" s="41"/>
      <c r="D818" s="28" t="s">
        <v>274</v>
      </c>
      <c r="E818" s="106"/>
      <c r="F818" s="28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4.25" customHeight="1">
      <c r="A819" s="106"/>
      <c r="B819" s="41"/>
      <c r="C819" s="41"/>
      <c r="D819" s="28" t="s">
        <v>275</v>
      </c>
      <c r="E819" s="106"/>
      <c r="F819" s="28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4.25" customHeight="1">
      <c r="A820" s="106"/>
      <c r="B820" s="41"/>
      <c r="C820" s="41"/>
      <c r="D820" s="28" t="s">
        <v>276</v>
      </c>
      <c r="E820" s="106"/>
      <c r="F820" s="28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4.25" customHeight="1">
      <c r="A821" s="106"/>
      <c r="B821" s="41"/>
      <c r="C821" s="41"/>
      <c r="D821" s="28" t="s">
        <v>277</v>
      </c>
      <c r="E821" s="106"/>
      <c r="F821" s="28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4.25" customHeight="1">
      <c r="A822" s="106"/>
      <c r="B822" s="41"/>
      <c r="C822" s="41"/>
      <c r="D822" s="28" t="s">
        <v>278</v>
      </c>
      <c r="E822" s="106"/>
      <c r="F822" s="28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4.25" customHeight="1">
      <c r="A823" s="106"/>
      <c r="B823" s="41"/>
      <c r="C823" s="41"/>
      <c r="D823" s="28" t="s">
        <v>279</v>
      </c>
      <c r="E823" s="106"/>
      <c r="F823" s="28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4.25" customHeight="1">
      <c r="A824" s="106"/>
      <c r="B824" s="41"/>
      <c r="C824" s="41"/>
      <c r="D824" s="28" t="s">
        <v>280</v>
      </c>
      <c r="E824" s="106"/>
      <c r="F824" s="28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4.25" customHeight="1">
      <c r="A825" s="106"/>
      <c r="B825" s="41"/>
      <c r="C825" s="41"/>
      <c r="D825" s="28" t="s">
        <v>281</v>
      </c>
      <c r="E825" s="106"/>
      <c r="F825" s="28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4.25" customHeight="1">
      <c r="A826" s="106"/>
      <c r="B826" s="41"/>
      <c r="C826" s="41"/>
      <c r="D826" s="28" t="s">
        <v>282</v>
      </c>
      <c r="E826" s="106"/>
      <c r="F826" s="28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4.25" customHeight="1">
      <c r="A827" s="106"/>
      <c r="B827" s="41"/>
      <c r="C827" s="41"/>
      <c r="D827" s="28" t="s">
        <v>283</v>
      </c>
      <c r="E827" s="106"/>
      <c r="F827" s="28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4.25" customHeight="1">
      <c r="A828" s="106"/>
      <c r="B828" s="41"/>
      <c r="C828" s="41"/>
      <c r="D828" s="28" t="s">
        <v>284</v>
      </c>
      <c r="E828" s="106"/>
      <c r="F828" s="28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4.25" customHeight="1">
      <c r="A829" s="106"/>
      <c r="B829" s="41"/>
      <c r="C829" s="41"/>
      <c r="D829" s="28" t="s">
        <v>285</v>
      </c>
      <c r="E829" s="106"/>
      <c r="F829" s="28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4.25" customHeight="1">
      <c r="A830" s="106"/>
      <c r="B830" s="41"/>
      <c r="C830" s="41"/>
      <c r="D830" s="28" t="s">
        <v>286</v>
      </c>
      <c r="E830" s="106"/>
      <c r="F830" s="28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4.25" customHeight="1">
      <c r="A831" s="106"/>
      <c r="B831" s="41"/>
      <c r="C831" s="41"/>
      <c r="D831" s="28" t="s">
        <v>287</v>
      </c>
      <c r="E831" s="106"/>
      <c r="F831" s="28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4.25" customHeight="1">
      <c r="A832" s="106"/>
      <c r="B832" s="41"/>
      <c r="C832" s="41"/>
      <c r="D832" s="28" t="s">
        <v>922</v>
      </c>
      <c r="E832" s="106"/>
      <c r="F832" s="28" t="s">
        <v>923</v>
      </c>
      <c r="G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4.25" customHeight="1">
      <c r="A833" s="106"/>
      <c r="B833" s="41"/>
      <c r="C833" s="41"/>
      <c r="D833" s="28" t="s">
        <v>924</v>
      </c>
      <c r="E833" s="106"/>
      <c r="F833" s="28" t="s">
        <v>299</v>
      </c>
      <c r="G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4.25" customHeight="1">
      <c r="A834" s="106"/>
      <c r="B834" s="41"/>
      <c r="C834" s="41"/>
      <c r="D834" s="28" t="s">
        <v>925</v>
      </c>
      <c r="E834" s="106"/>
      <c r="F834" s="28" t="s">
        <v>299</v>
      </c>
      <c r="G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4.25" customHeight="1">
      <c r="A835" s="106"/>
      <c r="B835" s="41"/>
      <c r="C835" s="41"/>
      <c r="D835" s="28" t="s">
        <v>926</v>
      </c>
      <c r="E835" s="106"/>
      <c r="F835" s="64"/>
      <c r="G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4.25" customHeight="1">
      <c r="A836" s="106"/>
      <c r="B836" s="41"/>
      <c r="C836" s="41"/>
      <c r="D836" s="28" t="s">
        <v>295</v>
      </c>
      <c r="E836" s="106"/>
      <c r="F836" s="28"/>
      <c r="G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4.25" customHeight="1">
      <c r="A837" s="106"/>
      <c r="B837" s="41"/>
      <c r="C837" s="41"/>
      <c r="D837" s="28" t="s">
        <v>290</v>
      </c>
      <c r="E837" s="106"/>
      <c r="F837" s="28"/>
      <c r="G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4.25" customHeight="1">
      <c r="A838" s="106"/>
      <c r="B838" s="41"/>
      <c r="C838" s="41"/>
      <c r="D838" s="28" t="s">
        <v>291</v>
      </c>
      <c r="E838" s="106"/>
      <c r="F838" s="28"/>
      <c r="G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4.25" customHeight="1">
      <c r="A839" s="106"/>
      <c r="B839" s="41"/>
      <c r="C839" s="41"/>
      <c r="D839" s="28" t="s">
        <v>288</v>
      </c>
      <c r="E839" s="106"/>
      <c r="F839" s="28"/>
      <c r="G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4.25" customHeight="1">
      <c r="A840" s="106"/>
      <c r="B840" s="41"/>
      <c r="C840" s="41"/>
      <c r="D840" s="28" t="s">
        <v>292</v>
      </c>
      <c r="E840" s="106"/>
      <c r="F840" s="28"/>
      <c r="G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4.25" customHeight="1">
      <c r="A841" s="106"/>
      <c r="B841" s="41"/>
      <c r="C841" s="41"/>
      <c r="D841" s="28" t="s">
        <v>289</v>
      </c>
      <c r="E841" s="106"/>
      <c r="F841" s="28"/>
      <c r="G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4.25" customHeight="1">
      <c r="A842" s="106"/>
      <c r="B842" s="41"/>
      <c r="C842" s="41"/>
      <c r="D842" s="28" t="s">
        <v>293</v>
      </c>
      <c r="E842" s="106"/>
      <c r="F842" s="28"/>
      <c r="G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4.25" customHeight="1">
      <c r="A843" s="106"/>
      <c r="B843" s="41"/>
      <c r="C843" s="41"/>
      <c r="D843" s="28" t="s">
        <v>927</v>
      </c>
      <c r="E843" s="106"/>
      <c r="F843" s="28"/>
      <c r="G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4.25" customHeight="1">
      <c r="A844" s="106"/>
      <c r="B844" s="41"/>
      <c r="C844" s="41"/>
      <c r="D844" s="28" t="s">
        <v>928</v>
      </c>
      <c r="E844" s="106"/>
      <c r="F844" s="28"/>
      <c r="G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4.25" customHeight="1">
      <c r="A845" s="106"/>
      <c r="B845" s="41"/>
      <c r="C845" s="41"/>
      <c r="D845" s="28" t="s">
        <v>929</v>
      </c>
      <c r="E845" s="106"/>
      <c r="F845" s="28"/>
      <c r="G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4.25" customHeight="1">
      <c r="A846" s="106"/>
      <c r="B846" s="41"/>
      <c r="C846" s="41"/>
      <c r="D846" s="28" t="s">
        <v>930</v>
      </c>
      <c r="E846" s="106"/>
      <c r="F846" s="28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4.25" customHeight="1">
      <c r="A847" s="106"/>
      <c r="B847" s="41"/>
      <c r="C847" s="41"/>
      <c r="D847" s="28" t="s">
        <v>931</v>
      </c>
      <c r="E847" s="106"/>
      <c r="F847" s="28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4.25" customHeight="1">
      <c r="A848" s="106"/>
      <c r="B848" s="41"/>
      <c r="C848" s="41"/>
      <c r="D848" s="28" t="s">
        <v>932</v>
      </c>
      <c r="E848" s="106"/>
      <c r="F848" s="28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4.25" customHeight="1">
      <c r="A849" s="106"/>
      <c r="B849" s="41"/>
      <c r="C849" s="41"/>
      <c r="D849" s="28" t="s">
        <v>933</v>
      </c>
      <c r="E849" s="106"/>
      <c r="F849" s="28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4.25" customHeight="1">
      <c r="A850" s="106"/>
      <c r="B850" s="41"/>
      <c r="C850" s="41"/>
      <c r="D850" s="28" t="s">
        <v>934</v>
      </c>
      <c r="E850" s="106"/>
      <c r="F850" s="28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4.25" customHeight="1">
      <c r="A851" s="106"/>
      <c r="B851" s="41"/>
      <c r="C851" s="41"/>
      <c r="D851" s="28" t="s">
        <v>313</v>
      </c>
      <c r="E851" s="106"/>
      <c r="F851" s="28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4.25" customHeight="1">
      <c r="A852" s="106"/>
      <c r="B852" s="38" t="s">
        <v>147</v>
      </c>
      <c r="C852" s="38"/>
      <c r="D852" s="32" t="s">
        <v>337</v>
      </c>
      <c r="E852" s="106"/>
      <c r="F852" s="32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4.25" customHeight="1">
      <c r="A853" s="106"/>
      <c r="B853" s="39"/>
      <c r="C853" s="39"/>
      <c r="D853" s="32" t="s">
        <v>338</v>
      </c>
      <c r="E853" s="106"/>
      <c r="F853" s="32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4.25" customHeight="1">
      <c r="A854" s="106"/>
      <c r="B854" s="41" t="s">
        <v>19</v>
      </c>
      <c r="C854" s="41" t="s">
        <v>54</v>
      </c>
      <c r="D854" s="28" t="s">
        <v>935</v>
      </c>
      <c r="E854" s="106"/>
      <c r="F854" s="28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4.25" customHeight="1">
      <c r="A855" s="106"/>
      <c r="B855" s="41"/>
      <c r="C855" s="41"/>
      <c r="D855" s="28" t="s">
        <v>936</v>
      </c>
      <c r="E855" s="106"/>
      <c r="F855" s="28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4.25" customHeight="1">
      <c r="A856" s="106"/>
      <c r="B856" s="41"/>
      <c r="C856" s="41"/>
      <c r="D856" s="28" t="s">
        <v>937</v>
      </c>
      <c r="E856" s="106"/>
      <c r="F856" s="28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4.25" customHeight="1">
      <c r="A857" s="106"/>
      <c r="B857" s="41"/>
      <c r="C857" s="41"/>
      <c r="D857" s="28" t="s">
        <v>938</v>
      </c>
      <c r="E857" s="106"/>
      <c r="F857" s="28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4.25" customHeight="1">
      <c r="A858" s="106"/>
      <c r="B858" s="41"/>
      <c r="C858" s="41"/>
      <c r="D858" s="28" t="s">
        <v>939</v>
      </c>
      <c r="E858" s="106"/>
      <c r="F858" s="28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4.25" customHeight="1">
      <c r="A859" s="106"/>
      <c r="B859" s="41"/>
      <c r="C859" s="41"/>
      <c r="D859" s="28" t="s">
        <v>940</v>
      </c>
      <c r="E859" s="106"/>
      <c r="F859" s="28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4.25" customHeight="1">
      <c r="A860" s="106"/>
      <c r="B860" s="41"/>
      <c r="C860" s="41"/>
      <c r="D860" s="28" t="s">
        <v>941</v>
      </c>
      <c r="E860" s="106"/>
      <c r="F860" s="28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4.25" customHeight="1">
      <c r="A861" s="106"/>
      <c r="B861" s="41"/>
      <c r="C861" s="41"/>
      <c r="D861" s="28" t="s">
        <v>942</v>
      </c>
      <c r="E861" s="106"/>
      <c r="F861" s="28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4.25" customHeight="1">
      <c r="A862" s="106"/>
      <c r="B862" s="41"/>
      <c r="C862" s="41"/>
      <c r="D862" s="28" t="s">
        <v>943</v>
      </c>
      <c r="E862" s="106"/>
      <c r="F862" s="28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4.25" customHeight="1">
      <c r="A863" s="106"/>
      <c r="B863" s="38" t="s">
        <v>20</v>
      </c>
      <c r="C863" s="38" t="s">
        <v>54</v>
      </c>
      <c r="D863" s="32" t="s">
        <v>944</v>
      </c>
      <c r="E863" s="106"/>
      <c r="F863" s="32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4.25" customHeight="1">
      <c r="A864" s="106"/>
      <c r="B864" s="39"/>
      <c r="C864" s="39"/>
      <c r="D864" s="32" t="s">
        <v>945</v>
      </c>
      <c r="E864" s="106"/>
      <c r="F864" s="32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4.25" customHeight="1">
      <c r="A865" s="106"/>
      <c r="B865" s="39"/>
      <c r="C865" s="39"/>
      <c r="D865" s="32" t="s">
        <v>946</v>
      </c>
      <c r="E865" s="106"/>
      <c r="F865" s="32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4.25" customHeight="1">
      <c r="A866" s="106"/>
      <c r="B866" s="39"/>
      <c r="C866" s="39"/>
      <c r="D866" s="32" t="s">
        <v>947</v>
      </c>
      <c r="E866" s="106"/>
      <c r="F866" s="32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4.25" customHeight="1">
      <c r="A867" s="106"/>
      <c r="B867" s="39"/>
      <c r="C867" s="39"/>
      <c r="D867" s="32" t="s">
        <v>948</v>
      </c>
      <c r="E867" s="106"/>
      <c r="F867" s="32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4.25" customHeight="1">
      <c r="A868" s="106"/>
      <c r="B868" s="39"/>
      <c r="C868" s="39"/>
      <c r="D868" s="32" t="s">
        <v>949</v>
      </c>
      <c r="E868" s="106"/>
      <c r="F868" s="32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4.25" customHeight="1">
      <c r="A869" s="106"/>
      <c r="B869" s="39"/>
      <c r="C869" s="39"/>
      <c r="D869" s="32" t="s">
        <v>950</v>
      </c>
      <c r="E869" s="106"/>
      <c r="F869" s="32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4.25" customHeight="1">
      <c r="A870" s="106"/>
      <c r="B870" s="39"/>
      <c r="C870" s="39"/>
      <c r="D870" s="32" t="s">
        <v>951</v>
      </c>
      <c r="E870" s="106"/>
      <c r="F870" s="32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4.25" customHeight="1">
      <c r="A871" s="106"/>
      <c r="B871" s="41" t="s">
        <v>21</v>
      </c>
      <c r="C871" s="41" t="s">
        <v>54</v>
      </c>
      <c r="D871" s="28" t="s">
        <v>944</v>
      </c>
      <c r="E871" s="106"/>
      <c r="F871" s="28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4.25" customHeight="1">
      <c r="A872" s="106"/>
      <c r="B872" s="41"/>
      <c r="C872" s="41"/>
      <c r="D872" s="28" t="s">
        <v>946</v>
      </c>
      <c r="E872" s="106"/>
      <c r="F872" s="28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4.25" customHeight="1">
      <c r="A873" s="106"/>
      <c r="B873" s="41"/>
      <c r="C873" s="41"/>
      <c r="D873" s="28" t="s">
        <v>948</v>
      </c>
      <c r="E873" s="106"/>
      <c r="F873" s="28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4.25" customHeight="1">
      <c r="A874" s="106"/>
      <c r="B874" s="41"/>
      <c r="C874" s="41"/>
      <c r="D874" s="28" t="s">
        <v>313</v>
      </c>
      <c r="E874" s="106"/>
      <c r="F874" s="28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4.25" customHeight="1">
      <c r="A875" s="106"/>
      <c r="B875" s="38" t="s">
        <v>22</v>
      </c>
      <c r="C875" s="38" t="s">
        <v>54</v>
      </c>
      <c r="D875" s="32" t="s">
        <v>952</v>
      </c>
      <c r="E875" s="106"/>
      <c r="F875" s="32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4.25" customHeight="1">
      <c r="A876" s="106"/>
      <c r="B876" s="39"/>
      <c r="C876" s="39"/>
      <c r="D876" s="32" t="s">
        <v>753</v>
      </c>
      <c r="E876" s="106"/>
      <c r="F876" s="32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4.25" customHeight="1">
      <c r="A877" s="106"/>
      <c r="B877" s="39"/>
      <c r="C877" s="39"/>
      <c r="D877" s="32" t="s">
        <v>754</v>
      </c>
      <c r="E877" s="106"/>
      <c r="F877" s="32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4.25" customHeight="1">
      <c r="A878" s="106"/>
      <c r="B878" s="39"/>
      <c r="C878" s="39"/>
      <c r="D878" s="32" t="s">
        <v>755</v>
      </c>
      <c r="E878" s="106"/>
      <c r="F878" s="32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4.25" customHeight="1">
      <c r="A879" s="106"/>
      <c r="B879" s="39"/>
      <c r="C879" s="39"/>
      <c r="D879" s="32" t="s">
        <v>953</v>
      </c>
      <c r="E879" s="106"/>
      <c r="F879" s="32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4.25" customHeight="1">
      <c r="A880" s="106"/>
      <c r="B880" s="39"/>
      <c r="C880" s="39"/>
      <c r="D880" s="32" t="s">
        <v>954</v>
      </c>
      <c r="E880" s="106"/>
      <c r="F880" s="32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4.25" customHeight="1">
      <c r="A881" s="106"/>
      <c r="B881" s="39"/>
      <c r="C881" s="39"/>
      <c r="D881" s="32" t="s">
        <v>955</v>
      </c>
      <c r="E881" s="106"/>
      <c r="F881" s="32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4.25" customHeight="1">
      <c r="A882" s="106"/>
      <c r="B882" s="39"/>
      <c r="C882" s="39"/>
      <c r="D882" s="32" t="s">
        <v>956</v>
      </c>
      <c r="E882" s="106"/>
      <c r="F882" s="32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4.25" customHeight="1">
      <c r="A883" s="106"/>
      <c r="B883" s="39"/>
      <c r="C883" s="39"/>
      <c r="D883" s="32" t="s">
        <v>957</v>
      </c>
      <c r="E883" s="106"/>
      <c r="F883" s="32" t="s">
        <v>957</v>
      </c>
      <c r="G883" s="10" t="s">
        <v>213</v>
      </c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4.25" customHeight="1">
      <c r="A884" s="106"/>
      <c r="B884" s="40"/>
      <c r="C884" s="40"/>
      <c r="D884" s="32" t="s">
        <v>313</v>
      </c>
      <c r="E884" s="106"/>
      <c r="F884" s="32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4.25" customHeight="1">
      <c r="A885" s="106"/>
      <c r="B885" s="44" t="s">
        <v>23</v>
      </c>
      <c r="C885" s="44" t="s">
        <v>54</v>
      </c>
      <c r="D885" s="28" t="s">
        <v>918</v>
      </c>
      <c r="E885" s="106"/>
      <c r="F885" s="28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4.25" customHeight="1">
      <c r="A886" s="106"/>
      <c r="B886" s="41"/>
      <c r="C886" s="41"/>
      <c r="D886" s="28" t="s">
        <v>958</v>
      </c>
      <c r="E886" s="106"/>
      <c r="F886" s="28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4.25" customHeight="1">
      <c r="A887" s="106"/>
      <c r="B887" s="41"/>
      <c r="C887" s="41"/>
      <c r="D887" s="28" t="s">
        <v>959</v>
      </c>
      <c r="E887" s="106"/>
      <c r="F887" s="28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4.25" customHeight="1">
      <c r="A888" s="106"/>
      <c r="B888" s="41"/>
      <c r="C888" s="41"/>
      <c r="D888" s="28" t="s">
        <v>960</v>
      </c>
      <c r="E888" s="106"/>
      <c r="F888" s="28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4.25" customHeight="1">
      <c r="A889" s="106"/>
      <c r="B889" s="41"/>
      <c r="C889" s="41"/>
      <c r="D889" s="28" t="s">
        <v>961</v>
      </c>
      <c r="E889" s="106"/>
      <c r="F889" s="28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4.25" customHeight="1">
      <c r="A890" s="106"/>
      <c r="B890" s="41"/>
      <c r="C890" s="41"/>
      <c r="D890" s="28" t="s">
        <v>962</v>
      </c>
      <c r="E890" s="106"/>
      <c r="F890" s="28" t="s">
        <v>963</v>
      </c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4.25" customHeight="1">
      <c r="A891" s="106"/>
      <c r="B891" s="41"/>
      <c r="C891" s="41"/>
      <c r="D891" s="28" t="s">
        <v>964</v>
      </c>
      <c r="E891" s="106"/>
      <c r="F891" s="28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4.25" customHeight="1">
      <c r="A892" s="106"/>
      <c r="B892" s="38" t="s">
        <v>24</v>
      </c>
      <c r="C892" s="38" t="s">
        <v>54</v>
      </c>
      <c r="D892" s="32" t="s">
        <v>965</v>
      </c>
      <c r="E892" s="106"/>
      <c r="F892" s="32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4.25" customHeight="1">
      <c r="A893" s="106"/>
      <c r="B893" s="39"/>
      <c r="C893" s="39"/>
      <c r="D893" s="32" t="s">
        <v>966</v>
      </c>
      <c r="E893" s="106"/>
      <c r="F893" s="32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4.25" customHeight="1">
      <c r="A894" s="106"/>
      <c r="B894" s="39"/>
      <c r="C894" s="39"/>
      <c r="D894" s="32" t="s">
        <v>967</v>
      </c>
      <c r="E894" s="106"/>
      <c r="F894" s="32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4.25" customHeight="1">
      <c r="A895" s="106"/>
      <c r="B895" s="39"/>
      <c r="C895" s="39"/>
      <c r="D895" s="32" t="s">
        <v>968</v>
      </c>
      <c r="E895" s="106"/>
      <c r="F895" s="32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4.25" customHeight="1">
      <c r="A896" s="106"/>
      <c r="B896" s="39"/>
      <c r="C896" s="39"/>
      <c r="D896" s="32" t="s">
        <v>969</v>
      </c>
      <c r="E896" s="106"/>
      <c r="F896" s="32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4.25" customHeight="1">
      <c r="A897" s="106"/>
      <c r="B897" s="39"/>
      <c r="C897" s="39"/>
      <c r="D897" s="32" t="s">
        <v>313</v>
      </c>
      <c r="E897" s="106"/>
      <c r="F897" s="32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4.25" customHeight="1">
      <c r="A898" s="106"/>
      <c r="B898" s="44" t="s">
        <v>25</v>
      </c>
      <c r="C898" s="44" t="s">
        <v>54</v>
      </c>
      <c r="D898" s="28" t="s">
        <v>970</v>
      </c>
      <c r="E898" s="106"/>
      <c r="F898" s="28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4.25" customHeight="1">
      <c r="A899" s="106"/>
      <c r="B899" s="41"/>
      <c r="C899" s="41"/>
      <c r="D899" s="28" t="s">
        <v>971</v>
      </c>
      <c r="E899" s="106"/>
      <c r="F899" s="28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4.25" customHeight="1">
      <c r="A900" s="106"/>
      <c r="B900" s="41"/>
      <c r="C900" s="41"/>
      <c r="D900" s="28" t="s">
        <v>918</v>
      </c>
      <c r="E900" s="106"/>
      <c r="F900" s="28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4.25" customHeight="1">
      <c r="A901" s="106"/>
      <c r="B901" s="41"/>
      <c r="C901" s="41"/>
      <c r="D901" s="28" t="s">
        <v>313</v>
      </c>
      <c r="E901" s="106"/>
      <c r="F901" s="28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4.25" customHeight="1">
      <c r="A902" s="106"/>
      <c r="B902" s="38" t="s">
        <v>27</v>
      </c>
      <c r="C902" s="38" t="s">
        <v>54</v>
      </c>
      <c r="D902" s="32" t="s">
        <v>972</v>
      </c>
      <c r="E902" s="106"/>
      <c r="F902" s="32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4.25" customHeight="1">
      <c r="A903" s="106"/>
      <c r="B903" s="39"/>
      <c r="C903" s="39"/>
      <c r="D903" s="32" t="s">
        <v>973</v>
      </c>
      <c r="E903" s="106"/>
      <c r="F903" s="32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4.25" customHeight="1">
      <c r="A904" s="106"/>
      <c r="B904" s="39"/>
      <c r="C904" s="39"/>
      <c r="D904" s="32" t="s">
        <v>745</v>
      </c>
      <c r="E904" s="106"/>
      <c r="F904" s="32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4.25" customHeight="1">
      <c r="A905" s="106"/>
      <c r="B905" s="39"/>
      <c r="C905" s="39"/>
      <c r="D905" s="32" t="s">
        <v>974</v>
      </c>
      <c r="E905" s="106"/>
      <c r="F905" s="32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4.25" customHeight="1">
      <c r="A906" s="106"/>
      <c r="B906" s="39"/>
      <c r="C906" s="39"/>
      <c r="D906" s="32" t="s">
        <v>975</v>
      </c>
      <c r="E906" s="106"/>
      <c r="F906" s="32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4.25" customHeight="1">
      <c r="A907" s="106"/>
      <c r="B907" s="44" t="s">
        <v>29</v>
      </c>
      <c r="C907" s="44" t="s">
        <v>54</v>
      </c>
      <c r="D907" s="65" t="s">
        <v>976</v>
      </c>
      <c r="E907" s="106"/>
      <c r="F907" s="65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4.25" customHeight="1">
      <c r="A908" s="106"/>
      <c r="B908" s="41"/>
      <c r="C908" s="41"/>
      <c r="D908" s="65" t="s">
        <v>977</v>
      </c>
      <c r="E908" s="106"/>
      <c r="F908" s="65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4.25" customHeight="1">
      <c r="A909" s="106"/>
      <c r="B909" s="41"/>
      <c r="C909" s="41"/>
      <c r="D909" s="28" t="s">
        <v>978</v>
      </c>
      <c r="E909" s="106"/>
      <c r="F909" s="28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4.25" customHeight="1">
      <c r="A910" s="106"/>
      <c r="B910" s="41"/>
      <c r="C910" s="41"/>
      <c r="D910" s="28" t="s">
        <v>979</v>
      </c>
      <c r="E910" s="106"/>
      <c r="F910" s="28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4.25" customHeight="1">
      <c r="A911" s="106"/>
      <c r="B911" s="41"/>
      <c r="C911" s="41"/>
      <c r="D911" s="28" t="s">
        <v>980</v>
      </c>
      <c r="E911" s="106"/>
      <c r="F911" s="28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4.25" customHeight="1">
      <c r="A912" s="106"/>
      <c r="B912" s="41"/>
      <c r="C912" s="41"/>
      <c r="D912" s="28" t="s">
        <v>981</v>
      </c>
      <c r="E912" s="106"/>
      <c r="F912" s="28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4.25" customHeight="1">
      <c r="A913" s="106"/>
      <c r="B913" s="38" t="s">
        <v>30</v>
      </c>
      <c r="C913" s="38" t="s">
        <v>54</v>
      </c>
      <c r="D913" s="66" t="s">
        <v>944</v>
      </c>
      <c r="E913" s="106"/>
      <c r="F913" s="66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4.25" customHeight="1">
      <c r="A914" s="106"/>
      <c r="B914" s="39"/>
      <c r="C914" s="39"/>
      <c r="D914" s="66" t="s">
        <v>945</v>
      </c>
      <c r="E914" s="106"/>
      <c r="F914" s="66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4.25" customHeight="1">
      <c r="A915" s="106"/>
      <c r="B915" s="39"/>
      <c r="C915" s="39"/>
      <c r="D915" s="32" t="s">
        <v>946</v>
      </c>
      <c r="E915" s="106"/>
      <c r="F915" s="32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4.25" customHeight="1">
      <c r="A916" s="106"/>
      <c r="B916" s="39"/>
      <c r="C916" s="39"/>
      <c r="D916" s="32" t="s">
        <v>947</v>
      </c>
      <c r="E916" s="106"/>
      <c r="F916" s="32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4.25" customHeight="1">
      <c r="A917" s="106"/>
      <c r="B917" s="39"/>
      <c r="C917" s="39"/>
      <c r="D917" s="32" t="s">
        <v>948</v>
      </c>
      <c r="E917" s="106"/>
      <c r="F917" s="32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4.25" customHeight="1">
      <c r="A918" s="106"/>
      <c r="B918" s="39"/>
      <c r="C918" s="39"/>
      <c r="D918" s="32" t="s">
        <v>949</v>
      </c>
      <c r="E918" s="106"/>
      <c r="F918" s="32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4.25" customHeight="1">
      <c r="A919" s="106"/>
      <c r="B919" s="39"/>
      <c r="C919" s="39"/>
      <c r="D919" s="66" t="s">
        <v>950</v>
      </c>
      <c r="E919" s="106"/>
      <c r="F919" s="66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4.25" customHeight="1">
      <c r="A920" s="106"/>
      <c r="B920" s="39"/>
      <c r="C920" s="39"/>
      <c r="D920" s="66" t="s">
        <v>951</v>
      </c>
      <c r="E920" s="106"/>
      <c r="F920" s="66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4.25" customHeight="1">
      <c r="A921" s="106"/>
      <c r="B921" s="44" t="s">
        <v>31</v>
      </c>
      <c r="C921" s="44" t="s">
        <v>54</v>
      </c>
      <c r="D921" s="65" t="s">
        <v>982</v>
      </c>
      <c r="E921" s="106"/>
      <c r="F921" s="65"/>
      <c r="G921" s="67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4.25" customHeight="1">
      <c r="A922" s="106"/>
      <c r="B922" s="41"/>
      <c r="C922" s="41"/>
      <c r="D922" s="65" t="s">
        <v>983</v>
      </c>
      <c r="E922" s="106"/>
      <c r="F922" s="65"/>
      <c r="G922" s="67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4.25" customHeight="1">
      <c r="A923" s="106"/>
      <c r="B923" s="41"/>
      <c r="C923" s="41"/>
      <c r="D923" s="28" t="s">
        <v>984</v>
      </c>
      <c r="E923" s="106"/>
      <c r="F923" s="28"/>
      <c r="G923" s="67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4.25" customHeight="1">
      <c r="A924" s="106"/>
      <c r="B924" s="41"/>
      <c r="C924" s="41"/>
      <c r="D924" s="28" t="s">
        <v>985</v>
      </c>
      <c r="E924" s="106"/>
      <c r="F924" s="28"/>
      <c r="G924" s="67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4.25" customHeight="1">
      <c r="A925" s="106"/>
      <c r="B925" s="41"/>
      <c r="C925" s="41"/>
      <c r="D925" s="28" t="s">
        <v>986</v>
      </c>
      <c r="E925" s="106"/>
      <c r="F925" s="28"/>
      <c r="G925" s="67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4.25" customHeight="1">
      <c r="A926" s="106"/>
      <c r="B926" s="41"/>
      <c r="C926" s="41"/>
      <c r="D926" s="28" t="s">
        <v>313</v>
      </c>
      <c r="E926" s="106"/>
      <c r="F926" s="28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4.25" customHeight="1">
      <c r="A927" s="106"/>
      <c r="B927" s="38" t="s">
        <v>32</v>
      </c>
      <c r="C927" s="38" t="s">
        <v>54</v>
      </c>
      <c r="D927" s="32" t="s">
        <v>987</v>
      </c>
      <c r="E927" s="106"/>
      <c r="F927" s="32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4.25" customHeight="1">
      <c r="A928" s="106"/>
      <c r="B928" s="39"/>
      <c r="C928" s="39"/>
      <c r="D928" s="32" t="s">
        <v>988</v>
      </c>
      <c r="E928" s="106"/>
      <c r="F928" s="32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4.25" customHeight="1">
      <c r="A929" s="106"/>
      <c r="B929" s="39"/>
      <c r="C929" s="39"/>
      <c r="D929" s="32" t="s">
        <v>989</v>
      </c>
      <c r="E929" s="106"/>
      <c r="F929" s="32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4.25" customHeight="1">
      <c r="A930" s="106"/>
      <c r="B930" s="68" t="s">
        <v>33</v>
      </c>
      <c r="C930" s="68" t="s">
        <v>54</v>
      </c>
      <c r="D930" s="65" t="s">
        <v>990</v>
      </c>
      <c r="E930" s="106"/>
      <c r="F930" s="65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4.25" customHeight="1">
      <c r="A931" s="106"/>
      <c r="B931" s="69"/>
      <c r="C931" s="69"/>
      <c r="D931" s="65" t="s">
        <v>753</v>
      </c>
      <c r="E931" s="106"/>
      <c r="F931" s="65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4.25" customHeight="1">
      <c r="A932" s="106"/>
      <c r="B932" s="69"/>
      <c r="C932" s="69"/>
      <c r="D932" s="28" t="s">
        <v>952</v>
      </c>
      <c r="E932" s="106"/>
      <c r="F932" s="28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4.25" customHeight="1">
      <c r="A933" s="106"/>
      <c r="B933" s="69"/>
      <c r="C933" s="69"/>
      <c r="D933" s="28" t="s">
        <v>754</v>
      </c>
      <c r="E933" s="106"/>
      <c r="F933" s="28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4.25" customHeight="1">
      <c r="A934" s="106"/>
      <c r="B934" s="69"/>
      <c r="C934" s="69"/>
      <c r="D934" s="28" t="s">
        <v>313</v>
      </c>
      <c r="E934" s="106"/>
      <c r="F934" s="28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4.25" customHeight="1">
      <c r="A935" s="106"/>
      <c r="B935" s="70" t="s">
        <v>34</v>
      </c>
      <c r="C935" s="70" t="s">
        <v>54</v>
      </c>
      <c r="D935" s="66" t="s">
        <v>952</v>
      </c>
      <c r="E935" s="106"/>
      <c r="F935" s="66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4.25" customHeight="1">
      <c r="A936" s="106"/>
      <c r="B936" s="71"/>
      <c r="C936" s="71"/>
      <c r="D936" s="66" t="s">
        <v>753</v>
      </c>
      <c r="E936" s="106"/>
      <c r="F936" s="66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4.25" customHeight="1">
      <c r="A937" s="106"/>
      <c r="B937" s="71"/>
      <c r="C937" s="71"/>
      <c r="D937" s="32" t="s">
        <v>754</v>
      </c>
      <c r="E937" s="106"/>
      <c r="F937" s="32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4.25" customHeight="1">
      <c r="A938" s="106"/>
      <c r="B938" s="71"/>
      <c r="C938" s="71"/>
      <c r="D938" s="32" t="s">
        <v>755</v>
      </c>
      <c r="E938" s="106"/>
      <c r="F938" s="32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4.25" customHeight="1">
      <c r="A939" s="106"/>
      <c r="B939" s="71"/>
      <c r="C939" s="71"/>
      <c r="D939" s="32" t="s">
        <v>991</v>
      </c>
      <c r="E939" s="106"/>
      <c r="F939" s="32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4.25" customHeight="1">
      <c r="A940" s="106"/>
      <c r="B940" s="71"/>
      <c r="C940" s="71"/>
      <c r="D940" s="66" t="s">
        <v>991</v>
      </c>
      <c r="E940" s="106"/>
      <c r="F940" s="66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4.25" customHeight="1">
      <c r="A941" s="106"/>
      <c r="B941" s="71"/>
      <c r="C941" s="71"/>
      <c r="D941" s="66" t="s">
        <v>954</v>
      </c>
      <c r="E941" s="106"/>
      <c r="F941" s="66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4.25" customHeight="1">
      <c r="A942" s="106"/>
      <c r="B942" s="71"/>
      <c r="C942" s="71"/>
      <c r="D942" s="32" t="s">
        <v>955</v>
      </c>
      <c r="E942" s="106"/>
      <c r="F942" s="32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4.25" customHeight="1">
      <c r="A943" s="106"/>
      <c r="B943" s="71"/>
      <c r="C943" s="71"/>
      <c r="D943" s="66" t="s">
        <v>956</v>
      </c>
      <c r="E943" s="106"/>
      <c r="F943" s="66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4.25" customHeight="1">
      <c r="A944" s="106"/>
      <c r="B944" s="71"/>
      <c r="C944" s="71"/>
      <c r="D944" s="66" t="s">
        <v>990</v>
      </c>
      <c r="E944" s="106"/>
      <c r="F944" s="66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4.25" customHeight="1">
      <c r="A945" s="106"/>
      <c r="B945" s="71"/>
      <c r="C945" s="71"/>
      <c r="D945" s="32" t="s">
        <v>992</v>
      </c>
      <c r="E945" s="106"/>
      <c r="F945" s="32" t="s">
        <v>992</v>
      </c>
      <c r="G945" s="10" t="s">
        <v>213</v>
      </c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4.25" customHeight="1">
      <c r="A946" s="106"/>
      <c r="B946" s="72"/>
      <c r="C946" s="72"/>
      <c r="D946" s="32" t="s">
        <v>313</v>
      </c>
      <c r="E946" s="106"/>
      <c r="F946" s="32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4.25" customHeight="1">
      <c r="A947" s="106"/>
      <c r="B947" s="68" t="s">
        <v>35</v>
      </c>
      <c r="C947" s="68" t="s">
        <v>54</v>
      </c>
      <c r="D947" s="65" t="s">
        <v>993</v>
      </c>
      <c r="E947" s="106"/>
      <c r="F947" s="65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4.25" customHeight="1">
      <c r="A948" s="106"/>
      <c r="B948" s="69"/>
      <c r="C948" s="69"/>
      <c r="D948" s="65" t="s">
        <v>994</v>
      </c>
      <c r="E948" s="106"/>
      <c r="F948" s="65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4.25" customHeight="1">
      <c r="A949" s="106"/>
      <c r="B949" s="69"/>
      <c r="C949" s="69"/>
      <c r="D949" s="28" t="s">
        <v>995</v>
      </c>
      <c r="E949" s="106"/>
      <c r="F949" s="28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4.25" customHeight="1">
      <c r="A950" s="106"/>
      <c r="B950" s="69"/>
      <c r="C950" s="69"/>
      <c r="D950" s="28" t="s">
        <v>996</v>
      </c>
      <c r="E950" s="106"/>
      <c r="F950" s="28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4.25" customHeight="1">
      <c r="A951" s="106"/>
      <c r="B951" s="69"/>
      <c r="C951" s="69"/>
      <c r="D951" s="28" t="s">
        <v>997</v>
      </c>
      <c r="E951" s="106"/>
      <c r="F951" s="28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4.25" customHeight="1">
      <c r="A952" s="106"/>
      <c r="B952" s="69"/>
      <c r="C952" s="69"/>
      <c r="D952" s="65" t="s">
        <v>764</v>
      </c>
      <c r="E952" s="106"/>
      <c r="F952" s="65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4.25" customHeight="1">
      <c r="A953" s="106"/>
      <c r="B953" s="69"/>
      <c r="C953" s="69"/>
      <c r="D953" s="65" t="s">
        <v>990</v>
      </c>
      <c r="E953" s="106"/>
      <c r="F953" s="65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4.25" customHeight="1">
      <c r="A954" s="106"/>
      <c r="B954" s="69"/>
      <c r="C954" s="69"/>
      <c r="D954" s="28" t="s">
        <v>998</v>
      </c>
      <c r="E954" s="106"/>
      <c r="F954" s="28" t="s">
        <v>999</v>
      </c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4.25" customHeight="1">
      <c r="A955" s="106"/>
      <c r="B955" s="69"/>
      <c r="C955" s="69"/>
      <c r="D955" s="28" t="s">
        <v>962</v>
      </c>
      <c r="E955" s="106"/>
      <c r="F955" s="28" t="s">
        <v>963</v>
      </c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4.25" customHeight="1">
      <c r="A956" s="106"/>
      <c r="B956" s="69"/>
      <c r="C956" s="69"/>
      <c r="D956" s="28" t="s">
        <v>313</v>
      </c>
      <c r="E956" s="106"/>
      <c r="F956" s="28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4.25" customHeight="1">
      <c r="A957" s="106"/>
      <c r="B957" s="70" t="s">
        <v>36</v>
      </c>
      <c r="C957" s="70" t="s">
        <v>54</v>
      </c>
      <c r="D957" s="32" t="s">
        <v>1000</v>
      </c>
      <c r="E957" s="106"/>
      <c r="F957" s="32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4.25" customHeight="1">
      <c r="A958" s="106"/>
      <c r="B958" s="71"/>
      <c r="C958" s="71"/>
      <c r="D958" s="32" t="s">
        <v>1001</v>
      </c>
      <c r="E958" s="106"/>
      <c r="F958" s="32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4.25" customHeight="1">
      <c r="A959" s="106"/>
      <c r="B959" s="71"/>
      <c r="C959" s="71"/>
      <c r="D959" s="32" t="s">
        <v>1002</v>
      </c>
      <c r="E959" s="106"/>
      <c r="F959" s="32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4.25" customHeight="1">
      <c r="A960" s="106"/>
      <c r="B960" s="71"/>
      <c r="C960" s="71"/>
      <c r="D960" s="32" t="s">
        <v>1003</v>
      </c>
      <c r="E960" s="106"/>
      <c r="F960" s="32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4.25" customHeight="1">
      <c r="A961" s="106"/>
      <c r="B961" s="71"/>
      <c r="C961" s="71"/>
      <c r="D961" s="32" t="s">
        <v>1004</v>
      </c>
      <c r="E961" s="106"/>
      <c r="F961" s="32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4.25" customHeight="1">
      <c r="A962" s="106"/>
      <c r="B962" s="71"/>
      <c r="C962" s="71"/>
      <c r="D962" s="32" t="s">
        <v>1005</v>
      </c>
      <c r="E962" s="106"/>
      <c r="F962" s="32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4.25" customHeight="1">
      <c r="A963" s="106"/>
      <c r="B963" s="71"/>
      <c r="C963" s="71"/>
      <c r="D963" s="32" t="s">
        <v>1006</v>
      </c>
      <c r="E963" s="106"/>
      <c r="F963" s="32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4.25" customHeight="1">
      <c r="A964" s="106"/>
      <c r="B964" s="71"/>
      <c r="C964" s="71"/>
      <c r="D964" s="32" t="s">
        <v>849</v>
      </c>
      <c r="E964" s="106"/>
      <c r="F964" s="32"/>
      <c r="G964" s="10" t="s">
        <v>213</v>
      </c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4.25" customHeight="1">
      <c r="A965" s="106"/>
      <c r="B965" s="73" t="s">
        <v>38</v>
      </c>
      <c r="C965" s="68" t="s">
        <v>54</v>
      </c>
      <c r="D965" s="28" t="s">
        <v>972</v>
      </c>
      <c r="E965" s="106"/>
      <c r="F965" s="28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4.25" customHeight="1">
      <c r="A966" s="106"/>
      <c r="B966" s="74"/>
      <c r="C966" s="69"/>
      <c r="D966" s="28" t="s">
        <v>973</v>
      </c>
      <c r="E966" s="106"/>
      <c r="F966" s="28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4.25" customHeight="1">
      <c r="A967" s="106"/>
      <c r="B967" s="74"/>
      <c r="C967" s="69"/>
      <c r="D967" s="28" t="s">
        <v>745</v>
      </c>
      <c r="E967" s="106"/>
      <c r="F967" s="28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4.25" customHeight="1">
      <c r="A968" s="106"/>
      <c r="B968" s="74"/>
      <c r="C968" s="69"/>
      <c r="D968" s="28" t="s">
        <v>974</v>
      </c>
      <c r="E968" s="106"/>
      <c r="F968" s="28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4.25" customHeight="1">
      <c r="A969" s="106"/>
      <c r="B969" s="74"/>
      <c r="C969" s="69"/>
      <c r="D969" s="28" t="s">
        <v>975</v>
      </c>
      <c r="E969" s="106"/>
      <c r="F969" s="28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4.25" customHeight="1">
      <c r="A970" s="106"/>
      <c r="B970" s="74"/>
      <c r="C970" s="69"/>
      <c r="D970" s="28" t="s">
        <v>1007</v>
      </c>
      <c r="E970" s="106"/>
      <c r="F970" s="28"/>
      <c r="G970" s="10" t="s">
        <v>213</v>
      </c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4.25" customHeight="1">
      <c r="A971" s="106"/>
      <c r="B971" s="31" t="s">
        <v>40</v>
      </c>
      <c r="C971" s="70" t="s">
        <v>54</v>
      </c>
      <c r="D971" s="32" t="s">
        <v>1008</v>
      </c>
      <c r="E971" s="106"/>
      <c r="F971" s="32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4.25" customHeight="1">
      <c r="A972" s="106"/>
      <c r="B972" s="34"/>
      <c r="C972" s="71"/>
      <c r="D972" s="32" t="s">
        <v>1009</v>
      </c>
      <c r="E972" s="106"/>
      <c r="F972" s="32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4.25" customHeight="1">
      <c r="A973" s="106"/>
      <c r="B973" s="34"/>
      <c r="C973" s="71"/>
      <c r="D973" s="32" t="s">
        <v>1010</v>
      </c>
      <c r="E973" s="106"/>
      <c r="F973" s="32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4.25" customHeight="1">
      <c r="A974" s="106"/>
      <c r="B974" s="34"/>
      <c r="C974" s="71"/>
      <c r="D974" s="32" t="s">
        <v>1011</v>
      </c>
      <c r="E974" s="106"/>
      <c r="F974" s="32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4.25" customHeight="1">
      <c r="A975" s="106"/>
      <c r="B975" s="34"/>
      <c r="C975" s="71"/>
      <c r="D975" s="32" t="s">
        <v>1012</v>
      </c>
      <c r="E975" s="106"/>
      <c r="F975" s="32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4.25" customHeight="1">
      <c r="A976" s="106"/>
      <c r="B976" s="34"/>
      <c r="C976" s="71"/>
      <c r="D976" s="32" t="s">
        <v>1013</v>
      </c>
      <c r="E976" s="106"/>
      <c r="F976" s="32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4.25" customHeight="1">
      <c r="A977" s="106"/>
      <c r="B977" s="75"/>
      <c r="C977" s="72"/>
      <c r="D977" s="32" t="s">
        <v>313</v>
      </c>
      <c r="E977" s="106"/>
      <c r="F977" s="32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4.25" customHeight="1">
      <c r="A978" s="106"/>
      <c r="B978" s="68" t="s">
        <v>39</v>
      </c>
      <c r="C978" s="68" t="s">
        <v>54</v>
      </c>
      <c r="D978" s="28" t="s">
        <v>1014</v>
      </c>
      <c r="E978" s="106"/>
      <c r="F978" s="28"/>
      <c r="G978" s="10" t="s">
        <v>1015</v>
      </c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4.25" customHeight="1">
      <c r="A979" s="106"/>
      <c r="B979" s="69"/>
      <c r="C979" s="69"/>
      <c r="D979" s="28" t="s">
        <v>1016</v>
      </c>
      <c r="E979" s="106"/>
      <c r="F979" s="28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4.25" customHeight="1">
      <c r="A980" s="106"/>
      <c r="B980" s="69"/>
      <c r="C980" s="69"/>
      <c r="D980" s="28" t="s">
        <v>1017</v>
      </c>
      <c r="E980" s="106"/>
      <c r="F980" s="28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4.25" customHeight="1">
      <c r="A981" s="106"/>
      <c r="B981" s="69"/>
      <c r="C981" s="69"/>
      <c r="D981" s="28" t="s">
        <v>1018</v>
      </c>
      <c r="E981" s="106"/>
      <c r="F981" s="28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14.25" customHeight="1">
      <c r="A982" s="106"/>
      <c r="B982" s="69"/>
      <c r="C982" s="69"/>
      <c r="D982" s="28" t="s">
        <v>1019</v>
      </c>
      <c r="E982" s="106"/>
      <c r="F982" s="28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ht="14.25" customHeight="1">
      <c r="A983" s="106"/>
      <c r="B983" s="69"/>
      <c r="C983" s="69"/>
      <c r="D983" s="28" t="s">
        <v>1020</v>
      </c>
      <c r="E983" s="106"/>
      <c r="F983" s="28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ht="14.25" customHeight="1">
      <c r="A984" s="106"/>
      <c r="B984" s="69"/>
      <c r="C984" s="69"/>
      <c r="D984" s="28" t="s">
        <v>1021</v>
      </c>
      <c r="E984" s="106"/>
      <c r="F984" s="28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ht="14.25" customHeight="1">
      <c r="A985" s="106"/>
      <c r="B985" s="69"/>
      <c r="C985" s="69"/>
      <c r="D985" s="28" t="s">
        <v>1022</v>
      </c>
      <c r="E985" s="106"/>
      <c r="F985" s="28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ht="14.25" customHeight="1">
      <c r="A986" s="106"/>
      <c r="B986" s="69"/>
      <c r="C986" s="69"/>
      <c r="D986" s="28" t="s">
        <v>1023</v>
      </c>
      <c r="E986" s="106"/>
      <c r="F986" s="28" t="s">
        <v>1024</v>
      </c>
      <c r="G986" s="10" t="s">
        <v>213</v>
      </c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ht="14.25" customHeight="1">
      <c r="A987" s="106"/>
      <c r="B987" s="31" t="s">
        <v>41</v>
      </c>
      <c r="C987" s="70" t="s">
        <v>54</v>
      </c>
      <c r="D987" s="32" t="s">
        <v>976</v>
      </c>
      <c r="E987" s="106"/>
      <c r="F987" s="32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ht="14.25" customHeight="1">
      <c r="A988" s="106"/>
      <c r="B988" s="34"/>
      <c r="C988" s="71"/>
      <c r="D988" s="32" t="s">
        <v>977</v>
      </c>
      <c r="E988" s="106"/>
      <c r="F988" s="32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1:28" ht="14.25" customHeight="1">
      <c r="A989" s="106"/>
      <c r="B989" s="34"/>
      <c r="C989" s="71"/>
      <c r="D989" s="32" t="s">
        <v>1025</v>
      </c>
      <c r="E989" s="106"/>
      <c r="F989" s="32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1:28" ht="14.25" customHeight="1">
      <c r="A990" s="106"/>
      <c r="B990" s="34"/>
      <c r="C990" s="71"/>
      <c r="D990" s="32" t="s">
        <v>1026</v>
      </c>
      <c r="E990" s="106"/>
      <c r="F990" s="32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1:28" ht="14.25" customHeight="1">
      <c r="A991" s="106"/>
      <c r="B991" s="34"/>
      <c r="C991" s="71"/>
      <c r="D991" s="32" t="s">
        <v>1027</v>
      </c>
      <c r="E991" s="106"/>
      <c r="F991" s="32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spans="1:28" ht="14.25" customHeight="1">
      <c r="A992" s="106"/>
      <c r="B992" s="34"/>
      <c r="C992" s="71"/>
      <c r="D992" s="32" t="s">
        <v>1028</v>
      </c>
      <c r="E992" s="106"/>
      <c r="F992" s="32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spans="1:28" ht="14.25" customHeight="1">
      <c r="A993" s="106"/>
      <c r="B993" s="68" t="s">
        <v>42</v>
      </c>
      <c r="C993" s="68" t="s">
        <v>54</v>
      </c>
      <c r="D993" s="28" t="s">
        <v>753</v>
      </c>
      <c r="E993" s="106"/>
      <c r="F993" s="28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spans="1:28" ht="14.25" customHeight="1">
      <c r="A994" s="106"/>
      <c r="B994" s="69"/>
      <c r="C994" s="69"/>
      <c r="D994" s="28" t="s">
        <v>952</v>
      </c>
      <c r="E994" s="106"/>
      <c r="F994" s="28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spans="1:28" ht="14.25" customHeight="1">
      <c r="A995" s="106"/>
      <c r="B995" s="69"/>
      <c r="C995" s="69"/>
      <c r="D995" s="28" t="s">
        <v>951</v>
      </c>
      <c r="E995" s="106"/>
      <c r="F995" s="28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spans="1:28" ht="14.25" customHeight="1">
      <c r="A996" s="106"/>
      <c r="B996" s="69"/>
      <c r="C996" s="69"/>
      <c r="D996" s="28" t="s">
        <v>754</v>
      </c>
      <c r="E996" s="106"/>
      <c r="F996" s="28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spans="1:28" ht="14.25" customHeight="1">
      <c r="A997" s="106"/>
      <c r="B997" s="69"/>
      <c r="C997" s="69"/>
      <c r="D997" s="28" t="s">
        <v>1029</v>
      </c>
      <c r="E997" s="106"/>
      <c r="F997" s="28" t="s">
        <v>1030</v>
      </c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spans="1:28" ht="14.25" customHeight="1">
      <c r="A998" s="106"/>
      <c r="B998" s="69"/>
      <c r="C998" s="69"/>
      <c r="D998" s="28" t="s">
        <v>313</v>
      </c>
      <c r="E998" s="106"/>
      <c r="F998" s="28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spans="1:28" ht="14.25" customHeight="1">
      <c r="A999" s="106"/>
      <c r="B999" s="70" t="s">
        <v>43</v>
      </c>
      <c r="C999" s="70" t="s">
        <v>54</v>
      </c>
      <c r="D999" s="32" t="s">
        <v>1031</v>
      </c>
      <c r="E999" s="106"/>
      <c r="F999" s="32"/>
      <c r="G999" s="10" t="s">
        <v>1015</v>
      </c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spans="1:28" ht="14.25" customHeight="1">
      <c r="A1000" s="106"/>
      <c r="B1000" s="71"/>
      <c r="C1000" s="71"/>
      <c r="D1000" s="32" t="s">
        <v>1032</v>
      </c>
      <c r="E1000" s="106"/>
      <c r="F1000" s="32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spans="1:28" ht="14.25" customHeight="1">
      <c r="A1001" s="106"/>
      <c r="B1001" s="68" t="s">
        <v>45</v>
      </c>
      <c r="C1001" s="68" t="s">
        <v>54</v>
      </c>
      <c r="D1001" s="28" t="s">
        <v>1033</v>
      </c>
      <c r="E1001" s="106"/>
      <c r="F1001" s="28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spans="1:28" ht="14.25" customHeight="1">
      <c r="A1002" s="106"/>
      <c r="B1002" s="69"/>
      <c r="C1002" s="69"/>
      <c r="D1002" s="28" t="s">
        <v>1034</v>
      </c>
      <c r="E1002" s="106"/>
      <c r="F1002" s="28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 spans="1:28" ht="14.25" customHeight="1">
      <c r="A1003" s="106"/>
      <c r="B1003" s="69"/>
      <c r="C1003" s="69"/>
      <c r="D1003" s="28" t="s">
        <v>1035</v>
      </c>
      <c r="E1003" s="106"/>
      <c r="F1003" s="28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 spans="1:28" ht="14.25" customHeight="1">
      <c r="A1004" s="106"/>
      <c r="B1004" s="69"/>
      <c r="C1004" s="69"/>
      <c r="D1004" s="28" t="s">
        <v>1036</v>
      </c>
      <c r="E1004" s="106"/>
      <c r="F1004" s="28"/>
      <c r="G1004" s="10" t="s">
        <v>213</v>
      </c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 spans="1:28" ht="14.25" customHeight="1">
      <c r="A1005" s="106"/>
      <c r="B1005" s="69"/>
      <c r="C1005" s="69"/>
      <c r="D1005" s="28" t="s">
        <v>1037</v>
      </c>
      <c r="E1005" s="106"/>
      <c r="F1005" s="28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 spans="1:28" ht="14.25" customHeight="1">
      <c r="A1006" s="106"/>
      <c r="B1006" s="69"/>
      <c r="C1006" s="69"/>
      <c r="D1006" s="28" t="s">
        <v>1038</v>
      </c>
      <c r="E1006" s="106"/>
      <c r="F1006" s="28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 spans="1:28" ht="14.25" customHeight="1">
      <c r="A1007" s="106"/>
      <c r="B1007" s="69"/>
      <c r="C1007" s="69"/>
      <c r="D1007" s="28" t="s">
        <v>1039</v>
      </c>
      <c r="E1007" s="106"/>
      <c r="F1007" s="28"/>
      <c r="G1007" s="10" t="s">
        <v>213</v>
      </c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 spans="1:28" ht="14.25" customHeight="1">
      <c r="A1008" s="106"/>
      <c r="B1008" s="69"/>
      <c r="C1008" s="69"/>
      <c r="D1008" s="28" t="s">
        <v>1040</v>
      </c>
      <c r="E1008" s="106"/>
      <c r="F1008" s="28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 spans="1:28" ht="14.25" customHeight="1">
      <c r="A1009" s="106"/>
      <c r="B1009" s="69"/>
      <c r="C1009" s="69"/>
      <c r="D1009" s="28" t="s">
        <v>1041</v>
      </c>
      <c r="E1009" s="106"/>
      <c r="F1009" s="28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 spans="1:28" ht="14.25" customHeight="1">
      <c r="A1010" s="106"/>
      <c r="B1010" s="69"/>
      <c r="C1010" s="69"/>
      <c r="D1010" s="28" t="s">
        <v>1042</v>
      </c>
      <c r="E1010" s="106"/>
      <c r="F1010" s="28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 spans="1:28" ht="14.25" customHeight="1">
      <c r="A1011" s="106"/>
      <c r="B1011" s="69"/>
      <c r="C1011" s="69"/>
      <c r="D1011" s="28" t="s">
        <v>1043</v>
      </c>
      <c r="E1011" s="106"/>
      <c r="F1011" s="28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 spans="1:28" ht="14.25" customHeight="1">
      <c r="A1012" s="106"/>
      <c r="B1012" s="69"/>
      <c r="C1012" s="69"/>
      <c r="D1012" s="28" t="s">
        <v>1044</v>
      </c>
      <c r="E1012" s="106"/>
      <c r="F1012" s="28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 spans="1:28" ht="14.25" customHeight="1">
      <c r="A1013" s="106"/>
      <c r="B1013" s="69"/>
      <c r="C1013" s="69"/>
      <c r="D1013" s="28" t="s">
        <v>1045</v>
      </c>
      <c r="E1013" s="106"/>
      <c r="F1013" s="28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 spans="1:28" ht="14.25" customHeight="1">
      <c r="A1014" s="106"/>
      <c r="B1014" s="69"/>
      <c r="C1014" s="69"/>
      <c r="D1014" s="28" t="s">
        <v>1046</v>
      </c>
      <c r="E1014" s="106"/>
      <c r="F1014" s="28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 spans="1:28" ht="14.25" customHeight="1">
      <c r="A1015" s="106"/>
      <c r="B1015" s="69"/>
      <c r="C1015" s="69"/>
      <c r="D1015" s="28" t="s">
        <v>1047</v>
      </c>
      <c r="E1015" s="106"/>
      <c r="F1015" s="28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 spans="1:28" ht="14.25" customHeight="1">
      <c r="A1016" s="106"/>
      <c r="B1016" s="69"/>
      <c r="C1016" s="69"/>
      <c r="D1016" s="28" t="s">
        <v>1048</v>
      </c>
      <c r="E1016" s="106"/>
      <c r="F1016" s="28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 spans="1:28" ht="14.25" customHeight="1">
      <c r="A1017" s="106"/>
      <c r="B1017" s="69"/>
      <c r="C1017" s="69"/>
      <c r="D1017" s="28" t="s">
        <v>1049</v>
      </c>
      <c r="E1017" s="106"/>
      <c r="F1017" s="28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 spans="1:28" ht="14.25" customHeight="1">
      <c r="A1018" s="106"/>
      <c r="B1018" s="69"/>
      <c r="C1018" s="69"/>
      <c r="D1018" s="28" t="s">
        <v>1050</v>
      </c>
      <c r="E1018" s="106"/>
      <c r="F1018" s="28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 spans="1:28" ht="14.25" customHeight="1">
      <c r="A1019" s="106"/>
      <c r="B1019" s="69"/>
      <c r="C1019" s="69"/>
      <c r="D1019" s="28" t="s">
        <v>1051</v>
      </c>
      <c r="E1019" s="106"/>
      <c r="F1019" s="28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 spans="1:28" ht="14.25" customHeight="1">
      <c r="A1020" s="106"/>
      <c r="B1020" s="69"/>
      <c r="C1020" s="69"/>
      <c r="D1020" s="28" t="s">
        <v>1052</v>
      </c>
      <c r="E1020" s="106"/>
      <c r="F1020" s="28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 spans="1:28" ht="14.25" customHeight="1">
      <c r="A1021" s="106"/>
      <c r="B1021" s="69"/>
      <c r="C1021" s="69"/>
      <c r="D1021" s="28" t="s">
        <v>1053</v>
      </c>
      <c r="E1021" s="106"/>
      <c r="F1021" s="28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 spans="1:28" ht="14.25" customHeight="1">
      <c r="A1022" s="106"/>
      <c r="B1022" s="69"/>
      <c r="C1022" s="69"/>
      <c r="D1022" s="28" t="s">
        <v>1054</v>
      </c>
      <c r="E1022" s="106"/>
      <c r="F1022" s="28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 spans="1:28" ht="14.25" customHeight="1">
      <c r="A1023" s="106"/>
      <c r="B1023" s="69"/>
      <c r="C1023" s="69"/>
      <c r="D1023" s="28" t="s">
        <v>1055</v>
      </c>
      <c r="E1023" s="106"/>
      <c r="F1023" s="28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 spans="1:28" ht="14.25" customHeight="1">
      <c r="A1024" s="106"/>
      <c r="B1024" s="69"/>
      <c r="C1024" s="69"/>
      <c r="D1024" s="28" t="s">
        <v>1056</v>
      </c>
      <c r="E1024" s="106"/>
      <c r="F1024" s="28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 spans="1:28" ht="14.25" customHeight="1">
      <c r="A1025" s="106"/>
      <c r="B1025" s="69"/>
      <c r="C1025" s="69"/>
      <c r="D1025" s="28" t="s">
        <v>1057</v>
      </c>
      <c r="E1025" s="106"/>
      <c r="F1025" s="28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 spans="1:28" ht="14.25" customHeight="1">
      <c r="A1026" s="106"/>
      <c r="B1026" s="69"/>
      <c r="C1026" s="69"/>
      <c r="D1026" s="28" t="s">
        <v>1058</v>
      </c>
      <c r="E1026" s="106"/>
      <c r="F1026" s="28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 spans="1:28" ht="14.25" customHeight="1">
      <c r="A1027" s="106"/>
      <c r="B1027" s="69"/>
      <c r="C1027" s="69"/>
      <c r="D1027" s="28" t="s">
        <v>1059</v>
      </c>
      <c r="E1027" s="106"/>
      <c r="F1027" s="28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 spans="1:28" ht="14.25" customHeight="1">
      <c r="A1028" s="106"/>
      <c r="B1028" s="69"/>
      <c r="C1028" s="69"/>
      <c r="D1028" s="28" t="s">
        <v>1060</v>
      </c>
      <c r="E1028" s="106"/>
      <c r="F1028" s="28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 spans="1:28" ht="14.25" customHeight="1">
      <c r="A1029" s="106"/>
      <c r="B1029" s="69"/>
      <c r="C1029" s="69"/>
      <c r="D1029" s="28" t="s">
        <v>1061</v>
      </c>
      <c r="E1029" s="106"/>
      <c r="F1029" s="28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 spans="1:28" ht="14.25" customHeight="1">
      <c r="A1030" s="106"/>
      <c r="B1030" s="69"/>
      <c r="C1030" s="69"/>
      <c r="D1030" s="28" t="s">
        <v>1062</v>
      </c>
      <c r="E1030" s="106"/>
      <c r="F1030" s="28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 spans="1:28" ht="14.25" customHeight="1">
      <c r="A1031" s="106"/>
      <c r="B1031" s="69"/>
      <c r="C1031" s="69"/>
      <c r="D1031" s="28" t="s">
        <v>1063</v>
      </c>
      <c r="E1031" s="106"/>
      <c r="F1031" s="28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 spans="1:28" ht="14.25" customHeight="1">
      <c r="A1032" s="106"/>
      <c r="B1032" s="69"/>
      <c r="C1032" s="69"/>
      <c r="D1032" s="52" t="s">
        <v>1064</v>
      </c>
      <c r="E1032" s="106"/>
      <c r="F1032" s="28"/>
      <c r="G1032" s="10" t="s">
        <v>213</v>
      </c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 spans="1:28" ht="14.25" customHeight="1">
      <c r="A1033" s="106"/>
      <c r="B1033" s="69"/>
      <c r="C1033" s="69"/>
      <c r="D1033" s="28" t="s">
        <v>1065</v>
      </c>
      <c r="E1033" s="106"/>
      <c r="F1033" s="28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 spans="1:28" ht="14.25" customHeight="1">
      <c r="A1034" s="106"/>
      <c r="B1034" s="69"/>
      <c r="C1034" s="69"/>
      <c r="D1034" s="28" t="s">
        <v>313</v>
      </c>
      <c r="E1034" s="106"/>
      <c r="F1034" s="28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 spans="1:28" ht="14.25" customHeight="1">
      <c r="A1035" s="106"/>
      <c r="B1035" s="38" t="s">
        <v>44</v>
      </c>
      <c r="C1035" s="38" t="s">
        <v>54</v>
      </c>
      <c r="D1035" s="32" t="s">
        <v>1066</v>
      </c>
      <c r="E1035" s="106"/>
      <c r="F1035" s="32"/>
      <c r="G1035" s="10" t="s">
        <v>1015</v>
      </c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 spans="1:28" ht="14.25" customHeight="1">
      <c r="A1036" s="106"/>
      <c r="B1036" s="39"/>
      <c r="C1036" s="39"/>
      <c r="D1036" s="32" t="s">
        <v>1067</v>
      </c>
      <c r="E1036" s="106"/>
      <c r="F1036" s="32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 spans="1:28" ht="14.25" customHeight="1">
      <c r="A1037" s="106"/>
      <c r="B1037" s="39"/>
      <c r="C1037" s="39"/>
      <c r="D1037" s="32" t="s">
        <v>313</v>
      </c>
      <c r="E1037" s="106"/>
      <c r="F1037" s="32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  <row r="1038" spans="1:28" ht="14.25" customHeight="1">
      <c r="A1038" s="106"/>
      <c r="B1038" s="68" t="s">
        <v>1068</v>
      </c>
      <c r="C1038" s="68" t="s">
        <v>54</v>
      </c>
      <c r="D1038" s="28" t="s">
        <v>1069</v>
      </c>
      <c r="E1038" s="106"/>
      <c r="F1038" s="28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</row>
    <row r="1039" spans="1:28" ht="14.25" customHeight="1">
      <c r="A1039" s="106"/>
      <c r="B1039" s="110" t="s">
        <v>3767</v>
      </c>
      <c r="C1039" s="111"/>
      <c r="D1039" s="112"/>
      <c r="E1039" s="113"/>
      <c r="F1039" s="28" t="s">
        <v>1070</v>
      </c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</row>
    <row r="1040" spans="1:28" ht="14.25" customHeight="1">
      <c r="B1040" s="69"/>
      <c r="C1040" s="69"/>
      <c r="D1040" s="28" t="s">
        <v>1071</v>
      </c>
      <c r="E1040" s="32">
        <f t="shared" ref="E1040:E1041" si="0">LEN(D1040)</f>
        <v>28</v>
      </c>
      <c r="F1040" s="28" t="s">
        <v>1072</v>
      </c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</row>
    <row r="1041" spans="2:28" ht="14.25" customHeight="1">
      <c r="B1041" s="69"/>
      <c r="C1041" s="69"/>
      <c r="D1041" s="28" t="s">
        <v>1073</v>
      </c>
      <c r="E1041" s="32">
        <f t="shared" si="0"/>
        <v>28</v>
      </c>
      <c r="F1041" s="28" t="s">
        <v>1074</v>
      </c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</row>
    <row r="1042" spans="2:28" ht="14.25" customHeight="1">
      <c r="B1042" s="10"/>
      <c r="C1042" s="10"/>
      <c r="D1042" s="7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</row>
    <row r="1043" spans="2:28" ht="14.25" customHeight="1">
      <c r="B1043" s="10"/>
      <c r="C1043" s="10"/>
      <c r="D1043" s="7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</row>
    <row r="1044" spans="2:28" ht="14.25" customHeight="1">
      <c r="B1044" s="10"/>
      <c r="C1044" s="10"/>
      <c r="D1044" s="7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</row>
    <row r="1045" spans="2:28" ht="14.25" customHeight="1">
      <c r="B1045" s="10"/>
      <c r="C1045" s="10"/>
      <c r="D1045" s="7"/>
      <c r="E1045" s="7"/>
      <c r="F1045" s="7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</row>
    <row r="1046" spans="2:28" ht="14.25" customHeight="1">
      <c r="B1046" s="10"/>
      <c r="C1046" s="10"/>
      <c r="D1046" s="7"/>
      <c r="E1046" s="7"/>
      <c r="F1046" s="7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</row>
    <row r="1047" spans="2:28" ht="14.25" customHeight="1">
      <c r="B1047" s="10"/>
      <c r="C1047" s="10"/>
      <c r="D1047" s="7"/>
      <c r="E1047" s="7"/>
      <c r="F1047" s="7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</row>
    <row r="1048" spans="2:28" ht="14.25" customHeight="1">
      <c r="B1048" s="10"/>
      <c r="C1048" s="10"/>
      <c r="D1048" s="7"/>
      <c r="E1048" s="7"/>
      <c r="F1048" s="7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</row>
    <row r="1049" spans="2:28" ht="14.25" customHeight="1">
      <c r="B1049" s="10"/>
      <c r="C1049" s="10"/>
      <c r="D1049" s="7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</row>
    <row r="1050" spans="2:28" ht="14.25" customHeight="1">
      <c r="B1050" s="10"/>
      <c r="C1050" s="10"/>
      <c r="D1050" s="7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</row>
    <row r="1051" spans="2:28" ht="14.25" customHeight="1">
      <c r="B1051" s="10"/>
      <c r="C1051" s="10"/>
      <c r="D1051" s="7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</row>
    <row r="1052" spans="2:28" ht="14.25" customHeight="1">
      <c r="B1052" s="10"/>
      <c r="C1052" s="10"/>
      <c r="D1052" s="7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</row>
    <row r="1053" spans="2:28" ht="14.25" customHeight="1">
      <c r="B1053" s="10"/>
      <c r="C1053" s="10"/>
      <c r="D1053" s="7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</row>
    <row r="1054" spans="2:28" ht="14.25" customHeight="1">
      <c r="B1054" s="10"/>
      <c r="C1054" s="10"/>
      <c r="D1054" s="7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</row>
    <row r="1055" spans="2:28" ht="14.25" customHeight="1">
      <c r="B1055" s="10"/>
      <c r="C1055" s="10"/>
      <c r="D1055" s="7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</row>
    <row r="1056" spans="2:28" ht="14.25" customHeight="1">
      <c r="B1056" s="10"/>
      <c r="C1056" s="10"/>
      <c r="D1056" s="7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</row>
    <row r="1057" spans="2:28" ht="14.25" customHeight="1">
      <c r="B1057" s="10"/>
      <c r="C1057" s="10"/>
      <c r="D1057" s="7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</row>
    <row r="1058" spans="2:28" ht="14.25" customHeight="1">
      <c r="B1058" s="10"/>
      <c r="C1058" s="10"/>
      <c r="D1058" s="7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</row>
    <row r="1059" spans="2:28" ht="14.25" customHeight="1">
      <c r="B1059" s="10"/>
      <c r="C1059" s="10"/>
      <c r="D1059" s="7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</row>
    <row r="1060" spans="2:28" ht="14.25" customHeight="1">
      <c r="B1060" s="10"/>
      <c r="C1060" s="10"/>
      <c r="D1060" s="7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</row>
    <row r="1061" spans="2:28" ht="14.25" customHeight="1">
      <c r="B1061" s="10"/>
      <c r="C1061" s="10"/>
      <c r="D1061" s="7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</row>
    <row r="1062" spans="2:28" ht="14.25" customHeight="1">
      <c r="B1062" s="10"/>
      <c r="C1062" s="10"/>
      <c r="D1062" s="7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</row>
    <row r="1063" spans="2:28" ht="14.25" customHeight="1">
      <c r="B1063" s="10"/>
      <c r="C1063" s="10"/>
      <c r="D1063" s="7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</row>
    <row r="1064" spans="2:28" ht="14.25" customHeight="1">
      <c r="B1064" s="10"/>
      <c r="C1064" s="10"/>
      <c r="D1064" s="7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</row>
    <row r="1065" spans="2:28" ht="14.25" customHeight="1">
      <c r="B1065" s="10"/>
      <c r="C1065" s="10"/>
      <c r="D1065" s="7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</row>
    <row r="1066" spans="2:28" ht="14.25" customHeight="1">
      <c r="B1066" s="10"/>
      <c r="C1066" s="10"/>
      <c r="D1066" s="7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</row>
    <row r="1067" spans="2:28" ht="14.25" customHeight="1">
      <c r="B1067" s="10"/>
      <c r="C1067" s="10"/>
      <c r="D1067" s="7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</row>
    <row r="1068" spans="2:28" ht="14.25" customHeight="1">
      <c r="B1068" s="10"/>
      <c r="C1068" s="10"/>
      <c r="D1068" s="7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</row>
    <row r="1069" spans="2:28" ht="14.25" customHeight="1">
      <c r="B1069" s="10"/>
      <c r="C1069" s="10"/>
      <c r="D1069" s="7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</row>
    <row r="1070" spans="2:28" ht="14.25" customHeight="1">
      <c r="B1070" s="10"/>
      <c r="C1070" s="10"/>
      <c r="D1070" s="7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</row>
    <row r="1071" spans="2:28" ht="14.25" customHeight="1">
      <c r="B1071" s="10"/>
      <c r="C1071" s="10"/>
      <c r="D1071" s="7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</row>
    <row r="1072" spans="2:28" ht="14.25" customHeight="1">
      <c r="B1072" s="10"/>
      <c r="C1072" s="10"/>
      <c r="D1072" s="7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</row>
    <row r="1073" spans="2:28" ht="14.25" customHeight="1"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</row>
    <row r="1074" spans="2:28" ht="14.25" customHeight="1"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</row>
    <row r="1075" spans="2:28" ht="14.25" customHeight="1">
      <c r="B1075" s="76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</row>
    <row r="1076" spans="2:28" ht="14.25" customHeight="1">
      <c r="B1076" s="10"/>
      <c r="C1076" s="10"/>
      <c r="D1076" s="7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</row>
    <row r="1077" spans="2:28" ht="14.25" customHeight="1">
      <c r="B1077" s="10"/>
      <c r="C1077" s="10"/>
      <c r="D1077" s="7" t="s">
        <v>308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</row>
    <row r="1078" spans="2:28" ht="14.25" customHeight="1">
      <c r="B1078" s="10"/>
      <c r="C1078" s="10"/>
      <c r="D1078" s="7" t="s">
        <v>80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</row>
    <row r="1079" spans="2:28" ht="14.25" customHeight="1">
      <c r="B1079" s="10"/>
      <c r="C1079" s="10"/>
      <c r="D1079" s="7" t="s">
        <v>309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</row>
    <row r="1080" spans="2:28" ht="14.25" customHeight="1">
      <c r="B1080" s="10"/>
      <c r="C1080" s="10"/>
      <c r="D1080" s="7" t="s">
        <v>312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</row>
    <row r="1081" spans="2:28" ht="14.25" customHeight="1">
      <c r="B1081" s="10"/>
      <c r="C1081" s="10"/>
      <c r="D1081" s="7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</row>
    <row r="1082" spans="2:28" ht="14.25" customHeight="1">
      <c r="B1082" s="10"/>
      <c r="C1082" s="10"/>
      <c r="D1082" s="7" t="s">
        <v>308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</row>
    <row r="1083" spans="2:28" ht="14.25" customHeight="1">
      <c r="B1083" s="10"/>
      <c r="C1083" s="10"/>
      <c r="D1083" s="7" t="s">
        <v>80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</row>
    <row r="1084" spans="2:28" ht="14.25" customHeight="1">
      <c r="B1084" s="10"/>
      <c r="C1084" s="10"/>
      <c r="D1084" s="7" t="s">
        <v>309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</row>
    <row r="1085" spans="2:28" ht="14.25" customHeight="1">
      <c r="B1085" s="10"/>
      <c r="C1085" s="10"/>
      <c r="D1085" s="7" t="s">
        <v>312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</row>
    <row r="1086" spans="2:28" ht="14.25" customHeight="1">
      <c r="B1086" s="10"/>
      <c r="C1086" s="10"/>
      <c r="D1086" s="7" t="s">
        <v>310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</row>
    <row r="1087" spans="2:28" ht="14.25" customHeight="1">
      <c r="B1087" s="10"/>
      <c r="C1087" s="10"/>
      <c r="D1087" s="7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</row>
    <row r="1088" spans="2:28" ht="14.25" customHeight="1">
      <c r="B1088" s="10"/>
      <c r="C1088" s="10"/>
      <c r="D1088" s="7" t="s">
        <v>308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</row>
    <row r="1089" spans="2:28" ht="14.25" customHeight="1">
      <c r="B1089" s="10"/>
      <c r="C1089" s="10"/>
      <c r="D1089" s="7" t="s">
        <v>80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</row>
    <row r="1090" spans="2:28" ht="14.25" customHeight="1">
      <c r="B1090" s="10"/>
      <c r="C1090" s="10"/>
      <c r="D1090" s="7" t="s">
        <v>312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</row>
    <row r="1091" spans="2:28" ht="14.25" customHeight="1">
      <c r="B1091" s="10"/>
      <c r="C1091" s="10"/>
      <c r="D1091" s="7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</row>
    <row r="1092" spans="2:28" ht="14.25" customHeight="1">
      <c r="B1092" s="10"/>
      <c r="C1092" s="10"/>
      <c r="D1092" s="7" t="s">
        <v>887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</row>
    <row r="1093" spans="2:28" ht="14.25" customHeight="1">
      <c r="B1093" s="10"/>
      <c r="C1093" s="10"/>
      <c r="D1093" s="7" t="s">
        <v>313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</row>
    <row r="1094" spans="2:28" ht="14.25" customHeight="1">
      <c r="B1094" s="10"/>
      <c r="C1094" s="10"/>
      <c r="D1094" s="7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</row>
    <row r="1095" spans="2:28" ht="14.25" customHeight="1">
      <c r="B1095" s="10"/>
      <c r="C1095" s="10"/>
      <c r="D1095" s="7" t="s">
        <v>439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</row>
    <row r="1096" spans="2:28" ht="14.25" customHeight="1">
      <c r="B1096" s="10"/>
      <c r="C1096" s="10"/>
      <c r="D1096" s="7" t="s">
        <v>739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</row>
    <row r="1097" spans="2:28" ht="14.25" customHeight="1">
      <c r="B1097" s="10"/>
      <c r="C1097" s="10"/>
      <c r="D1097" s="7" t="s">
        <v>740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</row>
    <row r="1098" spans="2:28" ht="14.25" customHeight="1">
      <c r="B1098" s="10"/>
      <c r="C1098" s="10"/>
      <c r="D1098" s="7" t="s">
        <v>743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</row>
    <row r="1099" spans="2:28" ht="14.25" customHeight="1">
      <c r="B1099" s="10"/>
      <c r="C1099" s="10"/>
      <c r="D1099" s="7" t="s">
        <v>744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</row>
    <row r="1100" spans="2:28" ht="14.25" customHeight="1">
      <c r="B1100" s="10"/>
      <c r="C1100" s="10"/>
      <c r="D1100" s="7" t="s">
        <v>745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</row>
    <row r="1101" spans="2:28" ht="14.25" customHeight="1">
      <c r="B1101" s="10"/>
      <c r="C1101" s="10"/>
      <c r="D1101" s="7" t="s">
        <v>746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</row>
    <row r="1102" spans="2:28" ht="14.25" customHeight="1">
      <c r="B1102" s="10"/>
      <c r="C1102" s="10"/>
      <c r="D1102" s="7" t="s">
        <v>747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</row>
    <row r="1103" spans="2:28" ht="14.25" customHeight="1">
      <c r="B1103" s="10"/>
      <c r="C1103" s="10"/>
      <c r="D1103" s="7" t="s">
        <v>748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</row>
    <row r="1104" spans="2:28" ht="14.25" customHeight="1">
      <c r="B1104" s="10"/>
      <c r="C1104" s="10"/>
      <c r="D1104" s="7" t="s">
        <v>750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</row>
    <row r="1105" spans="2:28" ht="14.25" customHeight="1">
      <c r="B1105" s="10"/>
      <c r="C1105" s="10"/>
      <c r="D1105" s="7" t="s">
        <v>484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</row>
    <row r="1106" spans="2:28" ht="14.25" customHeight="1">
      <c r="B1106" s="10"/>
      <c r="C1106" s="10"/>
      <c r="D1106" s="7" t="s">
        <v>313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</row>
    <row r="1107" spans="2:28" ht="14.25" customHeight="1">
      <c r="B1107" s="10"/>
      <c r="C1107" s="10"/>
      <c r="D1107" s="7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</row>
    <row r="1108" spans="2:28" ht="14.25" customHeight="1">
      <c r="B1108" s="10"/>
      <c r="C1108" s="10"/>
      <c r="D1108" s="7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</row>
    <row r="1109" spans="2:28" ht="14.25" customHeight="1">
      <c r="B1109" s="10"/>
      <c r="C1109" s="10"/>
      <c r="D1109" s="7" t="s">
        <v>885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</row>
    <row r="1110" spans="2:28" ht="14.25" customHeight="1">
      <c r="B1110" s="10"/>
      <c r="C1110" s="10"/>
      <c r="D1110" s="7" t="s">
        <v>886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</row>
    <row r="1111" spans="2:28" ht="14.25" customHeight="1">
      <c r="B1111" s="10"/>
      <c r="C1111" s="10"/>
      <c r="D1111" s="7" t="s">
        <v>888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</row>
    <row r="1112" spans="2:28" ht="14.25" customHeight="1">
      <c r="B1112" s="10"/>
      <c r="C1112" s="10"/>
      <c r="D1112" s="7" t="s">
        <v>313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</row>
    <row r="1113" spans="2:28" ht="14.25" customHeight="1">
      <c r="B1113" s="10"/>
      <c r="C1113" s="10"/>
      <c r="D1113" s="7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</row>
    <row r="1114" spans="2:28" ht="14.25" customHeight="1">
      <c r="B1114" s="10"/>
      <c r="C1114" s="10"/>
      <c r="D1114" s="7" t="s">
        <v>320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</row>
    <row r="1115" spans="2:28" ht="14.25" customHeight="1">
      <c r="B1115" s="10"/>
      <c r="C1115" s="10"/>
      <c r="D1115" s="7" t="s">
        <v>321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</row>
    <row r="1116" spans="2:28" ht="14.25" customHeight="1">
      <c r="B1116" s="10"/>
      <c r="C1116" s="10"/>
      <c r="D1116" s="7" t="s">
        <v>311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</row>
    <row r="1117" spans="2:28" ht="14.25" customHeight="1">
      <c r="B1117" s="10"/>
      <c r="C1117" s="10"/>
      <c r="D1117" s="7" t="s">
        <v>313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</row>
    <row r="1118" spans="2:28" ht="14.25" customHeight="1">
      <c r="B1118" s="10"/>
      <c r="C1118" s="10"/>
      <c r="D1118" s="7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</row>
    <row r="1119" spans="2:28" ht="14.25" customHeight="1">
      <c r="B1119" s="10"/>
      <c r="C1119" s="10"/>
      <c r="D1119" s="7" t="s">
        <v>324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</row>
    <row r="1120" spans="2:28" ht="14.25" customHeight="1">
      <c r="B1120" s="10"/>
      <c r="C1120" s="10"/>
      <c r="D1120" s="7" t="s">
        <v>1075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</row>
    <row r="1121" spans="2:28" ht="14.25" customHeight="1">
      <c r="B1121" s="10"/>
      <c r="C1121" s="10"/>
      <c r="D1121" s="7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</row>
    <row r="1122" spans="2:28" ht="14.25" customHeight="1">
      <c r="B1122" s="10"/>
      <c r="C1122" s="10"/>
      <c r="D1122" s="7" t="s">
        <v>324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</row>
    <row r="1123" spans="2:28" ht="14.25" customHeight="1">
      <c r="B1123" s="10"/>
      <c r="C1123" s="10"/>
      <c r="D1123" s="7" t="s">
        <v>326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</row>
    <row r="1124" spans="2:28" ht="14.25" customHeight="1">
      <c r="B1124" s="10"/>
      <c r="C1124" s="10"/>
      <c r="D1124" s="7" t="s">
        <v>328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</row>
    <row r="1125" spans="2:28" ht="14.25" customHeight="1">
      <c r="B1125" s="10"/>
      <c r="C1125" s="10"/>
      <c r="D1125" s="7" t="s">
        <v>330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</row>
    <row r="1126" spans="2:28" ht="14.25" customHeight="1">
      <c r="B1126" s="10"/>
      <c r="C1126" s="10"/>
      <c r="D1126" s="7" t="s">
        <v>335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</row>
    <row r="1127" spans="2:28" ht="14.25" customHeight="1">
      <c r="B1127" s="10"/>
      <c r="C1127" s="10"/>
      <c r="D1127" s="7" t="s">
        <v>313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</row>
    <row r="1128" spans="2:28" ht="14.25" customHeight="1">
      <c r="B1128" s="10"/>
      <c r="C1128" s="10"/>
      <c r="D1128" s="7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</row>
    <row r="1129" spans="2:28" ht="14.25" customHeight="1">
      <c r="B1129" s="10"/>
      <c r="C1129" s="10"/>
      <c r="D1129" s="7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</row>
    <row r="1130" spans="2:28" ht="14.25" customHeight="1">
      <c r="B1130" s="10"/>
      <c r="C1130" s="10"/>
      <c r="D1130" s="7" t="s">
        <v>435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</row>
    <row r="1131" spans="2:28" ht="14.25" customHeight="1">
      <c r="B1131" s="10"/>
      <c r="C1131" s="10"/>
      <c r="D1131" s="7" t="s">
        <v>436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</row>
    <row r="1132" spans="2:28" ht="14.25" customHeight="1">
      <c r="B1132" s="10"/>
      <c r="C1132" s="10"/>
      <c r="D1132" s="7" t="s">
        <v>438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</row>
    <row r="1133" spans="2:28" ht="14.25" customHeight="1">
      <c r="B1133" s="10"/>
      <c r="C1133" s="10"/>
      <c r="D1133" s="7" t="s">
        <v>439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</row>
    <row r="1134" spans="2:28" ht="14.25" customHeight="1">
      <c r="B1134" s="10"/>
      <c r="C1134" s="10"/>
      <c r="D1134" s="7" t="s">
        <v>440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</row>
    <row r="1135" spans="2:28" ht="14.25" customHeight="1">
      <c r="B1135" s="10"/>
      <c r="C1135" s="10"/>
      <c r="D1135" s="7" t="s">
        <v>442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</row>
    <row r="1136" spans="2:28" ht="14.25" customHeight="1">
      <c r="B1136" s="10"/>
      <c r="C1136" s="10"/>
      <c r="D1136" s="7" t="s">
        <v>443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</row>
    <row r="1137" spans="2:28" ht="14.25" customHeight="1">
      <c r="B1137" s="10"/>
      <c r="C1137" s="10"/>
      <c r="D1137" s="7" t="s">
        <v>444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</row>
    <row r="1138" spans="2:28" ht="14.25" customHeight="1">
      <c r="B1138" s="10"/>
      <c r="C1138" s="10"/>
      <c r="D1138" s="7" t="s">
        <v>445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</row>
    <row r="1139" spans="2:28" ht="14.25" customHeight="1">
      <c r="B1139" s="10"/>
      <c r="C1139" s="10"/>
      <c r="D1139" s="7" t="s">
        <v>446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</row>
    <row r="1140" spans="2:28" ht="14.25" customHeight="1">
      <c r="B1140" s="10"/>
      <c r="C1140" s="10"/>
      <c r="D1140" s="7" t="s">
        <v>447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</row>
    <row r="1141" spans="2:28" ht="14.25" customHeight="1">
      <c r="B1141" s="10"/>
      <c r="C1141" s="10"/>
      <c r="D1141" s="7" t="s">
        <v>448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</row>
    <row r="1142" spans="2:28" ht="14.25" customHeight="1">
      <c r="B1142" s="10"/>
      <c r="C1142" s="10"/>
      <c r="D1142" s="7" t="s">
        <v>449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</row>
    <row r="1143" spans="2:28" ht="14.25" customHeight="1">
      <c r="B1143" s="10"/>
      <c r="C1143" s="10"/>
      <c r="D1143" s="7" t="s">
        <v>450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</row>
    <row r="1144" spans="2:28" ht="14.25" customHeight="1">
      <c r="B1144" s="10"/>
      <c r="C1144" s="10"/>
      <c r="D1144" s="7" t="s">
        <v>451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</row>
    <row r="1145" spans="2:28" ht="14.25" customHeight="1">
      <c r="B1145" s="10"/>
      <c r="C1145" s="10"/>
      <c r="D1145" s="7" t="s">
        <v>453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</row>
    <row r="1146" spans="2:28" ht="14.25" customHeight="1">
      <c r="B1146" s="10"/>
      <c r="C1146" s="10"/>
      <c r="D1146" s="7" t="s">
        <v>454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</row>
    <row r="1147" spans="2:28" ht="14.25" customHeight="1">
      <c r="B1147" s="10"/>
      <c r="C1147" s="10"/>
      <c r="D1147" s="7" t="s">
        <v>455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</row>
    <row r="1148" spans="2:28" ht="14.25" customHeight="1">
      <c r="B1148" s="10"/>
      <c r="C1148" s="10"/>
      <c r="D1148" s="7" t="s">
        <v>457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</row>
    <row r="1149" spans="2:28" ht="14.25" customHeight="1">
      <c r="B1149" s="10"/>
      <c r="C1149" s="10"/>
      <c r="D1149" s="7" t="s">
        <v>458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</row>
    <row r="1150" spans="2:28" ht="14.25" customHeight="1">
      <c r="B1150" s="10"/>
      <c r="C1150" s="10"/>
      <c r="D1150" s="7" t="s">
        <v>459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</row>
    <row r="1151" spans="2:28" ht="14.25" customHeight="1">
      <c r="B1151" s="10"/>
      <c r="C1151" s="10"/>
      <c r="D1151" s="7" t="s">
        <v>460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</row>
    <row r="1152" spans="2:28" ht="14.25" customHeight="1">
      <c r="B1152" s="10"/>
      <c r="C1152" s="10"/>
      <c r="D1152" s="7" t="s">
        <v>461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</row>
    <row r="1153" spans="2:28" ht="14.25" customHeight="1">
      <c r="B1153" s="10"/>
      <c r="C1153" s="10"/>
      <c r="D1153" s="7" t="s">
        <v>462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</row>
    <row r="1154" spans="2:28" ht="14.25" customHeight="1">
      <c r="B1154" s="10"/>
      <c r="C1154" s="10"/>
      <c r="D1154" s="7" t="s">
        <v>463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</row>
    <row r="1155" spans="2:28" ht="14.25" customHeight="1">
      <c r="B1155" s="10"/>
      <c r="C1155" s="10"/>
      <c r="D1155" s="7" t="s">
        <v>464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</row>
    <row r="1156" spans="2:28" ht="14.25" customHeight="1">
      <c r="B1156" s="10"/>
      <c r="C1156" s="10"/>
      <c r="D1156" s="7" t="s">
        <v>465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</row>
    <row r="1157" spans="2:28" ht="14.25" customHeight="1">
      <c r="B1157" s="10"/>
      <c r="C1157" s="10"/>
      <c r="D1157" s="7" t="s">
        <v>466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</row>
    <row r="1158" spans="2:28" ht="14.25" customHeight="1">
      <c r="B1158" s="10"/>
      <c r="C1158" s="10"/>
      <c r="D1158" s="7" t="s">
        <v>467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</row>
    <row r="1159" spans="2:28" ht="14.25" customHeight="1">
      <c r="B1159" s="10"/>
      <c r="C1159" s="10"/>
      <c r="D1159" s="7" t="s">
        <v>468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</row>
    <row r="1160" spans="2:28" ht="14.25" customHeight="1">
      <c r="B1160" s="10"/>
      <c r="C1160" s="10"/>
      <c r="D1160" s="7" t="s">
        <v>469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</row>
    <row r="1161" spans="2:28" ht="14.25" customHeight="1">
      <c r="B1161" s="10"/>
      <c r="C1161" s="10"/>
      <c r="D1161" s="7" t="s">
        <v>470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</row>
    <row r="1162" spans="2:28" ht="14.25" customHeight="1">
      <c r="B1162" s="10"/>
      <c r="C1162" s="10"/>
      <c r="D1162" s="7" t="s">
        <v>471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</row>
    <row r="1163" spans="2:28" ht="14.25" customHeight="1">
      <c r="B1163" s="10"/>
      <c r="C1163" s="10"/>
      <c r="D1163" s="7" t="s">
        <v>24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</row>
    <row r="1164" spans="2:28" ht="14.25" customHeight="1">
      <c r="B1164" s="10"/>
      <c r="C1164" s="10"/>
      <c r="D1164" s="7" t="s">
        <v>472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</row>
    <row r="1165" spans="2:28" ht="14.25" customHeight="1">
      <c r="B1165" s="10"/>
      <c r="C1165" s="10"/>
      <c r="D1165" s="7" t="s">
        <v>474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</row>
    <row r="1166" spans="2:28" ht="14.25" customHeight="1">
      <c r="B1166" s="10"/>
      <c r="C1166" s="10"/>
      <c r="D1166" s="7" t="s">
        <v>475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</row>
    <row r="1167" spans="2:28" ht="14.25" customHeight="1">
      <c r="B1167" s="10"/>
      <c r="C1167" s="10"/>
      <c r="D1167" s="7" t="s">
        <v>476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</row>
    <row r="1168" spans="2:28" ht="14.25" customHeight="1">
      <c r="B1168" s="10"/>
      <c r="C1168" s="10"/>
      <c r="D1168" s="7" t="s">
        <v>477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</row>
    <row r="1169" spans="2:28" ht="14.25" customHeight="1">
      <c r="B1169" s="10"/>
      <c r="C1169" s="10"/>
      <c r="D1169" s="7" t="s">
        <v>479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</row>
    <row r="1170" spans="2:28" ht="14.25" customHeight="1">
      <c r="B1170" s="10"/>
      <c r="C1170" s="10"/>
      <c r="D1170" s="7" t="s">
        <v>483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</row>
    <row r="1171" spans="2:28" ht="14.25" customHeight="1">
      <c r="B1171" s="10"/>
      <c r="C1171" s="10"/>
      <c r="D1171" s="7" t="s">
        <v>313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</row>
    <row r="1172" spans="2:28" ht="14.25" customHeight="1">
      <c r="B1172" s="10"/>
      <c r="C1172" s="10"/>
      <c r="D1172" s="7" t="s">
        <v>485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</row>
    <row r="1173" spans="2:28" ht="14.25" customHeight="1">
      <c r="B1173" s="10"/>
      <c r="C1173" s="10"/>
      <c r="D1173" s="7" t="s">
        <v>486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</row>
    <row r="1174" spans="2:28" ht="14.25" customHeight="1">
      <c r="B1174" s="10"/>
      <c r="C1174" s="10"/>
      <c r="D1174" s="7" t="s">
        <v>487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</row>
    <row r="1175" spans="2:28" ht="14.25" customHeight="1">
      <c r="B1175" s="10"/>
      <c r="C1175" s="10"/>
      <c r="D1175" s="7" t="s">
        <v>488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</row>
    <row r="1176" spans="2:28" ht="14.25" customHeight="1">
      <c r="B1176" s="10"/>
      <c r="C1176" s="10"/>
      <c r="D1176" s="7" t="s">
        <v>489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</row>
    <row r="1177" spans="2:28" ht="14.25" customHeight="1">
      <c r="B1177" s="10"/>
      <c r="C1177" s="10"/>
      <c r="D1177" s="7" t="s">
        <v>490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</row>
    <row r="1178" spans="2:28" ht="14.25" customHeight="1">
      <c r="B1178" s="10"/>
      <c r="C1178" s="10"/>
      <c r="D1178" s="7" t="s">
        <v>491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</row>
    <row r="1179" spans="2:28" ht="14.25" customHeight="1">
      <c r="B1179" s="10"/>
      <c r="C1179" s="10"/>
      <c r="D1179" s="7" t="s">
        <v>492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</row>
    <row r="1180" spans="2:28" ht="14.25" customHeight="1">
      <c r="B1180" s="10"/>
      <c r="C1180" s="10"/>
      <c r="D1180" s="7" t="s">
        <v>493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</row>
    <row r="1181" spans="2:28" ht="14.25" customHeight="1">
      <c r="B1181" s="10"/>
      <c r="C1181" s="10"/>
      <c r="D1181" s="7" t="s">
        <v>494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</row>
    <row r="1182" spans="2:28" ht="14.25" customHeight="1">
      <c r="B1182" s="10"/>
      <c r="C1182" s="10"/>
      <c r="D1182" s="7" t="s">
        <v>495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</row>
    <row r="1183" spans="2:28" ht="14.25" customHeight="1">
      <c r="B1183" s="10"/>
      <c r="C1183" s="10"/>
      <c r="D1183" s="7" t="s">
        <v>496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</row>
    <row r="1184" spans="2:28" ht="14.25" customHeight="1">
      <c r="B1184" s="10"/>
      <c r="C1184" s="10"/>
      <c r="D1184" s="7" t="s">
        <v>497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</row>
    <row r="1185" spans="2:28" ht="14.25" customHeight="1">
      <c r="B1185" s="10"/>
      <c r="C1185" s="10"/>
      <c r="D1185" s="7" t="s">
        <v>498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</row>
    <row r="1186" spans="2:28" ht="14.25" customHeight="1">
      <c r="B1186" s="10"/>
      <c r="C1186" s="10"/>
      <c r="D1186" s="7" t="s">
        <v>499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</row>
    <row r="1187" spans="2:28" ht="14.25" customHeight="1">
      <c r="B1187" s="10"/>
      <c r="C1187" s="10"/>
      <c r="D1187" s="7" t="s">
        <v>500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</row>
    <row r="1188" spans="2:28" ht="14.25" customHeight="1">
      <c r="B1188" s="10"/>
      <c r="C1188" s="10"/>
      <c r="D1188" s="7" t="s">
        <v>501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</row>
    <row r="1189" spans="2:28" ht="14.25" customHeight="1">
      <c r="B1189" s="10"/>
      <c r="C1189" s="10"/>
      <c r="D1189" s="7" t="s">
        <v>502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</row>
    <row r="1190" spans="2:28" ht="14.25" customHeight="1">
      <c r="B1190" s="10"/>
      <c r="C1190" s="10"/>
      <c r="D1190" s="7" t="s">
        <v>504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</row>
    <row r="1191" spans="2:28" ht="14.25" customHeight="1">
      <c r="B1191" s="10"/>
      <c r="C1191" s="10"/>
      <c r="D1191" s="7" t="s">
        <v>506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</row>
    <row r="1192" spans="2:28" ht="14.25" customHeight="1">
      <c r="B1192" s="10"/>
      <c r="C1192" s="10"/>
      <c r="D1192" s="7" t="s">
        <v>508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</row>
    <row r="1193" spans="2:28" ht="14.25" customHeight="1">
      <c r="B1193" s="10"/>
      <c r="C1193" s="10"/>
      <c r="D1193" s="7" t="s">
        <v>509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</row>
    <row r="1194" spans="2:28" ht="14.25" customHeight="1">
      <c r="B1194" s="10"/>
      <c r="C1194" s="10"/>
      <c r="D1194" s="7" t="s">
        <v>511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</row>
    <row r="1195" spans="2:28" ht="14.25" customHeight="1">
      <c r="B1195" s="10"/>
      <c r="C1195" s="10"/>
      <c r="D1195" s="7" t="s">
        <v>512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</row>
    <row r="1196" spans="2:28" ht="14.25" customHeight="1">
      <c r="B1196" s="10"/>
      <c r="C1196" s="10"/>
      <c r="D1196" s="7" t="s">
        <v>513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</row>
    <row r="1197" spans="2:28" ht="14.25" customHeight="1">
      <c r="B1197" s="10"/>
      <c r="C1197" s="10"/>
      <c r="D1197" s="7" t="s">
        <v>514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</row>
    <row r="1198" spans="2:28" ht="14.25" customHeight="1">
      <c r="B1198" s="10"/>
      <c r="C1198" s="10"/>
      <c r="D1198" s="7" t="s">
        <v>515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</row>
    <row r="1199" spans="2:28" ht="14.25" customHeight="1">
      <c r="B1199" s="10"/>
      <c r="C1199" s="10"/>
      <c r="D1199" s="7" t="s">
        <v>516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</row>
    <row r="1200" spans="2:28" ht="14.25" customHeight="1">
      <c r="B1200" s="10"/>
      <c r="C1200" s="10"/>
      <c r="D1200" s="7" t="s">
        <v>517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</row>
    <row r="1201" spans="2:28" ht="14.25" customHeight="1">
      <c r="B1201" s="10"/>
      <c r="C1201" s="10"/>
      <c r="D1201" s="7" t="s">
        <v>518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</row>
    <row r="1202" spans="2:28" ht="14.25" customHeight="1">
      <c r="B1202" s="10"/>
      <c r="C1202" s="10"/>
      <c r="D1202" s="7" t="s">
        <v>520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</row>
    <row r="1203" spans="2:28" ht="14.25" customHeight="1">
      <c r="B1203" s="10"/>
      <c r="C1203" s="10"/>
      <c r="D1203" s="7" t="s">
        <v>521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</row>
    <row r="1204" spans="2:28" ht="14.25" customHeight="1">
      <c r="B1204" s="10"/>
      <c r="C1204" s="10"/>
      <c r="D1204" s="7" t="s">
        <v>523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</row>
    <row r="1205" spans="2:28" ht="14.25" customHeight="1">
      <c r="B1205" s="10"/>
      <c r="C1205" s="10"/>
      <c r="D1205" s="7" t="s">
        <v>524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</row>
    <row r="1206" spans="2:28" ht="14.25" customHeight="1">
      <c r="B1206" s="10"/>
      <c r="C1206" s="10"/>
      <c r="D1206" s="7" t="s">
        <v>525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</row>
    <row r="1207" spans="2:28" ht="14.25" customHeight="1">
      <c r="B1207" s="10"/>
      <c r="C1207" s="10"/>
      <c r="D1207" s="7" t="s">
        <v>526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</row>
    <row r="1208" spans="2:28" ht="14.25" customHeight="1">
      <c r="B1208" s="10"/>
      <c r="C1208" s="10"/>
      <c r="D1208" s="7" t="s">
        <v>527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</row>
    <row r="1209" spans="2:28" ht="14.25" customHeight="1">
      <c r="B1209" s="10"/>
      <c r="C1209" s="10"/>
      <c r="D1209" s="7" t="s">
        <v>529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</row>
    <row r="1210" spans="2:28" ht="14.25" customHeight="1">
      <c r="B1210" s="10"/>
      <c r="C1210" s="10"/>
      <c r="D1210" s="7" t="s">
        <v>530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</row>
    <row r="1211" spans="2:28" ht="14.25" customHeight="1">
      <c r="B1211" s="10"/>
      <c r="C1211" s="10"/>
      <c r="D1211" s="7" t="s">
        <v>531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</row>
    <row r="1212" spans="2:28" ht="14.25" customHeight="1">
      <c r="B1212" s="10"/>
      <c r="C1212" s="10"/>
      <c r="D1212" s="7" t="s">
        <v>532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</row>
    <row r="1213" spans="2:28" ht="14.25" customHeight="1">
      <c r="B1213" s="10"/>
      <c r="C1213" s="10"/>
      <c r="D1213" s="7" t="s">
        <v>533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</row>
    <row r="1214" spans="2:28" ht="14.25" customHeight="1">
      <c r="B1214" s="10"/>
      <c r="C1214" s="10"/>
      <c r="D1214" s="7" t="s">
        <v>534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</row>
    <row r="1215" spans="2:28" ht="14.25" customHeight="1">
      <c r="B1215" s="10"/>
      <c r="C1215" s="10"/>
      <c r="D1215" s="7" t="s">
        <v>535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</row>
    <row r="1216" spans="2:28" ht="14.25" customHeight="1">
      <c r="B1216" s="10"/>
      <c r="C1216" s="10"/>
      <c r="D1216" s="7" t="s">
        <v>536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</row>
    <row r="1217" spans="2:28" ht="14.25" customHeight="1">
      <c r="B1217" s="10"/>
      <c r="C1217" s="10"/>
      <c r="D1217" s="7" t="s">
        <v>538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</row>
    <row r="1218" spans="2:28" ht="14.25" customHeight="1">
      <c r="B1218" s="10"/>
      <c r="C1218" s="10"/>
      <c r="D1218" s="7" t="s">
        <v>539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</row>
    <row r="1219" spans="2:28" ht="14.25" customHeight="1">
      <c r="B1219" s="10"/>
      <c r="C1219" s="10"/>
      <c r="D1219" s="7" t="s">
        <v>540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</row>
    <row r="1220" spans="2:28" ht="14.25" customHeight="1">
      <c r="B1220" s="10"/>
      <c r="C1220" s="10"/>
      <c r="D1220" s="7" t="s">
        <v>541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</row>
    <row r="1221" spans="2:28" ht="14.25" customHeight="1">
      <c r="B1221" s="10"/>
      <c r="C1221" s="10"/>
      <c r="D1221" s="7" t="s">
        <v>542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</row>
    <row r="1222" spans="2:28" ht="14.25" customHeight="1">
      <c r="B1222" s="10"/>
      <c r="C1222" s="10"/>
      <c r="D1222" s="7" t="s">
        <v>543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</row>
    <row r="1223" spans="2:28" ht="14.25" customHeight="1">
      <c r="B1223" s="10"/>
      <c r="C1223" s="10"/>
      <c r="D1223" s="7" t="s">
        <v>544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</row>
    <row r="1224" spans="2:28" ht="14.25" customHeight="1">
      <c r="B1224" s="10"/>
      <c r="C1224" s="10"/>
      <c r="D1224" s="7" t="s">
        <v>545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</row>
    <row r="1225" spans="2:28" ht="14.25" customHeight="1">
      <c r="B1225" s="10"/>
      <c r="C1225" s="10"/>
      <c r="D1225" s="7" t="s">
        <v>546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</row>
    <row r="1226" spans="2:28" ht="14.25" customHeight="1">
      <c r="B1226" s="10"/>
      <c r="C1226" s="10"/>
      <c r="D1226" s="7" t="s">
        <v>547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</row>
    <row r="1227" spans="2:28" ht="14.25" customHeight="1">
      <c r="B1227" s="10"/>
      <c r="C1227" s="10"/>
      <c r="D1227" s="7" t="s">
        <v>548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</row>
    <row r="1228" spans="2:28" ht="14.25" customHeight="1">
      <c r="B1228" s="10"/>
      <c r="C1228" s="10"/>
      <c r="D1228" s="7" t="s">
        <v>549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</row>
    <row r="1229" spans="2:28" ht="14.25" customHeight="1">
      <c r="B1229" s="10"/>
      <c r="C1229" s="10"/>
      <c r="D1229" s="7" t="s">
        <v>550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</row>
    <row r="1230" spans="2:28" ht="14.25" customHeight="1">
      <c r="B1230" s="10"/>
      <c r="C1230" s="10"/>
      <c r="D1230" s="7" t="s">
        <v>551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</row>
    <row r="1231" spans="2:28" ht="14.25" customHeight="1">
      <c r="B1231" s="10"/>
      <c r="C1231" s="10"/>
      <c r="D1231" s="7" t="s">
        <v>552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</row>
    <row r="1232" spans="2:28" ht="14.25" customHeight="1">
      <c r="B1232" s="10"/>
      <c r="C1232" s="10"/>
      <c r="D1232" s="7" t="s">
        <v>553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</row>
    <row r="1233" spans="2:28" ht="14.25" customHeight="1">
      <c r="B1233" s="10"/>
      <c r="C1233" s="10"/>
      <c r="D1233" s="7" t="s">
        <v>554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</row>
    <row r="1234" spans="2:28" ht="14.25" customHeight="1">
      <c r="B1234" s="10"/>
      <c r="C1234" s="10"/>
      <c r="D1234" s="7" t="s">
        <v>555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</row>
    <row r="1235" spans="2:28" ht="14.25" customHeight="1">
      <c r="B1235" s="10"/>
      <c r="C1235" s="10"/>
      <c r="D1235" s="7" t="s">
        <v>556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</row>
    <row r="1236" spans="2:28" ht="14.25" customHeight="1">
      <c r="B1236" s="10"/>
      <c r="C1236" s="10"/>
      <c r="D1236" s="7" t="s">
        <v>557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</row>
    <row r="1237" spans="2:28" ht="14.25" customHeight="1">
      <c r="B1237" s="10"/>
      <c r="C1237" s="10"/>
      <c r="D1237" s="7" t="s">
        <v>558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</row>
    <row r="1238" spans="2:28" ht="14.25" customHeight="1">
      <c r="B1238" s="10"/>
      <c r="C1238" s="10"/>
      <c r="D1238" s="7" t="s">
        <v>560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</row>
    <row r="1239" spans="2:28" ht="14.25" customHeight="1">
      <c r="B1239" s="10"/>
      <c r="C1239" s="10"/>
      <c r="D1239" s="7" t="s">
        <v>561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</row>
    <row r="1240" spans="2:28" ht="14.25" customHeight="1">
      <c r="B1240" s="10"/>
      <c r="C1240" s="10"/>
      <c r="D1240" s="7" t="s">
        <v>562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</row>
    <row r="1241" spans="2:28" ht="14.25" customHeight="1">
      <c r="B1241" s="10"/>
      <c r="C1241" s="10"/>
      <c r="D1241" s="7" t="s">
        <v>563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</row>
    <row r="1242" spans="2:28" ht="14.25" customHeight="1">
      <c r="B1242" s="10"/>
      <c r="C1242" s="10"/>
      <c r="D1242" s="7" t="s">
        <v>564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</row>
    <row r="1243" spans="2:28" ht="14.25" customHeight="1">
      <c r="B1243" s="10"/>
      <c r="C1243" s="10"/>
      <c r="D1243" s="7" t="s">
        <v>565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</row>
    <row r="1244" spans="2:28" ht="14.25" customHeight="1">
      <c r="B1244" s="10"/>
      <c r="C1244" s="10"/>
      <c r="D1244" s="7" t="s">
        <v>566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</row>
    <row r="1245" spans="2:28" ht="14.25" customHeight="1">
      <c r="B1245" s="10"/>
      <c r="C1245" s="10"/>
      <c r="D1245" s="7" t="s">
        <v>567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</row>
    <row r="1246" spans="2:28" ht="14.25" customHeight="1">
      <c r="B1246" s="10"/>
      <c r="C1246" s="10"/>
      <c r="D1246" s="7" t="s">
        <v>568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</row>
    <row r="1247" spans="2:28" ht="14.25" customHeight="1">
      <c r="B1247" s="10"/>
      <c r="C1247" s="10"/>
      <c r="D1247" s="7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</row>
    <row r="1248" spans="2:28" ht="14.25" customHeight="1">
      <c r="B1248" s="10"/>
      <c r="C1248" s="10"/>
      <c r="D1248" s="7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</row>
    <row r="1249" spans="2:28" ht="14.25" customHeight="1">
      <c r="B1249" s="10"/>
      <c r="C1249" s="10"/>
      <c r="D1249" s="7" t="s">
        <v>325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</row>
    <row r="1250" spans="2:28" ht="14.25" customHeight="1">
      <c r="B1250" s="10"/>
      <c r="C1250" s="10"/>
      <c r="D1250" s="7" t="s">
        <v>326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</row>
    <row r="1251" spans="2:28" ht="14.25" customHeight="1">
      <c r="B1251" s="10"/>
      <c r="C1251" s="10"/>
      <c r="D1251" s="7" t="s">
        <v>328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</row>
    <row r="1252" spans="2:28" ht="14.25" customHeight="1">
      <c r="B1252" s="10"/>
      <c r="C1252" s="10"/>
      <c r="D1252" s="7" t="s">
        <v>331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</row>
    <row r="1253" spans="2:28" ht="14.25" customHeight="1">
      <c r="B1253" s="10"/>
      <c r="C1253" s="10"/>
      <c r="D1253" s="7" t="s">
        <v>333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</row>
    <row r="1254" spans="2:28" ht="14.25" customHeight="1">
      <c r="B1254" s="10"/>
      <c r="C1254" s="10"/>
      <c r="D1254" s="7" t="s">
        <v>313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</row>
    <row r="1255" spans="2:28" ht="14.25" customHeight="1">
      <c r="B1255" s="10"/>
      <c r="C1255" s="10"/>
      <c r="D1255" s="7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</row>
    <row r="1256" spans="2:28" ht="14.25" customHeight="1">
      <c r="B1256" s="10"/>
      <c r="C1256" s="10"/>
      <c r="D1256" s="7" t="s">
        <v>325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</row>
    <row r="1257" spans="2:28" ht="14.25" customHeight="1">
      <c r="B1257" s="10"/>
      <c r="C1257" s="10"/>
      <c r="D1257" s="7" t="s">
        <v>330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</row>
    <row r="1258" spans="2:28" ht="14.25" customHeight="1">
      <c r="B1258" s="10"/>
      <c r="C1258" s="10"/>
      <c r="D1258" s="7" t="s">
        <v>335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</row>
    <row r="1259" spans="2:28" ht="14.25" customHeight="1">
      <c r="B1259" s="10"/>
      <c r="C1259" s="10"/>
      <c r="D1259" s="7" t="s">
        <v>326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</row>
    <row r="1260" spans="2:28" ht="14.25" customHeight="1">
      <c r="B1260" s="10"/>
      <c r="C1260" s="10"/>
      <c r="D1260" s="7" t="s">
        <v>313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</row>
    <row r="1261" spans="2:28" ht="14.25" customHeight="1">
      <c r="B1261" s="10"/>
      <c r="C1261" s="10"/>
      <c r="D1261" s="7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</row>
    <row r="1262" spans="2:28" ht="14.25" customHeight="1">
      <c r="B1262" s="10"/>
      <c r="C1262" s="10"/>
      <c r="D1262" s="7" t="s">
        <v>324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</row>
    <row r="1263" spans="2:28" ht="14.25" customHeight="1">
      <c r="B1263" s="10"/>
      <c r="C1263" s="10"/>
      <c r="D1263" s="7" t="s">
        <v>326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</row>
    <row r="1264" spans="2:28" ht="14.25" customHeight="1">
      <c r="B1264" s="10"/>
      <c r="C1264" s="10"/>
      <c r="D1264" s="7" t="s">
        <v>333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</row>
    <row r="1265" spans="2:28" ht="14.25" customHeight="1">
      <c r="B1265" s="10"/>
      <c r="C1265" s="10"/>
      <c r="D1265" s="7" t="s">
        <v>331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</row>
    <row r="1266" spans="2:28" ht="14.25" customHeight="1">
      <c r="B1266" s="10"/>
      <c r="C1266" s="10"/>
      <c r="D1266" s="7" t="s">
        <v>313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</row>
    <row r="1267" spans="2:28" ht="14.25" customHeight="1">
      <c r="B1267" s="10"/>
      <c r="C1267" s="10"/>
      <c r="D1267" s="7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</row>
    <row r="1268" spans="2:28" ht="14.25" customHeight="1">
      <c r="B1268" s="10"/>
      <c r="C1268" s="10"/>
      <c r="D1268" s="7" t="s">
        <v>325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</row>
    <row r="1269" spans="2:28" ht="14.25" customHeight="1">
      <c r="B1269" s="10"/>
      <c r="C1269" s="10"/>
      <c r="D1269" s="7" t="s">
        <v>326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</row>
    <row r="1270" spans="2:28" ht="14.25" customHeight="1">
      <c r="B1270" s="10"/>
      <c r="C1270" s="10"/>
      <c r="D1270" s="7" t="s">
        <v>313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</row>
    <row r="1271" spans="2:28" ht="14.25" customHeight="1">
      <c r="B1271" s="10"/>
      <c r="C1271" s="10"/>
      <c r="D1271" s="7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</row>
    <row r="1272" spans="2:28" ht="14.25" customHeight="1">
      <c r="B1272" s="10"/>
      <c r="C1272" s="10"/>
      <c r="D1272" s="7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</row>
    <row r="1273" spans="2:28" ht="14.25" customHeight="1">
      <c r="B1273" s="10"/>
      <c r="C1273" s="10"/>
      <c r="D1273" s="7" t="s">
        <v>324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</row>
    <row r="1274" spans="2:28" ht="14.25" customHeight="1">
      <c r="B1274" s="10"/>
      <c r="C1274" s="10"/>
      <c r="D1274" s="7" t="s">
        <v>326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</row>
    <row r="1275" spans="2:28" ht="14.25" customHeight="1">
      <c r="B1275" s="10"/>
      <c r="C1275" s="10"/>
      <c r="D1275" s="7" t="s">
        <v>328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</row>
    <row r="1276" spans="2:28" ht="14.25" customHeight="1">
      <c r="B1276" s="10"/>
      <c r="C1276" s="10"/>
      <c r="D1276" s="7" t="s">
        <v>330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</row>
    <row r="1277" spans="2:28" ht="14.25" customHeight="1">
      <c r="B1277" s="10"/>
      <c r="C1277" s="10"/>
      <c r="D1277" s="7" t="s">
        <v>331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</row>
    <row r="1278" spans="2:28" ht="14.25" customHeight="1">
      <c r="B1278" s="10"/>
      <c r="C1278" s="10"/>
      <c r="D1278" s="7" t="s">
        <v>332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</row>
    <row r="1279" spans="2:28" ht="14.25" customHeight="1">
      <c r="B1279" s="10"/>
      <c r="C1279" s="10"/>
      <c r="D1279" s="7" t="s">
        <v>333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</row>
    <row r="1280" spans="2:28" ht="14.25" customHeight="1">
      <c r="B1280" s="10"/>
      <c r="C1280" s="10"/>
      <c r="D1280" s="7" t="s">
        <v>334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</row>
    <row r="1281" spans="2:28" ht="14.25" customHeight="1">
      <c r="B1281" s="10"/>
      <c r="C1281" s="10"/>
      <c r="D1281" s="7" t="s">
        <v>335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</row>
    <row r="1282" spans="2:28" ht="14.25" customHeight="1">
      <c r="B1282" s="10"/>
      <c r="C1282" s="10"/>
      <c r="D1282" s="7" t="s">
        <v>313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</row>
    <row r="1283" spans="2:28" ht="14.25" customHeight="1">
      <c r="B1283" s="10"/>
      <c r="C1283" s="10"/>
      <c r="D1283" s="7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</row>
    <row r="1284" spans="2:28" ht="14.25" customHeight="1">
      <c r="B1284" s="10"/>
      <c r="C1284" s="10"/>
      <c r="D1284" s="7" t="s">
        <v>339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</row>
    <row r="1285" spans="2:28" ht="14.25" customHeight="1">
      <c r="B1285" s="10"/>
      <c r="C1285" s="10"/>
      <c r="D1285" s="7" t="s">
        <v>341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</row>
    <row r="1286" spans="2:28" ht="14.25" customHeight="1">
      <c r="B1286" s="10"/>
      <c r="C1286" s="10"/>
      <c r="D1286" s="7" t="s">
        <v>343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</row>
    <row r="1287" spans="2:28" ht="14.25" customHeight="1">
      <c r="B1287" s="10"/>
      <c r="C1287" s="10"/>
      <c r="D1287" s="7" t="s">
        <v>345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</row>
    <row r="1288" spans="2:28" ht="14.25" customHeight="1">
      <c r="B1288" s="10"/>
      <c r="C1288" s="10"/>
      <c r="D1288" s="7" t="s">
        <v>347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</row>
    <row r="1289" spans="2:28" ht="14.25" customHeight="1">
      <c r="B1289" s="10"/>
      <c r="C1289" s="10"/>
      <c r="D1289" s="7" t="s">
        <v>349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</row>
    <row r="1290" spans="2:28" ht="14.25" customHeight="1">
      <c r="B1290" s="10"/>
      <c r="C1290" s="10"/>
      <c r="D1290" s="7" t="s">
        <v>351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</row>
    <row r="1291" spans="2:28" ht="14.25" customHeight="1">
      <c r="B1291" s="10"/>
      <c r="C1291" s="10"/>
      <c r="D1291" s="7" t="s">
        <v>353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</row>
    <row r="1292" spans="2:28" ht="14.25" customHeight="1">
      <c r="B1292" s="10"/>
      <c r="C1292" s="10"/>
      <c r="D1292" s="7" t="s">
        <v>355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</row>
    <row r="1293" spans="2:28" ht="14.25" customHeight="1">
      <c r="B1293" s="10"/>
      <c r="C1293" s="10"/>
      <c r="D1293" s="7" t="s">
        <v>357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</row>
    <row r="1294" spans="2:28" ht="14.25" customHeight="1">
      <c r="B1294" s="10"/>
      <c r="C1294" s="10"/>
      <c r="D1294" s="7" t="s">
        <v>359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</row>
    <row r="1295" spans="2:28" ht="14.25" customHeight="1">
      <c r="B1295" s="10"/>
      <c r="C1295" s="10"/>
      <c r="D1295" s="7" t="s">
        <v>361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</row>
    <row r="1296" spans="2:28" ht="14.25" customHeight="1">
      <c r="B1296" s="10"/>
      <c r="C1296" s="10"/>
      <c r="D1296" s="7" t="s">
        <v>363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</row>
    <row r="1297" spans="2:28" ht="14.25" customHeight="1">
      <c r="B1297" s="10"/>
      <c r="C1297" s="10"/>
      <c r="D1297" s="7" t="s">
        <v>365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</row>
    <row r="1298" spans="2:28" ht="14.25" customHeight="1">
      <c r="B1298" s="10"/>
      <c r="C1298" s="10"/>
      <c r="D1298" s="7" t="s">
        <v>367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</row>
    <row r="1299" spans="2:28" ht="14.25" customHeight="1">
      <c r="B1299" s="10"/>
      <c r="C1299" s="10"/>
      <c r="D1299" s="7" t="s">
        <v>369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</row>
    <row r="1300" spans="2:28" ht="14.25" customHeight="1">
      <c r="B1300" s="10"/>
      <c r="C1300" s="10"/>
      <c r="D1300" s="7" t="s">
        <v>371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</row>
    <row r="1301" spans="2:28" ht="14.25" customHeight="1">
      <c r="B1301" s="10"/>
      <c r="C1301" s="10"/>
      <c r="D1301" s="7" t="s">
        <v>373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</row>
    <row r="1302" spans="2:28" ht="14.25" customHeight="1">
      <c r="B1302" s="10"/>
      <c r="C1302" s="10"/>
      <c r="D1302" s="7" t="s">
        <v>375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</row>
    <row r="1303" spans="2:28" ht="14.25" customHeight="1">
      <c r="B1303" s="10"/>
      <c r="C1303" s="10"/>
      <c r="D1303" s="7" t="s">
        <v>377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</row>
    <row r="1304" spans="2:28" ht="14.25" customHeight="1">
      <c r="B1304" s="10"/>
      <c r="C1304" s="10"/>
      <c r="D1304" s="7" t="s">
        <v>379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</row>
    <row r="1305" spans="2:28" ht="14.25" customHeight="1">
      <c r="B1305" s="10"/>
      <c r="C1305" s="10"/>
      <c r="D1305" s="7" t="s">
        <v>381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</row>
    <row r="1306" spans="2:28" ht="14.25" customHeight="1">
      <c r="B1306" s="10"/>
      <c r="C1306" s="10"/>
      <c r="D1306" s="7" t="s">
        <v>383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</row>
    <row r="1307" spans="2:28" ht="14.25" customHeight="1">
      <c r="B1307" s="10"/>
      <c r="C1307" s="10"/>
      <c r="D1307" s="7" t="s">
        <v>385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</row>
    <row r="1308" spans="2:28" ht="14.25" customHeight="1">
      <c r="B1308" s="10"/>
      <c r="C1308" s="10"/>
      <c r="D1308" s="7" t="s">
        <v>387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</row>
    <row r="1309" spans="2:28" ht="14.25" customHeight="1">
      <c r="B1309" s="10"/>
      <c r="C1309" s="10"/>
      <c r="D1309" s="7" t="s">
        <v>389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</row>
    <row r="1310" spans="2:28" ht="14.25" customHeight="1">
      <c r="B1310" s="10"/>
      <c r="C1310" s="10"/>
      <c r="D1310" s="7" t="s">
        <v>391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</row>
    <row r="1311" spans="2:28" ht="14.25" customHeight="1">
      <c r="B1311" s="10"/>
      <c r="C1311" s="10"/>
      <c r="D1311" s="7" t="s">
        <v>393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</row>
    <row r="1312" spans="2:28" ht="14.25" customHeight="1">
      <c r="B1312" s="10"/>
      <c r="C1312" s="10"/>
      <c r="D1312" s="7" t="s">
        <v>395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</row>
    <row r="1313" spans="2:28" ht="14.25" customHeight="1">
      <c r="B1313" s="10"/>
      <c r="C1313" s="10"/>
      <c r="D1313" s="7" t="s">
        <v>397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</row>
    <row r="1314" spans="2:28" ht="14.25" customHeight="1">
      <c r="B1314" s="10"/>
      <c r="C1314" s="10"/>
      <c r="D1314" s="7" t="s">
        <v>399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</row>
    <row r="1315" spans="2:28" ht="14.25" customHeight="1">
      <c r="B1315" s="10"/>
      <c r="C1315" s="10"/>
      <c r="D1315" s="7" t="s">
        <v>401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</row>
    <row r="1316" spans="2:28" ht="14.25" customHeight="1">
      <c r="B1316" s="10"/>
      <c r="C1316" s="10"/>
      <c r="D1316" s="7" t="s">
        <v>313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</row>
  </sheetData>
  <autoFilter ref="B2:F1041" xr:uid="{00000000-0009-0000-0000-00001F000000}"/>
  <mergeCells count="4">
    <mergeCell ref="B1039:D1039"/>
    <mergeCell ref="A1:A1039"/>
    <mergeCell ref="B1:D1"/>
    <mergeCell ref="E1:E1039"/>
  </mergeCells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F1004"/>
  <sheetViews>
    <sheetView showGridLines="0" rightToLeft="1" workbookViewId="0">
      <pane ySplit="5" topLeftCell="A6" activePane="bottomLeft" state="frozen"/>
      <selection pane="bottomLeft" sqref="A1:A4"/>
    </sheetView>
  </sheetViews>
  <sheetFormatPr defaultColWidth="3.125" defaultRowHeight="15" customHeight="1" outlineLevelRow="1"/>
  <cols>
    <col min="1" max="1" width="3.125" customWidth="1"/>
  </cols>
  <sheetData>
    <row r="1" spans="1:2" s="105" customFormat="1" ht="15" customHeight="1">
      <c r="A1" s="105" t="s">
        <v>3764</v>
      </c>
      <c r="B1" s="105" t="s">
        <v>3765</v>
      </c>
    </row>
    <row r="2" spans="1:2" ht="15" customHeight="1">
      <c r="A2" s="105"/>
    </row>
    <row r="3" spans="1:2" ht="15" customHeight="1">
      <c r="A3" s="105"/>
    </row>
    <row r="4" spans="1:2" s="106" customFormat="1" ht="15" customHeight="1">
      <c r="A4" s="105"/>
      <c r="B4" s="106" t="s">
        <v>3764</v>
      </c>
    </row>
    <row r="5" spans="1:2" s="106" customFormat="1" ht="14.25">
      <c r="A5"/>
    </row>
    <row r="6" spans="1:2" s="106" customFormat="1" ht="15.75" hidden="1" customHeight="1" outlineLevel="1">
      <c r="A6"/>
    </row>
    <row r="7" spans="1:2" s="106" customFormat="1" ht="15.75" hidden="1" customHeight="1" outlineLevel="1">
      <c r="A7"/>
    </row>
    <row r="8" spans="1:2" s="106" customFormat="1" ht="15.75" hidden="1" customHeight="1" outlineLevel="1">
      <c r="A8"/>
    </row>
    <row r="9" spans="1:2" s="106" customFormat="1" ht="15.75" hidden="1" customHeight="1" outlineLevel="1">
      <c r="A9"/>
    </row>
    <row r="10" spans="1:2" s="106" customFormat="1" ht="15.75" hidden="1" customHeight="1" outlineLevel="1">
      <c r="A10"/>
    </row>
    <row r="11" spans="1:2" s="106" customFormat="1" ht="15.75" hidden="1" customHeight="1" outlineLevel="1">
      <c r="A11"/>
    </row>
    <row r="12" spans="1:2" s="106" customFormat="1" ht="15.75" hidden="1" customHeight="1" outlineLevel="1">
      <c r="A12"/>
    </row>
    <row r="13" spans="1:2" s="106" customFormat="1" ht="15.75" hidden="1" customHeight="1" outlineLevel="1">
      <c r="A13"/>
    </row>
    <row r="14" spans="1:2" s="106" customFormat="1" ht="15.75" hidden="1" customHeight="1" outlineLevel="1">
      <c r="A14"/>
    </row>
    <row r="15" spans="1:2" s="106" customFormat="1" ht="15.75" hidden="1" customHeight="1" outlineLevel="1">
      <c r="A15"/>
    </row>
    <row r="16" spans="1:2" s="106" customFormat="1" ht="15.75" hidden="1" customHeight="1" outlineLevel="1">
      <c r="A16"/>
    </row>
    <row r="17" spans="1:1" s="106" customFormat="1" ht="15.75" hidden="1" customHeight="1" outlineLevel="1">
      <c r="A17"/>
    </row>
    <row r="18" spans="1:1" s="106" customFormat="1" ht="15.75" hidden="1" customHeight="1" outlineLevel="1">
      <c r="A18"/>
    </row>
    <row r="19" spans="1:1" s="106" customFormat="1" ht="15.75" hidden="1" customHeight="1" outlineLevel="1">
      <c r="A19"/>
    </row>
    <row r="20" spans="1:1" s="106" customFormat="1" ht="15.75" hidden="1" customHeight="1" outlineLevel="1">
      <c r="A20"/>
    </row>
    <row r="21" spans="1:1" s="106" customFormat="1" ht="15.75" hidden="1" customHeight="1" outlineLevel="1">
      <c r="A21"/>
    </row>
    <row r="22" spans="1:1" s="106" customFormat="1" ht="15.75" hidden="1" customHeight="1" outlineLevel="1">
      <c r="A22"/>
    </row>
    <row r="23" spans="1:1" s="106" customFormat="1" ht="15.75" hidden="1" customHeight="1" collapsed="1">
      <c r="A23"/>
    </row>
    <row r="24" spans="1:1" s="106" customFormat="1" ht="15.75" hidden="1" customHeight="1" outlineLevel="1">
      <c r="A24"/>
    </row>
    <row r="25" spans="1:1" s="106" customFormat="1" ht="15.75" hidden="1" customHeight="1" outlineLevel="1">
      <c r="A25"/>
    </row>
    <row r="26" spans="1:1" s="106" customFormat="1" ht="15.75" hidden="1" customHeight="1" outlineLevel="1">
      <c r="A26"/>
    </row>
    <row r="27" spans="1:1" s="106" customFormat="1" ht="15.75" hidden="1" customHeight="1" outlineLevel="1">
      <c r="A27"/>
    </row>
    <row r="28" spans="1:1" s="106" customFormat="1" ht="15.75" hidden="1" customHeight="1" outlineLevel="1">
      <c r="A28"/>
    </row>
    <row r="29" spans="1:1" s="106" customFormat="1" ht="15.75" hidden="1" customHeight="1" outlineLevel="1">
      <c r="A29"/>
    </row>
    <row r="30" spans="1:1" s="106" customFormat="1" ht="15.75" hidden="1" customHeight="1" outlineLevel="1">
      <c r="A30"/>
    </row>
    <row r="31" spans="1:1" s="106" customFormat="1" ht="15.75" hidden="1" customHeight="1" outlineLevel="1">
      <c r="A31"/>
    </row>
    <row r="32" spans="1:1" s="106" customFormat="1" ht="15.75" hidden="1" customHeight="1" outlineLevel="1">
      <c r="A32"/>
    </row>
    <row r="33" spans="1:1" s="106" customFormat="1" ht="15.75" hidden="1" customHeight="1" outlineLevel="1">
      <c r="A33"/>
    </row>
    <row r="34" spans="1:1" s="106" customFormat="1" ht="15.75" hidden="1" customHeight="1" outlineLevel="1">
      <c r="A34"/>
    </row>
    <row r="35" spans="1:1" s="106" customFormat="1" ht="15.75" hidden="1" customHeight="1" outlineLevel="1">
      <c r="A35"/>
    </row>
    <row r="36" spans="1:1" s="106" customFormat="1" ht="15.75" hidden="1" customHeight="1" outlineLevel="1">
      <c r="A36"/>
    </row>
    <row r="37" spans="1:1" s="106" customFormat="1" ht="15.75" hidden="1" customHeight="1" outlineLevel="1">
      <c r="A37"/>
    </row>
    <row r="38" spans="1:1" s="106" customFormat="1" ht="15.75" hidden="1" customHeight="1" outlineLevel="1">
      <c r="A38"/>
    </row>
    <row r="39" spans="1:1" s="106" customFormat="1" ht="15.75" hidden="1" customHeight="1" outlineLevel="1">
      <c r="A39"/>
    </row>
    <row r="40" spans="1:1" s="106" customFormat="1" ht="15.75" hidden="1" customHeight="1" outlineLevel="1">
      <c r="A40"/>
    </row>
    <row r="41" spans="1:1" s="106" customFormat="1" ht="15.75" hidden="1" customHeight="1" outlineLevel="1">
      <c r="A41"/>
    </row>
    <row r="42" spans="1:1" s="106" customFormat="1" ht="15.75" hidden="1" customHeight="1" outlineLevel="1">
      <c r="A42"/>
    </row>
    <row r="43" spans="1:1" s="106" customFormat="1" ht="15.75" hidden="1" customHeight="1" outlineLevel="1">
      <c r="A43"/>
    </row>
    <row r="44" spans="1:1" s="106" customFormat="1" ht="15.75" hidden="1" customHeight="1" outlineLevel="1">
      <c r="A44"/>
    </row>
    <row r="45" spans="1:1" s="106" customFormat="1" ht="15.75" hidden="1" customHeight="1" outlineLevel="1">
      <c r="A45"/>
    </row>
    <row r="46" spans="1:1" s="106" customFormat="1" ht="15.75" hidden="1" customHeight="1" outlineLevel="1">
      <c r="A46"/>
    </row>
    <row r="47" spans="1:1" s="106" customFormat="1" ht="15.75" hidden="1" customHeight="1" outlineLevel="1">
      <c r="A47"/>
    </row>
    <row r="48" spans="1:1" s="106" customFormat="1" ht="15.75" hidden="1" customHeight="1" outlineLevel="1">
      <c r="A48"/>
    </row>
    <row r="49" spans="1:1" s="106" customFormat="1" ht="15.75" hidden="1" customHeight="1" outlineLevel="1">
      <c r="A49"/>
    </row>
    <row r="50" spans="1:1" s="106" customFormat="1" ht="15.75" hidden="1" customHeight="1" collapsed="1">
      <c r="A50"/>
    </row>
    <row r="51" spans="1:1" s="106" customFormat="1" ht="15.75" hidden="1" customHeight="1" outlineLevel="1">
      <c r="A51"/>
    </row>
    <row r="52" spans="1:1" s="106" customFormat="1" ht="15.75" hidden="1" customHeight="1" outlineLevel="1">
      <c r="A52"/>
    </row>
    <row r="53" spans="1:1" s="106" customFormat="1" ht="15.75" hidden="1" customHeight="1" outlineLevel="1">
      <c r="A53"/>
    </row>
    <row r="54" spans="1:1" s="106" customFormat="1" ht="15.75" hidden="1" customHeight="1" outlineLevel="1">
      <c r="A54"/>
    </row>
    <row r="55" spans="1:1" s="106" customFormat="1" ht="15.75" hidden="1" customHeight="1" outlineLevel="1">
      <c r="A55"/>
    </row>
    <row r="56" spans="1:1" s="106" customFormat="1" ht="15.75" hidden="1" customHeight="1" outlineLevel="1">
      <c r="A56"/>
    </row>
    <row r="57" spans="1:1" s="106" customFormat="1" ht="15.75" hidden="1" customHeight="1" outlineLevel="1">
      <c r="A57"/>
    </row>
    <row r="58" spans="1:1" s="106" customFormat="1" ht="15.75" hidden="1" customHeight="1" outlineLevel="1">
      <c r="A58"/>
    </row>
    <row r="59" spans="1:1" s="106" customFormat="1" ht="15.75" hidden="1" customHeight="1" outlineLevel="1">
      <c r="A59"/>
    </row>
    <row r="60" spans="1:1" s="106" customFormat="1" ht="15.75" hidden="1" customHeight="1" outlineLevel="1">
      <c r="A60"/>
    </row>
    <row r="61" spans="1:1" s="106" customFormat="1" ht="15.75" hidden="1" customHeight="1" outlineLevel="1">
      <c r="A61"/>
    </row>
    <row r="62" spans="1:1" s="106" customFormat="1" ht="15.75" hidden="1" customHeight="1" outlineLevel="1">
      <c r="A62"/>
    </row>
    <row r="63" spans="1:1" s="106" customFormat="1" ht="15.75" hidden="1" customHeight="1" outlineLevel="1">
      <c r="A63"/>
    </row>
    <row r="64" spans="1:1" s="106" customFormat="1" ht="15.75" hidden="1" customHeight="1" outlineLevel="1">
      <c r="A64"/>
    </row>
    <row r="65" spans="1:1" s="106" customFormat="1" ht="15.75" hidden="1" customHeight="1" outlineLevel="1">
      <c r="A65"/>
    </row>
    <row r="66" spans="1:1" s="106" customFormat="1" ht="15.75" hidden="1" customHeight="1" outlineLevel="1">
      <c r="A66"/>
    </row>
    <row r="67" spans="1:1" s="106" customFormat="1" ht="15.75" hidden="1" customHeight="1" outlineLevel="1">
      <c r="A67"/>
    </row>
    <row r="68" spans="1:1" s="106" customFormat="1" ht="15.75" hidden="1" customHeight="1" outlineLevel="1">
      <c r="A68"/>
    </row>
    <row r="69" spans="1:1" s="106" customFormat="1" ht="15.75" hidden="1" customHeight="1" outlineLevel="1">
      <c r="A69"/>
    </row>
    <row r="70" spans="1:1" s="106" customFormat="1" ht="15.75" hidden="1" customHeight="1" outlineLevel="1">
      <c r="A70"/>
    </row>
    <row r="71" spans="1:1" s="106" customFormat="1" ht="15.75" hidden="1" customHeight="1" outlineLevel="1">
      <c r="A71"/>
    </row>
    <row r="72" spans="1:1" s="106" customFormat="1" ht="15.75" hidden="1" customHeight="1" outlineLevel="1">
      <c r="A72"/>
    </row>
    <row r="73" spans="1:1" s="106" customFormat="1" ht="15.75" hidden="1" customHeight="1" outlineLevel="1">
      <c r="A73"/>
    </row>
    <row r="74" spans="1:1" s="106" customFormat="1" ht="15.75" hidden="1" customHeight="1" outlineLevel="1">
      <c r="A74"/>
    </row>
    <row r="75" spans="1:1" s="106" customFormat="1" ht="15.75" hidden="1" customHeight="1" outlineLevel="1">
      <c r="A75"/>
    </row>
    <row r="76" spans="1:1" s="106" customFormat="1" ht="15.75" hidden="1" customHeight="1" outlineLevel="1">
      <c r="A76"/>
    </row>
    <row r="77" spans="1:1" s="106" customFormat="1" ht="15.75" hidden="1" customHeight="1" outlineLevel="1">
      <c r="A77"/>
    </row>
    <row r="78" spans="1:1" s="106" customFormat="1" ht="15.75" hidden="1" customHeight="1" outlineLevel="1">
      <c r="A78"/>
    </row>
    <row r="79" spans="1:1" s="106" customFormat="1" ht="15.75" hidden="1" customHeight="1" outlineLevel="1">
      <c r="A79"/>
    </row>
    <row r="80" spans="1:1" s="106" customFormat="1" ht="15.75" hidden="1" customHeight="1" outlineLevel="1">
      <c r="A80"/>
    </row>
    <row r="81" spans="1:1" s="106" customFormat="1" ht="15.75" hidden="1" customHeight="1" outlineLevel="1">
      <c r="A81"/>
    </row>
    <row r="82" spans="1:1" s="106" customFormat="1" ht="15.75" hidden="1" customHeight="1" outlineLevel="1">
      <c r="A82"/>
    </row>
    <row r="83" spans="1:1" s="106" customFormat="1" ht="15.75" hidden="1" customHeight="1" outlineLevel="1">
      <c r="A83"/>
    </row>
    <row r="84" spans="1:1" s="106" customFormat="1" ht="15.75" hidden="1" customHeight="1" outlineLevel="1">
      <c r="A84"/>
    </row>
    <row r="85" spans="1:1" s="106" customFormat="1" ht="15.75" hidden="1" customHeight="1" outlineLevel="1">
      <c r="A85"/>
    </row>
    <row r="86" spans="1:1" s="106" customFormat="1" ht="15.75" hidden="1" customHeight="1" outlineLevel="1">
      <c r="A86"/>
    </row>
    <row r="87" spans="1:1" s="106" customFormat="1" ht="15.75" hidden="1" customHeight="1">
      <c r="A87"/>
    </row>
    <row r="88" spans="1:1" s="106" customFormat="1" ht="15.75" hidden="1" customHeight="1" outlineLevel="1">
      <c r="A88"/>
    </row>
    <row r="89" spans="1:1" s="106" customFormat="1" ht="15.75" hidden="1" customHeight="1" outlineLevel="1">
      <c r="A89"/>
    </row>
    <row r="90" spans="1:1" s="106" customFormat="1" ht="15.75" hidden="1" customHeight="1" outlineLevel="1">
      <c r="A90"/>
    </row>
    <row r="91" spans="1:1" s="106" customFormat="1" ht="15.75" hidden="1" customHeight="1" outlineLevel="1">
      <c r="A91"/>
    </row>
    <row r="92" spans="1:1" s="106" customFormat="1" ht="15.75" hidden="1" customHeight="1" outlineLevel="1">
      <c r="A92"/>
    </row>
    <row r="93" spans="1:1" s="106" customFormat="1" ht="15.75" hidden="1" customHeight="1" outlineLevel="1">
      <c r="A93"/>
    </row>
    <row r="94" spans="1:1" s="106" customFormat="1" ht="15.75" hidden="1" customHeight="1" outlineLevel="1">
      <c r="A94"/>
    </row>
    <row r="95" spans="1:1" s="106" customFormat="1" ht="15.75" hidden="1" customHeight="1" outlineLevel="1">
      <c r="A95"/>
    </row>
    <row r="96" spans="1:1" s="106" customFormat="1" ht="15.75" hidden="1" customHeight="1" outlineLevel="1">
      <c r="A96"/>
    </row>
    <row r="97" spans="1:1" s="106" customFormat="1" ht="15.75" hidden="1" customHeight="1" outlineLevel="1">
      <c r="A97"/>
    </row>
    <row r="98" spans="1:1" s="106" customFormat="1" ht="15.75" hidden="1" customHeight="1" outlineLevel="1">
      <c r="A98"/>
    </row>
    <row r="99" spans="1:1" s="106" customFormat="1" ht="15.75" hidden="1" customHeight="1" outlineLevel="1">
      <c r="A99"/>
    </row>
    <row r="100" spans="1:1" s="106" customFormat="1" ht="15.75" hidden="1" customHeight="1" outlineLevel="1">
      <c r="A100"/>
    </row>
    <row r="101" spans="1:1" s="106" customFormat="1" ht="15.75" hidden="1" customHeight="1" outlineLevel="1">
      <c r="A101"/>
    </row>
    <row r="102" spans="1:1" s="106" customFormat="1" ht="15.75" hidden="1" customHeight="1" outlineLevel="1">
      <c r="A102"/>
    </row>
    <row r="103" spans="1:1" s="106" customFormat="1" ht="15.75" hidden="1" customHeight="1" outlineLevel="1">
      <c r="A103"/>
    </row>
    <row r="104" spans="1:1" s="106" customFormat="1" ht="15.75" hidden="1" customHeight="1" outlineLevel="1">
      <c r="A104"/>
    </row>
    <row r="105" spans="1:1" s="106" customFormat="1" ht="15.75" hidden="1" customHeight="1" outlineLevel="1">
      <c r="A105"/>
    </row>
    <row r="106" spans="1:1" s="106" customFormat="1" ht="15.75" hidden="1" customHeight="1" outlineLevel="1">
      <c r="A106"/>
    </row>
    <row r="107" spans="1:1" s="106" customFormat="1" ht="15.75" hidden="1" customHeight="1" outlineLevel="1">
      <c r="A107"/>
    </row>
    <row r="108" spans="1:1" s="106" customFormat="1" ht="15.75" hidden="1" customHeight="1" outlineLevel="1">
      <c r="A108"/>
    </row>
    <row r="109" spans="1:1" s="106" customFormat="1" ht="15.75" hidden="1" customHeight="1" outlineLevel="1">
      <c r="A109"/>
    </row>
    <row r="110" spans="1:1" s="106" customFormat="1" ht="15.75" hidden="1" customHeight="1" outlineLevel="1">
      <c r="A110"/>
    </row>
    <row r="111" spans="1:1" s="106" customFormat="1" ht="15.75" hidden="1" customHeight="1" outlineLevel="1">
      <c r="A111"/>
    </row>
    <row r="112" spans="1:1" s="106" customFormat="1" ht="15.75" hidden="1" customHeight="1" outlineLevel="1">
      <c r="A112"/>
    </row>
    <row r="113" spans="1:1" s="106" customFormat="1" ht="15.75" hidden="1" customHeight="1" outlineLevel="1">
      <c r="A113"/>
    </row>
    <row r="114" spans="1:1" s="106" customFormat="1" ht="15.75" hidden="1" customHeight="1" outlineLevel="1">
      <c r="A114"/>
    </row>
    <row r="115" spans="1:1" s="106" customFormat="1" ht="15.75" hidden="1" customHeight="1" outlineLevel="1">
      <c r="A115"/>
    </row>
    <row r="116" spans="1:1" s="106" customFormat="1" ht="15.75" hidden="1" customHeight="1" outlineLevel="1">
      <c r="A116"/>
    </row>
    <row r="117" spans="1:1" s="106" customFormat="1" ht="15.75" hidden="1" customHeight="1" outlineLevel="1">
      <c r="A117"/>
    </row>
    <row r="118" spans="1:1" s="106" customFormat="1" ht="15.75" hidden="1" customHeight="1" outlineLevel="1">
      <c r="A118"/>
    </row>
    <row r="119" spans="1:1" s="106" customFormat="1" ht="15.75" hidden="1" customHeight="1" outlineLevel="1">
      <c r="A119"/>
    </row>
    <row r="120" spans="1:1" s="106" customFormat="1" ht="15.75" hidden="1" customHeight="1" outlineLevel="1">
      <c r="A120"/>
    </row>
    <row r="121" spans="1:1" s="106" customFormat="1" ht="15.75" hidden="1" customHeight="1" outlineLevel="1">
      <c r="A121"/>
    </row>
    <row r="122" spans="1:1" s="106" customFormat="1" ht="15.75" hidden="1" customHeight="1" outlineLevel="1">
      <c r="A122"/>
    </row>
    <row r="123" spans="1:1" s="106" customFormat="1" ht="15.75" hidden="1" customHeight="1">
      <c r="A123"/>
    </row>
    <row r="124" spans="1:1" s="106" customFormat="1" ht="15.75" hidden="1" customHeight="1" outlineLevel="1">
      <c r="A124"/>
    </row>
    <row r="125" spans="1:1" s="106" customFormat="1" ht="15.75" hidden="1" customHeight="1" outlineLevel="1">
      <c r="A125"/>
    </row>
    <row r="126" spans="1:1" s="106" customFormat="1" ht="15.75" hidden="1" customHeight="1" outlineLevel="1">
      <c r="A126"/>
    </row>
    <row r="127" spans="1:1" s="106" customFormat="1" ht="15.75" hidden="1" customHeight="1" outlineLevel="1">
      <c r="A127"/>
    </row>
    <row r="128" spans="1:1" s="106" customFormat="1" ht="15.75" hidden="1" customHeight="1" outlineLevel="1">
      <c r="A128"/>
    </row>
    <row r="129" spans="1:1" s="106" customFormat="1" ht="15.75" hidden="1" customHeight="1" outlineLevel="1">
      <c r="A129"/>
    </row>
    <row r="130" spans="1:1" s="106" customFormat="1" ht="15.75" hidden="1" customHeight="1" outlineLevel="1">
      <c r="A130"/>
    </row>
    <row r="131" spans="1:1" s="106" customFormat="1" ht="15.75" hidden="1" customHeight="1" outlineLevel="1">
      <c r="A131"/>
    </row>
    <row r="132" spans="1:1" s="106" customFormat="1" ht="15.75" hidden="1" customHeight="1" outlineLevel="1">
      <c r="A132"/>
    </row>
    <row r="133" spans="1:1" s="106" customFormat="1" ht="15.75" hidden="1" customHeight="1" outlineLevel="1">
      <c r="A133"/>
    </row>
    <row r="134" spans="1:1" s="106" customFormat="1" ht="15.75" hidden="1" customHeight="1" outlineLevel="1">
      <c r="A134"/>
    </row>
    <row r="135" spans="1:1" s="106" customFormat="1" ht="15.75" hidden="1" customHeight="1" outlineLevel="1">
      <c r="A135"/>
    </row>
    <row r="136" spans="1:1" s="106" customFormat="1" ht="15.75" hidden="1" customHeight="1" outlineLevel="1">
      <c r="A136"/>
    </row>
    <row r="137" spans="1:1" s="106" customFormat="1" ht="15.75" hidden="1" customHeight="1" outlineLevel="1">
      <c r="A137"/>
    </row>
    <row r="138" spans="1:1" s="106" customFormat="1" ht="15.75" hidden="1" customHeight="1" outlineLevel="1">
      <c r="A138"/>
    </row>
    <row r="139" spans="1:1" s="106" customFormat="1" ht="15.75" hidden="1" customHeight="1" outlineLevel="1">
      <c r="A139"/>
    </row>
    <row r="140" spans="1:1" s="106" customFormat="1" ht="15.75" hidden="1" customHeight="1" outlineLevel="1">
      <c r="A140"/>
    </row>
    <row r="141" spans="1:1" s="106" customFormat="1" ht="15.75" hidden="1" customHeight="1" outlineLevel="1">
      <c r="A141"/>
    </row>
    <row r="142" spans="1:1" s="106" customFormat="1" ht="15.75" hidden="1" customHeight="1" outlineLevel="1">
      <c r="A142"/>
    </row>
    <row r="143" spans="1:1" s="106" customFormat="1" ht="15.75" hidden="1" customHeight="1" outlineLevel="1">
      <c r="A143"/>
    </row>
    <row r="144" spans="1:1" s="106" customFormat="1" ht="15.75" hidden="1" customHeight="1" outlineLevel="1">
      <c r="A144"/>
    </row>
    <row r="145" spans="1:1" s="106" customFormat="1" ht="15.75" hidden="1" customHeight="1" outlineLevel="1">
      <c r="A145"/>
    </row>
    <row r="146" spans="1:1" s="106" customFormat="1" ht="15.75" hidden="1" customHeight="1" outlineLevel="1">
      <c r="A146"/>
    </row>
    <row r="147" spans="1:1" s="106" customFormat="1" ht="15.75" hidden="1" customHeight="1" outlineLevel="1">
      <c r="A147"/>
    </row>
    <row r="148" spans="1:1" s="106" customFormat="1" ht="15.75" hidden="1" customHeight="1">
      <c r="A148"/>
    </row>
    <row r="149" spans="1:1" s="106" customFormat="1" ht="15.75" hidden="1" customHeight="1" outlineLevel="1">
      <c r="A149"/>
    </row>
    <row r="150" spans="1:1" s="106" customFormat="1" ht="15.75" hidden="1" customHeight="1" outlineLevel="1">
      <c r="A150"/>
    </row>
    <row r="151" spans="1:1" s="106" customFormat="1" ht="15.75" hidden="1" customHeight="1" outlineLevel="1">
      <c r="A151"/>
    </row>
    <row r="152" spans="1:1" s="106" customFormat="1" ht="15.75" hidden="1" customHeight="1" outlineLevel="1">
      <c r="A152"/>
    </row>
    <row r="153" spans="1:1" s="106" customFormat="1" ht="15.75" hidden="1" customHeight="1" outlineLevel="1">
      <c r="A153"/>
    </row>
    <row r="154" spans="1:1" s="106" customFormat="1" ht="15.75" hidden="1" customHeight="1" outlineLevel="1">
      <c r="A154"/>
    </row>
    <row r="155" spans="1:1" s="106" customFormat="1" ht="15.75" hidden="1" customHeight="1" outlineLevel="1">
      <c r="A155"/>
    </row>
    <row r="156" spans="1:1" s="106" customFormat="1" ht="15.75" hidden="1" customHeight="1" outlineLevel="1">
      <c r="A156"/>
    </row>
    <row r="157" spans="1:1" s="106" customFormat="1" ht="15.75" hidden="1" customHeight="1" outlineLevel="1">
      <c r="A157"/>
    </row>
    <row r="158" spans="1:1" s="106" customFormat="1" ht="15.75" hidden="1" customHeight="1" outlineLevel="1">
      <c r="A158"/>
    </row>
    <row r="159" spans="1:1" s="106" customFormat="1" ht="15.75" hidden="1" customHeight="1" outlineLevel="1">
      <c r="A159"/>
    </row>
    <row r="160" spans="1:1" s="106" customFormat="1" ht="15.75" hidden="1" customHeight="1" outlineLevel="1">
      <c r="A160"/>
    </row>
    <row r="161" spans="1:1" s="106" customFormat="1" ht="15.75" hidden="1" customHeight="1" outlineLevel="1">
      <c r="A161"/>
    </row>
    <row r="162" spans="1:1" s="106" customFormat="1" ht="15.75" hidden="1" customHeight="1" outlineLevel="1">
      <c r="A162"/>
    </row>
    <row r="163" spans="1:1" s="106" customFormat="1" ht="15.75" hidden="1" customHeight="1" outlineLevel="1">
      <c r="A163"/>
    </row>
    <row r="164" spans="1:1" s="106" customFormat="1" ht="15.75" hidden="1" customHeight="1" outlineLevel="1">
      <c r="A164"/>
    </row>
    <row r="165" spans="1:1" s="106" customFormat="1" ht="15.75" hidden="1" customHeight="1" outlineLevel="1">
      <c r="A165"/>
    </row>
    <row r="166" spans="1:1" s="106" customFormat="1" ht="15.75" hidden="1" customHeight="1" outlineLevel="1">
      <c r="A166"/>
    </row>
    <row r="167" spans="1:1" s="106" customFormat="1" ht="15.75" hidden="1" customHeight="1" outlineLevel="1">
      <c r="A167"/>
    </row>
    <row r="168" spans="1:1" s="106" customFormat="1" ht="15.75" hidden="1" customHeight="1" outlineLevel="1">
      <c r="A168"/>
    </row>
    <row r="169" spans="1:1" s="106" customFormat="1" ht="15.75" hidden="1" customHeight="1" outlineLevel="1">
      <c r="A169"/>
    </row>
    <row r="170" spans="1:1" s="106" customFormat="1" ht="15.75" hidden="1" customHeight="1" outlineLevel="1">
      <c r="A170"/>
    </row>
    <row r="171" spans="1:1" s="106" customFormat="1" ht="15.75" hidden="1" customHeight="1" outlineLevel="1">
      <c r="A171"/>
    </row>
    <row r="172" spans="1:1" s="106" customFormat="1" ht="15.75" hidden="1" customHeight="1">
      <c r="A172"/>
    </row>
    <row r="173" spans="1:1" s="106" customFormat="1" ht="15.75" hidden="1" customHeight="1" outlineLevel="1">
      <c r="A173"/>
    </row>
    <row r="174" spans="1:1" s="106" customFormat="1" ht="15.75" hidden="1" customHeight="1" outlineLevel="1">
      <c r="A174"/>
    </row>
    <row r="175" spans="1:1" s="106" customFormat="1" ht="15.75" hidden="1" customHeight="1" outlineLevel="1">
      <c r="A175"/>
    </row>
    <row r="176" spans="1:1" s="106" customFormat="1" ht="15.75" hidden="1" customHeight="1" outlineLevel="1">
      <c r="A176"/>
    </row>
    <row r="177" spans="1:1" s="106" customFormat="1" ht="15.75" hidden="1" customHeight="1" outlineLevel="1">
      <c r="A177"/>
    </row>
    <row r="178" spans="1:1" s="106" customFormat="1" ht="15.75" hidden="1" customHeight="1" outlineLevel="1">
      <c r="A178"/>
    </row>
    <row r="179" spans="1:1" s="106" customFormat="1" ht="15.75" hidden="1" customHeight="1" outlineLevel="1">
      <c r="A179"/>
    </row>
    <row r="180" spans="1:1" s="106" customFormat="1" ht="15.75" hidden="1" customHeight="1" outlineLevel="1">
      <c r="A180"/>
    </row>
    <row r="181" spans="1:1" s="106" customFormat="1" ht="15.75" hidden="1" customHeight="1" outlineLevel="1">
      <c r="A181"/>
    </row>
    <row r="182" spans="1:1" s="106" customFormat="1" ht="15.75" hidden="1" customHeight="1" outlineLevel="1">
      <c r="A182"/>
    </row>
    <row r="183" spans="1:1" s="106" customFormat="1" ht="15.75" hidden="1" customHeight="1" outlineLevel="1">
      <c r="A183"/>
    </row>
    <row r="184" spans="1:1" s="106" customFormat="1" ht="15.75" hidden="1" customHeight="1" outlineLevel="1">
      <c r="A184"/>
    </row>
    <row r="185" spans="1:1" s="106" customFormat="1" ht="15.75" hidden="1" customHeight="1" outlineLevel="1">
      <c r="A185"/>
    </row>
    <row r="186" spans="1:1" s="106" customFormat="1" ht="15.75" hidden="1" customHeight="1" outlineLevel="1">
      <c r="A186"/>
    </row>
    <row r="187" spans="1:1" s="106" customFormat="1" ht="15.75" hidden="1" customHeight="1" outlineLevel="1">
      <c r="A187"/>
    </row>
    <row r="188" spans="1:1" s="106" customFormat="1" ht="15.75" hidden="1" customHeight="1" outlineLevel="1">
      <c r="A188"/>
    </row>
    <row r="189" spans="1:1" s="106" customFormat="1" ht="15.75" hidden="1" customHeight="1" outlineLevel="1">
      <c r="A189"/>
    </row>
    <row r="190" spans="1:1" s="106" customFormat="1" ht="15.75" hidden="1" customHeight="1" outlineLevel="1">
      <c r="A190"/>
    </row>
    <row r="191" spans="1:1" s="106" customFormat="1" ht="15.75" hidden="1" customHeight="1" outlineLevel="1">
      <c r="A191"/>
    </row>
    <row r="192" spans="1:1" s="106" customFormat="1" ht="15.75" hidden="1" customHeight="1" outlineLevel="1">
      <c r="A192"/>
    </row>
    <row r="193" spans="1:1" s="106" customFormat="1" ht="15.75" hidden="1" customHeight="1" outlineLevel="1">
      <c r="A193"/>
    </row>
    <row r="194" spans="1:1" s="106" customFormat="1" ht="15.75" hidden="1" customHeight="1" outlineLevel="1">
      <c r="A194"/>
    </row>
    <row r="195" spans="1:1" s="106" customFormat="1" ht="15.75" hidden="1" customHeight="1" outlineLevel="1">
      <c r="A195"/>
    </row>
    <row r="196" spans="1:1" s="106" customFormat="1" ht="15.75" hidden="1" customHeight="1">
      <c r="A196"/>
    </row>
    <row r="197" spans="1:1" s="106" customFormat="1" ht="15.75" hidden="1" customHeight="1" outlineLevel="1">
      <c r="A197"/>
    </row>
    <row r="198" spans="1:1" s="106" customFormat="1" ht="15.75" hidden="1" customHeight="1" outlineLevel="1">
      <c r="A198"/>
    </row>
    <row r="199" spans="1:1" s="106" customFormat="1" ht="15.75" hidden="1" customHeight="1" outlineLevel="1">
      <c r="A199"/>
    </row>
    <row r="200" spans="1:1" s="106" customFormat="1" ht="15.75" hidden="1" customHeight="1" outlineLevel="1">
      <c r="A200"/>
    </row>
    <row r="201" spans="1:1" s="106" customFormat="1" ht="15.75" hidden="1" customHeight="1" outlineLevel="1">
      <c r="A201"/>
    </row>
    <row r="202" spans="1:1" s="106" customFormat="1" ht="15.75" hidden="1" customHeight="1" outlineLevel="1">
      <c r="A202"/>
    </row>
    <row r="203" spans="1:1" s="106" customFormat="1" ht="15.75" hidden="1" customHeight="1" outlineLevel="1">
      <c r="A203"/>
    </row>
    <row r="204" spans="1:1" s="106" customFormat="1" ht="15.75" hidden="1" customHeight="1" outlineLevel="1">
      <c r="A204"/>
    </row>
    <row r="205" spans="1:1" s="106" customFormat="1" ht="15.75" hidden="1" customHeight="1" outlineLevel="1">
      <c r="A205"/>
    </row>
    <row r="206" spans="1:1" s="106" customFormat="1" ht="15.75" hidden="1" customHeight="1" outlineLevel="1">
      <c r="A206"/>
    </row>
    <row r="207" spans="1:1" s="106" customFormat="1" ht="15.75" hidden="1" customHeight="1" outlineLevel="1">
      <c r="A207"/>
    </row>
    <row r="208" spans="1:1" s="106" customFormat="1" ht="15.75" hidden="1" customHeight="1" outlineLevel="1">
      <c r="A208"/>
    </row>
    <row r="209" spans="1:1" s="106" customFormat="1" ht="15.75" hidden="1" customHeight="1" outlineLevel="1">
      <c r="A209"/>
    </row>
    <row r="210" spans="1:1" s="106" customFormat="1" ht="15.75" hidden="1" customHeight="1" outlineLevel="1">
      <c r="A210"/>
    </row>
    <row r="211" spans="1:1" s="106" customFormat="1" ht="15.75" hidden="1" customHeight="1" outlineLevel="1">
      <c r="A211"/>
    </row>
    <row r="212" spans="1:1" s="106" customFormat="1" ht="15.75" hidden="1" customHeight="1" outlineLevel="1">
      <c r="A212"/>
    </row>
    <row r="213" spans="1:1" s="106" customFormat="1" ht="15.75" hidden="1" customHeight="1" outlineLevel="1">
      <c r="A213"/>
    </row>
    <row r="214" spans="1:1" s="106" customFormat="1" ht="15.75" hidden="1" customHeight="1" outlineLevel="1">
      <c r="A214"/>
    </row>
    <row r="215" spans="1:1" s="106" customFormat="1" ht="15.75" hidden="1" customHeight="1" outlineLevel="1">
      <c r="A215"/>
    </row>
    <row r="216" spans="1:1" s="106" customFormat="1" ht="15.75" hidden="1" customHeight="1" outlineLevel="1">
      <c r="A216"/>
    </row>
    <row r="217" spans="1:1" s="106" customFormat="1" ht="15.75" hidden="1" customHeight="1" outlineLevel="1">
      <c r="A217"/>
    </row>
    <row r="218" spans="1:1" s="106" customFormat="1" ht="15.75" hidden="1" customHeight="1" outlineLevel="1">
      <c r="A218"/>
    </row>
    <row r="219" spans="1:1" s="106" customFormat="1" ht="15.75" hidden="1" customHeight="1" outlineLevel="1">
      <c r="A219"/>
    </row>
    <row r="220" spans="1:1" s="106" customFormat="1" ht="15.75" hidden="1" customHeight="1" outlineLevel="1">
      <c r="A220"/>
    </row>
    <row r="221" spans="1:1" s="106" customFormat="1" ht="15.75" hidden="1" customHeight="1" outlineLevel="1">
      <c r="A221"/>
    </row>
    <row r="222" spans="1:1" s="106" customFormat="1" ht="15.75" hidden="1" customHeight="1">
      <c r="A222"/>
    </row>
    <row r="223" spans="1:1" s="106" customFormat="1" ht="15.75" hidden="1" customHeight="1" outlineLevel="1">
      <c r="A223"/>
    </row>
    <row r="224" spans="1:1" s="106" customFormat="1" ht="15.75" hidden="1" customHeight="1" outlineLevel="1">
      <c r="A224"/>
    </row>
    <row r="225" spans="1:1" s="106" customFormat="1" ht="15.75" hidden="1" customHeight="1" outlineLevel="1">
      <c r="A225"/>
    </row>
    <row r="226" spans="1:1" s="106" customFormat="1" ht="15.75" hidden="1" customHeight="1" outlineLevel="1">
      <c r="A226"/>
    </row>
    <row r="227" spans="1:1" s="106" customFormat="1" ht="15.75" hidden="1" customHeight="1" outlineLevel="1">
      <c r="A227"/>
    </row>
    <row r="228" spans="1:1" s="106" customFormat="1" ht="15.75" hidden="1" customHeight="1" outlineLevel="1">
      <c r="A228"/>
    </row>
    <row r="229" spans="1:1" s="106" customFormat="1" ht="15.75" hidden="1" customHeight="1" outlineLevel="1">
      <c r="A229"/>
    </row>
    <row r="230" spans="1:1" s="106" customFormat="1" ht="15.75" hidden="1" customHeight="1" outlineLevel="1">
      <c r="A230"/>
    </row>
    <row r="231" spans="1:1" s="106" customFormat="1" ht="15.75" hidden="1" customHeight="1" outlineLevel="1">
      <c r="A231"/>
    </row>
    <row r="232" spans="1:1" s="106" customFormat="1" ht="15.75" hidden="1" customHeight="1" outlineLevel="1">
      <c r="A232"/>
    </row>
    <row r="233" spans="1:1" s="106" customFormat="1" ht="15.75" hidden="1" customHeight="1" outlineLevel="1">
      <c r="A233"/>
    </row>
    <row r="234" spans="1:1" s="106" customFormat="1" ht="15.75" hidden="1" customHeight="1" outlineLevel="1">
      <c r="A234"/>
    </row>
    <row r="235" spans="1:1" s="106" customFormat="1" ht="15.75" hidden="1" customHeight="1" outlineLevel="1">
      <c r="A235"/>
    </row>
    <row r="236" spans="1:1" s="106" customFormat="1" ht="15.75" hidden="1" customHeight="1" outlineLevel="1">
      <c r="A236"/>
    </row>
    <row r="237" spans="1:1" s="106" customFormat="1" ht="15.75" hidden="1" customHeight="1" outlineLevel="1">
      <c r="A237"/>
    </row>
    <row r="238" spans="1:1" s="106" customFormat="1" ht="15.75" hidden="1" customHeight="1" outlineLevel="1">
      <c r="A238"/>
    </row>
    <row r="239" spans="1:1" s="106" customFormat="1" ht="15.75" hidden="1" customHeight="1" outlineLevel="1">
      <c r="A239"/>
    </row>
    <row r="240" spans="1:1" s="106" customFormat="1" ht="15.75" hidden="1" customHeight="1" outlineLevel="1">
      <c r="A240"/>
    </row>
    <row r="241" spans="1:1" s="106" customFormat="1" ht="15.75" hidden="1" customHeight="1" outlineLevel="1">
      <c r="A241"/>
    </row>
    <row r="242" spans="1:1" s="106" customFormat="1" ht="15.75" hidden="1" customHeight="1" outlineLevel="1">
      <c r="A242"/>
    </row>
    <row r="243" spans="1:1" s="106" customFormat="1" ht="15.75" hidden="1" customHeight="1" outlineLevel="1">
      <c r="A243"/>
    </row>
    <row r="244" spans="1:1" s="106" customFormat="1" ht="15.75" hidden="1" customHeight="1" outlineLevel="1">
      <c r="A244"/>
    </row>
    <row r="245" spans="1:1" s="106" customFormat="1" ht="15.75" hidden="1" customHeight="1" outlineLevel="1">
      <c r="A245"/>
    </row>
    <row r="246" spans="1:1" s="106" customFormat="1" ht="15.75" hidden="1" customHeight="1" outlineLevel="1">
      <c r="A246"/>
    </row>
    <row r="247" spans="1:1" s="106" customFormat="1" ht="15.75" hidden="1" customHeight="1" outlineLevel="1">
      <c r="A247"/>
    </row>
    <row r="248" spans="1:1" s="106" customFormat="1" ht="15.75" hidden="1" customHeight="1">
      <c r="A248"/>
    </row>
    <row r="249" spans="1:1" s="106" customFormat="1" ht="15.75" hidden="1" customHeight="1" outlineLevel="1">
      <c r="A249"/>
    </row>
    <row r="250" spans="1:1" s="106" customFormat="1" ht="15.75" hidden="1" customHeight="1" outlineLevel="1">
      <c r="A250"/>
    </row>
    <row r="251" spans="1:1" s="106" customFormat="1" ht="15.75" hidden="1" customHeight="1" outlineLevel="1">
      <c r="A251"/>
    </row>
    <row r="252" spans="1:1" s="106" customFormat="1" ht="15.75" hidden="1" customHeight="1" outlineLevel="1">
      <c r="A252"/>
    </row>
    <row r="253" spans="1:1" s="106" customFormat="1" ht="15.75" hidden="1" customHeight="1" outlineLevel="1">
      <c r="A253"/>
    </row>
    <row r="254" spans="1:1" s="106" customFormat="1" ht="15.75" hidden="1" customHeight="1" outlineLevel="1">
      <c r="A254"/>
    </row>
    <row r="255" spans="1:1" s="106" customFormat="1" ht="15.75" hidden="1" customHeight="1" outlineLevel="1">
      <c r="A255"/>
    </row>
    <row r="256" spans="1:1" s="106" customFormat="1" ht="15.75" hidden="1" customHeight="1" outlineLevel="1">
      <c r="A256"/>
    </row>
    <row r="257" spans="1:1" s="106" customFormat="1" ht="15.75" hidden="1" customHeight="1" outlineLevel="1">
      <c r="A257"/>
    </row>
    <row r="258" spans="1:1" s="106" customFormat="1" ht="15.75" hidden="1" customHeight="1" outlineLevel="1">
      <c r="A258"/>
    </row>
    <row r="259" spans="1:1" s="106" customFormat="1" ht="15.75" hidden="1" customHeight="1" outlineLevel="1">
      <c r="A259"/>
    </row>
    <row r="260" spans="1:1" s="106" customFormat="1" ht="15.75" hidden="1" customHeight="1" outlineLevel="1">
      <c r="A260"/>
    </row>
    <row r="261" spans="1:1" s="106" customFormat="1" ht="15.75" hidden="1" customHeight="1" outlineLevel="1">
      <c r="A261"/>
    </row>
    <row r="262" spans="1:1" s="106" customFormat="1" ht="15.75" hidden="1" customHeight="1" outlineLevel="1">
      <c r="A262"/>
    </row>
    <row r="263" spans="1:1" s="106" customFormat="1" ht="15.75" hidden="1" customHeight="1" outlineLevel="1">
      <c r="A263"/>
    </row>
    <row r="264" spans="1:1" s="106" customFormat="1" ht="15.75" hidden="1" customHeight="1" outlineLevel="1">
      <c r="A264"/>
    </row>
    <row r="265" spans="1:1" s="106" customFormat="1" ht="15.75" hidden="1" customHeight="1" outlineLevel="1">
      <c r="A265"/>
    </row>
    <row r="266" spans="1:1" s="106" customFormat="1" ht="15.75" hidden="1" customHeight="1" outlineLevel="1">
      <c r="A266"/>
    </row>
    <row r="267" spans="1:1" s="106" customFormat="1" ht="15.75" hidden="1" customHeight="1" outlineLevel="1">
      <c r="A267"/>
    </row>
    <row r="268" spans="1:1" s="106" customFormat="1" ht="15.75" hidden="1" customHeight="1" outlineLevel="1">
      <c r="A268"/>
    </row>
    <row r="269" spans="1:1" s="106" customFormat="1" ht="15.75" hidden="1" customHeight="1">
      <c r="A269"/>
    </row>
    <row r="270" spans="1:1" s="106" customFormat="1" ht="15.75" hidden="1" customHeight="1" outlineLevel="1">
      <c r="A270"/>
    </row>
    <row r="271" spans="1:1" s="106" customFormat="1" ht="15.75" hidden="1" customHeight="1" outlineLevel="1">
      <c r="A271"/>
    </row>
    <row r="272" spans="1:1" s="106" customFormat="1" ht="15.75" hidden="1" customHeight="1" outlineLevel="1">
      <c r="A272"/>
    </row>
    <row r="273" spans="1:1" s="106" customFormat="1" ht="15.75" hidden="1" customHeight="1" outlineLevel="1">
      <c r="A273"/>
    </row>
    <row r="274" spans="1:1" s="106" customFormat="1" ht="15.75" hidden="1" customHeight="1" outlineLevel="1">
      <c r="A274"/>
    </row>
    <row r="275" spans="1:1" s="106" customFormat="1" ht="15.75" hidden="1" customHeight="1" outlineLevel="1">
      <c r="A275"/>
    </row>
    <row r="276" spans="1:1" s="106" customFormat="1" ht="15.75" hidden="1" customHeight="1" outlineLevel="1">
      <c r="A276"/>
    </row>
    <row r="277" spans="1:1" s="106" customFormat="1" ht="15.75" hidden="1" customHeight="1" outlineLevel="1">
      <c r="A277"/>
    </row>
    <row r="278" spans="1:1" s="106" customFormat="1" ht="15.75" hidden="1" customHeight="1" outlineLevel="1">
      <c r="A278"/>
    </row>
    <row r="279" spans="1:1" s="106" customFormat="1" ht="15.75" hidden="1" customHeight="1" outlineLevel="1">
      <c r="A279"/>
    </row>
    <row r="280" spans="1:1" s="106" customFormat="1" ht="15.75" hidden="1" customHeight="1" outlineLevel="1">
      <c r="A280"/>
    </row>
    <row r="281" spans="1:1" s="106" customFormat="1" ht="15.75" hidden="1" customHeight="1" outlineLevel="1">
      <c r="A281"/>
    </row>
    <row r="282" spans="1:1" s="106" customFormat="1" ht="15.75" hidden="1" customHeight="1" outlineLevel="1">
      <c r="A282"/>
    </row>
    <row r="283" spans="1:1" s="106" customFormat="1" ht="15.75" hidden="1" customHeight="1" outlineLevel="1">
      <c r="A283"/>
    </row>
    <row r="284" spans="1:1" s="106" customFormat="1" ht="15.75" hidden="1" customHeight="1" outlineLevel="1">
      <c r="A284"/>
    </row>
    <row r="285" spans="1:1" s="106" customFormat="1" ht="15.75" hidden="1" customHeight="1" outlineLevel="1">
      <c r="A285"/>
    </row>
    <row r="286" spans="1:1" s="106" customFormat="1" ht="15.75" hidden="1" customHeight="1" outlineLevel="1">
      <c r="A286"/>
    </row>
    <row r="287" spans="1:1" s="106" customFormat="1" ht="15.75" hidden="1" customHeight="1" outlineLevel="1">
      <c r="A287"/>
    </row>
    <row r="288" spans="1:1" s="106" customFormat="1" ht="15.75" hidden="1" customHeight="1" outlineLevel="1">
      <c r="A288"/>
    </row>
    <row r="289" spans="1:1" s="106" customFormat="1" ht="15.75" hidden="1" customHeight="1" outlineLevel="1">
      <c r="A289"/>
    </row>
    <row r="290" spans="1:1" s="106" customFormat="1" ht="15.75" hidden="1" customHeight="1" outlineLevel="1">
      <c r="A290"/>
    </row>
    <row r="291" spans="1:1" s="106" customFormat="1" ht="15.75" hidden="1" customHeight="1" outlineLevel="1">
      <c r="A291"/>
    </row>
    <row r="292" spans="1:1" s="106" customFormat="1" ht="15.75" hidden="1" customHeight="1" outlineLevel="1">
      <c r="A292"/>
    </row>
    <row r="293" spans="1:1" s="106" customFormat="1" ht="15.75" hidden="1" customHeight="1" outlineLevel="1">
      <c r="A293"/>
    </row>
    <row r="294" spans="1:1" s="106" customFormat="1" ht="15.75" hidden="1" customHeight="1" outlineLevel="1">
      <c r="A294"/>
    </row>
    <row r="295" spans="1:1" s="106" customFormat="1" ht="15.75" hidden="1" customHeight="1" outlineLevel="1">
      <c r="A295"/>
    </row>
    <row r="296" spans="1:1" s="106" customFormat="1" ht="15.75" hidden="1" customHeight="1" outlineLevel="1">
      <c r="A296"/>
    </row>
    <row r="297" spans="1:1" s="106" customFormat="1" ht="15.75" hidden="1" customHeight="1" outlineLevel="1">
      <c r="A297"/>
    </row>
    <row r="298" spans="1:1" s="106" customFormat="1" ht="15.75" hidden="1" customHeight="1">
      <c r="A298"/>
    </row>
    <row r="299" spans="1:1" s="106" customFormat="1" ht="15.75" hidden="1" customHeight="1" outlineLevel="1">
      <c r="A299"/>
    </row>
    <row r="300" spans="1:1" s="106" customFormat="1" ht="15.75" hidden="1" customHeight="1" outlineLevel="1">
      <c r="A300"/>
    </row>
    <row r="301" spans="1:1" s="106" customFormat="1" ht="15.75" hidden="1" customHeight="1" outlineLevel="1">
      <c r="A301"/>
    </row>
    <row r="302" spans="1:1" s="106" customFormat="1" ht="15.75" hidden="1" customHeight="1" outlineLevel="1">
      <c r="A302"/>
    </row>
    <row r="303" spans="1:1" s="106" customFormat="1" ht="15.75" hidden="1" customHeight="1" outlineLevel="1">
      <c r="A303"/>
    </row>
    <row r="304" spans="1:1" s="106" customFormat="1" ht="15.75" hidden="1" customHeight="1" outlineLevel="1">
      <c r="A304"/>
    </row>
    <row r="305" spans="1:1" s="106" customFormat="1" ht="15.75" hidden="1" customHeight="1" outlineLevel="1">
      <c r="A305"/>
    </row>
    <row r="306" spans="1:1" s="106" customFormat="1" ht="15.75" hidden="1" customHeight="1" outlineLevel="1">
      <c r="A306"/>
    </row>
    <row r="307" spans="1:1" s="106" customFormat="1" ht="15.75" hidden="1" customHeight="1" outlineLevel="1">
      <c r="A307"/>
    </row>
    <row r="308" spans="1:1" s="106" customFormat="1" ht="15.75" hidden="1" customHeight="1" outlineLevel="1">
      <c r="A308"/>
    </row>
    <row r="309" spans="1:1" s="106" customFormat="1" ht="15.75" hidden="1" customHeight="1" outlineLevel="1">
      <c r="A309"/>
    </row>
    <row r="310" spans="1:1" s="106" customFormat="1" ht="15.75" hidden="1" customHeight="1" outlineLevel="1">
      <c r="A310"/>
    </row>
    <row r="311" spans="1:1" s="106" customFormat="1" ht="15.75" hidden="1" customHeight="1" outlineLevel="1">
      <c r="A311"/>
    </row>
    <row r="312" spans="1:1" s="106" customFormat="1" ht="15.75" hidden="1" customHeight="1" outlineLevel="1">
      <c r="A312"/>
    </row>
    <row r="313" spans="1:1" s="106" customFormat="1" ht="15.75" hidden="1" customHeight="1" outlineLevel="1">
      <c r="A313"/>
    </row>
    <row r="314" spans="1:1" s="106" customFormat="1" ht="15.75" hidden="1" customHeight="1" outlineLevel="1">
      <c r="A314"/>
    </row>
    <row r="315" spans="1:1" s="106" customFormat="1" ht="15.75" hidden="1" customHeight="1" outlineLevel="1">
      <c r="A315"/>
    </row>
    <row r="316" spans="1:1" s="106" customFormat="1" ht="15.75" hidden="1" customHeight="1" outlineLevel="1">
      <c r="A316"/>
    </row>
    <row r="317" spans="1:1" s="106" customFormat="1" ht="15.75" hidden="1" customHeight="1" outlineLevel="1">
      <c r="A317"/>
    </row>
    <row r="318" spans="1:1" s="106" customFormat="1" ht="15.75" hidden="1" customHeight="1" outlineLevel="1">
      <c r="A318"/>
    </row>
    <row r="319" spans="1:1" s="106" customFormat="1" ht="15.75" hidden="1" customHeight="1" outlineLevel="1">
      <c r="A319"/>
    </row>
    <row r="320" spans="1:1" s="106" customFormat="1" ht="15.75" hidden="1" customHeight="1" outlineLevel="1">
      <c r="A320"/>
    </row>
    <row r="321" spans="1:1" s="106" customFormat="1" ht="15.75" hidden="1" customHeight="1" outlineLevel="1">
      <c r="A321"/>
    </row>
    <row r="322" spans="1:1" s="106" customFormat="1" ht="15.75" hidden="1" customHeight="1" outlineLevel="1">
      <c r="A322"/>
    </row>
    <row r="323" spans="1:1" s="106" customFormat="1" ht="15.75" hidden="1" customHeight="1" outlineLevel="1">
      <c r="A323"/>
    </row>
    <row r="324" spans="1:1" s="106" customFormat="1" ht="15.75" hidden="1" customHeight="1">
      <c r="A324"/>
    </row>
    <row r="325" spans="1:1" s="106" customFormat="1" ht="15.75" hidden="1" customHeight="1" outlineLevel="1">
      <c r="A325"/>
    </row>
    <row r="326" spans="1:1" s="106" customFormat="1" ht="15.75" hidden="1" customHeight="1" outlineLevel="1">
      <c r="A326"/>
    </row>
    <row r="327" spans="1:1" s="106" customFormat="1" ht="15.75" hidden="1" customHeight="1" outlineLevel="1">
      <c r="A327"/>
    </row>
    <row r="328" spans="1:1" s="106" customFormat="1" ht="15.75" hidden="1" customHeight="1" outlineLevel="1">
      <c r="A328"/>
    </row>
    <row r="329" spans="1:1" s="106" customFormat="1" ht="15.75" hidden="1" customHeight="1" outlineLevel="1">
      <c r="A329"/>
    </row>
    <row r="330" spans="1:1" s="106" customFormat="1" ht="15.75" hidden="1" customHeight="1" outlineLevel="1">
      <c r="A330"/>
    </row>
    <row r="331" spans="1:1" s="106" customFormat="1" ht="15.75" hidden="1" customHeight="1" outlineLevel="1">
      <c r="A331"/>
    </row>
    <row r="332" spans="1:1" s="106" customFormat="1" ht="15.75" hidden="1" customHeight="1" outlineLevel="1">
      <c r="A332"/>
    </row>
    <row r="333" spans="1:1" s="106" customFormat="1" ht="15.75" hidden="1" customHeight="1" outlineLevel="1">
      <c r="A333"/>
    </row>
    <row r="334" spans="1:1" s="106" customFormat="1" ht="15.75" hidden="1" customHeight="1" outlineLevel="1">
      <c r="A334"/>
    </row>
    <row r="335" spans="1:1" s="106" customFormat="1" ht="15.75" hidden="1" customHeight="1" outlineLevel="1">
      <c r="A335"/>
    </row>
    <row r="336" spans="1:1" s="106" customFormat="1" ht="15.75" hidden="1" customHeight="1" outlineLevel="1">
      <c r="A336"/>
    </row>
    <row r="337" spans="1:1" s="106" customFormat="1" ht="15.75" hidden="1" customHeight="1" outlineLevel="1">
      <c r="A337"/>
    </row>
    <row r="338" spans="1:1" s="106" customFormat="1" ht="15.75" hidden="1" customHeight="1" outlineLevel="1">
      <c r="A338"/>
    </row>
    <row r="339" spans="1:1" s="106" customFormat="1" ht="15.75" hidden="1" customHeight="1" outlineLevel="1">
      <c r="A339"/>
    </row>
    <row r="340" spans="1:1" s="106" customFormat="1" ht="15.75" hidden="1" customHeight="1" outlineLevel="1">
      <c r="A340"/>
    </row>
    <row r="341" spans="1:1" s="106" customFormat="1" ht="15.75" hidden="1" customHeight="1" outlineLevel="1">
      <c r="A341"/>
    </row>
    <row r="342" spans="1:1" s="106" customFormat="1" ht="15.75" hidden="1" customHeight="1" outlineLevel="1">
      <c r="A342"/>
    </row>
    <row r="343" spans="1:1" s="106" customFormat="1" ht="15.75" hidden="1" customHeight="1">
      <c r="A343"/>
    </row>
    <row r="344" spans="1:1" s="106" customFormat="1" ht="15.75" hidden="1" customHeight="1" outlineLevel="1">
      <c r="A344"/>
    </row>
    <row r="345" spans="1:1" s="106" customFormat="1" ht="15.75" hidden="1" customHeight="1" outlineLevel="1">
      <c r="A345"/>
    </row>
    <row r="346" spans="1:1" s="106" customFormat="1" ht="15.75" hidden="1" customHeight="1" outlineLevel="1">
      <c r="A346"/>
    </row>
    <row r="347" spans="1:1" s="106" customFormat="1" ht="15.75" hidden="1" customHeight="1" outlineLevel="1">
      <c r="A347"/>
    </row>
    <row r="348" spans="1:1" s="106" customFormat="1" ht="15.75" hidden="1" customHeight="1" outlineLevel="1">
      <c r="A348"/>
    </row>
    <row r="349" spans="1:1" s="106" customFormat="1" ht="15.75" hidden="1" customHeight="1" outlineLevel="1">
      <c r="A349"/>
    </row>
    <row r="350" spans="1:1" s="106" customFormat="1" ht="15.75" hidden="1" customHeight="1" outlineLevel="1">
      <c r="A350"/>
    </row>
    <row r="351" spans="1:1" s="106" customFormat="1" ht="15.75" hidden="1" customHeight="1">
      <c r="A351"/>
    </row>
    <row r="352" spans="1:1" s="106" customFormat="1" ht="15.75" hidden="1" customHeight="1" outlineLevel="1">
      <c r="A352"/>
    </row>
    <row r="353" spans="1:1" s="106" customFormat="1" ht="15.75" hidden="1" customHeight="1" outlineLevel="1">
      <c r="A353"/>
    </row>
    <row r="354" spans="1:1" s="106" customFormat="1" ht="15.75" hidden="1" customHeight="1" outlineLevel="1">
      <c r="A354"/>
    </row>
    <row r="355" spans="1:1" s="106" customFormat="1" ht="15.75" hidden="1" customHeight="1" outlineLevel="1">
      <c r="A355"/>
    </row>
    <row r="356" spans="1:1" s="106" customFormat="1" ht="15.75" hidden="1" customHeight="1" outlineLevel="1">
      <c r="A356"/>
    </row>
    <row r="357" spans="1:1" s="106" customFormat="1" ht="15.75" hidden="1" customHeight="1" outlineLevel="1">
      <c r="A357"/>
    </row>
    <row r="358" spans="1:1" s="106" customFormat="1" ht="15.75" hidden="1" customHeight="1" outlineLevel="1">
      <c r="A358"/>
    </row>
    <row r="359" spans="1:1" s="106" customFormat="1" ht="15.75" hidden="1" customHeight="1" outlineLevel="1">
      <c r="A359"/>
    </row>
    <row r="360" spans="1:1" s="106" customFormat="1" ht="15.75" hidden="1" customHeight="1" outlineLevel="1">
      <c r="A360"/>
    </row>
    <row r="361" spans="1:1" s="106" customFormat="1" ht="15.75" hidden="1" customHeight="1" outlineLevel="1">
      <c r="A361"/>
    </row>
    <row r="362" spans="1:1" s="106" customFormat="1" ht="15.75" hidden="1" customHeight="1" outlineLevel="1">
      <c r="A362"/>
    </row>
    <row r="363" spans="1:1" s="106" customFormat="1" ht="15.75" hidden="1" customHeight="1" outlineLevel="1">
      <c r="A363"/>
    </row>
    <row r="364" spans="1:1" s="106" customFormat="1" ht="15.75" hidden="1" customHeight="1" outlineLevel="1">
      <c r="A364"/>
    </row>
    <row r="365" spans="1:1" s="106" customFormat="1" ht="15.75" hidden="1" customHeight="1" outlineLevel="1">
      <c r="A365"/>
    </row>
    <row r="366" spans="1:1" s="106" customFormat="1" ht="15.75" hidden="1" customHeight="1" outlineLevel="1">
      <c r="A366"/>
    </row>
    <row r="367" spans="1:1" s="106" customFormat="1" ht="15.75" hidden="1" customHeight="1" outlineLevel="1">
      <c r="A367"/>
    </row>
    <row r="368" spans="1:1" s="106" customFormat="1" ht="15.75" hidden="1" customHeight="1" outlineLevel="1">
      <c r="A368"/>
    </row>
    <row r="369" spans="1:1" s="106" customFormat="1" ht="15.75" hidden="1" customHeight="1" outlineLevel="1">
      <c r="A369"/>
    </row>
    <row r="370" spans="1:1" s="106" customFormat="1" ht="15.75" hidden="1" customHeight="1" outlineLevel="1">
      <c r="A370"/>
    </row>
    <row r="371" spans="1:1" s="106" customFormat="1" ht="15.75" hidden="1" customHeight="1" outlineLevel="1">
      <c r="A371"/>
    </row>
    <row r="372" spans="1:1" s="106" customFormat="1" ht="15.75" hidden="1" customHeight="1" outlineLevel="1">
      <c r="A372"/>
    </row>
    <row r="373" spans="1:1" s="106" customFormat="1" ht="15.75" hidden="1" customHeight="1" outlineLevel="1">
      <c r="A373"/>
    </row>
    <row r="374" spans="1:1" s="106" customFormat="1" ht="15.75" hidden="1" customHeight="1" outlineLevel="1">
      <c r="A374"/>
    </row>
    <row r="375" spans="1:1" s="106" customFormat="1" ht="15.75" hidden="1" customHeight="1" outlineLevel="1">
      <c r="A375"/>
    </row>
    <row r="376" spans="1:1" s="106" customFormat="1" ht="15.75" hidden="1" customHeight="1" outlineLevel="1">
      <c r="A376"/>
    </row>
    <row r="377" spans="1:1" s="106" customFormat="1" ht="15.75" hidden="1" customHeight="1" outlineLevel="1">
      <c r="A377"/>
    </row>
    <row r="378" spans="1:1" s="106" customFormat="1" ht="15.75" hidden="1" customHeight="1" outlineLevel="1">
      <c r="A378"/>
    </row>
    <row r="379" spans="1:1" s="106" customFormat="1" ht="15.75" hidden="1" customHeight="1" outlineLevel="1">
      <c r="A379"/>
    </row>
    <row r="380" spans="1:1" s="106" customFormat="1" ht="15.75" hidden="1" customHeight="1" outlineLevel="1">
      <c r="A380"/>
    </row>
    <row r="381" spans="1:1" s="106" customFormat="1" ht="15.75" hidden="1" customHeight="1" outlineLevel="1">
      <c r="A381"/>
    </row>
    <row r="382" spans="1:1" s="106" customFormat="1" ht="15.75" hidden="1" customHeight="1" outlineLevel="1">
      <c r="A382"/>
    </row>
    <row r="383" spans="1:1" s="106" customFormat="1" ht="15.75" hidden="1" customHeight="1" outlineLevel="1">
      <c r="A383"/>
    </row>
    <row r="384" spans="1:1" s="106" customFormat="1" ht="15.75" hidden="1" customHeight="1" outlineLevel="1">
      <c r="A384"/>
    </row>
    <row r="385" spans="1:1" s="106" customFormat="1" ht="15.75" hidden="1" customHeight="1" outlineLevel="1">
      <c r="A385"/>
    </row>
    <row r="386" spans="1:1" s="106" customFormat="1" ht="15.75" hidden="1" customHeight="1" outlineLevel="1">
      <c r="A386"/>
    </row>
    <row r="387" spans="1:1" s="106" customFormat="1" ht="15.75" hidden="1" customHeight="1" outlineLevel="1">
      <c r="A387"/>
    </row>
    <row r="388" spans="1:1" s="106" customFormat="1" ht="15.75" hidden="1" customHeight="1" outlineLevel="1">
      <c r="A388"/>
    </row>
    <row r="389" spans="1:1" s="106" customFormat="1" ht="15.75" hidden="1" customHeight="1" outlineLevel="1">
      <c r="A389"/>
    </row>
    <row r="390" spans="1:1" s="106" customFormat="1" ht="15.75" hidden="1" customHeight="1" outlineLevel="1">
      <c r="A390"/>
    </row>
    <row r="391" spans="1:1" s="106" customFormat="1" ht="15.75" hidden="1" customHeight="1">
      <c r="A391"/>
    </row>
    <row r="392" spans="1:1" s="106" customFormat="1" ht="15.75" hidden="1" customHeight="1" outlineLevel="1">
      <c r="A392"/>
    </row>
    <row r="393" spans="1:1" s="106" customFormat="1" ht="15.75" hidden="1" customHeight="1" outlineLevel="1">
      <c r="A393"/>
    </row>
    <row r="394" spans="1:1" s="106" customFormat="1" ht="15.75" hidden="1" customHeight="1" outlineLevel="1">
      <c r="A394"/>
    </row>
    <row r="395" spans="1:1" s="106" customFormat="1" ht="15.75" hidden="1" customHeight="1" outlineLevel="1">
      <c r="A395"/>
    </row>
    <row r="396" spans="1:1" s="106" customFormat="1" ht="15.75" hidden="1" customHeight="1" outlineLevel="1">
      <c r="A396"/>
    </row>
    <row r="397" spans="1:1" s="106" customFormat="1" ht="15.75" hidden="1" customHeight="1" outlineLevel="1">
      <c r="A397"/>
    </row>
    <row r="398" spans="1:1" s="106" customFormat="1" ht="15.75" hidden="1" customHeight="1" outlineLevel="1">
      <c r="A398"/>
    </row>
    <row r="399" spans="1:1" s="106" customFormat="1" ht="15.75" hidden="1" customHeight="1" outlineLevel="1">
      <c r="A399"/>
    </row>
    <row r="400" spans="1:1" s="106" customFormat="1" ht="15.75" hidden="1" customHeight="1" outlineLevel="1">
      <c r="A400"/>
    </row>
    <row r="401" spans="1:1" s="106" customFormat="1" ht="15.75" hidden="1" customHeight="1" outlineLevel="1">
      <c r="A401"/>
    </row>
    <row r="402" spans="1:1" s="106" customFormat="1" ht="15.75" hidden="1" customHeight="1" outlineLevel="1">
      <c r="A402"/>
    </row>
    <row r="403" spans="1:1" s="106" customFormat="1" ht="15.75" hidden="1" customHeight="1" outlineLevel="1">
      <c r="A403"/>
    </row>
    <row r="404" spans="1:1" s="106" customFormat="1" ht="15.75" hidden="1" customHeight="1" outlineLevel="1">
      <c r="A404"/>
    </row>
    <row r="405" spans="1:1" s="106" customFormat="1" ht="15.75" hidden="1" customHeight="1" outlineLevel="1">
      <c r="A405"/>
    </row>
    <row r="406" spans="1:1" s="106" customFormat="1" ht="15.75" hidden="1" customHeight="1" outlineLevel="1">
      <c r="A406"/>
    </row>
    <row r="407" spans="1:1" s="106" customFormat="1" ht="15.75" hidden="1" customHeight="1" outlineLevel="1">
      <c r="A407"/>
    </row>
    <row r="408" spans="1:1" s="106" customFormat="1" ht="15.75" hidden="1" customHeight="1" outlineLevel="1">
      <c r="A408"/>
    </row>
    <row r="409" spans="1:1" s="106" customFormat="1" ht="15.75" hidden="1" customHeight="1" outlineLevel="1">
      <c r="A409"/>
    </row>
    <row r="410" spans="1:1" s="106" customFormat="1" ht="15.75" hidden="1" customHeight="1" outlineLevel="1">
      <c r="A410"/>
    </row>
    <row r="411" spans="1:1" s="106" customFormat="1" ht="15.75" hidden="1" customHeight="1" outlineLevel="1">
      <c r="A411"/>
    </row>
    <row r="412" spans="1:1" s="106" customFormat="1" ht="15.75" hidden="1" customHeight="1" outlineLevel="1">
      <c r="A412"/>
    </row>
    <row r="413" spans="1:1" s="106" customFormat="1" ht="15.75" hidden="1" customHeight="1" outlineLevel="1">
      <c r="A413"/>
    </row>
    <row r="414" spans="1:1" s="106" customFormat="1" ht="15.75" hidden="1" customHeight="1" outlineLevel="1">
      <c r="A414"/>
    </row>
    <row r="415" spans="1:1" s="106" customFormat="1" ht="15.75" hidden="1" customHeight="1" outlineLevel="1">
      <c r="A415"/>
    </row>
    <row r="416" spans="1:1" s="106" customFormat="1" ht="15.75" hidden="1" customHeight="1" outlineLevel="1">
      <c r="A416"/>
    </row>
    <row r="417" spans="1:1" s="106" customFormat="1" ht="15.75" hidden="1" customHeight="1" outlineLevel="1">
      <c r="A417"/>
    </row>
    <row r="418" spans="1:1" s="106" customFormat="1" ht="15.75" hidden="1" customHeight="1" outlineLevel="1">
      <c r="A418"/>
    </row>
    <row r="419" spans="1:1" s="106" customFormat="1" ht="15.75" hidden="1" customHeight="1" outlineLevel="1">
      <c r="A419"/>
    </row>
    <row r="420" spans="1:1" s="106" customFormat="1" ht="15.75" hidden="1" customHeight="1" outlineLevel="1">
      <c r="A420"/>
    </row>
    <row r="421" spans="1:1" s="106" customFormat="1" ht="15.75" hidden="1" customHeight="1" outlineLevel="1">
      <c r="A421"/>
    </row>
    <row r="422" spans="1:1" s="106" customFormat="1" ht="15.75" hidden="1" customHeight="1" outlineLevel="1">
      <c r="A422"/>
    </row>
    <row r="423" spans="1:1" s="106" customFormat="1" ht="15.75" hidden="1" customHeight="1" outlineLevel="1">
      <c r="A423"/>
    </row>
    <row r="424" spans="1:1" s="106" customFormat="1" ht="15.75" hidden="1" customHeight="1" outlineLevel="1">
      <c r="A424"/>
    </row>
    <row r="425" spans="1:1" s="106" customFormat="1" ht="15.75" hidden="1" customHeight="1" outlineLevel="1">
      <c r="A425"/>
    </row>
    <row r="426" spans="1:1" s="106" customFormat="1" ht="15.75" hidden="1" customHeight="1" outlineLevel="1">
      <c r="A426"/>
    </row>
    <row r="427" spans="1:1" s="106" customFormat="1" ht="15.75" hidden="1" customHeight="1" outlineLevel="1">
      <c r="A427"/>
    </row>
    <row r="428" spans="1:1" s="106" customFormat="1" ht="15.75" hidden="1" customHeight="1" outlineLevel="1">
      <c r="A428"/>
    </row>
    <row r="429" spans="1:1" s="106" customFormat="1" ht="15.75" hidden="1" customHeight="1" outlineLevel="1">
      <c r="A429"/>
    </row>
    <row r="430" spans="1:1" s="106" customFormat="1" ht="15.75" hidden="1" customHeight="1">
      <c r="A430"/>
    </row>
    <row r="431" spans="1:1" s="106" customFormat="1" ht="15.75" hidden="1" customHeight="1" outlineLevel="1">
      <c r="A431"/>
    </row>
    <row r="432" spans="1:1" s="106" customFormat="1" ht="15.75" hidden="1" customHeight="1" outlineLevel="1">
      <c r="A432"/>
    </row>
    <row r="433" spans="1:1" s="106" customFormat="1" ht="15.75" hidden="1" customHeight="1" outlineLevel="1">
      <c r="A433"/>
    </row>
    <row r="434" spans="1:1" s="106" customFormat="1" ht="15.75" hidden="1" customHeight="1" outlineLevel="1">
      <c r="A434"/>
    </row>
    <row r="435" spans="1:1" s="106" customFormat="1" ht="15.75" hidden="1" customHeight="1" outlineLevel="1">
      <c r="A435"/>
    </row>
    <row r="436" spans="1:1" s="106" customFormat="1" ht="15.75" hidden="1" customHeight="1" outlineLevel="1">
      <c r="A436"/>
    </row>
    <row r="437" spans="1:1" s="106" customFormat="1" ht="15.75" hidden="1" customHeight="1" outlineLevel="1">
      <c r="A437"/>
    </row>
    <row r="438" spans="1:1" s="106" customFormat="1" ht="15.75" hidden="1" customHeight="1" outlineLevel="1">
      <c r="A438"/>
    </row>
    <row r="439" spans="1:1" s="106" customFormat="1" ht="15.75" hidden="1" customHeight="1" outlineLevel="1">
      <c r="A439"/>
    </row>
    <row r="440" spans="1:1" s="106" customFormat="1" ht="15.75" hidden="1" customHeight="1" outlineLevel="1">
      <c r="A440"/>
    </row>
    <row r="441" spans="1:1" s="106" customFormat="1" ht="15.75" hidden="1" customHeight="1" outlineLevel="1">
      <c r="A441"/>
    </row>
    <row r="442" spans="1:1" s="106" customFormat="1" ht="15.75" hidden="1" customHeight="1" outlineLevel="1">
      <c r="A442"/>
    </row>
    <row r="443" spans="1:1" s="106" customFormat="1" ht="15.75" hidden="1" customHeight="1" outlineLevel="1">
      <c r="A443"/>
    </row>
    <row r="444" spans="1:1" s="106" customFormat="1" ht="15.75" hidden="1" customHeight="1" outlineLevel="1">
      <c r="A444"/>
    </row>
    <row r="445" spans="1:1" s="106" customFormat="1" ht="15.75" hidden="1" customHeight="1" outlineLevel="1">
      <c r="A445"/>
    </row>
    <row r="446" spans="1:1" s="106" customFormat="1" ht="15.75" hidden="1" customHeight="1" outlineLevel="1">
      <c r="A446"/>
    </row>
    <row r="447" spans="1:1" s="106" customFormat="1" ht="15.75" hidden="1" customHeight="1" outlineLevel="1">
      <c r="A447"/>
    </row>
    <row r="448" spans="1:1" s="106" customFormat="1" ht="15.75" hidden="1" customHeight="1" outlineLevel="1">
      <c r="A448"/>
    </row>
    <row r="449" spans="1:1" s="106" customFormat="1" ht="15.75" hidden="1" customHeight="1" outlineLevel="1">
      <c r="A449"/>
    </row>
    <row r="450" spans="1:1" s="106" customFormat="1" ht="15.75" hidden="1" customHeight="1" outlineLevel="1">
      <c r="A450"/>
    </row>
    <row r="451" spans="1:1" s="106" customFormat="1" ht="15.75" hidden="1" customHeight="1" outlineLevel="1">
      <c r="A451"/>
    </row>
    <row r="452" spans="1:1" s="106" customFormat="1" ht="15.75" hidden="1" customHeight="1" outlineLevel="1">
      <c r="A452"/>
    </row>
    <row r="453" spans="1:1" s="106" customFormat="1" ht="15.75" hidden="1" customHeight="1" outlineLevel="1">
      <c r="A453"/>
    </row>
    <row r="454" spans="1:1" s="106" customFormat="1" ht="15.75" hidden="1" customHeight="1" outlineLevel="1">
      <c r="A454"/>
    </row>
    <row r="455" spans="1:1" s="106" customFormat="1" ht="15.75" hidden="1" customHeight="1" outlineLevel="1">
      <c r="A455"/>
    </row>
    <row r="456" spans="1:1" s="106" customFormat="1" ht="15.75" hidden="1" customHeight="1" outlineLevel="1">
      <c r="A456"/>
    </row>
    <row r="457" spans="1:1" s="106" customFormat="1" ht="15.75" hidden="1" customHeight="1">
      <c r="A457"/>
    </row>
    <row r="458" spans="1:1" s="106" customFormat="1" ht="15.75" hidden="1" customHeight="1" outlineLevel="1">
      <c r="A458"/>
    </row>
    <row r="459" spans="1:1" s="106" customFormat="1" ht="15.75" hidden="1" customHeight="1" outlineLevel="1">
      <c r="A459"/>
    </row>
    <row r="460" spans="1:1" s="106" customFormat="1" ht="15.75" hidden="1" customHeight="1" outlineLevel="1">
      <c r="A460"/>
    </row>
    <row r="461" spans="1:1" s="106" customFormat="1" ht="15.75" hidden="1" customHeight="1" outlineLevel="1">
      <c r="A461"/>
    </row>
    <row r="462" spans="1:1" s="106" customFormat="1" ht="15.75" hidden="1" customHeight="1" outlineLevel="1">
      <c r="A462"/>
    </row>
    <row r="463" spans="1:1" s="106" customFormat="1" ht="15.75" hidden="1" customHeight="1" outlineLevel="1">
      <c r="A463"/>
    </row>
    <row r="464" spans="1:1" s="106" customFormat="1" ht="15.75" hidden="1" customHeight="1" outlineLevel="1">
      <c r="A464"/>
    </row>
    <row r="465" spans="1:1" s="106" customFormat="1" ht="15.75" hidden="1" customHeight="1" outlineLevel="1">
      <c r="A465"/>
    </row>
    <row r="466" spans="1:1" s="106" customFormat="1" ht="15.75" hidden="1" customHeight="1" outlineLevel="1">
      <c r="A466"/>
    </row>
    <row r="467" spans="1:1" s="106" customFormat="1" ht="15.75" hidden="1" customHeight="1" outlineLevel="1">
      <c r="A467"/>
    </row>
    <row r="468" spans="1:1" s="106" customFormat="1" ht="15.75" hidden="1" customHeight="1" outlineLevel="1">
      <c r="A468"/>
    </row>
    <row r="469" spans="1:1" s="106" customFormat="1" ht="15.75" hidden="1" customHeight="1" outlineLevel="1">
      <c r="A469"/>
    </row>
    <row r="470" spans="1:1" s="106" customFormat="1" ht="15.75" hidden="1" customHeight="1" outlineLevel="1">
      <c r="A470"/>
    </row>
    <row r="471" spans="1:1" s="106" customFormat="1" ht="15.75" hidden="1" customHeight="1" outlineLevel="1">
      <c r="A471"/>
    </row>
    <row r="472" spans="1:1" s="106" customFormat="1" ht="15.75" hidden="1" customHeight="1" outlineLevel="1">
      <c r="A472"/>
    </row>
    <row r="473" spans="1:1" s="106" customFormat="1" ht="15.75" hidden="1" customHeight="1" outlineLevel="1">
      <c r="A473"/>
    </row>
    <row r="474" spans="1:1" s="106" customFormat="1" ht="15.75" hidden="1" customHeight="1" outlineLevel="1">
      <c r="A474"/>
    </row>
    <row r="475" spans="1:1" s="106" customFormat="1" ht="15.75" hidden="1" customHeight="1" outlineLevel="1">
      <c r="A475"/>
    </row>
    <row r="476" spans="1:1" s="106" customFormat="1" ht="15.75" hidden="1" customHeight="1" outlineLevel="1">
      <c r="A476"/>
    </row>
    <row r="477" spans="1:1" s="106" customFormat="1" ht="15.75" hidden="1" customHeight="1" outlineLevel="1">
      <c r="A477"/>
    </row>
    <row r="478" spans="1:1" s="106" customFormat="1" ht="15.75" hidden="1" customHeight="1" outlineLevel="1">
      <c r="A478"/>
    </row>
    <row r="479" spans="1:1" s="106" customFormat="1" ht="15.75" hidden="1" customHeight="1" outlineLevel="1">
      <c r="A479"/>
    </row>
    <row r="480" spans="1:1" s="106" customFormat="1" ht="15.75" hidden="1" customHeight="1" outlineLevel="1">
      <c r="A480"/>
    </row>
    <row r="481" spans="1:1" s="106" customFormat="1" ht="15.75" hidden="1" customHeight="1" outlineLevel="1">
      <c r="A481"/>
    </row>
    <row r="482" spans="1:1" s="106" customFormat="1" ht="15.75" hidden="1" customHeight="1" outlineLevel="1">
      <c r="A482"/>
    </row>
    <row r="483" spans="1:1" s="106" customFormat="1" ht="15.75" hidden="1" customHeight="1" outlineLevel="1">
      <c r="A483"/>
    </row>
    <row r="484" spans="1:1" s="106" customFormat="1" ht="15.75" hidden="1" customHeight="1">
      <c r="A484"/>
    </row>
    <row r="485" spans="1:1" s="106" customFormat="1" ht="15.75" hidden="1" customHeight="1" outlineLevel="1">
      <c r="A485"/>
    </row>
    <row r="486" spans="1:1" s="106" customFormat="1" ht="15.75" hidden="1" customHeight="1" outlineLevel="1">
      <c r="A486"/>
    </row>
    <row r="487" spans="1:1" s="106" customFormat="1" ht="15.75" hidden="1" customHeight="1" outlineLevel="1">
      <c r="A487"/>
    </row>
    <row r="488" spans="1:1" s="106" customFormat="1" ht="15.75" hidden="1" customHeight="1" outlineLevel="1">
      <c r="A488"/>
    </row>
    <row r="489" spans="1:1" s="106" customFormat="1" ht="15.75" hidden="1" customHeight="1" outlineLevel="1">
      <c r="A489"/>
    </row>
    <row r="490" spans="1:1" s="106" customFormat="1" ht="15.75" hidden="1" customHeight="1" outlineLevel="1">
      <c r="A490"/>
    </row>
    <row r="491" spans="1:1" s="106" customFormat="1" ht="15.75" hidden="1" customHeight="1" outlineLevel="1">
      <c r="A491"/>
    </row>
    <row r="492" spans="1:1" s="106" customFormat="1" ht="15.75" hidden="1" customHeight="1" outlineLevel="1">
      <c r="A492"/>
    </row>
    <row r="493" spans="1:1" s="106" customFormat="1" ht="15.75" hidden="1" customHeight="1" outlineLevel="1">
      <c r="A493"/>
    </row>
    <row r="494" spans="1:1" s="106" customFormat="1" ht="15.75" hidden="1" customHeight="1" outlineLevel="1">
      <c r="A494"/>
    </row>
    <row r="495" spans="1:1" s="106" customFormat="1" ht="15.75" hidden="1" customHeight="1" outlineLevel="1">
      <c r="A495"/>
    </row>
    <row r="496" spans="1:1" s="106" customFormat="1" ht="15.75" hidden="1" customHeight="1" outlineLevel="1">
      <c r="A496"/>
    </row>
    <row r="497" spans="1:1" s="106" customFormat="1" ht="15.75" hidden="1" customHeight="1" outlineLevel="1">
      <c r="A497"/>
    </row>
    <row r="498" spans="1:1" s="106" customFormat="1" ht="15.75" hidden="1" customHeight="1" outlineLevel="1">
      <c r="A498"/>
    </row>
    <row r="499" spans="1:1" s="106" customFormat="1" ht="15.75" hidden="1" customHeight="1" outlineLevel="1">
      <c r="A499"/>
    </row>
    <row r="500" spans="1:1" s="106" customFormat="1" ht="15.75" hidden="1" customHeight="1" outlineLevel="1">
      <c r="A500"/>
    </row>
    <row r="501" spans="1:1" s="106" customFormat="1" ht="15.75" hidden="1" customHeight="1" outlineLevel="1">
      <c r="A501"/>
    </row>
    <row r="502" spans="1:1" s="106" customFormat="1" ht="15.75" hidden="1" customHeight="1" outlineLevel="1">
      <c r="A502"/>
    </row>
    <row r="503" spans="1:1" s="106" customFormat="1" ht="15.75" hidden="1" customHeight="1" outlineLevel="1">
      <c r="A503"/>
    </row>
    <row r="504" spans="1:1" s="106" customFormat="1" ht="15.75" hidden="1" customHeight="1" outlineLevel="1">
      <c r="A504"/>
    </row>
    <row r="505" spans="1:1" s="106" customFormat="1" ht="15.75" hidden="1" customHeight="1" outlineLevel="1">
      <c r="A505"/>
    </row>
    <row r="506" spans="1:1" s="106" customFormat="1" ht="15.75" hidden="1" customHeight="1" outlineLevel="1">
      <c r="A506"/>
    </row>
    <row r="507" spans="1:1" s="106" customFormat="1" ht="15.75" hidden="1" customHeight="1" outlineLevel="1">
      <c r="A507"/>
    </row>
    <row r="508" spans="1:1" s="106" customFormat="1" ht="15.75" hidden="1" customHeight="1" outlineLevel="1">
      <c r="A508"/>
    </row>
    <row r="509" spans="1:1" s="106" customFormat="1" ht="15.75" hidden="1" customHeight="1" outlineLevel="1">
      <c r="A509"/>
    </row>
    <row r="510" spans="1:1" s="106" customFormat="1" ht="15.75" hidden="1" customHeight="1" outlineLevel="1">
      <c r="A510"/>
    </row>
    <row r="511" spans="1:1" s="106" customFormat="1" ht="15.75" hidden="1" customHeight="1" outlineLevel="1">
      <c r="A511"/>
    </row>
    <row r="512" spans="1:1" s="106" customFormat="1" ht="15.75" hidden="1" customHeight="1" outlineLevel="1">
      <c r="A512"/>
    </row>
    <row r="513" spans="1:1" s="106" customFormat="1" ht="15.75" hidden="1" customHeight="1">
      <c r="A513"/>
    </row>
    <row r="514" spans="1:1" s="106" customFormat="1" ht="15.75" hidden="1" customHeight="1" outlineLevel="1">
      <c r="A514"/>
    </row>
    <row r="515" spans="1:1" s="106" customFormat="1" ht="15.75" hidden="1" customHeight="1" outlineLevel="1">
      <c r="A515"/>
    </row>
    <row r="516" spans="1:1" s="106" customFormat="1" ht="15.75" hidden="1" customHeight="1" outlineLevel="1">
      <c r="A516"/>
    </row>
    <row r="517" spans="1:1" s="106" customFormat="1" ht="15.75" hidden="1" customHeight="1" outlineLevel="1">
      <c r="A517"/>
    </row>
    <row r="518" spans="1:1" s="106" customFormat="1" ht="15.75" hidden="1" customHeight="1" outlineLevel="1">
      <c r="A518"/>
    </row>
    <row r="519" spans="1:1" s="106" customFormat="1" ht="15.75" hidden="1" customHeight="1" outlineLevel="1">
      <c r="A519"/>
    </row>
    <row r="520" spans="1:1" s="106" customFormat="1" ht="15.75" hidden="1" customHeight="1" outlineLevel="1">
      <c r="A520"/>
    </row>
    <row r="521" spans="1:1" s="106" customFormat="1" ht="15.75" hidden="1" customHeight="1" outlineLevel="1">
      <c r="A521"/>
    </row>
    <row r="522" spans="1:1" s="106" customFormat="1" ht="15.75" hidden="1" customHeight="1" outlineLevel="1">
      <c r="A522"/>
    </row>
    <row r="523" spans="1:1" s="106" customFormat="1" ht="15.75" hidden="1" customHeight="1" outlineLevel="1">
      <c r="A523"/>
    </row>
    <row r="524" spans="1:1" s="106" customFormat="1" ht="15.75" hidden="1" customHeight="1" outlineLevel="1">
      <c r="A524"/>
    </row>
    <row r="525" spans="1:1" s="106" customFormat="1" ht="15.75" hidden="1" customHeight="1" outlineLevel="1">
      <c r="A525"/>
    </row>
    <row r="526" spans="1:1" s="106" customFormat="1" ht="15.75" hidden="1" customHeight="1" outlineLevel="1">
      <c r="A526"/>
    </row>
    <row r="527" spans="1:1" s="106" customFormat="1" ht="15.75" hidden="1" customHeight="1" outlineLevel="1">
      <c r="A527"/>
    </row>
    <row r="528" spans="1:1" s="106" customFormat="1" ht="15.75" hidden="1" customHeight="1" outlineLevel="1">
      <c r="A528"/>
    </row>
    <row r="529" spans="1:1" s="106" customFormat="1" ht="15.75" hidden="1" customHeight="1" outlineLevel="1">
      <c r="A529"/>
    </row>
    <row r="530" spans="1:1" s="106" customFormat="1" ht="15.75" hidden="1" customHeight="1" outlineLevel="1">
      <c r="A530"/>
    </row>
    <row r="531" spans="1:1" s="106" customFormat="1" ht="15.75" hidden="1" customHeight="1" outlineLevel="1">
      <c r="A531"/>
    </row>
    <row r="532" spans="1:1" s="106" customFormat="1" ht="15.75" hidden="1" customHeight="1" outlineLevel="1">
      <c r="A532"/>
    </row>
    <row r="533" spans="1:1" s="106" customFormat="1" ht="15.75" hidden="1" customHeight="1" outlineLevel="1">
      <c r="A533"/>
    </row>
    <row r="534" spans="1:1" s="106" customFormat="1" ht="15.75" hidden="1" customHeight="1" outlineLevel="1">
      <c r="A534"/>
    </row>
    <row r="535" spans="1:1" s="106" customFormat="1" ht="15.75" hidden="1" customHeight="1" outlineLevel="1">
      <c r="A535"/>
    </row>
    <row r="536" spans="1:1" s="106" customFormat="1" ht="15.75" hidden="1" customHeight="1" outlineLevel="1">
      <c r="A536"/>
    </row>
    <row r="537" spans="1:1" s="106" customFormat="1" ht="15.75" hidden="1" customHeight="1" outlineLevel="1">
      <c r="A537"/>
    </row>
    <row r="538" spans="1:1" s="106" customFormat="1" ht="15.75" hidden="1" customHeight="1" outlineLevel="1">
      <c r="A538"/>
    </row>
    <row r="539" spans="1:1" s="106" customFormat="1" ht="15.75" hidden="1" customHeight="1" outlineLevel="1">
      <c r="A539"/>
    </row>
    <row r="540" spans="1:1" s="106" customFormat="1" ht="15.75" hidden="1" customHeight="1" outlineLevel="1">
      <c r="A540"/>
    </row>
    <row r="541" spans="1:1" s="106" customFormat="1" ht="15.75" hidden="1" customHeight="1" outlineLevel="1">
      <c r="A541"/>
    </row>
    <row r="542" spans="1:1" s="106" customFormat="1" ht="15.75" hidden="1" customHeight="1">
      <c r="A542"/>
    </row>
    <row r="543" spans="1:1" s="106" customFormat="1" ht="15.75" hidden="1" customHeight="1" outlineLevel="1">
      <c r="A543"/>
    </row>
    <row r="544" spans="1:1" s="106" customFormat="1" ht="15.75" hidden="1" customHeight="1" outlineLevel="1">
      <c r="A544"/>
    </row>
    <row r="545" spans="1:1" s="106" customFormat="1" ht="15.75" hidden="1" customHeight="1" outlineLevel="1">
      <c r="A545"/>
    </row>
    <row r="546" spans="1:1" s="106" customFormat="1" ht="15.75" hidden="1" customHeight="1" outlineLevel="1">
      <c r="A546"/>
    </row>
    <row r="547" spans="1:1" s="106" customFormat="1" ht="15.75" hidden="1" customHeight="1" outlineLevel="1">
      <c r="A547"/>
    </row>
    <row r="548" spans="1:1" s="106" customFormat="1" ht="15.75" hidden="1" customHeight="1" outlineLevel="1">
      <c r="A548"/>
    </row>
    <row r="549" spans="1:1" s="106" customFormat="1" ht="15.75" hidden="1" customHeight="1" outlineLevel="1">
      <c r="A549"/>
    </row>
    <row r="550" spans="1:1" s="106" customFormat="1" ht="15.75" hidden="1" customHeight="1" outlineLevel="1">
      <c r="A550"/>
    </row>
    <row r="551" spans="1:1" s="106" customFormat="1" ht="15.75" hidden="1" customHeight="1" outlineLevel="1">
      <c r="A551"/>
    </row>
    <row r="552" spans="1:1" s="106" customFormat="1" ht="15.75" hidden="1" customHeight="1" outlineLevel="1">
      <c r="A552"/>
    </row>
    <row r="553" spans="1:1" s="106" customFormat="1" ht="15.75" hidden="1" customHeight="1" outlineLevel="1">
      <c r="A553"/>
    </row>
    <row r="554" spans="1:1" s="106" customFormat="1" ht="15.75" hidden="1" customHeight="1" outlineLevel="1">
      <c r="A554"/>
    </row>
    <row r="555" spans="1:1" s="106" customFormat="1" ht="15.75" hidden="1" customHeight="1" outlineLevel="1">
      <c r="A555"/>
    </row>
    <row r="556" spans="1:1" s="106" customFormat="1" ht="15.75" hidden="1" customHeight="1" outlineLevel="1">
      <c r="A556"/>
    </row>
    <row r="557" spans="1:1" s="106" customFormat="1" ht="15.75" hidden="1" customHeight="1" outlineLevel="1">
      <c r="A557"/>
    </row>
    <row r="558" spans="1:1" s="106" customFormat="1" ht="15.75" hidden="1" customHeight="1" outlineLevel="1">
      <c r="A558"/>
    </row>
    <row r="559" spans="1:1" s="106" customFormat="1" ht="15.75" hidden="1" customHeight="1" outlineLevel="1">
      <c r="A559"/>
    </row>
    <row r="560" spans="1:1" s="106" customFormat="1" ht="15.75" hidden="1" customHeight="1" outlineLevel="1">
      <c r="A560"/>
    </row>
    <row r="561" spans="1:1" s="106" customFormat="1" ht="15.75" hidden="1" customHeight="1" outlineLevel="1">
      <c r="A561"/>
    </row>
    <row r="562" spans="1:1" s="106" customFormat="1" ht="15.75" hidden="1" customHeight="1" outlineLevel="1">
      <c r="A562"/>
    </row>
    <row r="563" spans="1:1" s="106" customFormat="1" ht="15.75" hidden="1" customHeight="1" outlineLevel="1">
      <c r="A563"/>
    </row>
    <row r="564" spans="1:1" s="106" customFormat="1" ht="15.75" hidden="1" customHeight="1" outlineLevel="1">
      <c r="A564"/>
    </row>
    <row r="565" spans="1:1" s="106" customFormat="1" ht="15.75" hidden="1" customHeight="1" outlineLevel="1">
      <c r="A565"/>
    </row>
    <row r="566" spans="1:1" s="106" customFormat="1" ht="15.75" hidden="1" customHeight="1" outlineLevel="1">
      <c r="A566"/>
    </row>
    <row r="567" spans="1:1" s="106" customFormat="1" ht="15.75" hidden="1" customHeight="1" outlineLevel="1">
      <c r="A567"/>
    </row>
    <row r="568" spans="1:1" s="106" customFormat="1" ht="15.75" hidden="1" customHeight="1" outlineLevel="1">
      <c r="A568"/>
    </row>
    <row r="569" spans="1:1" s="106" customFormat="1" ht="15.75" hidden="1" customHeight="1" outlineLevel="1">
      <c r="A569"/>
    </row>
    <row r="570" spans="1:1" s="106" customFormat="1" ht="15.75" hidden="1" customHeight="1" outlineLevel="1">
      <c r="A570"/>
    </row>
    <row r="571" spans="1:1" s="106" customFormat="1" ht="15.75" hidden="1" customHeight="1" outlineLevel="1">
      <c r="A571"/>
    </row>
    <row r="572" spans="1:1" s="106" customFormat="1" ht="15.75" hidden="1" customHeight="1" outlineLevel="1">
      <c r="A572"/>
    </row>
    <row r="573" spans="1:1" s="106" customFormat="1" ht="15.75" hidden="1" customHeight="1" outlineLevel="1">
      <c r="A573"/>
    </row>
    <row r="574" spans="1:1" s="106" customFormat="1" ht="15.75" hidden="1" customHeight="1" outlineLevel="1">
      <c r="A574"/>
    </row>
    <row r="575" spans="1:1" s="106" customFormat="1" ht="15.75" hidden="1" customHeight="1" outlineLevel="1">
      <c r="A575"/>
    </row>
    <row r="576" spans="1:1" s="106" customFormat="1" ht="15.75" hidden="1" customHeight="1" outlineLevel="1">
      <c r="A576"/>
    </row>
    <row r="577" spans="1:1" s="106" customFormat="1" ht="15.75" hidden="1" customHeight="1" outlineLevel="1">
      <c r="A577"/>
    </row>
    <row r="578" spans="1:1" s="106" customFormat="1" ht="15.75" hidden="1" customHeight="1" outlineLevel="1">
      <c r="A578"/>
    </row>
    <row r="579" spans="1:1" s="106" customFormat="1" ht="15.75" hidden="1" customHeight="1" outlineLevel="1">
      <c r="A579"/>
    </row>
    <row r="580" spans="1:1" s="106" customFormat="1" ht="15.75" hidden="1" customHeight="1" outlineLevel="1">
      <c r="A580"/>
    </row>
    <row r="581" spans="1:1" s="106" customFormat="1" ht="15.75" hidden="1" customHeight="1" outlineLevel="1">
      <c r="A581"/>
    </row>
    <row r="582" spans="1:1" s="106" customFormat="1" ht="15.75" hidden="1" customHeight="1" outlineLevel="1">
      <c r="A582"/>
    </row>
    <row r="583" spans="1:1" s="106" customFormat="1" ht="15.75" hidden="1" customHeight="1" outlineLevel="1">
      <c r="A583"/>
    </row>
    <row r="584" spans="1:1" s="106" customFormat="1" ht="15.75" hidden="1" customHeight="1">
      <c r="A584"/>
    </row>
    <row r="585" spans="1:1" s="106" customFormat="1" ht="15.75" hidden="1" customHeight="1" outlineLevel="1">
      <c r="A585"/>
    </row>
    <row r="586" spans="1:1" s="106" customFormat="1" ht="15.75" hidden="1" customHeight="1" outlineLevel="1">
      <c r="A586"/>
    </row>
    <row r="587" spans="1:1" s="106" customFormat="1" ht="15.75" hidden="1" customHeight="1" outlineLevel="1">
      <c r="A587"/>
    </row>
    <row r="588" spans="1:1" s="106" customFormat="1" ht="15.75" hidden="1" customHeight="1" outlineLevel="1">
      <c r="A588"/>
    </row>
    <row r="589" spans="1:1" s="106" customFormat="1" ht="15.75" hidden="1" customHeight="1" outlineLevel="1">
      <c r="A589"/>
    </row>
    <row r="590" spans="1:1" s="106" customFormat="1" ht="15.75" hidden="1" customHeight="1" outlineLevel="1">
      <c r="A590"/>
    </row>
    <row r="591" spans="1:1" s="106" customFormat="1" ht="15.75" hidden="1" customHeight="1" outlineLevel="1">
      <c r="A591"/>
    </row>
    <row r="592" spans="1:1" s="106" customFormat="1" ht="15.75" hidden="1" customHeight="1" outlineLevel="1">
      <c r="A592"/>
    </row>
    <row r="593" spans="1:1" s="106" customFormat="1" ht="15.75" hidden="1" customHeight="1" outlineLevel="1">
      <c r="A593"/>
    </row>
    <row r="594" spans="1:1" s="106" customFormat="1" ht="15.75" hidden="1" customHeight="1" outlineLevel="1">
      <c r="A594"/>
    </row>
    <row r="595" spans="1:1" s="106" customFormat="1" ht="15.75" hidden="1" customHeight="1" outlineLevel="1">
      <c r="A595"/>
    </row>
    <row r="596" spans="1:1" s="106" customFormat="1" ht="15.75" hidden="1" customHeight="1" outlineLevel="1">
      <c r="A596"/>
    </row>
    <row r="597" spans="1:1" s="106" customFormat="1" ht="15.75" hidden="1" customHeight="1" outlineLevel="1">
      <c r="A597"/>
    </row>
    <row r="598" spans="1:1" s="106" customFormat="1" ht="15.75" hidden="1" customHeight="1" outlineLevel="1">
      <c r="A598"/>
    </row>
    <row r="599" spans="1:1" s="106" customFormat="1" ht="15.75" hidden="1" customHeight="1" outlineLevel="1">
      <c r="A599"/>
    </row>
    <row r="600" spans="1:1" s="106" customFormat="1" ht="15.75" hidden="1" customHeight="1" outlineLevel="1">
      <c r="A600"/>
    </row>
    <row r="601" spans="1:1" s="106" customFormat="1" ht="15.75" hidden="1" customHeight="1" outlineLevel="1">
      <c r="A601"/>
    </row>
    <row r="602" spans="1:1" s="106" customFormat="1" ht="15.75" hidden="1" customHeight="1" outlineLevel="1">
      <c r="A602"/>
    </row>
    <row r="603" spans="1:1" s="106" customFormat="1" ht="15.75" hidden="1" customHeight="1" outlineLevel="1">
      <c r="A603"/>
    </row>
    <row r="604" spans="1:1" s="106" customFormat="1" ht="15.75" hidden="1" customHeight="1" outlineLevel="1">
      <c r="A604"/>
    </row>
    <row r="605" spans="1:1" s="106" customFormat="1" ht="15.75" hidden="1" customHeight="1" outlineLevel="1">
      <c r="A605"/>
    </row>
    <row r="606" spans="1:1" s="106" customFormat="1" ht="15.75" hidden="1" customHeight="1" outlineLevel="1">
      <c r="A606"/>
    </row>
    <row r="607" spans="1:1" s="106" customFormat="1" ht="15.75" hidden="1" customHeight="1" outlineLevel="1">
      <c r="A607"/>
    </row>
    <row r="608" spans="1:1" s="106" customFormat="1" ht="15.75" hidden="1" customHeight="1" outlineLevel="1">
      <c r="A608"/>
    </row>
    <row r="609" spans="1:6" s="106" customFormat="1" ht="15.75" hidden="1" customHeight="1" outlineLevel="1">
      <c r="A609"/>
    </row>
    <row r="610" spans="1:6" s="106" customFormat="1" ht="15.75" hidden="1" customHeight="1" outlineLevel="1">
      <c r="A610"/>
    </row>
    <row r="611" spans="1:6" s="106" customFormat="1" ht="15.75" hidden="1" customHeight="1" outlineLevel="1">
      <c r="A611"/>
    </row>
    <row r="612" spans="1:6" s="106" customFormat="1" ht="15.75" hidden="1" customHeight="1" outlineLevel="1">
      <c r="A612"/>
    </row>
    <row r="613" spans="1:6" s="106" customFormat="1" ht="15.75" hidden="1" customHeight="1" outlineLevel="1">
      <c r="A613"/>
    </row>
    <row r="614" spans="1:6" s="106" customFormat="1" ht="15.75" hidden="1" customHeight="1" outlineLevel="1">
      <c r="A614"/>
    </row>
    <row r="615" spans="1:6" s="106" customFormat="1" ht="15.75" hidden="1" customHeight="1" outlineLevel="1">
      <c r="A615"/>
    </row>
    <row r="616" spans="1:6" s="106" customFormat="1" ht="15.75" hidden="1" customHeight="1" outlineLevel="1">
      <c r="A616"/>
    </row>
    <row r="617" spans="1:6" s="106" customFormat="1" ht="15.75" hidden="1" customHeight="1" outlineLevel="1">
      <c r="A617"/>
    </row>
    <row r="618" spans="1:6" s="106" customFormat="1" ht="15.75" customHeight="1" outlineLevel="1">
      <c r="A618"/>
    </row>
    <row r="619" spans="1:6" ht="15.75" hidden="1" customHeight="1" outlineLevel="1">
      <c r="C619" s="114" t="s">
        <v>3763</v>
      </c>
      <c r="D619" s="115"/>
      <c r="E619" s="115"/>
      <c r="F619" s="116"/>
    </row>
    <row r="620" spans="1:6" ht="15.75" hidden="1" customHeight="1" outlineLevel="1">
      <c r="C620" s="77" t="s">
        <v>40</v>
      </c>
      <c r="D620" s="77" t="s">
        <v>168</v>
      </c>
      <c r="E620" s="77">
        <v>5.87</v>
      </c>
      <c r="F620" s="78"/>
    </row>
    <row r="621" spans="1:6" ht="15.75" hidden="1" customHeight="1" outlineLevel="1">
      <c r="C621" s="77" t="s">
        <v>40</v>
      </c>
      <c r="D621" s="77" t="s">
        <v>103</v>
      </c>
      <c r="E621" s="77">
        <v>5.109</v>
      </c>
      <c r="F621" s="78"/>
    </row>
    <row r="622" spans="1:6" ht="15.75" hidden="1" customHeight="1" outlineLevel="1">
      <c r="C622" s="77" t="s">
        <v>40</v>
      </c>
      <c r="D622" s="77" t="s">
        <v>105</v>
      </c>
      <c r="E622" s="82">
        <v>5.1100000000000003</v>
      </c>
      <c r="F622" s="80" t="s">
        <v>1076</v>
      </c>
    </row>
    <row r="623" spans="1:6" ht="15.75" hidden="1" customHeight="1" outlineLevel="1">
      <c r="C623" s="77" t="s">
        <v>40</v>
      </c>
      <c r="D623" s="77" t="s">
        <v>104</v>
      </c>
      <c r="E623" s="77">
        <v>5.1109999999999998</v>
      </c>
      <c r="F623" s="78"/>
    </row>
    <row r="624" spans="1:6" ht="15.75" hidden="1" customHeight="1" outlineLevel="1">
      <c r="C624" s="77" t="s">
        <v>40</v>
      </c>
      <c r="D624" s="77" t="s">
        <v>106</v>
      </c>
      <c r="E624" s="77">
        <v>5.1120000000000001</v>
      </c>
      <c r="F624" s="78"/>
    </row>
    <row r="625" spans="3:6" ht="15.75" hidden="1" customHeight="1" outlineLevel="1">
      <c r="C625" s="77" t="s">
        <v>40</v>
      </c>
      <c r="D625" s="77" t="s">
        <v>1079</v>
      </c>
      <c r="E625" s="77">
        <v>5.1130000000000004</v>
      </c>
      <c r="F625" s="78"/>
    </row>
    <row r="626" spans="3:6" ht="15.75" hidden="1" customHeight="1" outlineLevel="1">
      <c r="C626" s="77" t="s">
        <v>40</v>
      </c>
      <c r="D626" s="77" t="s">
        <v>169</v>
      </c>
      <c r="E626" s="77">
        <v>5.99</v>
      </c>
      <c r="F626" s="80" t="s">
        <v>1076</v>
      </c>
    </row>
    <row r="627" spans="3:6" ht="15.75" hidden="1" customHeight="1" outlineLevel="1">
      <c r="C627" s="77" t="s">
        <v>40</v>
      </c>
      <c r="D627" s="77" t="s">
        <v>170</v>
      </c>
      <c r="E627" s="77">
        <v>5.58</v>
      </c>
      <c r="F627" s="80"/>
    </row>
    <row r="628" spans="3:6" ht="15.75" hidden="1" customHeight="1" outlineLevel="1">
      <c r="C628" s="77" t="s">
        <v>40</v>
      </c>
      <c r="D628" s="77" t="s">
        <v>61</v>
      </c>
      <c r="E628" s="77">
        <v>5.54</v>
      </c>
      <c r="F628" s="78"/>
    </row>
    <row r="629" spans="3:6" ht="15.75" hidden="1" customHeight="1" outlineLevel="1">
      <c r="C629" s="77" t="s">
        <v>40</v>
      </c>
      <c r="D629" s="77" t="s">
        <v>171</v>
      </c>
      <c r="E629" s="77">
        <v>5.56</v>
      </c>
      <c r="F629" s="78"/>
    </row>
    <row r="630" spans="3:6" ht="15.75" hidden="1" customHeight="1" outlineLevel="1">
      <c r="C630" s="77" t="s">
        <v>40</v>
      </c>
      <c r="D630" s="77" t="s">
        <v>63</v>
      </c>
      <c r="E630" s="77">
        <v>5.63</v>
      </c>
      <c r="F630" s="78"/>
    </row>
    <row r="631" spans="3:6" ht="15.75" hidden="1" customHeight="1" outlineLevel="1">
      <c r="C631" s="77" t="s">
        <v>40</v>
      </c>
      <c r="D631" s="77" t="s">
        <v>172</v>
      </c>
      <c r="E631" s="77">
        <v>5.64</v>
      </c>
      <c r="F631" s="78"/>
    </row>
    <row r="632" spans="3:6" ht="15.75" hidden="1" customHeight="1" outlineLevel="1">
      <c r="C632" s="77" t="s">
        <v>40</v>
      </c>
      <c r="D632" s="77" t="s">
        <v>78</v>
      </c>
      <c r="E632" s="77">
        <v>5.65</v>
      </c>
      <c r="F632" s="78"/>
    </row>
    <row r="633" spans="3:6" ht="15.75" hidden="1" customHeight="1" outlineLevel="1">
      <c r="C633" s="77" t="s">
        <v>40</v>
      </c>
      <c r="D633" s="77" t="s">
        <v>88</v>
      </c>
      <c r="E633" s="77">
        <v>5.66</v>
      </c>
      <c r="F633" s="78"/>
    </row>
    <row r="634" spans="3:6" ht="15.75" hidden="1" customHeight="1" outlineLevel="1">
      <c r="C634" s="77" t="s">
        <v>40</v>
      </c>
      <c r="D634" s="77" t="s">
        <v>87</v>
      </c>
      <c r="E634" s="77">
        <v>5.89</v>
      </c>
      <c r="F634" s="80" t="s">
        <v>1076</v>
      </c>
    </row>
    <row r="635" spans="3:6" ht="15.75" hidden="1" customHeight="1" outlineLevel="1">
      <c r="C635" s="77" t="s">
        <v>40</v>
      </c>
      <c r="D635" s="77" t="s">
        <v>17</v>
      </c>
      <c r="E635" s="77">
        <v>5.68</v>
      </c>
      <c r="F635" s="78"/>
    </row>
    <row r="636" spans="3:6" ht="15.75" hidden="1" customHeight="1" outlineLevel="1">
      <c r="C636" s="77" t="s">
        <v>40</v>
      </c>
      <c r="D636" s="77" t="s">
        <v>64</v>
      </c>
      <c r="E636" s="77">
        <v>5.47</v>
      </c>
      <c r="F636" s="78"/>
    </row>
    <row r="637" spans="3:6" ht="15.75" hidden="1" customHeight="1" outlineLevel="1">
      <c r="C637" s="77" t="s">
        <v>40</v>
      </c>
      <c r="D637" s="77" t="s">
        <v>65</v>
      </c>
      <c r="E637" s="77">
        <v>5.48</v>
      </c>
      <c r="F637" s="78"/>
    </row>
    <row r="638" spans="3:6" ht="15.75" hidden="1" customHeight="1">
      <c r="C638" s="81" t="s">
        <v>40</v>
      </c>
      <c r="D638" s="77"/>
      <c r="E638" s="77"/>
      <c r="F638" s="78"/>
    </row>
    <row r="639" spans="3:6" ht="15.75" hidden="1" customHeight="1" outlineLevel="1">
      <c r="C639" s="77" t="s">
        <v>41</v>
      </c>
      <c r="D639" s="77" t="s">
        <v>49</v>
      </c>
      <c r="E639" s="77">
        <v>5.0999999999999996</v>
      </c>
      <c r="F639" s="78"/>
    </row>
    <row r="640" spans="3:6" ht="15.75" hidden="1" customHeight="1" outlineLevel="1">
      <c r="C640" s="77" t="s">
        <v>41</v>
      </c>
      <c r="D640" s="77" t="s">
        <v>50</v>
      </c>
      <c r="E640" s="77">
        <v>5.2</v>
      </c>
      <c r="F640" s="78"/>
    </row>
    <row r="641" spans="3:6" ht="15.75" hidden="1" customHeight="1" outlineLevel="1">
      <c r="C641" s="77" t="s">
        <v>41</v>
      </c>
      <c r="D641" s="77" t="s">
        <v>66</v>
      </c>
      <c r="E641" s="77">
        <v>5.3</v>
      </c>
      <c r="F641" s="78"/>
    </row>
    <row r="642" spans="3:6" ht="15.75" hidden="1" customHeight="1" outlineLevel="1">
      <c r="C642" s="77" t="s">
        <v>41</v>
      </c>
      <c r="D642" s="77" t="s">
        <v>80</v>
      </c>
      <c r="E642" s="77">
        <v>5.6</v>
      </c>
      <c r="F642" s="78"/>
    </row>
    <row r="643" spans="3:6" ht="15.75" hidden="1" customHeight="1" outlineLevel="1">
      <c r="C643" s="77" t="s">
        <v>41</v>
      </c>
      <c r="D643" s="77" t="s">
        <v>1077</v>
      </c>
      <c r="E643" s="79">
        <v>5.0999999999999996</v>
      </c>
      <c r="F643" s="78"/>
    </row>
    <row r="644" spans="3:6" ht="15.75" hidden="1" customHeight="1" outlineLevel="1">
      <c r="C644" s="77" t="s">
        <v>41</v>
      </c>
      <c r="D644" s="77" t="s">
        <v>91</v>
      </c>
      <c r="E644" s="77">
        <v>5.14</v>
      </c>
      <c r="F644" s="78"/>
    </row>
    <row r="645" spans="3:6" ht="15.75" hidden="1" customHeight="1" outlineLevel="1">
      <c r="C645" s="77" t="s">
        <v>41</v>
      </c>
      <c r="D645" s="77" t="s">
        <v>68</v>
      </c>
      <c r="E645" s="77">
        <v>5.19</v>
      </c>
      <c r="F645" s="78"/>
    </row>
    <row r="646" spans="3:6" ht="15.75" hidden="1" customHeight="1" outlineLevel="1">
      <c r="C646" s="77" t="s">
        <v>41</v>
      </c>
      <c r="D646" s="77" t="s">
        <v>82</v>
      </c>
      <c r="E646" s="77">
        <v>5.24</v>
      </c>
      <c r="F646" s="78"/>
    </row>
    <row r="647" spans="3:6" ht="15.75" hidden="1" customHeight="1" outlineLevel="1">
      <c r="C647" s="77" t="s">
        <v>41</v>
      </c>
      <c r="D647" s="77" t="s">
        <v>54</v>
      </c>
      <c r="E647" s="77">
        <v>5.26</v>
      </c>
      <c r="F647" s="78"/>
    </row>
    <row r="648" spans="3:6" ht="15.75" hidden="1" customHeight="1" outlineLevel="1">
      <c r="C648" s="77" t="s">
        <v>41</v>
      </c>
      <c r="D648" s="77" t="s">
        <v>55</v>
      </c>
      <c r="E648" s="77">
        <v>5.27</v>
      </c>
      <c r="F648" s="78"/>
    </row>
    <row r="649" spans="3:6" ht="15.75" hidden="1" customHeight="1" outlineLevel="1">
      <c r="C649" s="77" t="s">
        <v>41</v>
      </c>
      <c r="D649" s="77" t="s">
        <v>69</v>
      </c>
      <c r="E649" s="77">
        <v>5.28</v>
      </c>
      <c r="F649" s="78"/>
    </row>
    <row r="650" spans="3:6" ht="15.75" hidden="1" customHeight="1" outlineLevel="1">
      <c r="C650" s="77" t="s">
        <v>41</v>
      </c>
      <c r="D650" s="77" t="s">
        <v>56</v>
      </c>
      <c r="E650" s="77">
        <v>5.36</v>
      </c>
      <c r="F650" s="78"/>
    </row>
    <row r="651" spans="3:6" ht="15.75" hidden="1" customHeight="1" outlineLevel="1">
      <c r="C651" s="77" t="s">
        <v>41</v>
      </c>
      <c r="D651" s="77" t="s">
        <v>96</v>
      </c>
      <c r="E651" s="77">
        <v>5.33</v>
      </c>
      <c r="F651" s="78"/>
    </row>
    <row r="652" spans="3:6" ht="15.75" hidden="1" customHeight="1" outlineLevel="1">
      <c r="C652" s="77" t="s">
        <v>41</v>
      </c>
      <c r="D652" s="77" t="s">
        <v>97</v>
      </c>
      <c r="E652" s="77">
        <v>5.37</v>
      </c>
      <c r="F652" s="78"/>
    </row>
    <row r="653" spans="3:6" ht="15.75" hidden="1" customHeight="1" outlineLevel="1">
      <c r="C653" s="77" t="s">
        <v>41</v>
      </c>
      <c r="D653" s="77" t="s">
        <v>71</v>
      </c>
      <c r="E653" s="77">
        <v>5.49</v>
      </c>
      <c r="F653" s="78"/>
    </row>
    <row r="654" spans="3:6" ht="15.75" hidden="1" customHeight="1" outlineLevel="1">
      <c r="C654" s="77" t="s">
        <v>41</v>
      </c>
      <c r="D654" s="77" t="s">
        <v>58</v>
      </c>
      <c r="E654" s="77">
        <v>5.51</v>
      </c>
      <c r="F654" s="78"/>
    </row>
    <row r="655" spans="3:6" ht="15.75" hidden="1" customHeight="1" outlineLevel="1">
      <c r="C655" s="77" t="s">
        <v>41</v>
      </c>
      <c r="D655" s="77" t="s">
        <v>1078</v>
      </c>
      <c r="E655" s="77">
        <v>5.52</v>
      </c>
      <c r="F655" s="78"/>
    </row>
    <row r="656" spans="3:6" ht="15.75" hidden="1" customHeight="1" outlineLevel="1">
      <c r="C656" s="77" t="s">
        <v>41</v>
      </c>
      <c r="D656" s="77" t="s">
        <v>59</v>
      </c>
      <c r="E656" s="77">
        <v>5.53</v>
      </c>
      <c r="F656" s="78"/>
    </row>
    <row r="657" spans="3:6" ht="15.75" hidden="1" customHeight="1" outlineLevel="1">
      <c r="C657" s="77" t="s">
        <v>41</v>
      </c>
      <c r="D657" s="77" t="s">
        <v>72</v>
      </c>
      <c r="E657" s="77">
        <v>5.69</v>
      </c>
      <c r="F657" s="78"/>
    </row>
    <row r="658" spans="3:6" ht="15.75" hidden="1" customHeight="1" outlineLevel="1">
      <c r="C658" s="77" t="s">
        <v>41</v>
      </c>
      <c r="D658" s="77" t="s">
        <v>62</v>
      </c>
      <c r="E658" s="79">
        <v>5.7</v>
      </c>
      <c r="F658" s="78"/>
    </row>
    <row r="659" spans="3:6" ht="15.75" hidden="1" customHeight="1" outlineLevel="1">
      <c r="C659" s="77" t="s">
        <v>41</v>
      </c>
      <c r="D659" s="77" t="s">
        <v>74</v>
      </c>
      <c r="E659" s="77">
        <v>5.74</v>
      </c>
      <c r="F659" s="78"/>
    </row>
    <row r="660" spans="3:6" ht="15.75" hidden="1" customHeight="1" outlineLevel="1">
      <c r="C660" s="77" t="s">
        <v>41</v>
      </c>
      <c r="D660" s="77" t="s">
        <v>103</v>
      </c>
      <c r="E660" s="77">
        <v>5.109</v>
      </c>
      <c r="F660" s="78"/>
    </row>
    <row r="661" spans="3:6" ht="15.75" hidden="1" customHeight="1" outlineLevel="1">
      <c r="C661" s="77" t="s">
        <v>41</v>
      </c>
      <c r="D661" s="77" t="s">
        <v>104</v>
      </c>
      <c r="E661" s="77">
        <v>5.1109999999999998</v>
      </c>
      <c r="F661" s="78"/>
    </row>
    <row r="662" spans="3:6" ht="15.75" hidden="1" customHeight="1" outlineLevel="1">
      <c r="C662" s="77" t="s">
        <v>41</v>
      </c>
      <c r="D662" s="77" t="s">
        <v>106</v>
      </c>
      <c r="E662" s="77">
        <v>5.1120000000000001</v>
      </c>
      <c r="F662" s="78"/>
    </row>
    <row r="663" spans="3:6" ht="15.75" hidden="1" customHeight="1" outlineLevel="1">
      <c r="C663" s="77" t="s">
        <v>41</v>
      </c>
      <c r="D663" s="77" t="s">
        <v>76</v>
      </c>
      <c r="E663" s="77">
        <v>5.58</v>
      </c>
      <c r="F663" s="78"/>
    </row>
    <row r="664" spans="3:6" ht="15.75" hidden="1" customHeight="1" outlineLevel="1">
      <c r="C664" s="77" t="s">
        <v>41</v>
      </c>
      <c r="D664" s="77" t="s">
        <v>61</v>
      </c>
      <c r="E664" s="77">
        <v>5.54</v>
      </c>
      <c r="F664" s="78"/>
    </row>
    <row r="665" spans="3:6" ht="15.75" hidden="1" customHeight="1" outlineLevel="1">
      <c r="C665" s="77" t="s">
        <v>41</v>
      </c>
      <c r="D665" s="77" t="s">
        <v>77</v>
      </c>
      <c r="E665" s="77">
        <v>5.55</v>
      </c>
      <c r="F665" s="78"/>
    </row>
    <row r="666" spans="3:6" ht="15.75" hidden="1" customHeight="1" outlineLevel="1">
      <c r="C666" s="77" t="s">
        <v>41</v>
      </c>
      <c r="D666" s="77" t="s">
        <v>63</v>
      </c>
      <c r="E666" s="77">
        <v>5.63</v>
      </c>
      <c r="F666" s="78"/>
    </row>
    <row r="667" spans="3:6" ht="15.75" hidden="1" customHeight="1" outlineLevel="1">
      <c r="C667" s="77" t="s">
        <v>41</v>
      </c>
      <c r="D667" s="77" t="s">
        <v>64</v>
      </c>
      <c r="E667" s="77">
        <v>5.47</v>
      </c>
      <c r="F667" s="78"/>
    </row>
    <row r="668" spans="3:6" ht="15.75" hidden="1" customHeight="1" outlineLevel="1">
      <c r="C668" s="77" t="s">
        <v>41</v>
      </c>
      <c r="D668" s="77" t="s">
        <v>65</v>
      </c>
      <c r="E668" s="77">
        <v>5.48</v>
      </c>
      <c r="F668" s="78"/>
    </row>
    <row r="669" spans="3:6" ht="15.75" hidden="1" customHeight="1">
      <c r="C669" s="81" t="s">
        <v>41</v>
      </c>
      <c r="D669" s="77"/>
      <c r="E669" s="77"/>
      <c r="F669" s="78"/>
    </row>
    <row r="670" spans="3:6" ht="15.75" hidden="1" customHeight="1" outlineLevel="1">
      <c r="C670" s="77" t="s">
        <v>42</v>
      </c>
      <c r="D670" s="77" t="s">
        <v>49</v>
      </c>
      <c r="E670" s="77">
        <v>5.0999999999999996</v>
      </c>
      <c r="F670" s="78"/>
    </row>
    <row r="671" spans="3:6" ht="15.75" hidden="1" customHeight="1" outlineLevel="1">
      <c r="C671" s="77" t="s">
        <v>42</v>
      </c>
      <c r="D671" s="77" t="s">
        <v>50</v>
      </c>
      <c r="E671" s="77">
        <v>5.2</v>
      </c>
      <c r="F671" s="78"/>
    </row>
    <row r="672" spans="3:6" ht="15.75" hidden="1" customHeight="1" outlineLevel="1">
      <c r="C672" s="77" t="s">
        <v>42</v>
      </c>
      <c r="D672" s="77" t="s">
        <v>51</v>
      </c>
      <c r="E672" s="77">
        <v>5.4</v>
      </c>
      <c r="F672" s="78"/>
    </row>
    <row r="673" spans="3:6" ht="15.75" hidden="1" customHeight="1" outlineLevel="1">
      <c r="C673" s="77" t="s">
        <v>42</v>
      </c>
      <c r="D673" s="77" t="s">
        <v>52</v>
      </c>
      <c r="E673" s="77">
        <v>5.7</v>
      </c>
      <c r="F673" s="78"/>
    </row>
    <row r="674" spans="3:6" ht="15.75" hidden="1" customHeight="1" outlineLevel="1">
      <c r="C674" s="77" t="s">
        <v>42</v>
      </c>
      <c r="D674" s="77" t="s">
        <v>53</v>
      </c>
      <c r="E674" s="77">
        <v>5.1100000000000003</v>
      </c>
      <c r="F674" s="78"/>
    </row>
    <row r="675" spans="3:6" ht="15.75" hidden="1" customHeight="1" outlineLevel="1">
      <c r="C675" s="77" t="s">
        <v>42</v>
      </c>
      <c r="D675" s="77" t="s">
        <v>54</v>
      </c>
      <c r="E675" s="77">
        <v>5.26</v>
      </c>
      <c r="F675" s="78"/>
    </row>
    <row r="676" spans="3:6" ht="15.75" hidden="1" customHeight="1" outlineLevel="1">
      <c r="C676" s="77" t="s">
        <v>42</v>
      </c>
      <c r="D676" s="77" t="s">
        <v>173</v>
      </c>
      <c r="E676" s="77">
        <v>5.43</v>
      </c>
      <c r="F676" s="78"/>
    </row>
    <row r="677" spans="3:6" ht="15.75" hidden="1" customHeight="1" outlineLevel="1">
      <c r="C677" s="77" t="s">
        <v>42</v>
      </c>
      <c r="D677" s="77" t="s">
        <v>55</v>
      </c>
      <c r="E677" s="77">
        <v>5.27</v>
      </c>
      <c r="F677" s="78"/>
    </row>
    <row r="678" spans="3:6" ht="15.75" hidden="1" customHeight="1" outlineLevel="1">
      <c r="C678" s="77" t="s">
        <v>42</v>
      </c>
      <c r="D678" s="77" t="s">
        <v>69</v>
      </c>
      <c r="E678" s="77">
        <v>5.28</v>
      </c>
      <c r="F678" s="78"/>
    </row>
    <row r="679" spans="3:6" ht="15.75" hidden="1" customHeight="1" outlineLevel="1">
      <c r="C679" s="77" t="s">
        <v>42</v>
      </c>
      <c r="D679" s="77" t="s">
        <v>56</v>
      </c>
      <c r="E679" s="77">
        <v>5.36</v>
      </c>
      <c r="F679" s="78"/>
    </row>
    <row r="680" spans="3:6" ht="15.75" hidden="1" customHeight="1" outlineLevel="1">
      <c r="C680" s="77" t="s">
        <v>42</v>
      </c>
      <c r="D680" s="77" t="s">
        <v>57</v>
      </c>
      <c r="E680" s="79">
        <v>5.5</v>
      </c>
      <c r="F680" s="78"/>
    </row>
    <row r="681" spans="3:6" ht="15.75" hidden="1" customHeight="1" outlineLevel="1">
      <c r="C681" s="77" t="s">
        <v>42</v>
      </c>
      <c r="D681" s="77" t="s">
        <v>58</v>
      </c>
      <c r="E681" s="77">
        <v>5.51</v>
      </c>
      <c r="F681" s="78"/>
    </row>
    <row r="682" spans="3:6" ht="15.75" hidden="1" customHeight="1" outlineLevel="1">
      <c r="C682" s="77" t="s">
        <v>42</v>
      </c>
      <c r="D682" s="77" t="s">
        <v>59</v>
      </c>
      <c r="E682" s="77">
        <v>5.53</v>
      </c>
      <c r="F682" s="78"/>
    </row>
    <row r="683" spans="3:6" ht="15.75" hidden="1" customHeight="1" outlineLevel="1">
      <c r="C683" s="77" t="s">
        <v>42</v>
      </c>
      <c r="D683" s="77" t="s">
        <v>72</v>
      </c>
      <c r="E683" s="77">
        <v>5.69</v>
      </c>
      <c r="F683" s="78"/>
    </row>
    <row r="684" spans="3:6" ht="15.75" hidden="1" customHeight="1" outlineLevel="1">
      <c r="C684" s="77" t="s">
        <v>42</v>
      </c>
      <c r="D684" s="77" t="s">
        <v>62</v>
      </c>
      <c r="E684" s="79">
        <v>5.7</v>
      </c>
      <c r="F684" s="80" t="s">
        <v>1076</v>
      </c>
    </row>
    <row r="685" spans="3:6" ht="15.75" hidden="1" customHeight="1" outlineLevel="1">
      <c r="C685" s="77" t="s">
        <v>42</v>
      </c>
      <c r="D685" s="77" t="s">
        <v>74</v>
      </c>
      <c r="E685" s="77">
        <v>5.74</v>
      </c>
      <c r="F685" s="78"/>
    </row>
    <row r="686" spans="3:6" ht="15.75" hidden="1" customHeight="1" outlineLevel="1">
      <c r="C686" s="77" t="s">
        <v>42</v>
      </c>
      <c r="D686" s="77" t="s">
        <v>60</v>
      </c>
      <c r="E686" s="77">
        <v>5.59</v>
      </c>
      <c r="F686" s="78"/>
    </row>
    <row r="687" spans="3:6" ht="15.75" hidden="1" customHeight="1" outlineLevel="1">
      <c r="C687" s="77" t="s">
        <v>42</v>
      </c>
      <c r="D687" s="77" t="s">
        <v>61</v>
      </c>
      <c r="E687" s="77">
        <v>5.54</v>
      </c>
      <c r="F687" s="78"/>
    </row>
    <row r="688" spans="3:6" ht="15.75" hidden="1" customHeight="1" outlineLevel="1">
      <c r="C688" s="77" t="s">
        <v>42</v>
      </c>
      <c r="D688" s="77" t="s">
        <v>174</v>
      </c>
      <c r="E688" s="77">
        <v>5.57</v>
      </c>
      <c r="F688" s="78"/>
    </row>
    <row r="689" spans="3:6" ht="15.75" hidden="1" customHeight="1" outlineLevel="1">
      <c r="C689" s="77" t="s">
        <v>42</v>
      </c>
      <c r="D689" s="77" t="s">
        <v>63</v>
      </c>
      <c r="E689" s="77">
        <v>5.63</v>
      </c>
      <c r="F689" s="78"/>
    </row>
    <row r="690" spans="3:6" ht="15.75" hidden="1" customHeight="1" outlineLevel="1">
      <c r="C690" s="77" t="s">
        <v>42</v>
      </c>
      <c r="D690" s="77" t="s">
        <v>64</v>
      </c>
      <c r="E690" s="77">
        <v>5.47</v>
      </c>
      <c r="F690" s="78"/>
    </row>
    <row r="691" spans="3:6" ht="15.75" hidden="1" customHeight="1" outlineLevel="1">
      <c r="C691" s="77" t="s">
        <v>42</v>
      </c>
      <c r="D691" s="77" t="s">
        <v>65</v>
      </c>
      <c r="E691" s="77">
        <v>5.48</v>
      </c>
      <c r="F691" s="78"/>
    </row>
    <row r="692" spans="3:6" ht="15.75" hidden="1" customHeight="1">
      <c r="C692" s="81" t="s">
        <v>42</v>
      </c>
      <c r="D692" s="77"/>
      <c r="E692" s="77"/>
      <c r="F692" s="78"/>
    </row>
    <row r="693" spans="3:6" ht="15.75" hidden="1" customHeight="1" outlineLevel="1">
      <c r="C693" s="77" t="s">
        <v>43</v>
      </c>
      <c r="D693" s="77" t="s">
        <v>49</v>
      </c>
      <c r="E693" s="77">
        <v>5.0999999999999996</v>
      </c>
      <c r="F693" s="78"/>
    </row>
    <row r="694" spans="3:6" ht="15.75" hidden="1" customHeight="1" outlineLevel="1">
      <c r="C694" s="77" t="s">
        <v>43</v>
      </c>
      <c r="D694" s="77" t="s">
        <v>50</v>
      </c>
      <c r="E694" s="77">
        <v>5.2</v>
      </c>
      <c r="F694" s="78"/>
    </row>
    <row r="695" spans="3:6" ht="15.75" hidden="1" customHeight="1" outlineLevel="1">
      <c r="C695" s="77" t="s">
        <v>43</v>
      </c>
      <c r="D695" s="77" t="s">
        <v>175</v>
      </c>
      <c r="E695" s="77">
        <v>5.17</v>
      </c>
      <c r="F695" s="78"/>
    </row>
    <row r="696" spans="3:6" ht="15.75" hidden="1" customHeight="1" outlineLevel="1">
      <c r="C696" s="77" t="s">
        <v>43</v>
      </c>
      <c r="D696" s="77" t="s">
        <v>54</v>
      </c>
      <c r="E696" s="77">
        <v>5.26</v>
      </c>
      <c r="F696" s="78"/>
    </row>
    <row r="697" spans="3:6" ht="15.75" hidden="1" customHeight="1" outlineLevel="1">
      <c r="C697" s="77" t="s">
        <v>43</v>
      </c>
      <c r="D697" s="77" t="s">
        <v>176</v>
      </c>
      <c r="E697" s="77">
        <v>5.1029999999999998</v>
      </c>
      <c r="F697" s="78"/>
    </row>
    <row r="698" spans="3:6" ht="15.75" hidden="1" customHeight="1" outlineLevel="1">
      <c r="C698" s="77" t="s">
        <v>43</v>
      </c>
      <c r="D698" s="77" t="s">
        <v>56</v>
      </c>
      <c r="E698" s="77">
        <v>5.36</v>
      </c>
      <c r="F698" s="78"/>
    </row>
    <row r="699" spans="3:6" ht="15.75" hidden="1" customHeight="1" outlineLevel="1">
      <c r="C699" s="77" t="s">
        <v>43</v>
      </c>
      <c r="D699" s="77" t="s">
        <v>97</v>
      </c>
      <c r="E699" s="77">
        <v>5.37</v>
      </c>
      <c r="F699" s="78"/>
    </row>
    <row r="700" spans="3:6" ht="15.75" hidden="1" customHeight="1" outlineLevel="1">
      <c r="C700" s="77" t="s">
        <v>43</v>
      </c>
      <c r="D700" s="77" t="s">
        <v>177</v>
      </c>
      <c r="E700" s="77">
        <v>5.1040000000000001</v>
      </c>
      <c r="F700" s="78"/>
    </row>
    <row r="701" spans="3:6" ht="15.75" hidden="1" customHeight="1" outlineLevel="1">
      <c r="C701" s="77" t="s">
        <v>43</v>
      </c>
      <c r="D701" s="77" t="s">
        <v>178</v>
      </c>
      <c r="E701" s="77">
        <v>5.1050000000000004</v>
      </c>
      <c r="F701" s="78"/>
    </row>
    <row r="702" spans="3:6" ht="15.75" hidden="1" customHeight="1" outlineLevel="1">
      <c r="C702" s="77" t="s">
        <v>43</v>
      </c>
      <c r="D702" s="77" t="s">
        <v>179</v>
      </c>
      <c r="E702" s="77">
        <v>5.1059999999999999</v>
      </c>
      <c r="F702" s="78"/>
    </row>
    <row r="703" spans="3:6" ht="15.75" hidden="1" customHeight="1" outlineLevel="1">
      <c r="C703" s="77" t="s">
        <v>43</v>
      </c>
      <c r="D703" s="77" t="s">
        <v>180</v>
      </c>
      <c r="E703" s="77">
        <v>5.1070000000000002</v>
      </c>
      <c r="F703" s="78"/>
    </row>
    <row r="704" spans="3:6" ht="15.75" hidden="1" customHeight="1" outlineLevel="1">
      <c r="C704" s="77" t="s">
        <v>43</v>
      </c>
      <c r="D704" s="77" t="s">
        <v>875</v>
      </c>
      <c r="E704" s="77">
        <v>5.1079999999999997</v>
      </c>
      <c r="F704" s="80" t="s">
        <v>1076</v>
      </c>
    </row>
    <row r="705" spans="3:6" ht="15.75" hidden="1" customHeight="1" outlineLevel="1">
      <c r="C705" s="77" t="s">
        <v>43</v>
      </c>
      <c r="D705" s="77" t="s">
        <v>103</v>
      </c>
      <c r="E705" s="77">
        <v>5.109</v>
      </c>
      <c r="F705" s="78"/>
    </row>
    <row r="706" spans="3:6" ht="15.75" hidden="1" customHeight="1" outlineLevel="1">
      <c r="C706" s="77" t="s">
        <v>43</v>
      </c>
      <c r="D706" s="77" t="s">
        <v>105</v>
      </c>
      <c r="E706" s="82">
        <v>5.1100000000000003</v>
      </c>
      <c r="F706" s="80" t="s">
        <v>1076</v>
      </c>
    </row>
    <row r="707" spans="3:6" ht="15.75" hidden="1" customHeight="1" outlineLevel="1">
      <c r="C707" s="77" t="s">
        <v>43</v>
      </c>
      <c r="D707" s="77" t="s">
        <v>104</v>
      </c>
      <c r="E707" s="77">
        <v>5.1109999999999998</v>
      </c>
      <c r="F707" s="78"/>
    </row>
    <row r="708" spans="3:6" ht="15.75" hidden="1" customHeight="1" outlineLevel="1">
      <c r="C708" s="77" t="s">
        <v>43</v>
      </c>
      <c r="D708" s="77" t="s">
        <v>106</v>
      </c>
      <c r="E708" s="77">
        <v>5.1120000000000001</v>
      </c>
      <c r="F708" s="78"/>
    </row>
    <row r="709" spans="3:6" ht="15.75" hidden="1" customHeight="1" outlineLevel="1">
      <c r="C709" s="77" t="s">
        <v>43</v>
      </c>
      <c r="D709" s="77" t="s">
        <v>59</v>
      </c>
      <c r="E709" s="77">
        <v>5.53</v>
      </c>
      <c r="F709" s="78"/>
    </row>
    <row r="710" spans="3:6" ht="15.75" hidden="1" customHeight="1" outlineLevel="1">
      <c r="C710" s="77" t="s">
        <v>43</v>
      </c>
      <c r="D710" s="77" t="s">
        <v>172</v>
      </c>
      <c r="E710" s="77">
        <v>5.64</v>
      </c>
      <c r="F710" s="78"/>
    </row>
    <row r="711" spans="3:6" ht="15.75" hidden="1" customHeight="1" outlineLevel="1">
      <c r="C711" s="77" t="s">
        <v>43</v>
      </c>
      <c r="D711" s="77" t="s">
        <v>63</v>
      </c>
      <c r="E711" s="77">
        <v>5.63</v>
      </c>
      <c r="F711" s="78"/>
    </row>
    <row r="712" spans="3:6" ht="15.75" hidden="1" customHeight="1" outlineLevel="1">
      <c r="C712" s="77" t="s">
        <v>43</v>
      </c>
      <c r="D712" s="77" t="s">
        <v>78</v>
      </c>
      <c r="E712" s="77">
        <v>5.65</v>
      </c>
      <c r="F712" s="78"/>
    </row>
    <row r="713" spans="3:6" ht="15.75" hidden="1" customHeight="1" outlineLevel="1">
      <c r="C713" s="77" t="s">
        <v>43</v>
      </c>
      <c r="D713" s="77" t="s">
        <v>88</v>
      </c>
      <c r="E713" s="77">
        <v>5.66</v>
      </c>
      <c r="F713" s="78"/>
    </row>
    <row r="714" spans="3:6" ht="15.75" hidden="1" customHeight="1" outlineLevel="1">
      <c r="C714" s="77" t="s">
        <v>43</v>
      </c>
      <c r="D714" s="77" t="s">
        <v>17</v>
      </c>
      <c r="E714" s="77">
        <v>5.68</v>
      </c>
      <c r="F714" s="78"/>
    </row>
    <row r="715" spans="3:6" ht="15.75" hidden="1" customHeight="1" outlineLevel="1">
      <c r="C715" s="77" t="s">
        <v>43</v>
      </c>
      <c r="D715" s="77" t="s">
        <v>64</v>
      </c>
      <c r="E715" s="77">
        <v>5.47</v>
      </c>
      <c r="F715" s="78"/>
    </row>
    <row r="716" spans="3:6" ht="15.75" hidden="1" customHeight="1" outlineLevel="1">
      <c r="C716" s="77" t="s">
        <v>43</v>
      </c>
      <c r="D716" s="77" t="s">
        <v>65</v>
      </c>
      <c r="E716" s="77">
        <v>5.48</v>
      </c>
      <c r="F716" s="78"/>
    </row>
    <row r="717" spans="3:6" ht="15.75" hidden="1" customHeight="1">
      <c r="C717" s="81" t="s">
        <v>43</v>
      </c>
      <c r="D717" s="77"/>
      <c r="E717" s="77"/>
      <c r="F717" s="78"/>
    </row>
    <row r="718" spans="3:6" ht="15.75" hidden="1" customHeight="1" outlineLevel="1">
      <c r="C718" s="77" t="s">
        <v>1081</v>
      </c>
      <c r="D718" s="77" t="s">
        <v>49</v>
      </c>
      <c r="E718" s="77">
        <v>5.0999999999999996</v>
      </c>
      <c r="F718" s="78"/>
    </row>
    <row r="719" spans="3:6" ht="15.75" hidden="1" customHeight="1" outlineLevel="1">
      <c r="C719" s="77" t="s">
        <v>1081</v>
      </c>
      <c r="D719" s="77" t="s">
        <v>50</v>
      </c>
      <c r="E719" s="77">
        <v>5.2</v>
      </c>
      <c r="F719" s="78"/>
    </row>
    <row r="720" spans="3:6" ht="15.75" hidden="1" customHeight="1" outlineLevel="1">
      <c r="C720" s="77" t="s">
        <v>1081</v>
      </c>
      <c r="D720" s="77" t="s">
        <v>66</v>
      </c>
      <c r="E720" s="77">
        <v>5.3</v>
      </c>
      <c r="F720" s="78"/>
    </row>
    <row r="721" spans="3:6" ht="15.75" hidden="1" customHeight="1" outlineLevel="1">
      <c r="C721" s="77" t="s">
        <v>1081</v>
      </c>
      <c r="D721" s="77" t="s">
        <v>80</v>
      </c>
      <c r="E721" s="77">
        <v>5.6</v>
      </c>
      <c r="F721" s="78"/>
    </row>
    <row r="722" spans="3:6" ht="15.75" hidden="1" customHeight="1" outlineLevel="1">
      <c r="C722" s="77" t="s">
        <v>1081</v>
      </c>
      <c r="D722" s="77" t="s">
        <v>1077</v>
      </c>
      <c r="E722" s="79">
        <v>5.0999999999999996</v>
      </c>
      <c r="F722" s="78"/>
    </row>
    <row r="723" spans="3:6" ht="15.75" hidden="1" customHeight="1" outlineLevel="1">
      <c r="C723" s="77" t="s">
        <v>1081</v>
      </c>
      <c r="D723" s="77" t="s">
        <v>91</v>
      </c>
      <c r="E723" s="77">
        <v>5.14</v>
      </c>
      <c r="F723" s="78"/>
    </row>
    <row r="724" spans="3:6" ht="15.75" hidden="1" customHeight="1" outlineLevel="1">
      <c r="C724" s="77" t="s">
        <v>1081</v>
      </c>
      <c r="D724" s="77" t="s">
        <v>68</v>
      </c>
      <c r="E724" s="77">
        <v>5.19</v>
      </c>
      <c r="F724" s="78"/>
    </row>
    <row r="725" spans="3:6" ht="15.75" hidden="1" customHeight="1" outlineLevel="1">
      <c r="C725" s="77" t="s">
        <v>1081</v>
      </c>
      <c r="D725" s="77" t="s">
        <v>82</v>
      </c>
      <c r="E725" s="77">
        <v>5.24</v>
      </c>
      <c r="F725" s="78"/>
    </row>
    <row r="726" spans="3:6" ht="15.75" hidden="1" customHeight="1" outlineLevel="1">
      <c r="C726" s="77" t="s">
        <v>1081</v>
      </c>
      <c r="D726" s="77" t="s">
        <v>54</v>
      </c>
      <c r="E726" s="77">
        <v>5.26</v>
      </c>
      <c r="F726" s="78"/>
    </row>
    <row r="727" spans="3:6" ht="15.75" hidden="1" customHeight="1" outlineLevel="1">
      <c r="C727" s="77" t="s">
        <v>1081</v>
      </c>
      <c r="D727" s="77" t="s">
        <v>55</v>
      </c>
      <c r="E727" s="77">
        <v>5.27</v>
      </c>
      <c r="F727" s="78"/>
    </row>
    <row r="728" spans="3:6" ht="15.75" hidden="1" customHeight="1" outlineLevel="1">
      <c r="C728" s="77" t="s">
        <v>1081</v>
      </c>
      <c r="D728" s="77" t="s">
        <v>69</v>
      </c>
      <c r="E728" s="77">
        <v>5.28</v>
      </c>
      <c r="F728" s="78"/>
    </row>
    <row r="729" spans="3:6" ht="15.75" hidden="1" customHeight="1" outlineLevel="1">
      <c r="C729" s="77" t="s">
        <v>1081</v>
      </c>
      <c r="D729" s="77" t="s">
        <v>83</v>
      </c>
      <c r="E729" s="77">
        <v>5.31</v>
      </c>
      <c r="F729" s="78"/>
    </row>
    <row r="730" spans="3:6" ht="15.75" hidden="1" customHeight="1" outlineLevel="1">
      <c r="C730" s="77" t="s">
        <v>1081</v>
      </c>
      <c r="D730" s="77" t="s">
        <v>56</v>
      </c>
      <c r="E730" s="77">
        <v>5.36</v>
      </c>
      <c r="F730" s="78"/>
    </row>
    <row r="731" spans="3:6" ht="15.75" hidden="1" customHeight="1" outlineLevel="1">
      <c r="C731" s="77" t="s">
        <v>1081</v>
      </c>
      <c r="D731" s="77" t="s">
        <v>59</v>
      </c>
      <c r="E731" s="77">
        <v>5.53</v>
      </c>
      <c r="F731" s="78"/>
    </row>
    <row r="732" spans="3:6" ht="15.75" hidden="1" customHeight="1" outlineLevel="1">
      <c r="C732" s="77" t="s">
        <v>1081</v>
      </c>
      <c r="D732" s="77" t="s">
        <v>103</v>
      </c>
      <c r="E732" s="77">
        <v>5.109</v>
      </c>
      <c r="F732" s="78"/>
    </row>
    <row r="733" spans="3:6" ht="15.75" hidden="1" customHeight="1" outlineLevel="1">
      <c r="C733" s="77" t="s">
        <v>1081</v>
      </c>
      <c r="D733" s="77" t="s">
        <v>104</v>
      </c>
      <c r="E733" s="77">
        <v>5.1109999999999998</v>
      </c>
      <c r="F733" s="78"/>
    </row>
    <row r="734" spans="3:6" ht="15.75" hidden="1" customHeight="1" outlineLevel="1">
      <c r="C734" s="77" t="s">
        <v>1081</v>
      </c>
      <c r="D734" s="77" t="s">
        <v>106</v>
      </c>
      <c r="E734" s="77">
        <v>5.1120000000000001</v>
      </c>
      <c r="F734" s="78"/>
    </row>
    <row r="735" spans="3:6" ht="15.75" hidden="1" customHeight="1" outlineLevel="1">
      <c r="C735" s="77" t="s">
        <v>1081</v>
      </c>
      <c r="D735" s="77" t="s">
        <v>1079</v>
      </c>
      <c r="E735" s="77">
        <v>5.1130000000000004</v>
      </c>
      <c r="F735" s="78"/>
    </row>
    <row r="736" spans="3:6" ht="15.75" hidden="1" customHeight="1" outlineLevel="1">
      <c r="C736" s="77" t="s">
        <v>1081</v>
      </c>
      <c r="D736" s="77" t="s">
        <v>182</v>
      </c>
      <c r="E736" s="77">
        <v>5.117</v>
      </c>
      <c r="F736" s="78"/>
    </row>
    <row r="737" spans="3:6" ht="15.75" hidden="1" customHeight="1" outlineLevel="1">
      <c r="C737" s="77" t="s">
        <v>1081</v>
      </c>
      <c r="D737" s="77" t="s">
        <v>183</v>
      </c>
      <c r="E737" s="77">
        <v>5.67</v>
      </c>
      <c r="F737" s="78"/>
    </row>
    <row r="738" spans="3:6" ht="15.75" hidden="1" customHeight="1" outlineLevel="1">
      <c r="C738" s="77" t="s">
        <v>1081</v>
      </c>
      <c r="D738" s="77" t="s">
        <v>63</v>
      </c>
      <c r="E738" s="77">
        <v>5.63</v>
      </c>
      <c r="F738" s="78"/>
    </row>
    <row r="739" spans="3:6" ht="15.75" hidden="1" customHeight="1" outlineLevel="1">
      <c r="C739" s="77" t="s">
        <v>1081</v>
      </c>
      <c r="D739" s="77" t="s">
        <v>64</v>
      </c>
      <c r="E739" s="77">
        <v>5.47</v>
      </c>
      <c r="F739" s="78"/>
    </row>
    <row r="740" spans="3:6" ht="15.75" hidden="1" customHeight="1" outlineLevel="1">
      <c r="C740" s="77" t="s">
        <v>1081</v>
      </c>
      <c r="D740" s="77" t="s">
        <v>65</v>
      </c>
      <c r="E740" s="77">
        <v>5.48</v>
      </c>
      <c r="F740" s="78"/>
    </row>
    <row r="741" spans="3:6" ht="15.75" hidden="1" customHeight="1">
      <c r="C741" s="81" t="s">
        <v>1082</v>
      </c>
      <c r="D741" s="77"/>
      <c r="E741" s="77"/>
      <c r="F741" s="78"/>
    </row>
    <row r="742" spans="3:6" ht="15.75" hidden="1" customHeight="1" outlineLevel="1">
      <c r="C742" s="77" t="s">
        <v>45</v>
      </c>
      <c r="D742" s="77" t="s">
        <v>49</v>
      </c>
      <c r="E742" s="77">
        <v>5.0999999999999996</v>
      </c>
      <c r="F742" s="78"/>
    </row>
    <row r="743" spans="3:6" ht="15.75" hidden="1" customHeight="1" outlineLevel="1">
      <c r="C743" s="77" t="s">
        <v>45</v>
      </c>
      <c r="D743" s="77" t="s">
        <v>50</v>
      </c>
      <c r="E743" s="77">
        <v>5.2</v>
      </c>
      <c r="F743" s="78"/>
    </row>
    <row r="744" spans="3:6" ht="15.75" hidden="1" customHeight="1" outlineLevel="1">
      <c r="C744" s="77" t="s">
        <v>45</v>
      </c>
      <c r="D744" s="77" t="s">
        <v>184</v>
      </c>
      <c r="E744" s="77">
        <v>5.18</v>
      </c>
      <c r="F744" s="78"/>
    </row>
    <row r="745" spans="3:6" ht="15.75" hidden="1" customHeight="1" outlineLevel="1">
      <c r="C745" s="77" t="s">
        <v>45</v>
      </c>
      <c r="D745" s="77" t="s">
        <v>185</v>
      </c>
      <c r="E745" s="77">
        <v>5.23</v>
      </c>
      <c r="F745" s="78"/>
    </row>
    <row r="746" spans="3:6" ht="15.75" hidden="1" customHeight="1" outlineLevel="1">
      <c r="C746" s="77" t="s">
        <v>45</v>
      </c>
      <c r="D746" s="77" t="s">
        <v>54</v>
      </c>
      <c r="E746" s="77">
        <v>5.26</v>
      </c>
      <c r="F746" s="78"/>
    </row>
    <row r="747" spans="3:6" ht="15.75" hidden="1" customHeight="1" outlineLevel="1">
      <c r="C747" s="77" t="s">
        <v>45</v>
      </c>
      <c r="D747" s="77" t="s">
        <v>55</v>
      </c>
      <c r="E747" s="77">
        <v>5.27</v>
      </c>
      <c r="F747" s="78"/>
    </row>
    <row r="748" spans="3:6" ht="15.75" hidden="1" customHeight="1" outlineLevel="1">
      <c r="C748" s="77" t="s">
        <v>45</v>
      </c>
      <c r="D748" s="77" t="s">
        <v>69</v>
      </c>
      <c r="E748" s="77">
        <v>5.28</v>
      </c>
      <c r="F748" s="78"/>
    </row>
    <row r="749" spans="3:6" ht="15.75" hidden="1" customHeight="1" outlineLevel="1">
      <c r="C749" s="77" t="s">
        <v>45</v>
      </c>
      <c r="D749" s="77" t="s">
        <v>56</v>
      </c>
      <c r="E749" s="77">
        <v>5.36</v>
      </c>
      <c r="F749" s="78"/>
    </row>
    <row r="750" spans="3:6" ht="15.75" hidden="1" customHeight="1" outlineLevel="1">
      <c r="C750" s="77" t="s">
        <v>45</v>
      </c>
      <c r="D750" s="77" t="s">
        <v>186</v>
      </c>
      <c r="E750" s="77">
        <v>5.44</v>
      </c>
      <c r="F750" s="78"/>
    </row>
    <row r="751" spans="3:6" ht="15.75" hidden="1" customHeight="1" outlineLevel="1">
      <c r="C751" s="77" t="s">
        <v>45</v>
      </c>
      <c r="D751" s="77" t="s">
        <v>59</v>
      </c>
      <c r="E751" s="77">
        <v>5.53</v>
      </c>
      <c r="F751" s="78"/>
    </row>
    <row r="752" spans="3:6" ht="15.75" hidden="1" customHeight="1" outlineLevel="1">
      <c r="C752" s="77" t="s">
        <v>45</v>
      </c>
      <c r="D752" s="77" t="s">
        <v>106</v>
      </c>
      <c r="E752" s="77">
        <v>5.1120000000000001</v>
      </c>
      <c r="F752" s="78"/>
    </row>
    <row r="753" spans="3:6" ht="15.75" hidden="1" customHeight="1" outlineLevel="1">
      <c r="C753" s="77" t="s">
        <v>45</v>
      </c>
      <c r="D753" s="77" t="s">
        <v>60</v>
      </c>
      <c r="E753" s="77">
        <v>5.59</v>
      </c>
      <c r="F753" s="78"/>
    </row>
    <row r="754" spans="3:6" ht="15.75" hidden="1" customHeight="1" outlineLevel="1">
      <c r="C754" s="77" t="s">
        <v>45</v>
      </c>
      <c r="D754" s="77" t="s">
        <v>61</v>
      </c>
      <c r="E754" s="77">
        <v>5.54</v>
      </c>
      <c r="F754" s="78"/>
    </row>
    <row r="755" spans="3:6" ht="15.75" hidden="1" customHeight="1" outlineLevel="1">
      <c r="C755" s="77" t="s">
        <v>45</v>
      </c>
      <c r="D755" s="77" t="s">
        <v>63</v>
      </c>
      <c r="E755" s="77">
        <v>5.63</v>
      </c>
      <c r="F755" s="78"/>
    </row>
    <row r="756" spans="3:6" ht="15.75" hidden="1" customHeight="1" outlineLevel="1">
      <c r="C756" s="77" t="s">
        <v>45</v>
      </c>
      <c r="D756" s="77" t="s">
        <v>78</v>
      </c>
      <c r="E756" s="77">
        <v>5.65</v>
      </c>
      <c r="F756" s="78"/>
    </row>
    <row r="757" spans="3:6" ht="15.75" hidden="1" customHeight="1" outlineLevel="1">
      <c r="C757" s="77" t="s">
        <v>45</v>
      </c>
      <c r="D757" s="77" t="s">
        <v>17</v>
      </c>
      <c r="E757" s="77">
        <v>5.68</v>
      </c>
      <c r="F757" s="78"/>
    </row>
    <row r="758" spans="3:6" ht="15.75" hidden="1" customHeight="1" outlineLevel="1">
      <c r="C758" s="77" t="s">
        <v>45</v>
      </c>
      <c r="D758" s="77" t="s">
        <v>64</v>
      </c>
      <c r="E758" s="77">
        <v>5.47</v>
      </c>
      <c r="F758" s="78"/>
    </row>
    <row r="759" spans="3:6" ht="15.75" hidden="1" customHeight="1" outlineLevel="1">
      <c r="C759" s="77" t="s">
        <v>45</v>
      </c>
      <c r="D759" s="77" t="s">
        <v>65</v>
      </c>
      <c r="E759" s="77">
        <v>5.48</v>
      </c>
      <c r="F759" s="78"/>
    </row>
    <row r="760" spans="3:6" ht="15.75" hidden="1" customHeight="1">
      <c r="C760" s="81" t="s">
        <v>45</v>
      </c>
      <c r="D760" s="77"/>
      <c r="E760" s="77"/>
      <c r="F760" s="78"/>
    </row>
    <row r="761" spans="3:6" ht="15.75" hidden="1" customHeight="1" outlineLevel="1">
      <c r="C761" s="77" t="s">
        <v>47</v>
      </c>
      <c r="D761" s="77" t="s">
        <v>49</v>
      </c>
      <c r="E761" s="77">
        <v>5.0999999999999996</v>
      </c>
      <c r="F761" s="78"/>
    </row>
    <row r="762" spans="3:6" ht="15.75" hidden="1" customHeight="1" outlineLevel="1">
      <c r="C762" s="77" t="s">
        <v>47</v>
      </c>
      <c r="D762" s="77" t="s">
        <v>50</v>
      </c>
      <c r="E762" s="77">
        <v>5.2</v>
      </c>
      <c r="F762" s="78"/>
    </row>
    <row r="763" spans="3:6" ht="15.75" hidden="1" customHeight="1" outlineLevel="1">
      <c r="C763" s="77" t="s">
        <v>47</v>
      </c>
      <c r="D763" s="77" t="s">
        <v>150</v>
      </c>
      <c r="E763" s="77">
        <v>5.9</v>
      </c>
      <c r="F763" s="80" t="s">
        <v>1076</v>
      </c>
    </row>
    <row r="764" spans="3:6" ht="15.75" hidden="1" customHeight="1" outlineLevel="1">
      <c r="C764" s="77" t="s">
        <v>47</v>
      </c>
      <c r="D764" s="77" t="s">
        <v>151</v>
      </c>
      <c r="E764" s="77">
        <v>5.13</v>
      </c>
      <c r="F764" s="78"/>
    </row>
    <row r="765" spans="3:6" ht="15.75" hidden="1" customHeight="1" outlineLevel="1">
      <c r="C765" s="77" t="s">
        <v>47</v>
      </c>
      <c r="D765" s="77" t="s">
        <v>152</v>
      </c>
      <c r="E765" s="77">
        <v>5.16</v>
      </c>
      <c r="F765" s="80" t="s">
        <v>1076</v>
      </c>
    </row>
    <row r="766" spans="3:6" ht="15.75" hidden="1" customHeight="1" outlineLevel="1">
      <c r="C766" s="77" t="s">
        <v>47</v>
      </c>
      <c r="D766" s="77" t="s">
        <v>153</v>
      </c>
      <c r="E766" s="77">
        <v>5.22</v>
      </c>
      <c r="F766" s="80"/>
    </row>
    <row r="767" spans="3:6" ht="15.75" hidden="1" customHeight="1" outlineLevel="1">
      <c r="C767" s="77" t="s">
        <v>47</v>
      </c>
      <c r="D767" s="77" t="s">
        <v>187</v>
      </c>
      <c r="E767" s="77">
        <v>5.42</v>
      </c>
      <c r="F767" s="78"/>
    </row>
    <row r="768" spans="3:6" ht="15.75" hidden="1" customHeight="1" outlineLevel="1">
      <c r="C768" s="77" t="s">
        <v>47</v>
      </c>
      <c r="D768" s="77" t="s">
        <v>55</v>
      </c>
      <c r="E768" s="77">
        <v>5.27</v>
      </c>
      <c r="F768" s="78"/>
    </row>
    <row r="769" spans="3:6" ht="15.75" hidden="1" customHeight="1" outlineLevel="1">
      <c r="C769" s="77" t="s">
        <v>47</v>
      </c>
      <c r="D769" s="77" t="s">
        <v>69</v>
      </c>
      <c r="E769" s="77">
        <v>5.28</v>
      </c>
      <c r="F769" s="80" t="s">
        <v>1076</v>
      </c>
    </row>
    <row r="770" spans="3:6" ht="15.75" hidden="1" customHeight="1" outlineLevel="1">
      <c r="C770" s="77" t="s">
        <v>47</v>
      </c>
      <c r="D770" s="77" t="s">
        <v>56</v>
      </c>
      <c r="E770" s="77">
        <v>5.36</v>
      </c>
      <c r="F770" s="78"/>
    </row>
    <row r="771" spans="3:6" ht="15.75" hidden="1" customHeight="1" outlineLevel="1">
      <c r="C771" s="77" t="s">
        <v>47</v>
      </c>
      <c r="D771" s="77" t="s">
        <v>71</v>
      </c>
      <c r="E771" s="77">
        <v>5.49</v>
      </c>
      <c r="F771" s="78"/>
    </row>
    <row r="772" spans="3:6" ht="15.75" hidden="1" customHeight="1" outlineLevel="1">
      <c r="C772" s="77" t="s">
        <v>47</v>
      </c>
      <c r="D772" s="77" t="s">
        <v>58</v>
      </c>
      <c r="E772" s="77">
        <v>5.51</v>
      </c>
      <c r="F772" s="78"/>
    </row>
    <row r="773" spans="3:6" ht="15.75" hidden="1" customHeight="1" outlineLevel="1">
      <c r="C773" s="77" t="s">
        <v>47</v>
      </c>
      <c r="D773" s="77" t="s">
        <v>1080</v>
      </c>
      <c r="E773" s="77">
        <v>5.52</v>
      </c>
      <c r="F773" s="78"/>
    </row>
    <row r="774" spans="3:6" ht="15.75" hidden="1" customHeight="1" outlineLevel="1">
      <c r="C774" s="77" t="s">
        <v>47</v>
      </c>
      <c r="D774" s="77" t="s">
        <v>59</v>
      </c>
      <c r="E774" s="77">
        <v>5.53</v>
      </c>
      <c r="F774" s="78"/>
    </row>
    <row r="775" spans="3:6" ht="15.75" hidden="1" customHeight="1" outlineLevel="1">
      <c r="C775" s="77" t="s">
        <v>47</v>
      </c>
      <c r="D775" s="77" t="s">
        <v>61</v>
      </c>
      <c r="E775" s="77">
        <v>5.54</v>
      </c>
      <c r="F775" s="78"/>
    </row>
    <row r="776" spans="3:6" ht="15.75" hidden="1" customHeight="1" outlineLevel="1">
      <c r="C776" s="77" t="s">
        <v>47</v>
      </c>
      <c r="D776" s="77" t="s">
        <v>62</v>
      </c>
      <c r="E776" s="79">
        <v>5.7</v>
      </c>
      <c r="F776" s="78"/>
    </row>
    <row r="777" spans="3:6" ht="15.75" hidden="1" customHeight="1" outlineLevel="1">
      <c r="C777" s="77" t="s">
        <v>47</v>
      </c>
      <c r="D777" s="77" t="s">
        <v>159</v>
      </c>
      <c r="E777" s="77">
        <v>5.71</v>
      </c>
      <c r="F777" s="78"/>
    </row>
    <row r="778" spans="3:6" ht="15.75" hidden="1" customHeight="1" outlineLevel="1">
      <c r="C778" s="77" t="s">
        <v>47</v>
      </c>
      <c r="D778" s="77" t="s">
        <v>188</v>
      </c>
      <c r="E778" s="79">
        <v>5.9</v>
      </c>
      <c r="F778" s="78"/>
    </row>
    <row r="779" spans="3:6" ht="15.75" hidden="1" customHeight="1" outlineLevel="1">
      <c r="C779" s="77" t="s">
        <v>47</v>
      </c>
      <c r="D779" s="77" t="s">
        <v>189</v>
      </c>
      <c r="E779" s="77">
        <v>5.91</v>
      </c>
      <c r="F779" s="78"/>
    </row>
    <row r="780" spans="3:6" ht="15.75" hidden="1" customHeight="1" outlineLevel="1">
      <c r="C780" s="77" t="s">
        <v>47</v>
      </c>
      <c r="D780" s="77" t="s">
        <v>190</v>
      </c>
      <c r="E780" s="77">
        <v>5.97</v>
      </c>
      <c r="F780" s="78"/>
    </row>
    <row r="781" spans="3:6" ht="15.75" hidden="1" customHeight="1">
      <c r="C781" s="81" t="s">
        <v>47</v>
      </c>
      <c r="D781" s="77"/>
      <c r="E781" s="77"/>
      <c r="F781" s="78"/>
    </row>
    <row r="782" spans="3:6" ht="15.75" hidden="1" customHeight="1" outlineLevel="1">
      <c r="C782" s="77" t="s">
        <v>1068</v>
      </c>
      <c r="D782" s="77" t="s">
        <v>49</v>
      </c>
      <c r="E782" s="77">
        <v>5.0999999999999996</v>
      </c>
      <c r="F782" s="78"/>
    </row>
    <row r="783" spans="3:6" ht="15.75" hidden="1" customHeight="1" outlineLevel="1">
      <c r="C783" s="77" t="s">
        <v>1068</v>
      </c>
      <c r="D783" s="77" t="s">
        <v>50</v>
      </c>
      <c r="E783" s="77">
        <v>5.2</v>
      </c>
      <c r="F783" s="78"/>
    </row>
    <row r="784" spans="3:6" ht="15.75" hidden="1" customHeight="1" outlineLevel="1">
      <c r="C784" s="77" t="s">
        <v>1068</v>
      </c>
      <c r="D784" s="77" t="s">
        <v>54</v>
      </c>
      <c r="E784" s="77">
        <v>5.26</v>
      </c>
      <c r="F784" s="78"/>
    </row>
    <row r="785" spans="3:6" ht="15.75" hidden="1" customHeight="1" outlineLevel="1">
      <c r="C785" s="77" t="s">
        <v>1068</v>
      </c>
      <c r="D785" s="77" t="s">
        <v>108</v>
      </c>
      <c r="E785" s="77">
        <v>5.5</v>
      </c>
      <c r="F785" s="78"/>
    </row>
    <row r="786" spans="3:6" ht="15.75" hidden="1" customHeight="1" outlineLevel="1">
      <c r="C786" s="77" t="s">
        <v>1068</v>
      </c>
      <c r="D786" s="77" t="s">
        <v>109</v>
      </c>
      <c r="E786" s="77">
        <v>5.8</v>
      </c>
      <c r="F786" s="80" t="s">
        <v>1076</v>
      </c>
    </row>
    <row r="787" spans="3:6" ht="15.75" hidden="1" customHeight="1" outlineLevel="1">
      <c r="C787" s="77" t="s">
        <v>1068</v>
      </c>
      <c r="D787" s="77" t="s">
        <v>110</v>
      </c>
      <c r="E787" s="77">
        <v>5.12</v>
      </c>
      <c r="F787" s="77"/>
    </row>
    <row r="788" spans="3:6" ht="15.75" hidden="1" customHeight="1" outlineLevel="1">
      <c r="C788" s="77" t="s">
        <v>1068</v>
      </c>
      <c r="D788" s="77" t="s">
        <v>111</v>
      </c>
      <c r="E788" s="77">
        <v>5.15</v>
      </c>
      <c r="F788" s="77"/>
    </row>
    <row r="789" spans="3:6" ht="15.75" hidden="1" customHeight="1" outlineLevel="1">
      <c r="C789" s="77" t="s">
        <v>1068</v>
      </c>
      <c r="D789" s="77" t="s">
        <v>112</v>
      </c>
      <c r="E789" s="79">
        <v>5.2</v>
      </c>
      <c r="F789" s="80"/>
    </row>
    <row r="790" spans="3:6" ht="15.75" hidden="1" customHeight="1" outlineLevel="1">
      <c r="C790" s="77" t="s">
        <v>1068</v>
      </c>
      <c r="D790" s="77" t="s">
        <v>113</v>
      </c>
      <c r="E790" s="77">
        <v>5.25</v>
      </c>
      <c r="F790" s="77"/>
    </row>
    <row r="791" spans="3:6" ht="15.75" hidden="1" customHeight="1" outlineLevel="1">
      <c r="C791" s="77" t="s">
        <v>1068</v>
      </c>
      <c r="D791" s="77" t="s">
        <v>59</v>
      </c>
      <c r="E791" s="77">
        <v>5.53</v>
      </c>
      <c r="F791" s="77"/>
    </row>
    <row r="792" spans="3:6" ht="15.75" hidden="1" customHeight="1" outlineLevel="1">
      <c r="C792" s="77" t="s">
        <v>1068</v>
      </c>
      <c r="D792" s="77" t="s">
        <v>191</v>
      </c>
      <c r="E792" s="79">
        <v>5.4</v>
      </c>
      <c r="F792" s="77"/>
    </row>
    <row r="793" spans="3:6" ht="15.75" hidden="1" customHeight="1" outlineLevel="1">
      <c r="C793" s="77" t="s">
        <v>1068</v>
      </c>
      <c r="D793" s="77" t="s">
        <v>192</v>
      </c>
      <c r="E793" s="77">
        <v>5.92</v>
      </c>
      <c r="F793" s="77"/>
    </row>
    <row r="794" spans="3:6" ht="15.75" hidden="1" customHeight="1" outlineLevel="1">
      <c r="C794" s="77" t="s">
        <v>1068</v>
      </c>
      <c r="D794" s="77" t="s">
        <v>193</v>
      </c>
      <c r="E794" s="77">
        <v>5.93</v>
      </c>
      <c r="F794" s="77"/>
    </row>
    <row r="795" spans="3:6" ht="15.75" hidden="1" customHeight="1" outlineLevel="1">
      <c r="C795" s="77" t="s">
        <v>1068</v>
      </c>
      <c r="D795" s="77" t="s">
        <v>194</v>
      </c>
      <c r="E795" s="77">
        <v>5.94</v>
      </c>
      <c r="F795" s="77"/>
    </row>
    <row r="796" spans="3:6" ht="15.75" hidden="1" customHeight="1" outlineLevel="1">
      <c r="C796" s="77" t="s">
        <v>1068</v>
      </c>
      <c r="D796" s="77" t="s">
        <v>195</v>
      </c>
      <c r="E796" s="77">
        <v>5.95</v>
      </c>
      <c r="F796" s="77"/>
    </row>
    <row r="797" spans="3:6" ht="15.75" hidden="1" customHeight="1" outlineLevel="1">
      <c r="C797" s="77" t="s">
        <v>1068</v>
      </c>
      <c r="D797" s="77" t="s">
        <v>196</v>
      </c>
      <c r="E797" s="77">
        <v>5.98</v>
      </c>
      <c r="F797" s="77"/>
    </row>
    <row r="798" spans="3:6" ht="15.75" hidden="1" customHeight="1" outlineLevel="1">
      <c r="C798" s="77" t="s">
        <v>1068</v>
      </c>
      <c r="D798" s="77" t="s">
        <v>197</v>
      </c>
      <c r="E798" s="77">
        <v>5.96</v>
      </c>
      <c r="F798" s="77"/>
    </row>
    <row r="799" spans="3:6" ht="15.75" hidden="1" customHeight="1">
      <c r="C799" s="81" t="s">
        <v>1068</v>
      </c>
      <c r="D799" s="77"/>
      <c r="E799" s="77"/>
      <c r="F799" s="77"/>
    </row>
    <row r="800" spans="3:6" ht="15.75" customHeight="1">
      <c r="C800" s="67"/>
      <c r="D800" s="67"/>
      <c r="F800" s="13"/>
    </row>
    <row r="801" spans="3:6" ht="15.75" customHeight="1">
      <c r="C801" s="67"/>
      <c r="D801" s="67"/>
      <c r="F801" s="13"/>
    </row>
    <row r="802" spans="3:6" ht="15.75" customHeight="1">
      <c r="C802" s="67"/>
      <c r="D802" s="67"/>
      <c r="F802" s="13"/>
    </row>
    <row r="803" spans="3:6" ht="15.75" customHeight="1">
      <c r="C803" s="67"/>
      <c r="D803" s="67"/>
      <c r="F803" s="13"/>
    </row>
    <row r="804" spans="3:6" ht="15.75" customHeight="1">
      <c r="C804" s="67"/>
      <c r="D804" s="67"/>
      <c r="F804" s="13"/>
    </row>
    <row r="805" spans="3:6" ht="15.75" customHeight="1">
      <c r="C805" s="67"/>
      <c r="D805" s="67"/>
      <c r="F805" s="13"/>
    </row>
    <row r="806" spans="3:6" ht="15.75" customHeight="1">
      <c r="C806" s="67"/>
      <c r="D806" s="67"/>
      <c r="F806" s="13"/>
    </row>
    <row r="807" spans="3:6" ht="15.75" customHeight="1">
      <c r="C807" s="67"/>
      <c r="D807" s="67"/>
      <c r="F807" s="13"/>
    </row>
    <row r="808" spans="3:6" ht="15.75" customHeight="1">
      <c r="C808" s="67"/>
      <c r="D808" s="67"/>
      <c r="F808" s="13"/>
    </row>
    <row r="809" spans="3:6" ht="15.75" customHeight="1">
      <c r="C809" s="67"/>
      <c r="D809" s="67"/>
      <c r="F809" s="13"/>
    </row>
    <row r="810" spans="3:6" ht="15.75" customHeight="1">
      <c r="C810" s="67"/>
      <c r="D810" s="67"/>
      <c r="F810" s="13"/>
    </row>
    <row r="811" spans="3:6" ht="15.75" customHeight="1">
      <c r="C811" s="67"/>
      <c r="D811" s="67"/>
      <c r="F811" s="13"/>
    </row>
    <row r="812" spans="3:6" ht="15.75" customHeight="1">
      <c r="C812" s="67"/>
      <c r="D812" s="67"/>
      <c r="F812" s="13"/>
    </row>
    <row r="813" spans="3:6" ht="15.75" customHeight="1">
      <c r="C813" s="67"/>
      <c r="D813" s="67"/>
      <c r="F813" s="13"/>
    </row>
    <row r="814" spans="3:6" ht="15.75" customHeight="1">
      <c r="C814" s="67"/>
      <c r="D814" s="67"/>
      <c r="F814" s="13"/>
    </row>
    <row r="815" spans="3:6" ht="15.75" customHeight="1">
      <c r="C815" s="67"/>
      <c r="D815" s="67"/>
      <c r="F815" s="13"/>
    </row>
    <row r="816" spans="3:6" ht="15.75" customHeight="1">
      <c r="C816" s="67"/>
      <c r="D816" s="67"/>
      <c r="F816" s="13"/>
    </row>
    <row r="817" spans="3:6" ht="15.75" customHeight="1">
      <c r="C817" s="67"/>
      <c r="D817" s="67"/>
      <c r="F817" s="13"/>
    </row>
    <row r="818" spans="3:6" ht="15.75" customHeight="1">
      <c r="C818" s="67"/>
      <c r="D818" s="67"/>
      <c r="F818" s="13"/>
    </row>
    <row r="819" spans="3:6" ht="15.75" customHeight="1">
      <c r="C819" s="67"/>
      <c r="D819" s="67"/>
      <c r="F819" s="13"/>
    </row>
    <row r="820" spans="3:6" ht="15.75" customHeight="1">
      <c r="C820" s="67"/>
      <c r="D820" s="67"/>
      <c r="F820" s="13"/>
    </row>
    <row r="821" spans="3:6" ht="15.75" customHeight="1">
      <c r="C821" s="67"/>
      <c r="D821" s="67"/>
      <c r="F821" s="13"/>
    </row>
    <row r="822" spans="3:6" ht="15.75" customHeight="1">
      <c r="C822" s="67"/>
      <c r="D822" s="67"/>
      <c r="F822" s="13"/>
    </row>
    <row r="823" spans="3:6" ht="15.75" customHeight="1">
      <c r="C823" s="67"/>
      <c r="D823" s="67"/>
      <c r="F823" s="13"/>
    </row>
    <row r="824" spans="3:6" ht="15.75" customHeight="1">
      <c r="C824" s="67"/>
      <c r="D824" s="67"/>
      <c r="F824" s="13"/>
    </row>
    <row r="825" spans="3:6" ht="15.75" customHeight="1">
      <c r="C825" s="67"/>
      <c r="D825" s="67"/>
      <c r="F825" s="13"/>
    </row>
    <row r="826" spans="3:6" ht="15.75" customHeight="1">
      <c r="C826" s="67"/>
      <c r="D826" s="67"/>
      <c r="F826" s="13"/>
    </row>
    <row r="827" spans="3:6" ht="15.75" customHeight="1">
      <c r="C827" s="67"/>
      <c r="D827" s="67"/>
      <c r="F827" s="13"/>
    </row>
    <row r="828" spans="3:6" ht="15.75" customHeight="1">
      <c r="C828" s="67"/>
      <c r="D828" s="67"/>
      <c r="F828" s="13"/>
    </row>
    <row r="829" spans="3:6" ht="15.75" customHeight="1">
      <c r="C829" s="67"/>
      <c r="D829" s="67"/>
      <c r="F829" s="13"/>
    </row>
    <row r="830" spans="3:6" ht="15.75" customHeight="1">
      <c r="C830" s="67"/>
      <c r="D830" s="67"/>
      <c r="F830" s="13"/>
    </row>
    <row r="831" spans="3:6" ht="15.75" customHeight="1">
      <c r="C831" s="67"/>
      <c r="D831" s="67"/>
      <c r="F831" s="13"/>
    </row>
    <row r="832" spans="3:6" ht="15.75" customHeight="1">
      <c r="C832" s="67"/>
      <c r="D832" s="67"/>
      <c r="F832" s="13"/>
    </row>
    <row r="833" spans="3:6" ht="15.75" customHeight="1">
      <c r="C833" s="67"/>
      <c r="D833" s="67"/>
      <c r="F833" s="13"/>
    </row>
    <row r="834" spans="3:6" ht="15.75" customHeight="1">
      <c r="C834" s="67"/>
      <c r="D834" s="67"/>
      <c r="F834" s="13"/>
    </row>
    <row r="835" spans="3:6" ht="15.75" customHeight="1">
      <c r="C835" s="67"/>
      <c r="D835" s="67"/>
      <c r="F835" s="13"/>
    </row>
    <row r="836" spans="3:6" ht="15.75" customHeight="1">
      <c r="C836" s="67"/>
      <c r="D836" s="67"/>
      <c r="F836" s="13"/>
    </row>
    <row r="837" spans="3:6" ht="15.75" customHeight="1">
      <c r="C837" s="67"/>
      <c r="D837" s="67"/>
      <c r="F837" s="13"/>
    </row>
    <row r="838" spans="3:6" ht="15.75" customHeight="1">
      <c r="C838" s="67"/>
      <c r="D838" s="67"/>
      <c r="F838" s="13"/>
    </row>
    <row r="839" spans="3:6" ht="15.75" customHeight="1">
      <c r="C839" s="67"/>
      <c r="D839" s="67"/>
      <c r="F839" s="13"/>
    </row>
    <row r="840" spans="3:6" ht="15.75" customHeight="1">
      <c r="C840" s="67"/>
      <c r="D840" s="67"/>
      <c r="F840" s="13"/>
    </row>
    <row r="841" spans="3:6" ht="15.75" customHeight="1">
      <c r="C841" s="67"/>
      <c r="D841" s="67"/>
      <c r="F841" s="13"/>
    </row>
    <row r="842" spans="3:6" ht="15.75" customHeight="1">
      <c r="C842" s="67"/>
      <c r="D842" s="67"/>
      <c r="F842" s="13"/>
    </row>
    <row r="843" spans="3:6" ht="15.75" customHeight="1">
      <c r="C843" s="67"/>
      <c r="D843" s="67"/>
      <c r="F843" s="13"/>
    </row>
    <row r="844" spans="3:6" ht="15.75" customHeight="1">
      <c r="C844" s="67"/>
      <c r="D844" s="67"/>
      <c r="F844" s="13"/>
    </row>
    <row r="845" spans="3:6" ht="15.75" customHeight="1">
      <c r="C845" s="67"/>
      <c r="D845" s="67"/>
      <c r="F845" s="13"/>
    </row>
    <row r="846" spans="3:6" ht="15.75" customHeight="1">
      <c r="C846" s="67"/>
      <c r="D846" s="67"/>
      <c r="F846" s="13"/>
    </row>
    <row r="847" spans="3:6" ht="15.75" customHeight="1">
      <c r="C847" s="67"/>
      <c r="D847" s="67"/>
      <c r="F847" s="13"/>
    </row>
    <row r="848" spans="3:6" ht="15.75" customHeight="1">
      <c r="C848" s="67"/>
      <c r="D848" s="67"/>
      <c r="F848" s="13"/>
    </row>
    <row r="849" spans="3:6" ht="15.75" customHeight="1">
      <c r="C849" s="67"/>
      <c r="D849" s="67"/>
      <c r="F849" s="13"/>
    </row>
    <row r="850" spans="3:6" ht="15.75" customHeight="1">
      <c r="C850" s="67"/>
      <c r="D850" s="67"/>
      <c r="F850" s="13"/>
    </row>
    <row r="851" spans="3:6" ht="15.75" customHeight="1">
      <c r="C851" s="67"/>
      <c r="D851" s="67"/>
      <c r="F851" s="13"/>
    </row>
    <row r="852" spans="3:6" ht="15.75" customHeight="1">
      <c r="C852" s="67"/>
      <c r="D852" s="67"/>
      <c r="F852" s="13"/>
    </row>
    <row r="853" spans="3:6" ht="15.75" customHeight="1">
      <c r="C853" s="67"/>
      <c r="D853" s="67"/>
      <c r="F853" s="13"/>
    </row>
    <row r="854" spans="3:6" ht="15.75" customHeight="1">
      <c r="C854" s="67"/>
      <c r="D854" s="67"/>
      <c r="F854" s="13"/>
    </row>
    <row r="855" spans="3:6" ht="15.75" customHeight="1">
      <c r="C855" s="67"/>
      <c r="D855" s="67"/>
      <c r="F855" s="13"/>
    </row>
    <row r="856" spans="3:6" ht="15.75" customHeight="1">
      <c r="C856" s="67"/>
      <c r="D856" s="67"/>
      <c r="F856" s="13"/>
    </row>
    <row r="857" spans="3:6" ht="15.75" customHeight="1">
      <c r="C857" s="67"/>
      <c r="D857" s="67"/>
      <c r="F857" s="13"/>
    </row>
    <row r="858" spans="3:6" ht="15.75" customHeight="1">
      <c r="C858" s="67"/>
      <c r="D858" s="67"/>
      <c r="F858" s="13"/>
    </row>
    <row r="859" spans="3:6" ht="15.75" customHeight="1">
      <c r="C859" s="67"/>
      <c r="D859" s="67"/>
      <c r="F859" s="13"/>
    </row>
    <row r="860" spans="3:6" ht="15.75" customHeight="1">
      <c r="C860" s="67"/>
      <c r="D860" s="67"/>
      <c r="F860" s="13"/>
    </row>
    <row r="861" spans="3:6" ht="15.75" customHeight="1">
      <c r="C861" s="67"/>
      <c r="D861" s="67"/>
      <c r="F861" s="13"/>
    </row>
    <row r="862" spans="3:6" ht="15.75" customHeight="1">
      <c r="C862" s="67"/>
      <c r="D862" s="67"/>
      <c r="F862" s="13"/>
    </row>
    <row r="863" spans="3:6" ht="15.75" customHeight="1">
      <c r="C863" s="67"/>
      <c r="D863" s="67"/>
      <c r="F863" s="13"/>
    </row>
    <row r="864" spans="3:6" ht="15.75" customHeight="1">
      <c r="C864" s="67"/>
      <c r="D864" s="67"/>
      <c r="F864" s="13"/>
    </row>
    <row r="865" spans="3:6" ht="15.75" customHeight="1">
      <c r="C865" s="67"/>
      <c r="D865" s="67"/>
      <c r="F865" s="13"/>
    </row>
    <row r="866" spans="3:6" ht="15.75" customHeight="1">
      <c r="C866" s="67"/>
      <c r="D866" s="67"/>
      <c r="F866" s="13"/>
    </row>
    <row r="867" spans="3:6" ht="15.75" customHeight="1">
      <c r="C867" s="67"/>
      <c r="D867" s="67"/>
      <c r="F867" s="13"/>
    </row>
    <row r="868" spans="3:6" ht="15.75" customHeight="1">
      <c r="C868" s="67"/>
      <c r="D868" s="67"/>
      <c r="F868" s="13"/>
    </row>
    <row r="869" spans="3:6" ht="15.75" customHeight="1">
      <c r="C869" s="67"/>
      <c r="D869" s="67"/>
      <c r="F869" s="13"/>
    </row>
    <row r="870" spans="3:6" ht="15.75" customHeight="1">
      <c r="C870" s="67"/>
      <c r="D870" s="67"/>
      <c r="F870" s="13"/>
    </row>
    <row r="871" spans="3:6" ht="15.75" customHeight="1">
      <c r="C871" s="67"/>
      <c r="D871" s="67"/>
      <c r="F871" s="13"/>
    </row>
    <row r="872" spans="3:6" ht="15.75" customHeight="1">
      <c r="C872" s="67"/>
      <c r="D872" s="67"/>
      <c r="F872" s="13"/>
    </row>
    <row r="873" spans="3:6" ht="15.75" customHeight="1">
      <c r="C873" s="67"/>
      <c r="D873" s="67"/>
      <c r="F873" s="13"/>
    </row>
    <row r="874" spans="3:6" ht="15.75" customHeight="1">
      <c r="C874" s="67"/>
      <c r="D874" s="67"/>
      <c r="F874" s="13"/>
    </row>
    <row r="875" spans="3:6" ht="15.75" customHeight="1">
      <c r="C875" s="67"/>
      <c r="D875" s="67"/>
      <c r="F875" s="13"/>
    </row>
    <row r="876" spans="3:6" ht="15.75" customHeight="1">
      <c r="C876" s="67"/>
      <c r="D876" s="67"/>
      <c r="F876" s="13"/>
    </row>
    <row r="877" spans="3:6" ht="15.75" customHeight="1">
      <c r="C877" s="67"/>
      <c r="D877" s="67"/>
      <c r="F877" s="13"/>
    </row>
    <row r="878" spans="3:6" ht="15.75" customHeight="1">
      <c r="C878" s="67"/>
      <c r="D878" s="67"/>
      <c r="F878" s="13"/>
    </row>
    <row r="879" spans="3:6" ht="15.75" customHeight="1">
      <c r="C879" s="67"/>
      <c r="D879" s="67"/>
      <c r="F879" s="13"/>
    </row>
    <row r="880" spans="3:6" ht="15.75" customHeight="1">
      <c r="C880" s="67"/>
      <c r="D880" s="67"/>
      <c r="F880" s="13"/>
    </row>
    <row r="881" spans="3:6" ht="15.75" customHeight="1">
      <c r="C881" s="67"/>
      <c r="D881" s="67"/>
      <c r="F881" s="13"/>
    </row>
    <row r="882" spans="3:6" ht="15.75" customHeight="1">
      <c r="C882" s="67"/>
      <c r="D882" s="67"/>
      <c r="F882" s="13"/>
    </row>
    <row r="883" spans="3:6" ht="15.75" customHeight="1">
      <c r="C883" s="67"/>
      <c r="D883" s="67"/>
      <c r="F883" s="13"/>
    </row>
    <row r="884" spans="3:6" ht="15.75" customHeight="1">
      <c r="C884" s="67"/>
      <c r="D884" s="67"/>
      <c r="F884" s="13"/>
    </row>
    <row r="885" spans="3:6" ht="15.75" customHeight="1">
      <c r="C885" s="67"/>
      <c r="D885" s="67"/>
      <c r="F885" s="13"/>
    </row>
    <row r="886" spans="3:6" ht="15.75" customHeight="1">
      <c r="C886" s="67"/>
      <c r="D886" s="67"/>
      <c r="F886" s="13"/>
    </row>
    <row r="887" spans="3:6" ht="15.75" customHeight="1">
      <c r="C887" s="67"/>
      <c r="D887" s="67"/>
      <c r="F887" s="13"/>
    </row>
    <row r="888" spans="3:6" ht="15.75" customHeight="1">
      <c r="C888" s="67"/>
      <c r="D888" s="67"/>
      <c r="F888" s="13"/>
    </row>
    <row r="889" spans="3:6" ht="15.75" customHeight="1">
      <c r="C889" s="67"/>
      <c r="D889" s="67"/>
      <c r="F889" s="13"/>
    </row>
    <row r="890" spans="3:6" ht="15.75" customHeight="1">
      <c r="C890" s="67"/>
      <c r="D890" s="67"/>
      <c r="F890" s="13"/>
    </row>
    <row r="891" spans="3:6" ht="15.75" customHeight="1">
      <c r="C891" s="67"/>
      <c r="D891" s="67"/>
      <c r="F891" s="13"/>
    </row>
    <row r="892" spans="3:6" ht="15.75" customHeight="1">
      <c r="C892" s="67"/>
      <c r="D892" s="67"/>
      <c r="F892" s="13"/>
    </row>
    <row r="893" spans="3:6" ht="15.75" customHeight="1">
      <c r="C893" s="67"/>
      <c r="D893" s="67"/>
      <c r="F893" s="13"/>
    </row>
    <row r="894" spans="3:6" ht="15.75" customHeight="1">
      <c r="C894" s="67"/>
      <c r="D894" s="67"/>
      <c r="F894" s="13"/>
    </row>
    <row r="895" spans="3:6" ht="15.75" customHeight="1">
      <c r="C895" s="67"/>
      <c r="D895" s="67"/>
      <c r="F895" s="13"/>
    </row>
    <row r="896" spans="3:6" ht="15.75" customHeight="1">
      <c r="C896" s="67"/>
      <c r="D896" s="67"/>
      <c r="F896" s="13"/>
    </row>
    <row r="897" spans="3:6" ht="15.75" customHeight="1">
      <c r="C897" s="67"/>
      <c r="D897" s="67"/>
      <c r="F897" s="13"/>
    </row>
    <row r="898" spans="3:6" ht="15.75" customHeight="1">
      <c r="C898" s="67"/>
      <c r="D898" s="67"/>
      <c r="F898" s="13"/>
    </row>
    <row r="899" spans="3:6" ht="15.75" customHeight="1">
      <c r="C899" s="67"/>
      <c r="D899" s="67"/>
      <c r="F899" s="13"/>
    </row>
    <row r="900" spans="3:6" ht="15.75" customHeight="1">
      <c r="C900" s="67"/>
      <c r="D900" s="67"/>
      <c r="F900" s="13"/>
    </row>
    <row r="901" spans="3:6" ht="15.75" customHeight="1">
      <c r="C901" s="67"/>
      <c r="D901" s="67"/>
      <c r="F901" s="13"/>
    </row>
    <row r="902" spans="3:6" ht="15.75" customHeight="1">
      <c r="C902" s="67"/>
      <c r="D902" s="67"/>
      <c r="F902" s="13"/>
    </row>
    <row r="903" spans="3:6" ht="15.75" customHeight="1">
      <c r="C903" s="67"/>
      <c r="D903" s="67"/>
      <c r="F903" s="13"/>
    </row>
    <row r="904" spans="3:6" ht="15.75" customHeight="1">
      <c r="C904" s="67"/>
      <c r="D904" s="67"/>
      <c r="F904" s="13"/>
    </row>
    <row r="905" spans="3:6" ht="15.75" customHeight="1">
      <c r="C905" s="67"/>
      <c r="D905" s="67"/>
      <c r="F905" s="13"/>
    </row>
    <row r="906" spans="3:6" ht="15.75" customHeight="1">
      <c r="C906" s="67"/>
      <c r="D906" s="67"/>
      <c r="F906" s="13"/>
    </row>
    <row r="907" spans="3:6" ht="15.75" customHeight="1">
      <c r="C907" s="67"/>
      <c r="D907" s="67"/>
      <c r="F907" s="13"/>
    </row>
    <row r="908" spans="3:6" ht="15.75" customHeight="1">
      <c r="C908" s="67"/>
      <c r="D908" s="67"/>
      <c r="F908" s="13"/>
    </row>
    <row r="909" spans="3:6" ht="15.75" customHeight="1">
      <c r="C909" s="67"/>
      <c r="D909" s="67"/>
      <c r="F909" s="13"/>
    </row>
    <row r="910" spans="3:6" ht="15.75" customHeight="1">
      <c r="C910" s="67"/>
      <c r="D910" s="67"/>
      <c r="F910" s="13"/>
    </row>
    <row r="911" spans="3:6" ht="15.75" customHeight="1">
      <c r="C911" s="67"/>
      <c r="D911" s="67"/>
      <c r="F911" s="13"/>
    </row>
    <row r="912" spans="3:6" ht="15.75" customHeight="1">
      <c r="C912" s="67"/>
      <c r="D912" s="67"/>
      <c r="F912" s="13"/>
    </row>
    <row r="913" spans="3:6" ht="15.75" customHeight="1">
      <c r="C913" s="67"/>
      <c r="D913" s="67"/>
      <c r="F913" s="13"/>
    </row>
    <row r="914" spans="3:6" ht="15.75" customHeight="1">
      <c r="C914" s="67"/>
      <c r="D914" s="67"/>
      <c r="F914" s="13"/>
    </row>
    <row r="915" spans="3:6" ht="15.75" customHeight="1">
      <c r="C915" s="67"/>
      <c r="D915" s="67"/>
      <c r="F915" s="13"/>
    </row>
    <row r="916" spans="3:6" ht="15.75" customHeight="1">
      <c r="C916" s="67"/>
      <c r="D916" s="67"/>
      <c r="F916" s="13"/>
    </row>
    <row r="917" spans="3:6" ht="15.75" customHeight="1">
      <c r="C917" s="67"/>
      <c r="D917" s="67"/>
      <c r="F917" s="13"/>
    </row>
    <row r="918" spans="3:6" ht="15.75" customHeight="1">
      <c r="C918" s="67"/>
      <c r="D918" s="67"/>
      <c r="F918" s="13"/>
    </row>
    <row r="919" spans="3:6" ht="15.75" customHeight="1">
      <c r="C919" s="67"/>
      <c r="D919" s="67"/>
      <c r="F919" s="13"/>
    </row>
    <row r="920" spans="3:6" ht="15.75" customHeight="1">
      <c r="C920" s="67"/>
      <c r="D920" s="67"/>
      <c r="F920" s="13"/>
    </row>
    <row r="921" spans="3:6" ht="15.75" customHeight="1">
      <c r="C921" s="67"/>
      <c r="D921" s="67"/>
      <c r="F921" s="13"/>
    </row>
    <row r="922" spans="3:6" ht="15.75" customHeight="1">
      <c r="C922" s="67"/>
      <c r="D922" s="67"/>
      <c r="F922" s="13"/>
    </row>
    <row r="923" spans="3:6" ht="15.75" customHeight="1">
      <c r="C923" s="67"/>
      <c r="D923" s="67"/>
      <c r="F923" s="13"/>
    </row>
    <row r="924" spans="3:6" ht="15.75" customHeight="1">
      <c r="C924" s="67"/>
      <c r="D924" s="67"/>
      <c r="F924" s="13"/>
    </row>
    <row r="925" spans="3:6" ht="15.75" customHeight="1">
      <c r="C925" s="67"/>
      <c r="D925" s="67"/>
      <c r="F925" s="13"/>
    </row>
    <row r="926" spans="3:6" ht="15.75" customHeight="1">
      <c r="C926" s="67"/>
      <c r="D926" s="67"/>
      <c r="F926" s="13"/>
    </row>
    <row r="927" spans="3:6" ht="15.75" customHeight="1">
      <c r="C927" s="67"/>
      <c r="D927" s="67"/>
      <c r="F927" s="13"/>
    </row>
    <row r="928" spans="3:6" ht="15.75" customHeight="1">
      <c r="C928" s="67"/>
      <c r="D928" s="67"/>
      <c r="F928" s="13"/>
    </row>
    <row r="929" spans="3:6" ht="15.75" customHeight="1">
      <c r="C929" s="67"/>
      <c r="D929" s="67"/>
      <c r="F929" s="13"/>
    </row>
    <row r="930" spans="3:6" ht="15.75" customHeight="1">
      <c r="C930" s="67"/>
      <c r="D930" s="67"/>
      <c r="F930" s="13"/>
    </row>
    <row r="931" spans="3:6" ht="15.75" customHeight="1">
      <c r="C931" s="67"/>
      <c r="D931" s="67"/>
      <c r="F931" s="13"/>
    </row>
    <row r="932" spans="3:6" ht="15.75" customHeight="1">
      <c r="C932" s="67"/>
      <c r="D932" s="67"/>
      <c r="F932" s="13"/>
    </row>
    <row r="933" spans="3:6" ht="15.75" customHeight="1">
      <c r="C933" s="67"/>
      <c r="D933" s="67"/>
      <c r="F933" s="13"/>
    </row>
    <row r="934" spans="3:6" ht="15.75" customHeight="1">
      <c r="C934" s="67"/>
      <c r="D934" s="67"/>
      <c r="F934" s="13"/>
    </row>
    <row r="935" spans="3:6" ht="15.75" customHeight="1">
      <c r="C935" s="67"/>
      <c r="D935" s="67"/>
      <c r="F935" s="13"/>
    </row>
    <row r="936" spans="3:6" ht="15.75" customHeight="1">
      <c r="C936" s="67"/>
      <c r="D936" s="67"/>
      <c r="F936" s="13"/>
    </row>
    <row r="937" spans="3:6" ht="15.75" customHeight="1">
      <c r="C937" s="67"/>
      <c r="D937" s="67"/>
      <c r="F937" s="13"/>
    </row>
    <row r="938" spans="3:6" ht="15.75" customHeight="1">
      <c r="C938" s="67"/>
      <c r="D938" s="67"/>
      <c r="F938" s="13"/>
    </row>
    <row r="939" spans="3:6" ht="15.75" customHeight="1">
      <c r="C939" s="67"/>
      <c r="D939" s="67"/>
      <c r="F939" s="13"/>
    </row>
    <row r="940" spans="3:6" ht="15.75" customHeight="1">
      <c r="C940" s="67"/>
      <c r="D940" s="67"/>
      <c r="F940" s="13"/>
    </row>
    <row r="941" spans="3:6" ht="15.75" customHeight="1">
      <c r="C941" s="67"/>
      <c r="D941" s="67"/>
      <c r="F941" s="13"/>
    </row>
    <row r="942" spans="3:6" ht="15.75" customHeight="1">
      <c r="C942" s="67"/>
      <c r="D942" s="67"/>
      <c r="F942" s="13"/>
    </row>
    <row r="943" spans="3:6" ht="15.75" customHeight="1">
      <c r="C943" s="67"/>
      <c r="D943" s="67"/>
      <c r="F943" s="13"/>
    </row>
    <row r="944" spans="3:6" ht="15.75" customHeight="1">
      <c r="C944" s="67"/>
      <c r="D944" s="67"/>
      <c r="F944" s="13"/>
    </row>
    <row r="945" spans="3:6" ht="15.75" customHeight="1">
      <c r="C945" s="67"/>
      <c r="D945" s="67"/>
      <c r="F945" s="13"/>
    </row>
    <row r="946" spans="3:6" ht="15.75" customHeight="1">
      <c r="C946" s="67"/>
      <c r="D946" s="67"/>
      <c r="F946" s="13"/>
    </row>
    <row r="947" spans="3:6" ht="15.75" customHeight="1">
      <c r="C947" s="67"/>
      <c r="D947" s="67"/>
      <c r="F947" s="13"/>
    </row>
    <row r="948" spans="3:6" ht="15.75" customHeight="1">
      <c r="C948" s="67"/>
      <c r="D948" s="67"/>
      <c r="F948" s="13"/>
    </row>
    <row r="949" spans="3:6" ht="15.75" customHeight="1">
      <c r="C949" s="67"/>
      <c r="D949" s="67"/>
      <c r="F949" s="13"/>
    </row>
    <row r="950" spans="3:6" ht="15.75" customHeight="1">
      <c r="C950" s="67"/>
      <c r="D950" s="67"/>
      <c r="F950" s="13"/>
    </row>
    <row r="951" spans="3:6" ht="15.75" customHeight="1">
      <c r="C951" s="67"/>
      <c r="D951" s="67"/>
      <c r="F951" s="13"/>
    </row>
    <row r="952" spans="3:6" ht="15.75" customHeight="1">
      <c r="C952" s="67"/>
      <c r="D952" s="67"/>
      <c r="F952" s="13"/>
    </row>
    <row r="953" spans="3:6" ht="15.75" customHeight="1">
      <c r="C953" s="67"/>
      <c r="D953" s="67"/>
      <c r="F953" s="13"/>
    </row>
    <row r="954" spans="3:6" ht="15.75" customHeight="1">
      <c r="C954" s="67"/>
      <c r="D954" s="67"/>
      <c r="F954" s="13"/>
    </row>
    <row r="955" spans="3:6" ht="15.75" customHeight="1">
      <c r="C955" s="67"/>
      <c r="D955" s="67"/>
      <c r="F955" s="13"/>
    </row>
    <row r="956" spans="3:6" ht="15.75" customHeight="1">
      <c r="C956" s="67"/>
      <c r="D956" s="67"/>
      <c r="F956" s="13"/>
    </row>
    <row r="957" spans="3:6" ht="15.75" customHeight="1">
      <c r="C957" s="67"/>
      <c r="D957" s="67"/>
      <c r="F957" s="13"/>
    </row>
    <row r="958" spans="3:6" ht="15.75" customHeight="1">
      <c r="C958" s="67"/>
      <c r="D958" s="67"/>
      <c r="F958" s="13"/>
    </row>
    <row r="959" spans="3:6" ht="15.75" customHeight="1">
      <c r="C959" s="67"/>
      <c r="D959" s="67"/>
      <c r="F959" s="13"/>
    </row>
    <row r="960" spans="3:6" ht="15.75" customHeight="1">
      <c r="C960" s="67"/>
      <c r="D960" s="67"/>
      <c r="F960" s="13"/>
    </row>
    <row r="961" spans="3:6" ht="15.75" customHeight="1">
      <c r="C961" s="67"/>
      <c r="D961" s="67"/>
      <c r="F961" s="13"/>
    </row>
    <row r="962" spans="3:6" ht="15.75" customHeight="1">
      <c r="C962" s="67"/>
      <c r="D962" s="67"/>
      <c r="F962" s="13"/>
    </row>
    <row r="963" spans="3:6" ht="15.75" customHeight="1">
      <c r="C963" s="67"/>
      <c r="D963" s="67"/>
      <c r="F963" s="13"/>
    </row>
    <row r="964" spans="3:6" ht="15.75" customHeight="1">
      <c r="C964" s="67"/>
      <c r="D964" s="67"/>
      <c r="F964" s="13"/>
    </row>
    <row r="965" spans="3:6" ht="15.75" customHeight="1">
      <c r="C965" s="67"/>
      <c r="D965" s="67"/>
      <c r="F965" s="13"/>
    </row>
    <row r="966" spans="3:6" ht="15.75" customHeight="1">
      <c r="C966" s="67"/>
      <c r="D966" s="67"/>
      <c r="F966" s="13"/>
    </row>
    <row r="967" spans="3:6" ht="15.75" customHeight="1">
      <c r="C967" s="67"/>
      <c r="D967" s="67"/>
      <c r="F967" s="13"/>
    </row>
    <row r="968" spans="3:6" ht="15.75" customHeight="1">
      <c r="C968" s="67"/>
      <c r="D968" s="67"/>
      <c r="F968" s="13"/>
    </row>
    <row r="969" spans="3:6" ht="15.75" customHeight="1">
      <c r="C969" s="67"/>
      <c r="D969" s="67"/>
      <c r="F969" s="13"/>
    </row>
    <row r="970" spans="3:6" ht="15.75" customHeight="1">
      <c r="C970" s="67"/>
      <c r="D970" s="67"/>
      <c r="F970" s="13"/>
    </row>
    <row r="971" spans="3:6" ht="15.75" customHeight="1">
      <c r="C971" s="67"/>
      <c r="D971" s="67"/>
      <c r="F971" s="13"/>
    </row>
    <row r="972" spans="3:6" ht="15.75" customHeight="1">
      <c r="C972" s="67"/>
      <c r="D972" s="67"/>
      <c r="F972" s="13"/>
    </row>
    <row r="973" spans="3:6" ht="15.75" customHeight="1">
      <c r="C973" s="67"/>
      <c r="D973" s="67"/>
      <c r="F973" s="13"/>
    </row>
    <row r="974" spans="3:6" ht="15.75" customHeight="1">
      <c r="C974" s="67"/>
      <c r="D974" s="67"/>
      <c r="F974" s="13"/>
    </row>
    <row r="975" spans="3:6" ht="15.75" customHeight="1">
      <c r="C975" s="67"/>
      <c r="D975" s="67"/>
      <c r="F975" s="13"/>
    </row>
    <row r="976" spans="3:6" ht="15.75" customHeight="1">
      <c r="C976" s="67"/>
      <c r="D976" s="67"/>
      <c r="F976" s="13"/>
    </row>
    <row r="977" spans="3:6" ht="15.75" customHeight="1">
      <c r="C977" s="67"/>
      <c r="D977" s="67"/>
      <c r="F977" s="13"/>
    </row>
    <row r="978" spans="3:6" ht="15.75" customHeight="1">
      <c r="C978" s="67"/>
      <c r="D978" s="67"/>
      <c r="F978" s="13"/>
    </row>
    <row r="979" spans="3:6" ht="15.75" customHeight="1">
      <c r="C979" s="67"/>
      <c r="D979" s="67"/>
      <c r="F979" s="13"/>
    </row>
    <row r="980" spans="3:6" ht="15.75" customHeight="1">
      <c r="C980" s="67"/>
      <c r="D980" s="67"/>
      <c r="F980" s="13"/>
    </row>
    <row r="981" spans="3:6" ht="15.75" customHeight="1">
      <c r="C981" s="67"/>
      <c r="D981" s="67"/>
      <c r="F981" s="13"/>
    </row>
    <row r="982" spans="3:6" ht="15.75" customHeight="1">
      <c r="C982" s="67"/>
      <c r="D982" s="67"/>
      <c r="F982" s="13"/>
    </row>
    <row r="983" spans="3:6" ht="15.75" customHeight="1">
      <c r="C983" s="67"/>
      <c r="D983" s="67"/>
      <c r="F983" s="13"/>
    </row>
    <row r="984" spans="3:6" ht="15.75" customHeight="1">
      <c r="C984" s="67"/>
      <c r="D984" s="67"/>
      <c r="F984" s="13"/>
    </row>
    <row r="985" spans="3:6" ht="15.75" customHeight="1">
      <c r="C985" s="67"/>
      <c r="D985" s="67"/>
      <c r="F985" s="13"/>
    </row>
    <row r="986" spans="3:6" ht="15.75" customHeight="1">
      <c r="C986" s="67"/>
      <c r="D986" s="67"/>
      <c r="F986" s="13"/>
    </row>
    <row r="987" spans="3:6" ht="15.75" customHeight="1">
      <c r="C987" s="67"/>
      <c r="D987" s="67"/>
      <c r="F987" s="13"/>
    </row>
    <row r="988" spans="3:6" ht="15.75" customHeight="1">
      <c r="C988" s="67"/>
      <c r="D988" s="67"/>
      <c r="F988" s="13"/>
    </row>
    <row r="989" spans="3:6" ht="15.75" customHeight="1">
      <c r="C989" s="67"/>
      <c r="D989" s="67"/>
      <c r="F989" s="13"/>
    </row>
    <row r="990" spans="3:6" ht="15.75" customHeight="1">
      <c r="C990" s="67"/>
      <c r="D990" s="67"/>
      <c r="F990" s="13"/>
    </row>
    <row r="991" spans="3:6" ht="15.75" customHeight="1">
      <c r="C991" s="67"/>
      <c r="D991" s="67"/>
      <c r="F991" s="13"/>
    </row>
    <row r="992" spans="3:6" ht="15.75" customHeight="1">
      <c r="C992" s="67"/>
      <c r="D992" s="67"/>
      <c r="F992" s="13"/>
    </row>
    <row r="993" spans="3:6" ht="15.75" customHeight="1">
      <c r="C993" s="67"/>
      <c r="D993" s="67"/>
      <c r="F993" s="13"/>
    </row>
    <row r="994" spans="3:6" ht="15.75" customHeight="1">
      <c r="C994" s="67"/>
      <c r="D994" s="67"/>
      <c r="F994" s="13"/>
    </row>
    <row r="995" spans="3:6" ht="15.75" customHeight="1">
      <c r="C995" s="67"/>
      <c r="D995" s="67"/>
      <c r="F995" s="13"/>
    </row>
    <row r="996" spans="3:6" ht="15.75" customHeight="1">
      <c r="C996" s="67"/>
      <c r="D996" s="67"/>
      <c r="F996" s="13"/>
    </row>
    <row r="997" spans="3:6" ht="15.75" customHeight="1">
      <c r="C997" s="67"/>
      <c r="D997" s="67"/>
      <c r="F997" s="13"/>
    </row>
    <row r="998" spans="3:6" ht="15.75" customHeight="1">
      <c r="C998" s="67"/>
      <c r="D998" s="67"/>
      <c r="F998" s="13"/>
    </row>
    <row r="999" spans="3:6" ht="15.75" customHeight="1">
      <c r="C999" s="67"/>
      <c r="D999" s="67"/>
      <c r="F999" s="13"/>
    </row>
    <row r="1000" spans="3:6" ht="15.75" customHeight="1">
      <c r="C1000" s="67"/>
      <c r="D1000" s="67"/>
      <c r="F1000" s="13"/>
    </row>
    <row r="1001" spans="3:6" ht="15.75" customHeight="1">
      <c r="C1001" s="67"/>
      <c r="D1001" s="67"/>
      <c r="F1001" s="13"/>
    </row>
    <row r="1002" spans="3:6" ht="15.75" customHeight="1">
      <c r="C1002" s="67"/>
      <c r="D1002" s="67"/>
      <c r="F1002" s="13"/>
    </row>
    <row r="1003" spans="3:6" ht="15.75" customHeight="1">
      <c r="C1003" s="67"/>
      <c r="D1003" s="67"/>
      <c r="F1003" s="13"/>
    </row>
    <row r="1004" spans="3:6" ht="15.75" customHeight="1">
      <c r="C1004" s="67"/>
      <c r="D1004" s="67"/>
      <c r="F1004" s="13"/>
    </row>
  </sheetData>
  <autoFilter ref="C5:F799" xr:uid="{00000000-0009-0000-0000-000020000000}">
    <filterColumn colId="1">
      <filters>
        <filter val="מבנה לוח סילוקין"/>
      </filters>
    </filterColumn>
  </autoFilter>
  <mergeCells count="4">
    <mergeCell ref="C619:F619"/>
    <mergeCell ref="B4:XFD618"/>
    <mergeCell ref="A1:A4"/>
    <mergeCell ref="B1:XFD1"/>
  </mergeCells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83" t="s">
        <v>1083</v>
      </c>
    </row>
    <row r="3" spans="1:2" ht="14.25" customHeight="1">
      <c r="A3" s="3" t="s">
        <v>1084</v>
      </c>
      <c r="B3" s="3" t="s">
        <v>1085</v>
      </c>
    </row>
    <row r="4" spans="1:2" ht="14.25" customHeight="1">
      <c r="A4" s="3" t="s">
        <v>1086</v>
      </c>
      <c r="B4" s="3" t="s">
        <v>1087</v>
      </c>
    </row>
    <row r="5" spans="1:2" ht="14.25" customHeight="1">
      <c r="A5" s="3" t="s">
        <v>1088</v>
      </c>
      <c r="B5" s="3" t="s">
        <v>1089</v>
      </c>
    </row>
    <row r="6" spans="1:2" ht="14.25" customHeight="1">
      <c r="A6" s="3" t="s">
        <v>1090</v>
      </c>
      <c r="B6" s="3" t="s">
        <v>1091</v>
      </c>
    </row>
    <row r="7" spans="1:2" ht="14.25" customHeight="1">
      <c r="A7" s="3" t="s">
        <v>1092</v>
      </c>
      <c r="B7" s="3" t="s">
        <v>1093</v>
      </c>
    </row>
    <row r="8" spans="1:2" ht="14.25" customHeight="1">
      <c r="A8" s="3" t="s">
        <v>1094</v>
      </c>
      <c r="B8" s="3" t="s">
        <v>1095</v>
      </c>
    </row>
    <row r="9" spans="1:2" ht="14.25" customHeight="1"/>
    <row r="10" spans="1:2" ht="14.25" customHeight="1">
      <c r="A10" s="83" t="s">
        <v>1096</v>
      </c>
    </row>
    <row r="11" spans="1:2" ht="14.25" customHeight="1">
      <c r="A11" s="3" t="s">
        <v>1097</v>
      </c>
    </row>
    <row r="12" spans="1:2" ht="14.25" customHeight="1">
      <c r="A12" s="3" t="s">
        <v>1098</v>
      </c>
      <c r="B12" s="3" t="s">
        <v>1099</v>
      </c>
    </row>
    <row r="13" spans="1:2" ht="14.25" customHeight="1"/>
    <row r="14" spans="1:2" ht="14.25" customHeight="1">
      <c r="A14" s="84"/>
    </row>
    <row r="15" spans="1:2" ht="14.25" customHeight="1">
      <c r="A15" s="83" t="s">
        <v>1100</v>
      </c>
    </row>
    <row r="16" spans="1:2" ht="14.25" customHeight="1">
      <c r="A16" s="85" t="s">
        <v>1101</v>
      </c>
    </row>
    <row r="17" spans="1:2" ht="14.25" customHeight="1">
      <c r="A17" s="85" t="s">
        <v>1102</v>
      </c>
    </row>
    <row r="18" spans="1:2" ht="14.25" customHeight="1">
      <c r="A18" s="85" t="s">
        <v>1103</v>
      </c>
    </row>
    <row r="19" spans="1:2" ht="14.25" customHeight="1">
      <c r="A19" s="85" t="s">
        <v>1104</v>
      </c>
    </row>
    <row r="20" spans="1:2" ht="14.25" customHeight="1"/>
    <row r="21" spans="1:2" ht="14.25" customHeight="1">
      <c r="A21" s="86" t="s">
        <v>1105</v>
      </c>
    </row>
    <row r="22" spans="1:2" ht="14.25" customHeight="1">
      <c r="A22" s="3">
        <v>2022</v>
      </c>
      <c r="B22" s="3">
        <v>22</v>
      </c>
    </row>
    <row r="23" spans="1:2" ht="14.25" customHeight="1">
      <c r="A23" s="3">
        <v>2023</v>
      </c>
      <c r="B23" s="3">
        <v>23</v>
      </c>
    </row>
    <row r="24" spans="1:2" ht="14.25" customHeight="1">
      <c r="A24" s="3">
        <v>2024</v>
      </c>
      <c r="B24" s="3">
        <v>24</v>
      </c>
    </row>
    <row r="25" spans="1:2" ht="14.25" customHeight="1">
      <c r="A25" s="3">
        <v>2025</v>
      </c>
      <c r="B25" s="3">
        <v>25</v>
      </c>
    </row>
    <row r="26" spans="1:2" ht="14.25" customHeight="1">
      <c r="A26" s="3">
        <v>2026</v>
      </c>
      <c r="B26" s="3">
        <v>26</v>
      </c>
    </row>
    <row r="27" spans="1:2" ht="14.25" customHeight="1">
      <c r="A27" s="3">
        <v>2027</v>
      </c>
      <c r="B27" s="3">
        <v>27</v>
      </c>
    </row>
    <row r="28" spans="1:2" ht="14.25" customHeight="1">
      <c r="A28" s="3">
        <v>2028</v>
      </c>
      <c r="B28" s="3">
        <v>28</v>
      </c>
    </row>
    <row r="29" spans="1:2" ht="14.25" customHeight="1">
      <c r="A29" s="3">
        <v>2029</v>
      </c>
      <c r="B29" s="3">
        <v>29</v>
      </c>
    </row>
    <row r="30" spans="1:2" ht="14.25" customHeight="1">
      <c r="A30" s="3">
        <v>2030</v>
      </c>
      <c r="B30" s="3">
        <v>30</v>
      </c>
    </row>
    <row r="31" spans="1:2" ht="14.25" customHeight="1">
      <c r="A31" s="3">
        <v>2031</v>
      </c>
      <c r="B31" s="3">
        <v>31</v>
      </c>
    </row>
    <row r="32" spans="1:2" ht="14.25" customHeight="1"/>
    <row r="33" spans="1:2" ht="14.25" customHeight="1"/>
    <row r="34" spans="1:2" ht="14.25" customHeight="1">
      <c r="A34" s="83" t="s">
        <v>1106</v>
      </c>
      <c r="B34" s="83" t="s">
        <v>308</v>
      </c>
    </row>
    <row r="35" spans="1:2" ht="14.25" customHeight="1">
      <c r="A35" s="7" t="s">
        <v>1107</v>
      </c>
      <c r="B35" s="87">
        <v>512310509</v>
      </c>
    </row>
    <row r="36" spans="1:2" ht="14.25" customHeight="1">
      <c r="A36" s="3" t="s">
        <v>1108</v>
      </c>
      <c r="B36" s="87">
        <v>513910703</v>
      </c>
    </row>
    <row r="37" spans="1:2" ht="14.25" customHeight="1">
      <c r="A37" s="3" t="s">
        <v>1109</v>
      </c>
      <c r="B37" s="87">
        <v>512304882</v>
      </c>
    </row>
    <row r="38" spans="1:2" ht="14.25" customHeight="1">
      <c r="A38" s="3" t="s">
        <v>1110</v>
      </c>
      <c r="B38" s="87">
        <v>520030677</v>
      </c>
    </row>
    <row r="39" spans="1:2" ht="14.25" customHeight="1">
      <c r="A39" s="3" t="s">
        <v>1111</v>
      </c>
      <c r="B39" s="87">
        <v>513621110</v>
      </c>
    </row>
    <row r="40" spans="1:2" ht="14.25" customHeight="1">
      <c r="A40" s="3" t="s">
        <v>1112</v>
      </c>
      <c r="B40" s="7">
        <v>513173393</v>
      </c>
    </row>
    <row r="41" spans="1:2" ht="14.25" customHeight="1">
      <c r="A41" s="3" t="s">
        <v>1113</v>
      </c>
      <c r="B41" s="7">
        <v>511880460</v>
      </c>
    </row>
    <row r="42" spans="1:2" ht="14.25" customHeight="1">
      <c r="A42" s="3" t="s">
        <v>1114</v>
      </c>
      <c r="B42" s="7">
        <v>510773922</v>
      </c>
    </row>
    <row r="43" spans="1:2" ht="14.25" customHeight="1">
      <c r="A43" s="3" t="s">
        <v>1115</v>
      </c>
      <c r="B43" s="3">
        <v>520021916</v>
      </c>
    </row>
    <row r="44" spans="1:2" ht="14.25" customHeight="1">
      <c r="A44" s="3" t="s">
        <v>1116</v>
      </c>
      <c r="B44" s="3">
        <v>520044025</v>
      </c>
    </row>
    <row r="45" spans="1:2" ht="14.25" customHeight="1">
      <c r="A45" s="3" t="s">
        <v>1117</v>
      </c>
      <c r="B45" s="3">
        <v>570003152</v>
      </c>
    </row>
    <row r="46" spans="1:2" ht="14.25" customHeight="1">
      <c r="A46" s="3" t="s">
        <v>1118</v>
      </c>
      <c r="B46" s="7">
        <v>520023094</v>
      </c>
    </row>
    <row r="47" spans="1:2" ht="14.25" customHeight="1">
      <c r="A47" s="3" t="s">
        <v>1119</v>
      </c>
      <c r="B47" s="7">
        <v>512711409</v>
      </c>
    </row>
    <row r="48" spans="1:2" ht="14.25" customHeight="1">
      <c r="A48" s="3" t="s">
        <v>1120</v>
      </c>
      <c r="B48" s="3">
        <v>515859379</v>
      </c>
    </row>
    <row r="49" spans="1:2" ht="14.25" customHeight="1">
      <c r="A49" s="3" t="s">
        <v>1121</v>
      </c>
      <c r="B49" s="7">
        <v>520030990</v>
      </c>
    </row>
    <row r="50" spans="1:2" ht="14.25" customHeight="1">
      <c r="A50" s="3" t="s">
        <v>1122</v>
      </c>
      <c r="B50" s="7">
        <v>520028812</v>
      </c>
    </row>
    <row r="51" spans="1:2" ht="14.25" customHeight="1">
      <c r="A51" s="3" t="s">
        <v>1123</v>
      </c>
      <c r="B51" s="7">
        <v>520034968</v>
      </c>
    </row>
    <row r="52" spans="1:2" ht="14.25" customHeight="1">
      <c r="A52" s="3" t="s">
        <v>1124</v>
      </c>
      <c r="B52" s="7">
        <v>520031824</v>
      </c>
    </row>
    <row r="53" spans="1:2" ht="14.25" customHeight="1">
      <c r="A53" s="3" t="s">
        <v>1125</v>
      </c>
      <c r="B53" s="7">
        <v>520005497</v>
      </c>
    </row>
    <row r="54" spans="1:2" ht="14.25" customHeight="1">
      <c r="A54" s="3" t="s">
        <v>1126</v>
      </c>
      <c r="B54" s="7">
        <v>520022518</v>
      </c>
    </row>
    <row r="55" spans="1:2" ht="14.25" customHeight="1">
      <c r="A55" s="3" t="s">
        <v>1127</v>
      </c>
      <c r="B55" s="7">
        <v>520028556</v>
      </c>
    </row>
    <row r="56" spans="1:2" ht="14.25" customHeight="1">
      <c r="A56" s="3" t="s">
        <v>1128</v>
      </c>
      <c r="B56" s="7">
        <v>520032269</v>
      </c>
    </row>
    <row r="57" spans="1:2" ht="14.25" customHeight="1">
      <c r="A57" s="3" t="s">
        <v>1129</v>
      </c>
      <c r="B57" s="7">
        <v>520027954</v>
      </c>
    </row>
    <row r="58" spans="1:2" ht="14.25" customHeight="1">
      <c r="A58" s="3" t="s">
        <v>1130</v>
      </c>
      <c r="B58" s="10">
        <v>520029620</v>
      </c>
    </row>
    <row r="59" spans="1:2" ht="14.25" customHeight="1">
      <c r="A59" s="3" t="s">
        <v>1131</v>
      </c>
      <c r="B59" s="7">
        <v>520028861</v>
      </c>
    </row>
    <row r="60" spans="1:2" ht="14.25" customHeight="1">
      <c r="A60" s="3" t="s">
        <v>1132</v>
      </c>
      <c r="B60" s="7">
        <v>520030743</v>
      </c>
    </row>
    <row r="61" spans="1:2" ht="14.25" customHeight="1">
      <c r="A61" s="3" t="s">
        <v>1133</v>
      </c>
      <c r="B61" s="3">
        <v>520042177</v>
      </c>
    </row>
    <row r="62" spans="1:2" ht="14.25" customHeight="1">
      <c r="A62" s="3" t="s">
        <v>1134</v>
      </c>
      <c r="B62" s="7">
        <v>515447035</v>
      </c>
    </row>
    <row r="63" spans="1:2" ht="14.25" customHeight="1">
      <c r="A63" s="3" t="s">
        <v>1135</v>
      </c>
      <c r="B63" s="7">
        <v>520042607</v>
      </c>
    </row>
    <row r="64" spans="1:2" ht="14.25" customHeight="1">
      <c r="A64" s="3" t="s">
        <v>1136</v>
      </c>
      <c r="B64" s="7">
        <v>513026484</v>
      </c>
    </row>
    <row r="65" spans="1:2" ht="14.25" customHeight="1">
      <c r="A65" s="3" t="s">
        <v>1137</v>
      </c>
      <c r="B65" s="3">
        <v>520023185</v>
      </c>
    </row>
    <row r="66" spans="1:2" ht="14.25" customHeight="1">
      <c r="A66" s="3" t="s">
        <v>1138</v>
      </c>
      <c r="B66" s="3">
        <v>520004078</v>
      </c>
    </row>
    <row r="67" spans="1:2" ht="14.25" customHeight="1">
      <c r="A67" s="3" t="s">
        <v>1139</v>
      </c>
      <c r="B67" s="7">
        <v>512267592</v>
      </c>
    </row>
    <row r="68" spans="1:2" ht="14.25" customHeight="1">
      <c r="A68" s="3" t="s">
        <v>1140</v>
      </c>
      <c r="B68" s="3">
        <v>515764868</v>
      </c>
    </row>
    <row r="69" spans="1:2" ht="14.25" customHeight="1">
      <c r="A69" s="3" t="s">
        <v>1141</v>
      </c>
      <c r="B69" s="7">
        <v>513452003</v>
      </c>
    </row>
    <row r="70" spans="1:2" ht="14.25" customHeight="1">
      <c r="A70" s="3" t="s">
        <v>1142</v>
      </c>
      <c r="B70" s="7">
        <v>510142789</v>
      </c>
    </row>
    <row r="71" spans="1:2" ht="14.25" customHeight="1">
      <c r="A71" s="3" t="s">
        <v>1143</v>
      </c>
      <c r="B71" s="7">
        <v>510960586</v>
      </c>
    </row>
    <row r="72" spans="1:2" ht="14.25" customHeight="1">
      <c r="A72" s="3" t="s">
        <v>1144</v>
      </c>
      <c r="B72" s="7">
        <v>510930670</v>
      </c>
    </row>
    <row r="73" spans="1:2" ht="14.25" customHeight="1">
      <c r="A73" s="3" t="s">
        <v>1145</v>
      </c>
      <c r="B73" s="7">
        <v>510927536</v>
      </c>
    </row>
    <row r="74" spans="1:2" ht="14.25" customHeight="1">
      <c r="A74" s="3" t="s">
        <v>1146</v>
      </c>
      <c r="B74" s="7">
        <v>510930654</v>
      </c>
    </row>
    <row r="75" spans="1:2" ht="14.25" customHeight="1">
      <c r="A75" s="3" t="s">
        <v>1147</v>
      </c>
      <c r="B75" s="7">
        <v>520032566</v>
      </c>
    </row>
    <row r="76" spans="1:2" ht="14.25" customHeight="1">
      <c r="A76" s="3" t="s">
        <v>1148</v>
      </c>
      <c r="B76" s="7">
        <v>513611509</v>
      </c>
    </row>
    <row r="77" spans="1:2" ht="14.25" customHeight="1">
      <c r="A77" s="3" t="s">
        <v>1149</v>
      </c>
      <c r="B77" s="3">
        <v>510888985</v>
      </c>
    </row>
    <row r="78" spans="1:2" ht="14.25" customHeight="1">
      <c r="A78" s="3" t="s">
        <v>1150</v>
      </c>
      <c r="B78" s="3">
        <v>520024647</v>
      </c>
    </row>
    <row r="79" spans="1:2" ht="14.25" customHeight="1">
      <c r="A79" s="3" t="s">
        <v>1151</v>
      </c>
      <c r="B79" s="7">
        <v>512244146</v>
      </c>
    </row>
    <row r="80" spans="1:2" ht="14.25" customHeight="1">
      <c r="A80" s="3" t="s">
        <v>1152</v>
      </c>
      <c r="B80" s="7">
        <v>510694821</v>
      </c>
    </row>
    <row r="81" spans="1:2" ht="14.25" customHeight="1">
      <c r="A81" s="3" t="s">
        <v>1153</v>
      </c>
      <c r="B81" s="3">
        <v>515761625</v>
      </c>
    </row>
    <row r="82" spans="1:2" ht="14.25" customHeight="1">
      <c r="A82" s="3" t="s">
        <v>1154</v>
      </c>
      <c r="B82" s="7">
        <v>511423048</v>
      </c>
    </row>
    <row r="83" spans="1:2" ht="14.25" customHeight="1">
      <c r="A83" s="3" t="s">
        <v>1155</v>
      </c>
      <c r="B83" s="7">
        <v>520019688</v>
      </c>
    </row>
    <row r="84" spans="1:2" ht="14.25" customHeight="1">
      <c r="A84" s="3" t="s">
        <v>1156</v>
      </c>
      <c r="B84" s="3">
        <v>520004896</v>
      </c>
    </row>
    <row r="85" spans="1:2" ht="14.25" customHeight="1">
      <c r="A85" s="3" t="s">
        <v>1157</v>
      </c>
      <c r="B85" s="7">
        <v>512237744</v>
      </c>
    </row>
    <row r="86" spans="1:2" ht="14.25" customHeight="1">
      <c r="A86" s="3" t="s">
        <v>1158</v>
      </c>
      <c r="B86" s="7">
        <v>514956465</v>
      </c>
    </row>
    <row r="87" spans="1:2" ht="14.25" customHeight="1">
      <c r="A87" s="3" t="s">
        <v>1159</v>
      </c>
      <c r="B87" s="7">
        <v>512362914</v>
      </c>
    </row>
    <row r="88" spans="1:2" ht="14.25" customHeight="1">
      <c r="A88" s="3" t="s">
        <v>1160</v>
      </c>
      <c r="B88" s="7">
        <v>520042615</v>
      </c>
    </row>
    <row r="89" spans="1:2" ht="14.25" customHeight="1">
      <c r="A89" s="3" t="s">
        <v>1161</v>
      </c>
      <c r="B89" s="7">
        <v>512065202</v>
      </c>
    </row>
    <row r="90" spans="1:2" ht="14.25" customHeight="1">
      <c r="A90" s="3" t="s">
        <v>1162</v>
      </c>
      <c r="B90" s="3">
        <v>520042540</v>
      </c>
    </row>
    <row r="91" spans="1:2" ht="14.25" customHeight="1">
      <c r="A91" s="3" t="s">
        <v>1163</v>
      </c>
      <c r="B91" s="7">
        <v>520027715</v>
      </c>
    </row>
    <row r="92" spans="1:2" ht="14.25" customHeight="1">
      <c r="A92" s="3" t="s">
        <v>1164</v>
      </c>
      <c r="B92" s="7">
        <v>512245812</v>
      </c>
    </row>
    <row r="93" spans="1:2" ht="14.25" customHeight="1">
      <c r="A93" s="3" t="s">
        <v>1165</v>
      </c>
      <c r="B93" s="7">
        <v>520022351</v>
      </c>
    </row>
    <row r="94" spans="1:2" ht="14.25" customHeight="1">
      <c r="A94" s="3" t="s">
        <v>1166</v>
      </c>
      <c r="B94" s="7">
        <v>514767490</v>
      </c>
    </row>
    <row r="95" spans="1:2" ht="14.25" customHeight="1">
      <c r="A95" s="3" t="s">
        <v>1167</v>
      </c>
      <c r="B95" s="7">
        <v>520024985</v>
      </c>
    </row>
    <row r="96" spans="1:2" ht="14.25" customHeight="1">
      <c r="A96" s="3" t="s">
        <v>1168</v>
      </c>
      <c r="B96" s="7">
        <v>520042573</v>
      </c>
    </row>
    <row r="97" spans="1:2" ht="14.25" customHeight="1">
      <c r="A97" s="3" t="s">
        <v>1169</v>
      </c>
      <c r="B97" s="7">
        <v>570009449</v>
      </c>
    </row>
    <row r="98" spans="1:2" ht="14.25" customHeight="1">
      <c r="A98" s="3" t="s">
        <v>1170</v>
      </c>
      <c r="B98" s="7">
        <v>520031659</v>
      </c>
    </row>
    <row r="99" spans="1:2" ht="14.25" customHeight="1">
      <c r="A99" s="3" t="s">
        <v>1171</v>
      </c>
      <c r="B99" s="7">
        <v>520042581</v>
      </c>
    </row>
    <row r="100" spans="1:2" ht="14.25" customHeight="1">
      <c r="A100" s="3" t="s">
        <v>1172</v>
      </c>
      <c r="B100" s="3">
        <v>520031030</v>
      </c>
    </row>
    <row r="101" spans="1:2" ht="14.25" customHeight="1">
      <c r="A101" s="3" t="s">
        <v>1173</v>
      </c>
      <c r="B101" s="7">
        <v>520030941</v>
      </c>
    </row>
    <row r="102" spans="1:2" ht="14.25" customHeight="1">
      <c r="A102" s="3" t="s">
        <v>1174</v>
      </c>
      <c r="B102" s="7">
        <v>512008335</v>
      </c>
    </row>
    <row r="103" spans="1:2" ht="14.25" customHeight="1">
      <c r="A103" s="3" t="s">
        <v>1175</v>
      </c>
      <c r="B103" s="7">
        <v>520022963</v>
      </c>
    </row>
    <row r="104" spans="1:2" ht="14.25" customHeight="1">
      <c r="A104" s="3" t="s">
        <v>1176</v>
      </c>
      <c r="B104" s="7">
        <v>570011767</v>
      </c>
    </row>
    <row r="105" spans="1:2" ht="14.25" customHeight="1">
      <c r="A105" s="3" t="s">
        <v>1177</v>
      </c>
      <c r="B105" s="7">
        <v>570014928</v>
      </c>
    </row>
    <row r="106" spans="1:2" ht="14.25" customHeight="1">
      <c r="A106" s="3" t="s">
        <v>1178</v>
      </c>
      <c r="B106" s="7">
        <v>570005959</v>
      </c>
    </row>
    <row r="107" spans="1:2" ht="14.25" customHeight="1">
      <c r="A107" s="3" t="s">
        <v>1179</v>
      </c>
      <c r="B107" s="7">
        <v>510800402</v>
      </c>
    </row>
    <row r="108" spans="1:2" ht="14.25" customHeight="1">
      <c r="A108" s="3" t="s">
        <v>1180</v>
      </c>
      <c r="B108" s="7">
        <v>570007476</v>
      </c>
    </row>
    <row r="109" spans="1:2" ht="14.25" customHeight="1">
      <c r="A109" s="3" t="s">
        <v>1181</v>
      </c>
      <c r="B109" s="7">
        <v>570005850</v>
      </c>
    </row>
    <row r="110" spans="1:2" ht="14.25" customHeight="1">
      <c r="A110" s="3" t="s">
        <v>1182</v>
      </c>
      <c r="B110" s="7">
        <v>520020504</v>
      </c>
    </row>
    <row r="111" spans="1:2" ht="14.25" customHeight="1">
      <c r="A111" s="3" t="s">
        <v>1183</v>
      </c>
      <c r="B111" s="7">
        <v>520020447</v>
      </c>
    </row>
    <row r="112" spans="1:2" ht="14.25" customHeight="1">
      <c r="A112" s="3" t="s">
        <v>1184</v>
      </c>
      <c r="B112" s="7">
        <v>511033060</v>
      </c>
    </row>
    <row r="113" spans="1:2" ht="14.25" customHeight="1">
      <c r="A113" s="3" t="s">
        <v>1185</v>
      </c>
      <c r="B113" s="3">
        <v>520027848</v>
      </c>
    </row>
    <row r="114" spans="1:2" ht="14.25" customHeight="1">
      <c r="A114" s="3" t="s">
        <v>1186</v>
      </c>
      <c r="B114" s="7">
        <v>570009852</v>
      </c>
    </row>
    <row r="115" spans="1:2" ht="14.25" customHeight="1">
      <c r="A115" s="3" t="s">
        <v>1187</v>
      </c>
      <c r="B115" s="7">
        <v>520027251</v>
      </c>
    </row>
    <row r="116" spans="1:2" ht="14.25" customHeight="1">
      <c r="A116" s="3" t="s">
        <v>1188</v>
      </c>
      <c r="B116" s="7">
        <v>520028390</v>
      </c>
    </row>
    <row r="117" spans="1:2" ht="14.25" customHeight="1">
      <c r="A117" s="3" t="s">
        <v>1189</v>
      </c>
      <c r="B117" s="7">
        <v>510806870</v>
      </c>
    </row>
    <row r="118" spans="1:2" ht="14.25" customHeight="1">
      <c r="A118" s="3" t="s">
        <v>1190</v>
      </c>
      <c r="B118" s="3">
        <v>513879189</v>
      </c>
    </row>
    <row r="119" spans="1:2" ht="14.25" customHeight="1">
      <c r="A119" s="3" t="s">
        <v>1191</v>
      </c>
      <c r="B119" s="3">
        <v>510015951</v>
      </c>
    </row>
    <row r="120" spans="1:2" ht="14.25" customHeight="1">
      <c r="A120" s="3" t="s">
        <v>1192</v>
      </c>
      <c r="B120" s="7">
        <v>520030693</v>
      </c>
    </row>
    <row r="121" spans="1:2" ht="14.25" customHeight="1">
      <c r="A121" s="3" t="s">
        <v>1193</v>
      </c>
      <c r="B121" s="7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קובי פסי</cp:lastModifiedBy>
  <dcterms:created xsi:type="dcterms:W3CDTF">2021-05-03T04:41:48Z</dcterms:created>
  <dcterms:modified xsi:type="dcterms:W3CDTF">2024-09-04T06:56:16Z</dcterms:modified>
</cp:coreProperties>
</file>